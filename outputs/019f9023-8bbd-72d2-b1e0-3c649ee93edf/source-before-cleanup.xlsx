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" sheetId="1" r:id="rId5"/>
    <sheet state="visible" name="Thiết lập" sheetId="2" r:id="rId6"/>
    <sheet state="visible" name="Đầu tư &amp; Tài sản" sheetId="3" r:id="rId7"/>
    <sheet state="visible" name="Size" sheetId="4" r:id="rId8"/>
    <sheet state="visible" name="Sản phẩm" sheetId="5" r:id="rId9"/>
    <sheet state="visible" name="Hàng hóa" sheetId="6" r:id="rId10"/>
    <sheet state="visible" name="Mẻ sữa" sheetId="7" r:id="rId11"/>
    <sheet state="visible" name="Nhập hàng" sheetId="8" r:id="rId12"/>
    <sheet state="visible" name="Bán hàng" sheetId="9" r:id="rId13"/>
    <sheet state="visible" name="Bán nhanh" sheetId="10" r:id="rId14"/>
    <sheet state="visible" name="Tổng quan" sheetId="11" r:id="rId15"/>
  </sheets>
  <definedNames/>
  <calcPr/>
</workbook>
</file>

<file path=xl/sharedStrings.xml><?xml version="1.0" encoding="utf-8"?>
<sst xmlns="http://schemas.openxmlformats.org/spreadsheetml/2006/main" count="525" uniqueCount="293">
  <si>
    <t>THIẾT LẬP CHI PHÍ</t>
  </si>
  <si>
    <t>QUẢN LÝ QUÁN SỮA — MỖI DANH MỤC MỘT SHEET RIÊNG</t>
  </si>
  <si>
    <t>Cách thêm dữ liệu mới mà không ảnh hưởng bảng khác</t>
  </si>
  <si>
    <t>Thông số</t>
  </si>
  <si>
    <t>Giá trị</t>
  </si>
  <si>
    <t>Sheet</t>
  </si>
  <si>
    <t>Cách sử dụng</t>
  </si>
  <si>
    <t>Công suất bếp mặc định (kW)</t>
  </si>
  <si>
    <t>Hàng hóa</t>
  </si>
  <si>
    <t>ĐẦU TƯ BAN ĐẦU &amp; TÀI SẢN KHẤU HAO</t>
  </si>
  <si>
    <t>Thêm nguyên liệu, topping hoặc bao bì vào dòng trống tiếp theo.</t>
  </si>
  <si>
    <t>Giá điện (đ/kWh)</t>
  </si>
  <si>
    <t>Nhập máy móc, nồi nấu, bếp, tủ lạnh, xe/quầy và dụng cụ lớn tại đây. Tổng khấu hao/tháng sẽ tự liên kết sang Thiết lập và cost mỗi ly.</t>
  </si>
  <si>
    <t>Size</t>
  </si>
  <si>
    <t>Thêm size mới vào dòng trống tiếp theo.</t>
  </si>
  <si>
    <t>Điện khác mỗi mẻ (đ)</t>
  </si>
  <si>
    <t>Sản phẩm</t>
  </si>
  <si>
    <t>Chọn tên topping và size; tên sản phẩm và cost tự tính.</t>
  </si>
  <si>
    <t>Nhóm tài sản</t>
  </si>
  <si>
    <t>Nước/vệ sinh mỗi mẻ (đ)</t>
  </si>
  <si>
    <t>Kích hoạt</t>
  </si>
  <si>
    <t>Ngày mua</t>
  </si>
  <si>
    <t>Thiết lập</t>
  </si>
  <si>
    <t>Tên tài sản</t>
  </si>
  <si>
    <t>Điện, nước, overhead, chi phí cố định và khấu hao.</t>
  </si>
  <si>
    <t>Số lượng</t>
  </si>
  <si>
    <t>Đơn giá (đ)</t>
  </si>
  <si>
    <t>Tổng tiền (đ)</t>
  </si>
  <si>
    <t>Giá trị còn lại (đ)</t>
  </si>
  <si>
    <t>Overhead biến đổi</t>
  </si>
  <si>
    <t>Thời gian sử dụng (tháng)</t>
  </si>
  <si>
    <t>Khấu hao/tháng (đ)</t>
  </si>
  <si>
    <t>Ghi chú</t>
  </si>
  <si>
    <t>Mã nội bộ</t>
  </si>
  <si>
    <t>Nhập hàng</t>
  </si>
  <si>
    <t>Chọn tên hàng, nhập số gói và giá thực tế.</t>
  </si>
  <si>
    <t>Máy móc</t>
  </si>
  <si>
    <t>DANH MỤC SIZE — MỖI SIZE MỘT DÒNG</t>
  </si>
  <si>
    <t>Có</t>
  </si>
  <si>
    <t>Số ly dự kiến/tháng</t>
  </si>
  <si>
    <t>Vá múc canh</t>
  </si>
  <si>
    <t>Mẻ sữa</t>
  </si>
  <si>
    <t>Mỗi mẻ có công thức riêng; thêm nguyên liệu ở bảng chi tiết.</t>
  </si>
  <si>
    <t>Chi phí cố định/tháng (đ)</t>
  </si>
  <si>
    <t>Bán hàng</t>
  </si>
  <si>
    <t>Chọn sản phẩm và đúng mẻ sữa đã dùng.</t>
  </si>
  <si>
    <t>Có sẵn 50 dòng. Nhập size mới vào dòng trống tiếp theo.</t>
  </si>
  <si>
    <t>Khấu hao/tháng từ tài sản (đ)</t>
  </si>
  <si>
    <t>Dụng cụ lớn</t>
  </si>
  <si>
    <t>Lưu ý</t>
  </si>
  <si>
    <t>Thao tác</t>
  </si>
  <si>
    <t>Khuyến nghị</t>
  </si>
  <si>
    <t>Phân bổ cố định + khấu hao/ly (đ)</t>
  </si>
  <si>
    <t>Thêm mục mới</t>
  </si>
  <si>
    <t>Không cần Insert Row. Chỉ nhập vào dòng trống tiếp theo đã chuẩn bị sẵn.</t>
  </si>
  <si>
    <t>DS bao bì</t>
  </si>
  <si>
    <t>Tên không trùng</t>
  </si>
  <si>
    <t>Không đặt hai hàng hóa hoặc hai sản phẩm trùng tên hoàn toàn.</t>
  </si>
  <si>
    <t>Điện/nước có thể sửa riêng ở từng mẻ</t>
  </si>
  <si>
    <t>Mã được tạo sẵn hoặc tự sinh; khi vận hành chỉ cần chọn bằng tên.</t>
  </si>
  <si>
    <t>Mã size</t>
  </si>
  <si>
    <t>Tên size</t>
  </si>
  <si>
    <t>Liên kết tài sản</t>
  </si>
  <si>
    <t>Sữa nền/ly (ml)</t>
  </si>
  <si>
    <t>Tự động</t>
  </si>
  <si>
    <t>Tên bộ ly</t>
  </si>
  <si>
    <t>Giá bán mặc định (đ)</t>
  </si>
  <si>
    <t>Luồng công thức</t>
  </si>
  <si>
    <t>DS tên size</t>
  </si>
  <si>
    <t>Đầu tư &amp; Tài sản → Thiết lập → Sản phẩm/Bán hàng/Tổng quan</t>
  </si>
  <si>
    <t>Ly size M</t>
  </si>
  <si>
    <t>Không</t>
  </si>
  <si>
    <t>M</t>
  </si>
  <si>
    <t>Đầu tư &amp; Tài sản</t>
  </si>
  <si>
    <t>Xô đá giữ nhiệt</t>
  </si>
  <si>
    <t>Nhập máy móc, nồi nấu, bếp, tủ lạnh, xe/quầy và dụng cụ lớn.</t>
  </si>
  <si>
    <t>Cơ sở vật chất</t>
  </si>
  <si>
    <t>Size M</t>
  </si>
  <si>
    <t>Khấu hao</t>
  </si>
  <si>
    <t>Tổng khấu hao/tháng tự liên kết vào Thiết lập và được phân bổ vào cost mỗi ly.</t>
  </si>
  <si>
    <t>Khay làm đá nhỏ</t>
  </si>
  <si>
    <t>Tổng quan</t>
  </si>
  <si>
    <t>Hiển thị tổng vốn đầu tư và tiền mua tài sản trong khoảng ngày đang xem.</t>
  </si>
  <si>
    <t>Khác</t>
  </si>
  <si>
    <t>Máy bào đá / máy xay</t>
  </si>
  <si>
    <t>Bàn inox</t>
  </si>
  <si>
    <t>Bộ ly</t>
  </si>
  <si>
    <t>Bán nhanh</t>
  </si>
  <si>
    <t>Nhập ngày, tên mẻ, thanh toán và số lượng từng món trên một dòng.</t>
  </si>
  <si>
    <t>Hũ nhựa topping</t>
  </si>
  <si>
    <t>Tự tách dữ liệu từ Bán nhanh. Không nhập hoặc sửa trực tiếp tại sheet này.</t>
  </si>
  <si>
    <t>Kệ đựng ly</t>
  </si>
  <si>
    <t>Nhiều mẻ trong ngày</t>
  </si>
  <si>
    <t>Nhập nhiều dòng cùng ngày; mỗi dòng chọn một mẻ sữa khác nhau.</t>
  </si>
  <si>
    <t>In bảng chỉ đường</t>
  </si>
  <si>
    <t xml:space="preserve">In Bảng Quảng Cáo </t>
  </si>
  <si>
    <t>In Bảng QR</t>
  </si>
  <si>
    <t>Nắp size M</t>
  </si>
  <si>
    <t>Khay đá lớn</t>
  </si>
  <si>
    <t>L</t>
  </si>
  <si>
    <t>Size L</t>
  </si>
  <si>
    <t>Chân kê bảng quảng cáo</t>
  </si>
  <si>
    <t>Ly size L</t>
  </si>
  <si>
    <t>In Bảng Quảng Cáo 2</t>
  </si>
  <si>
    <t>Nắp size L</t>
  </si>
  <si>
    <t>Ống hút</t>
  </si>
  <si>
    <t>Muỗng</t>
  </si>
  <si>
    <t>Túi mang đi</t>
  </si>
  <si>
    <t>Tổng hợp</t>
  </si>
  <si>
    <t>Tổng vốn đầu tư</t>
  </si>
  <si>
    <t>Tổng khấu hao/tháng</t>
  </si>
  <si>
    <t>Khấu hao phân bổ/ly</t>
  </si>
  <si>
    <t>DANH MỤC SẢN PHẨM — THÊM MÓN MỚI Ở DÒNG TRỐNG TIẾP THEO</t>
  </si>
  <si>
    <t>Chỉ cần chọn Tên topping và Tên size. Tên sản phẩm, giá bán và các loại cost sẽ tự liên kết.</t>
  </si>
  <si>
    <t>DS topping</t>
  </si>
  <si>
    <t>DS size</t>
  </si>
  <si>
    <t>Mã SP</t>
  </si>
  <si>
    <t>Tên topping</t>
  </si>
  <si>
    <t>Tên sản phẩm</t>
  </si>
  <si>
    <t>Topping (g)</t>
  </si>
  <si>
    <t>Giá bán (đ)</t>
  </si>
  <si>
    <t>Sữa nền (ml)</t>
  </si>
  <si>
    <t>Cost sữa xem trước</t>
  </si>
  <si>
    <t>Cost topping</t>
  </si>
  <si>
    <t>Cost bao bì</t>
  </si>
  <si>
    <t>Overhead</t>
  </si>
  <si>
    <t>Cost biến đổi</t>
  </si>
  <si>
    <t>Phân bổ cố định</t>
  </si>
  <si>
    <t>Full cost</t>
  </si>
  <si>
    <t>DS tên sản phẩm</t>
  </si>
  <si>
    <t>Oreo</t>
  </si>
  <si>
    <t>M-OREO</t>
  </si>
  <si>
    <t>DANH MỤC HÀNG HÓA — NHẬP TIẾP XUỐNG DƯỚI</t>
  </si>
  <si>
    <t>MẺ SỮA LINH ĐỘNG — MỖI MẺ CÓ CÔNG THỨC RIÊNG</t>
  </si>
  <si>
    <t>Tạo tên mẻ mới khi đổi công thức. Chi tiết nguyên liệu nằm ở bảng phía bên phải.</t>
  </si>
  <si>
    <t>Có sẵn 200 dòng. Khi thêm nguyên liệu/topping/bao bì mới, chỉ nhập vào dòng trống tiếp theo.</t>
  </si>
  <si>
    <t>Nhóm</t>
  </si>
  <si>
    <t>Đơn vị</t>
  </si>
  <si>
    <t>DS tên mẻ</t>
  </si>
  <si>
    <t>DS tên hàng</t>
  </si>
  <si>
    <t>Ngày nấu</t>
  </si>
  <si>
    <t>Mã mẻ</t>
  </si>
  <si>
    <t>Tên mẻ / công thức</t>
  </si>
  <si>
    <t>Thành phẩm thực tế (L)</t>
  </si>
  <si>
    <t>Thời gian nấu (giờ)</t>
  </si>
  <si>
    <t>Công suất bếp (kW)</t>
  </si>
  <si>
    <t>Tên hàng</t>
  </si>
  <si>
    <t>Đơn vị mua</t>
  </si>
  <si>
    <t>Điện khác (đ)</t>
  </si>
  <si>
    <t>Quy cách/gói</t>
  </si>
  <si>
    <t>Nước/vệ sinh (đ)</t>
  </si>
  <si>
    <t>Đơn vị tính cost</t>
  </si>
  <si>
    <t>Cost nguyên liệu (đ)</t>
  </si>
  <si>
    <t>Giá tham khảo/gói (đ)</t>
  </si>
  <si>
    <t>Cost điện (đ)</t>
  </si>
  <si>
    <t>Giá vốn BQ/đơn vị (đ)</t>
  </si>
  <si>
    <t>Tổng cost mẻ (đ)</t>
  </si>
  <si>
    <t>Cost/lít (đ)</t>
  </si>
  <si>
    <t>Cost/ml (đ)</t>
  </si>
  <si>
    <t>Cost 400ml (đ)</t>
  </si>
  <si>
    <t>Nguyên liệu</t>
  </si>
  <si>
    <t>lít</t>
  </si>
  <si>
    <t>Cost 550ml (đ)</t>
  </si>
  <si>
    <t>NL001</t>
  </si>
  <si>
    <t>Sữa tươi</t>
  </si>
  <si>
    <t>Tên mẻ dùng xem cost</t>
  </si>
  <si>
    <t>Mẻ test 15L</t>
  </si>
  <si>
    <t>Bịch</t>
  </si>
  <si>
    <t>25.000đ/lít</t>
  </si>
  <si>
    <t>Topping</t>
  </si>
  <si>
    <t>Dừa non</t>
  </si>
  <si>
    <t>ml</t>
  </si>
  <si>
    <t>NL002</t>
  </si>
  <si>
    <t>Whipping cream</t>
  </si>
  <si>
    <t>L-OREO</t>
  </si>
  <si>
    <t>Hộp</t>
  </si>
  <si>
    <t>1 hộp = 1.000ml</t>
  </si>
  <si>
    <t>Bao bì</t>
  </si>
  <si>
    <t>kg</t>
  </si>
  <si>
    <t>NL003</t>
  </si>
  <si>
    <t>Đường</t>
  </si>
  <si>
    <t>15L sữa + 1L whipping + 700g đường</t>
  </si>
  <si>
    <t>Dâu giòn</t>
  </si>
  <si>
    <t>Mẻ test 6L</t>
  </si>
  <si>
    <t>gram</t>
  </si>
  <si>
    <t>M-DUA</t>
  </si>
  <si>
    <t>BB001</t>
  </si>
  <si>
    <t>Lốc</t>
  </si>
  <si>
    <t>cái</t>
  </si>
  <si>
    <t>6L sữa + 200ml whipping + 400g đường</t>
  </si>
  <si>
    <t>Cost/ml áp dụng</t>
  </si>
  <si>
    <t>Chưa có giá riêng</t>
  </si>
  <si>
    <t>BB002</t>
  </si>
  <si>
    <t>cuộn</t>
  </si>
  <si>
    <t>Sữa chua sấy</t>
  </si>
  <si>
    <t>L-DUA</t>
  </si>
  <si>
    <t>BB003</t>
  </si>
  <si>
    <t>Cost 500ml</t>
  </si>
  <si>
    <t>khác</t>
  </si>
  <si>
    <t>BB004</t>
  </si>
  <si>
    <t>Cost 650ml</t>
  </si>
  <si>
    <t>Choco Ball</t>
  </si>
  <si>
    <t>BB005</t>
  </si>
  <si>
    <t>M-DAU</t>
  </si>
  <si>
    <t>1 cái/ly</t>
  </si>
  <si>
    <t>BB006</t>
  </si>
  <si>
    <t>Cost/ml bình quân</t>
  </si>
  <si>
    <t>BB007</t>
  </si>
  <si>
    <t>L-DAU</t>
  </si>
  <si>
    <t>TP001</t>
  </si>
  <si>
    <t>Gói</t>
  </si>
  <si>
    <t>5g/ly</t>
  </si>
  <si>
    <t>CHI TIẾT NGUYÊN LIỆU TỪNG MẺ — THÊM DÒNG Ở ĐÂY</t>
  </si>
  <si>
    <t>TP002</t>
  </si>
  <si>
    <t>TP003</t>
  </si>
  <si>
    <t>Tên mẻ</t>
  </si>
  <si>
    <t>Tên nguyên liệu</t>
  </si>
  <si>
    <t>Số lượng dùng</t>
  </si>
  <si>
    <t>Giá vốn/đơn vị (đ)</t>
  </si>
  <si>
    <t>Thành tiền (đ)</t>
  </si>
  <si>
    <t>M-SC</t>
  </si>
  <si>
    <t>TP004</t>
  </si>
  <si>
    <t>TP005</t>
  </si>
  <si>
    <t>Màng Wrap nhỏ</t>
  </si>
  <si>
    <t>L-SC</t>
  </si>
  <si>
    <t>Cuộn</t>
  </si>
  <si>
    <t>M-CHOCO</t>
  </si>
  <si>
    <t>L-CHOCO</t>
  </si>
  <si>
    <t>NHẬP HÀNG — QUẢN LÝ TIỀN MUA VÀ GIÁ VỐN</t>
  </si>
  <si>
    <t>Chọn tên hàng, nhập số gói và giá thực tế. Không quản lý tồn kho.</t>
  </si>
  <si>
    <t>Ngày nhập</t>
  </si>
  <si>
    <t>Số gói mua</t>
  </si>
  <si>
    <t>Đơn vị cost</t>
  </si>
  <si>
    <t>Giá tham khảo/gói</t>
  </si>
  <si>
    <t>Giá thực tế/gói</t>
  </si>
  <si>
    <t>Tổng lượng quy đổi</t>
  </si>
  <si>
    <t>Tổng tiền</t>
  </si>
  <si>
    <t>Nhà cung cấp</t>
  </si>
  <si>
    <t>BÁN HÀNG TỰ ĐỘNG — KHÔNG NHẬP TRỰC TIẾP</t>
  </si>
  <si>
    <t>Dữ liệu tự động lấy từ Bán nhanh. Món có số lượng 0 sẽ để trống và không được tính.</t>
  </si>
  <si>
    <t>Thanh toán</t>
  </si>
  <si>
    <t>DS sản phẩm</t>
  </si>
  <si>
    <t>Ngày bán</t>
  </si>
  <si>
    <t>Tên mẻ sữa</t>
  </si>
  <si>
    <t>Giá bán/ly (đ)</t>
  </si>
  <si>
    <t>Giảm giá (đ)</t>
  </si>
  <si>
    <t>Doanh thu (đ)</t>
  </si>
  <si>
    <t>Cost sữa/ly (đ)</t>
  </si>
  <si>
    <t>Cost topping/ly (đ)</t>
  </si>
  <si>
    <t>Cost bao bì/ly (đ)</t>
  </si>
  <si>
    <t>Overhead/ly (đ)</t>
  </si>
  <si>
    <t>Cost biến đổi/ly (đ)</t>
  </si>
  <si>
    <t>Tổng cost biến đổi (đ)</t>
  </si>
  <si>
    <t>Lãi đóng góp (đ)</t>
  </si>
  <si>
    <t>Tiền mặt</t>
  </si>
  <si>
    <t>Chuyển khoản</t>
  </si>
  <si>
    <t>Ứng dụng giao hàng</t>
  </si>
  <si>
    <t>BÁN NHANH — CHỈ NHẬP SỐ LƯỢNG TỪNG MÓN</t>
  </si>
  <si>
    <t>Mỗi dòng tương ứng một ngày + một mẻ sữa. Nhập số ly từng món; sheet Bán hàng sẽ tự tách thành các dòng chi tiết.</t>
  </si>
  <si>
    <t>Ngày</t>
  </si>
  <si>
    <t>Tổng ly</t>
  </si>
  <si>
    <t>Doanh thu dự kiến</t>
  </si>
  <si>
    <t>Dòng mẫu — có thể sửa hoặc xóa</t>
  </si>
  <si>
    <t>TỔNG QUAN TIỀN NHẬP HÀNG, COST VÀ DOANH THU</t>
  </si>
  <si>
    <t>Khoảng thời gian</t>
  </si>
  <si>
    <t>KPI</t>
  </si>
  <si>
    <t>Kết quả</t>
  </si>
  <si>
    <t>Từ ngày</t>
  </si>
  <si>
    <t>Tổng số ly bán</t>
  </si>
  <si>
    <t>Đến ngày</t>
  </si>
  <si>
    <t>Doanh thu</t>
  </si>
  <si>
    <t>Tổng giảm giá</t>
  </si>
  <si>
    <t>doanh thu ngày đầu</t>
  </si>
  <si>
    <t>mẻ 20lit</t>
  </si>
  <si>
    <t>2510k</t>
  </si>
  <si>
    <t>Tiền nhập hàng</t>
  </si>
  <si>
    <t>Tổng cost biến đổi bán ra</t>
  </si>
  <si>
    <t>Lãi đóng góp</t>
  </si>
  <si>
    <t>Biên đóng góp</t>
  </si>
  <si>
    <t>Chi phí cố định phân bổ</t>
  </si>
  <si>
    <t>Khấu hao phân bổ</t>
  </si>
  <si>
    <t>Lợi nhuận ước tính</t>
  </si>
  <si>
    <t>Cost 500ml của mẻ đang xem</t>
  </si>
  <si>
    <t>Tổng vốn đầu tư ban đầu</t>
  </si>
  <si>
    <t>Tiền mua tài sản trong kỳ</t>
  </si>
  <si>
    <t>SO SÁNH CÁC MẺ / CÔNG THỨC</t>
  </si>
  <si>
    <t>DOANH THU THEO SẢN PHẨM</t>
  </si>
  <si>
    <t>Thành phẩm (L)</t>
  </si>
  <si>
    <t>Cost nguyên liệu</t>
  </si>
  <si>
    <t>Tổng cost mẻ</t>
  </si>
  <si>
    <t>Cost/lít</t>
  </si>
  <si>
    <t>Số ly</t>
  </si>
  <si>
    <t>Lãi gộp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</si>
</sst>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;[Red](#,##0);-"/>
    <numFmt numFmtId="165" formatCode="0.0%;[Red](0.0%);-"/>
    <numFmt numFmtId="166" formatCode="dd/mm/yyyy"/>
    <numFmt numFmtId="167" formatCode="0 &quot;ml&quot;"/>
    <numFmt numFmtId="168" formatCode="0 &quot;g&quot;"/>
    <numFmt numFmtId="169" formatCode="#,##0.00;[Red](#,##0.00);-"/>
    <numFmt numFmtId="170" formatCode="0.00 &quot;L&quot;"/>
    <numFmt numFmtId="171" formatCode="dd/mm"/>
  </numFmts>
  <fonts count="9">
    <font>
      <sz val="11.0"/>
      <color rgb="FF000000"/>
      <name val="Carlito"/>
      <scheme val="minor"/>
    </font>
    <font>
      <b/>
      <sz val="15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1.0"/>
      <color rgb="FF173F5F"/>
      <name val="Carlito"/>
    </font>
    <font>
      <sz val="11.0"/>
      <color rgb="FF0000FF"/>
      <name val="Carlito"/>
    </font>
    <font>
      <i/>
      <sz val="11.0"/>
      <color rgb="FF4A5568"/>
      <name val="Carlito"/>
    </font>
    <font>
      <i/>
      <sz val="11.0"/>
      <color rgb="FF6B7280"/>
      <name val="Carlito"/>
    </font>
    <font>
      <sz val="11.0"/>
      <color rgb="FF008000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73F5F"/>
        <bgColor rgb="FF173F5F"/>
      </patternFill>
    </fill>
    <fill>
      <patternFill patternType="solid">
        <fgColor rgb="FF20639B"/>
        <bgColor rgb="FF20639B"/>
      </patternFill>
    </fill>
    <fill>
      <patternFill patternType="solid">
        <fgColor rgb="FFDCEAF7"/>
        <bgColor rgb="FFDCEAF7"/>
      </patternFill>
    </fill>
    <fill>
      <patternFill patternType="solid">
        <fgColor rgb="FFFFF2CC"/>
        <bgColor rgb="FFFFF2CC"/>
      </patternFill>
    </fill>
    <fill>
      <patternFill patternType="solid">
        <fgColor rgb="FFF3F6F9"/>
        <bgColor rgb="FFF3F6F9"/>
      </patternFill>
    </fill>
    <fill>
      <patternFill patternType="solid">
        <fgColor rgb="FFF3F4F6"/>
        <bgColor rgb="FFF3F4F6"/>
      </patternFill>
    </fill>
    <fill>
      <patternFill patternType="solid">
        <fgColor rgb="FFE2F0D9"/>
        <bgColor rgb="FFE2F0D9"/>
      </patternFill>
    </fill>
  </fills>
  <borders count="2">
    <border/>
    <border>
      <top style="thin">
        <color rgb="FF173F5F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vertical="center"/>
    </xf>
    <xf borderId="0" fillId="4" fontId="4" numFmtId="0" xfId="0" applyAlignment="1" applyFill="1" applyFont="1">
      <alignment horizontal="center" shrinkToFit="0" vertical="center" wrapText="1"/>
    </xf>
    <xf borderId="0" fillId="5" fontId="5" numFmtId="2" xfId="0" applyAlignment="1" applyFill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0" fillId="5" fontId="5" numFmtId="164" xfId="0" applyAlignment="1" applyFont="1" applyNumberFormat="1">
      <alignment vertical="center"/>
    </xf>
    <xf borderId="0" fillId="6" fontId="6" numFmtId="0" xfId="0" applyAlignment="1" applyFill="1" applyFont="1">
      <alignment shrinkToFit="0" wrapText="1"/>
    </xf>
    <xf borderId="0" fillId="7" fontId="7" numFmtId="0" xfId="0" applyFill="1" applyFont="1"/>
    <xf borderId="0" fillId="5" fontId="5" numFmtId="165" xfId="0" applyAlignment="1" applyFont="1" applyNumberFormat="1">
      <alignment vertical="center"/>
    </xf>
    <xf borderId="0" fillId="5" fontId="5" numFmtId="166" xfId="0" applyAlignment="1" applyFont="1" applyNumberFormat="1">
      <alignment horizontal="left" readingOrder="0"/>
    </xf>
    <xf borderId="0" fillId="5" fontId="5" numFmtId="164" xfId="0" applyAlignment="1" applyFont="1" applyNumberFormat="1">
      <alignment readingOrder="0" vertical="center"/>
    </xf>
    <xf borderId="0" fillId="5" fontId="5" numFmtId="0" xfId="0" applyAlignment="1" applyFont="1">
      <alignment readingOrder="0"/>
    </xf>
    <xf borderId="0" fillId="6" fontId="6" numFmtId="0" xfId="0" applyAlignment="1" applyFont="1">
      <alignment shrinkToFit="0" vertical="center" wrapText="1"/>
    </xf>
    <xf borderId="0" fillId="5" fontId="5" numFmtId="0" xfId="0" applyFont="1"/>
    <xf borderId="0" fillId="5" fontId="8" numFmtId="164" xfId="0" applyAlignment="1" applyFont="1" applyNumberFormat="1">
      <alignment vertical="center"/>
    </xf>
    <xf borderId="0" fillId="5" fontId="5" numFmtId="164" xfId="0" applyAlignment="1" applyFont="1" applyNumberFormat="1">
      <alignment readingOrder="0"/>
    </xf>
    <xf borderId="0" fillId="7" fontId="7" numFmtId="0" xfId="0" applyAlignment="1" applyFont="1">
      <alignment vertical="center"/>
    </xf>
    <xf borderId="0" fillId="0" fontId="8" numFmtId="164" xfId="0" applyAlignment="1" applyFont="1" applyNumberFormat="1">
      <alignment vertical="center"/>
    </xf>
    <xf borderId="0" fillId="0" fontId="8" numFmtId="164" xfId="0" applyFont="1" applyNumberFormat="1"/>
    <xf borderId="0" fillId="5" fontId="5" numFmtId="164" xfId="0" applyFont="1" applyNumberFormat="1"/>
    <xf borderId="0" fillId="0" fontId="8" numFmtId="0" xfId="0" applyFont="1"/>
    <xf borderId="0" fillId="5" fontId="5" numFmtId="0" xfId="0" applyAlignment="1" applyFont="1">
      <alignment vertical="center"/>
    </xf>
    <xf borderId="0" fillId="5" fontId="5" numFmtId="167" xfId="0" applyAlignment="1" applyFont="1" applyNumberFormat="1">
      <alignment readingOrder="0" vertical="center"/>
    </xf>
    <xf borderId="0" fillId="4" fontId="4" numFmtId="0" xfId="0" applyAlignment="1" applyFont="1">
      <alignment horizontal="center" readingOrder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5" fontId="5" numFmtId="166" xfId="0" applyFont="1" applyNumberFormat="1"/>
    <xf borderId="0" fillId="5" fontId="5" numFmtId="167" xfId="0" applyAlignment="1" applyFont="1" applyNumberFormat="1">
      <alignment vertical="center"/>
    </xf>
    <xf borderId="1" fillId="8" fontId="4" numFmtId="0" xfId="0" applyBorder="1" applyFill="1" applyFont="1"/>
    <xf borderId="1" fillId="8" fontId="4" numFmtId="164" xfId="0" applyBorder="1" applyFont="1" applyNumberFormat="1"/>
    <xf borderId="0" fillId="8" fontId="4" numFmtId="0" xfId="0" applyFont="1"/>
    <xf borderId="0" fillId="8" fontId="4" numFmtId="164" xfId="0" applyFont="1" applyNumberFormat="1"/>
    <xf borderId="0" fillId="2" fontId="1" numFmtId="0" xfId="0" applyFont="1"/>
    <xf borderId="0" fillId="0" fontId="2" numFmtId="0" xfId="0" applyFont="1"/>
    <xf borderId="0" fillId="0" fontId="2" numFmtId="0" xfId="0" applyAlignment="1" applyFont="1">
      <alignment vertical="bottom"/>
    </xf>
    <xf borderId="0" fillId="0" fontId="8" numFmtId="0" xfId="0" applyAlignment="1" applyFont="1">
      <alignment vertical="center"/>
    </xf>
    <xf borderId="0" fillId="5" fontId="8" numFmtId="168" xfId="0" applyAlignment="1" applyFont="1" applyNumberFormat="1">
      <alignment readingOrder="0" vertical="center"/>
    </xf>
    <xf borderId="0" fillId="4" fontId="4" numFmtId="0" xfId="0" applyAlignment="1" applyFont="1">
      <alignment horizontal="center" shrinkToFit="0" wrapText="1"/>
    </xf>
    <xf borderId="0" fillId="4" fontId="4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right"/>
    </xf>
    <xf borderId="0" fillId="5" fontId="5" numFmtId="164" xfId="0" applyAlignment="1" applyFont="1" applyNumberFormat="1">
      <alignment horizontal="right"/>
    </xf>
    <xf borderId="0" fillId="5" fontId="5" numFmtId="166" xfId="0" applyAlignment="1" applyFont="1" applyNumberFormat="1">
      <alignment vertical="center"/>
    </xf>
    <xf borderId="0" fillId="5" fontId="8" numFmtId="0" xfId="0" applyAlignment="1" applyFont="1">
      <alignment vertical="center"/>
    </xf>
    <xf borderId="0" fillId="5" fontId="8" numFmtId="169" xfId="0" applyAlignment="1" applyFont="1" applyNumberFormat="1">
      <alignment vertical="center"/>
    </xf>
    <xf borderId="0" fillId="0" fontId="8" numFmtId="164" xfId="0" applyAlignment="1" applyFont="1" applyNumberFormat="1">
      <alignment horizontal="right"/>
    </xf>
    <xf borderId="0" fillId="0" fontId="8" numFmtId="169" xfId="0" applyAlignment="1" applyFont="1" applyNumberFormat="1">
      <alignment vertical="center"/>
    </xf>
    <xf borderId="0" fillId="5" fontId="5" numFmtId="164" xfId="0" applyAlignment="1" applyFont="1" applyNumberFormat="1">
      <alignment horizontal="right" readingOrder="0"/>
    </xf>
    <xf borderId="0" fillId="7" fontId="2" numFmtId="0" xfId="0" applyFont="1"/>
    <xf borderId="0" fillId="5" fontId="2" numFmtId="0" xfId="0" applyFont="1"/>
    <xf borderId="0" fillId="7" fontId="7" numFmtId="0" xfId="0" applyAlignment="1" applyFont="1">
      <alignment readingOrder="0"/>
    </xf>
    <xf borderId="0" fillId="5" fontId="5" numFmtId="0" xfId="0" applyAlignment="1" applyFont="1">
      <alignment horizontal="right" readingOrder="0"/>
    </xf>
    <xf borderId="0" fillId="5" fontId="5" numFmtId="0" xfId="0" applyAlignment="1" applyFont="1">
      <alignment readingOrder="0" vertical="center"/>
    </xf>
    <xf borderId="0" fillId="5" fontId="8" numFmtId="169" xfId="0" applyAlignment="1" applyFont="1" applyNumberFormat="1">
      <alignment readingOrder="0" vertical="center"/>
    </xf>
    <xf borderId="0" fillId="5" fontId="8" numFmtId="168" xfId="0" applyAlignment="1" applyFont="1" applyNumberFormat="1">
      <alignment vertical="center"/>
    </xf>
    <xf borderId="0" fillId="5" fontId="8" numFmtId="0" xfId="0" applyAlignment="1" applyFont="1">
      <alignment readingOrder="0" vertical="center"/>
    </xf>
    <xf borderId="0" fillId="2" fontId="1" numFmtId="0" xfId="0" applyFont="1"/>
    <xf borderId="0" fillId="0" fontId="2" numFmtId="0" xfId="0" applyFont="1"/>
    <xf borderId="0" fillId="6" fontId="6" numFmtId="0" xfId="0" applyAlignment="1" applyFont="1">
      <alignment shrinkToFit="0" wrapText="1"/>
    </xf>
    <xf borderId="0" fillId="7" fontId="7" numFmtId="0" xfId="0" applyAlignment="1" applyFont="1">
      <alignment vertical="bottom"/>
    </xf>
    <xf borderId="0" fillId="7" fontId="7" numFmtId="0" xfId="0" applyAlignment="1" applyFont="1">
      <alignment readingOrder="0" vertical="bottom"/>
    </xf>
    <xf borderId="0" fillId="4" fontId="4" numFmtId="0" xfId="0" applyAlignment="1" applyFont="1">
      <alignment horizontal="center" shrinkToFit="0" wrapText="1"/>
    </xf>
    <xf borderId="0" fillId="5" fontId="8" numFmtId="166" xfId="0" applyAlignment="1" applyFont="1" applyNumberFormat="1">
      <alignment horizontal="right"/>
    </xf>
    <xf borderId="0" fillId="5" fontId="8" numFmtId="0" xfId="0" applyFont="1"/>
    <xf borderId="0" fillId="0" fontId="8" numFmtId="0" xfId="0" applyFont="1"/>
    <xf borderId="0" fillId="5" fontId="8" numFmtId="1" xfId="0" applyAlignment="1" applyFont="1" applyNumberFormat="1">
      <alignment horizontal="right"/>
    </xf>
    <xf borderId="0" fillId="5" fontId="8" numFmtId="164" xfId="0" applyAlignment="1" applyFont="1" applyNumberFormat="1">
      <alignment horizontal="right"/>
    </xf>
    <xf borderId="0" fillId="7" fontId="2" numFmtId="0" xfId="0" applyAlignment="1" applyFont="1">
      <alignment vertical="bottom"/>
    </xf>
    <xf borderId="0" fillId="5" fontId="8" numFmtId="1" xfId="0" applyAlignment="1" applyFont="1" applyNumberFormat="1">
      <alignment horizontal="right" readingOrder="0"/>
    </xf>
    <xf borderId="0" fillId="5" fontId="2" numFmtId="166" xfId="0" applyFont="1" applyNumberFormat="1"/>
    <xf borderId="0" fillId="5" fontId="2" numFmtId="0" xfId="0" applyFont="1"/>
    <xf borderId="0" fillId="0" fontId="2" numFmtId="164" xfId="0" applyFont="1" applyNumberFormat="1"/>
    <xf borderId="0" fillId="2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6" fontId="6" numFmtId="0" xfId="0" applyAlignment="1" applyFont="1">
      <alignment shrinkToFit="0" vertical="bottom" wrapText="1"/>
    </xf>
    <xf borderId="0" fillId="4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7" fontId="7" numFmtId="0" xfId="0" applyAlignment="1" applyFont="1">
      <alignment vertical="center"/>
    </xf>
    <xf borderId="0" fillId="5" fontId="5" numFmtId="166" xfId="0" applyAlignment="1" applyFont="1" applyNumberFormat="1">
      <alignment horizontal="left" vertical="bottom"/>
    </xf>
    <xf borderId="0" fillId="5" fontId="5" numFmtId="0" xfId="0" applyAlignment="1" applyFont="1">
      <alignment vertical="bottom"/>
    </xf>
    <xf borderId="0" fillId="5" fontId="5" numFmtId="1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5" fontId="2" numFmtId="166" xfId="0" applyAlignment="1" applyFont="1" applyNumberFormat="1">
      <alignment vertical="bottom"/>
    </xf>
    <xf borderId="0" fillId="5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7" fontId="2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readingOrder="0" vertical="center"/>
    </xf>
    <xf borderId="0" fillId="0" fontId="2" numFmtId="165" xfId="0" applyAlignment="1" applyFont="1" applyNumberFormat="1">
      <alignment vertical="center"/>
    </xf>
    <xf borderId="0" fillId="7" fontId="7" numFmtId="164" xfId="0" applyAlignment="1" applyFont="1" applyNumberFormat="1">
      <alignment vertical="center"/>
    </xf>
    <xf borderId="0" fillId="0" fontId="2" numFmtId="170" xfId="0" applyAlignment="1" applyFont="1" applyNumberFormat="1">
      <alignment vertical="center"/>
    </xf>
    <xf borderId="0" fillId="0" fontId="2" numFmtId="171" xfId="0" applyAlignment="1" applyFont="1" applyNumberFormat="1">
      <alignment vertical="center"/>
    </xf>
    <xf borderId="0" fillId="0" fontId="2" numFmtId="166" xfId="0" applyFont="1" applyNumberFormat="1"/>
    <xf borderId="0" fillId="0" fontId="8" numFmtId="1" xfId="0" applyAlignment="1" applyFont="1" applyNumberFormat="1">
      <alignment horizontal="right"/>
    </xf>
    <xf borderId="0" fillId="0" fontId="2" numFmtId="166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 sánh cost 500ml theo mẻ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Cost 500ml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'Tổng quan'!$N$18:$N$57</c:f>
            </c:strRef>
          </c:cat>
          <c:val>
            <c:numRef>
              <c:f>'Tổng quan'!$O$18:$O$57</c:f>
              <c:numCache/>
            </c:numRef>
          </c:val>
        </c:ser>
        <c:axId val="792249443"/>
        <c:axId val="735717066"/>
      </c:barChart>
      <c:catAx>
        <c:axId val="792249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717066"/>
      </c:catAx>
      <c:valAx>
        <c:axId val="735717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24944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Doanh thu và số ly theo ngày</a:t>
            </a:r>
          </a:p>
        </c:rich>
      </c:tx>
      <c:overlay val="0"/>
    </c:title>
    <c:plotArea>
      <c:layout/>
      <c:lineChart>
        <c:ser>
          <c:idx val="0"/>
          <c:order val="0"/>
          <c:tx>
            <c:v>Doanh thu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'Tổng quan'!$A$62:$A$92</c:f>
            </c:strRef>
          </c:cat>
          <c:val>
            <c:numRef>
              <c:f>'Tổng quan'!$B$62:$B$92</c:f>
              <c:numCache/>
            </c:numRef>
          </c:val>
          <c:smooth val="0"/>
        </c:ser>
        <c:ser>
          <c:idx val="1"/>
          <c:order val="1"/>
          <c:tx>
            <c:v>Số ly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'Tổng quan'!$A$62:$A$92</c:f>
            </c:strRef>
          </c:cat>
          <c:val>
            <c:numRef>
              <c:f>'Tổng quan'!$C$62:$C$92</c:f>
              <c:numCache/>
            </c:numRef>
          </c:val>
          <c:smooth val="0"/>
        </c:ser>
        <c:axId val="1321524140"/>
        <c:axId val="1183094147"/>
      </c:lineChart>
      <c:catAx>
        <c:axId val="1321524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094147"/>
      </c:catAx>
      <c:valAx>
        <c:axId val="1183094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5241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60</xdr:row>
      <xdr:rowOff>0</xdr:rowOff>
    </xdr:from>
    <xdr:ext cx="10410825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78</xdr:row>
      <xdr:rowOff>0</xdr:rowOff>
    </xdr:from>
    <xdr:ext cx="10410825" cy="36004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74.0"/>
    <col customWidth="1" min="3" max="26" width="8.63"/>
  </cols>
  <sheetData>
    <row r="1" ht="33.75" customHeight="1">
      <c r="A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4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6" t="s">
        <v>8</v>
      </c>
      <c r="B5" s="6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6" t="s">
        <v>13</v>
      </c>
      <c r="B6" s="6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6" t="s">
        <v>16</v>
      </c>
      <c r="B7" s="6" t="s">
        <v>17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6" t="s">
        <v>22</v>
      </c>
      <c r="B8" s="6" t="s">
        <v>24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6" t="s">
        <v>34</v>
      </c>
      <c r="B9" s="6" t="s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6" t="s">
        <v>41</v>
      </c>
      <c r="B10" s="6" t="s">
        <v>42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6" t="s">
        <v>44</v>
      </c>
      <c r="B11" s="6" t="s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3" t="s">
        <v>49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4" t="s">
        <v>50</v>
      </c>
      <c r="B14" s="4" t="s">
        <v>51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6" t="s">
        <v>53</v>
      </c>
      <c r="B15" s="6" t="s">
        <v>54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6" t="s">
        <v>56</v>
      </c>
      <c r="B16" s="6" t="s">
        <v>57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6" t="s">
        <v>33</v>
      </c>
      <c r="B17" s="6" t="s">
        <v>59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4" t="s">
        <v>5</v>
      </c>
      <c r="B19" s="4" t="s">
        <v>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6" t="s">
        <v>73</v>
      </c>
      <c r="B20" s="6" t="s">
        <v>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6" t="s">
        <v>78</v>
      </c>
      <c r="B21" s="6" t="s">
        <v>79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6" t="s">
        <v>81</v>
      </c>
      <c r="B22" s="6" t="s">
        <v>82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5" t="s">
        <v>5</v>
      </c>
      <c r="B23" s="25" t="s">
        <v>6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ht="15.75" customHeight="1">
      <c r="A24" s="27" t="s">
        <v>87</v>
      </c>
      <c r="B24" s="27" t="s">
        <v>88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ht="15.75" customHeight="1">
      <c r="A25" s="27" t="s">
        <v>44</v>
      </c>
      <c r="B25" s="27" t="s">
        <v>90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ht="15.75" customHeight="1">
      <c r="A26" s="27" t="s">
        <v>92</v>
      </c>
      <c r="B26" s="27" t="s">
        <v>93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3:H3"/>
    <mergeCell ref="A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24.0"/>
    <col customWidth="1" min="3" max="26" width="8.63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3</v>
      </c>
      <c r="B3" s="4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 t="s">
        <v>7</v>
      </c>
      <c r="B4" s="5">
        <v>2.0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" t="s">
        <v>11</v>
      </c>
      <c r="B5" s="7">
        <v>3000.0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" t="s">
        <v>15</v>
      </c>
      <c r="B6" s="7">
        <v>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 t="s">
        <v>19</v>
      </c>
      <c r="B7" s="7">
        <v>5000.0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" t="s">
        <v>29</v>
      </c>
      <c r="B8" s="10">
        <v>0.05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" t="s">
        <v>39</v>
      </c>
      <c r="B9" s="12">
        <v>1000.0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" t="s">
        <v>43</v>
      </c>
      <c r="B10" s="7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" t="s">
        <v>47</v>
      </c>
      <c r="B11" s="16">
        <f>'Đầu tư &amp; Tài sản'!$B$208</f>
        <v>91363.88889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 t="s">
        <v>52</v>
      </c>
      <c r="B12" s="19">
        <f>IFERROR((B10+B11)/B9,0)</f>
        <v>91.36388889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4" t="s">
        <v>32</v>
      </c>
      <c r="B13" s="14" t="s">
        <v>58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4" t="s">
        <v>62</v>
      </c>
      <c r="B14" s="4" t="s">
        <v>64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4" t="s">
        <v>67</v>
      </c>
      <c r="B15" s="14" t="s">
        <v>69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5.0"/>
    <col customWidth="1" min="3" max="3" width="18.0"/>
    <col customWidth="1" min="4" max="4" width="12.0"/>
    <col customWidth="1" min="5" max="5" width="16.0"/>
    <col customWidth="1" min="6" max="6" width="17.0"/>
    <col customWidth="1" min="7" max="7" width="18.0"/>
    <col customWidth="1" min="8" max="8" width="21.0"/>
    <col customWidth="1" min="9" max="9" width="19.0"/>
    <col customWidth="1" min="10" max="10" width="12.0"/>
    <col customWidth="1" min="11" max="11" width="30.0"/>
    <col customWidth="1" min="12" max="12" width="14.0"/>
    <col customWidth="1" min="13" max="13" width="8.63"/>
    <col customWidth="1" min="14" max="15" width="3.0"/>
    <col customWidth="1" min="16" max="26" width="8.63"/>
  </cols>
  <sheetData>
    <row r="1" ht="33.75" customHeight="1">
      <c r="A1" s="1" t="s">
        <v>9</v>
      </c>
    </row>
    <row r="2">
      <c r="A2" s="8" t="s">
        <v>12</v>
      </c>
      <c r="N2" s="9" t="s">
        <v>18</v>
      </c>
      <c r="O2" s="9" t="s">
        <v>20</v>
      </c>
    </row>
    <row r="3">
      <c r="A3" s="4" t="s">
        <v>21</v>
      </c>
      <c r="B3" s="4" t="s">
        <v>23</v>
      </c>
      <c r="C3" s="4" t="s">
        <v>18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30</v>
      </c>
      <c r="I3" s="4" t="s">
        <v>31</v>
      </c>
      <c r="J3" s="4" t="s">
        <v>20</v>
      </c>
      <c r="K3" s="4" t="s">
        <v>32</v>
      </c>
      <c r="L3" s="4" t="s">
        <v>33</v>
      </c>
      <c r="N3" s="9" t="s">
        <v>36</v>
      </c>
      <c r="O3" s="9" t="s">
        <v>38</v>
      </c>
    </row>
    <row r="4">
      <c r="A4" s="11">
        <v>46224.0</v>
      </c>
      <c r="B4" s="13" t="s">
        <v>40</v>
      </c>
      <c r="C4" s="15" t="s">
        <v>48</v>
      </c>
      <c r="D4" s="15">
        <v>1.0</v>
      </c>
      <c r="E4" s="17">
        <v>120000.0</v>
      </c>
      <c r="F4" s="20">
        <f t="shared" ref="F4:F203" si="1">IF(OR(B4="",D4="",E4=""),0,D4*E4)</f>
        <v>120000</v>
      </c>
      <c r="G4" s="21">
        <v>0.0</v>
      </c>
      <c r="H4" s="21">
        <v>36.0</v>
      </c>
      <c r="I4" s="20">
        <f t="shared" ref="I4:I203" si="2">IF(OR(B4="",J4&lt;&gt;"Có"),0,IFERROR(MAX(0,(F4-G4)/H4),0))</f>
        <v>3333.333333</v>
      </c>
      <c r="J4" s="15" t="s">
        <v>38</v>
      </c>
      <c r="K4" s="15"/>
      <c r="L4" s="22" t="str">
        <f t="shared" ref="L4:L203" si="3">IF(B4="","","TS-"&amp;TEXT(ROW()-3,"000"))</f>
        <v>TS-001</v>
      </c>
      <c r="N4" s="9" t="s">
        <v>48</v>
      </c>
      <c r="O4" s="9" t="s">
        <v>71</v>
      </c>
    </row>
    <row r="5">
      <c r="A5" s="11">
        <v>46224.0</v>
      </c>
      <c r="B5" s="13" t="s">
        <v>74</v>
      </c>
      <c r="C5" s="13" t="s">
        <v>76</v>
      </c>
      <c r="D5" s="13">
        <v>2.0</v>
      </c>
      <c r="E5" s="17">
        <v>185000.0</v>
      </c>
      <c r="F5" s="20">
        <f t="shared" si="1"/>
        <v>370000</v>
      </c>
      <c r="G5" s="21">
        <v>0.0</v>
      </c>
      <c r="H5" s="21">
        <v>36.0</v>
      </c>
      <c r="I5" s="20">
        <f t="shared" si="2"/>
        <v>10277.77778</v>
      </c>
      <c r="J5" s="15" t="s">
        <v>38</v>
      </c>
      <c r="K5" s="15"/>
      <c r="L5" s="22" t="str">
        <f t="shared" si="3"/>
        <v>TS-002</v>
      </c>
      <c r="N5" s="9" t="s">
        <v>76</v>
      </c>
      <c r="O5" s="9"/>
    </row>
    <row r="6">
      <c r="A6" s="11">
        <v>46224.0</v>
      </c>
      <c r="B6" s="13" t="s">
        <v>80</v>
      </c>
      <c r="C6" s="13" t="s">
        <v>76</v>
      </c>
      <c r="D6" s="13">
        <v>5.0</v>
      </c>
      <c r="E6" s="17">
        <v>20000.0</v>
      </c>
      <c r="F6" s="20">
        <f t="shared" si="1"/>
        <v>100000</v>
      </c>
      <c r="G6" s="21">
        <v>0.0</v>
      </c>
      <c r="H6" s="21">
        <v>36.0</v>
      </c>
      <c r="I6" s="20">
        <f t="shared" si="2"/>
        <v>2777.777778</v>
      </c>
      <c r="J6" s="15" t="s">
        <v>38</v>
      </c>
      <c r="K6" s="15"/>
      <c r="L6" s="22" t="str">
        <f t="shared" si="3"/>
        <v>TS-003</v>
      </c>
      <c r="N6" s="9" t="s">
        <v>83</v>
      </c>
      <c r="O6" s="9"/>
    </row>
    <row r="7">
      <c r="A7" s="11">
        <v>46223.0</v>
      </c>
      <c r="B7" s="15" t="s">
        <v>84</v>
      </c>
      <c r="C7" s="15" t="s">
        <v>36</v>
      </c>
      <c r="D7" s="15">
        <v>1.0</v>
      </c>
      <c r="E7" s="17">
        <v>682200.0</v>
      </c>
      <c r="F7" s="20">
        <f t="shared" si="1"/>
        <v>682200</v>
      </c>
      <c r="G7" s="21">
        <v>0.0</v>
      </c>
      <c r="H7" s="17">
        <v>12.0</v>
      </c>
      <c r="I7" s="20">
        <f t="shared" si="2"/>
        <v>56850</v>
      </c>
      <c r="J7" s="15" t="s">
        <v>38</v>
      </c>
      <c r="K7" s="15"/>
      <c r="L7" s="22" t="str">
        <f t="shared" si="3"/>
        <v>TS-004</v>
      </c>
    </row>
    <row r="8">
      <c r="A8" s="11">
        <v>46223.0</v>
      </c>
      <c r="B8" s="13" t="s">
        <v>85</v>
      </c>
      <c r="C8" s="15" t="s">
        <v>76</v>
      </c>
      <c r="D8" s="15">
        <v>1.0</v>
      </c>
      <c r="E8" s="17">
        <v>420000.0</v>
      </c>
      <c r="F8" s="20">
        <f t="shared" si="1"/>
        <v>420000</v>
      </c>
      <c r="G8" s="21">
        <v>0.0</v>
      </c>
      <c r="H8" s="21">
        <v>24.0</v>
      </c>
      <c r="I8" s="20">
        <f t="shared" si="2"/>
        <v>17500</v>
      </c>
      <c r="J8" s="15" t="s">
        <v>38</v>
      </c>
      <c r="K8" s="15"/>
      <c r="L8" s="22" t="str">
        <f t="shared" si="3"/>
        <v>TS-005</v>
      </c>
    </row>
    <row r="9">
      <c r="A9" s="11">
        <v>46225.0</v>
      </c>
      <c r="B9" s="13" t="s">
        <v>89</v>
      </c>
      <c r="C9" s="13" t="s">
        <v>76</v>
      </c>
      <c r="D9" s="13">
        <v>2.0</v>
      </c>
      <c r="E9" s="17">
        <v>7500.0</v>
      </c>
      <c r="F9" s="20">
        <f t="shared" si="1"/>
        <v>15000</v>
      </c>
      <c r="G9" s="21">
        <v>0.0</v>
      </c>
      <c r="H9" s="21">
        <v>24.0</v>
      </c>
      <c r="I9" s="20">
        <f t="shared" si="2"/>
        <v>625</v>
      </c>
      <c r="J9" s="15" t="s">
        <v>38</v>
      </c>
      <c r="K9" s="15"/>
      <c r="L9" s="22" t="str">
        <f t="shared" si="3"/>
        <v>TS-006</v>
      </c>
    </row>
    <row r="10">
      <c r="A10" s="11">
        <v>46225.0</v>
      </c>
      <c r="B10" s="13" t="s">
        <v>91</v>
      </c>
      <c r="C10" s="13" t="s">
        <v>76</v>
      </c>
      <c r="D10" s="13">
        <v>1.0</v>
      </c>
      <c r="E10" s="17">
        <v>120000.0</v>
      </c>
      <c r="F10" s="20">
        <f t="shared" si="1"/>
        <v>120000</v>
      </c>
      <c r="G10" s="21"/>
      <c r="H10" s="17">
        <v>60.0</v>
      </c>
      <c r="I10" s="20">
        <f t="shared" si="2"/>
        <v>0</v>
      </c>
      <c r="J10" s="15"/>
      <c r="K10" s="15"/>
      <c r="L10" s="22" t="str">
        <f t="shared" si="3"/>
        <v>TS-007</v>
      </c>
    </row>
    <row r="11">
      <c r="A11" s="11">
        <v>46225.0</v>
      </c>
      <c r="B11" s="13" t="s">
        <v>94</v>
      </c>
      <c r="C11" s="13" t="s">
        <v>76</v>
      </c>
      <c r="D11" s="13">
        <v>2.0</v>
      </c>
      <c r="E11" s="17">
        <v>50000.0</v>
      </c>
      <c r="F11" s="20">
        <f t="shared" si="1"/>
        <v>100000</v>
      </c>
      <c r="G11" s="21"/>
      <c r="H11" s="21">
        <v>24.0</v>
      </c>
      <c r="I11" s="20">
        <f t="shared" si="2"/>
        <v>0</v>
      </c>
      <c r="J11" s="15"/>
      <c r="K11" s="15"/>
      <c r="L11" s="22" t="str">
        <f t="shared" si="3"/>
        <v>TS-008</v>
      </c>
    </row>
    <row r="12">
      <c r="A12" s="11">
        <v>46224.0</v>
      </c>
      <c r="B12" s="13" t="s">
        <v>95</v>
      </c>
      <c r="C12" s="13" t="s">
        <v>76</v>
      </c>
      <c r="D12" s="13">
        <v>1.0</v>
      </c>
      <c r="E12" s="17">
        <v>150000.0</v>
      </c>
      <c r="F12" s="20">
        <f t="shared" si="1"/>
        <v>150000</v>
      </c>
      <c r="G12" s="21"/>
      <c r="H12" s="21">
        <v>24.0</v>
      </c>
      <c r="I12" s="20">
        <f t="shared" si="2"/>
        <v>0</v>
      </c>
      <c r="J12" s="15"/>
      <c r="K12" s="15"/>
      <c r="L12" s="22" t="str">
        <f t="shared" si="3"/>
        <v>TS-009</v>
      </c>
    </row>
    <row r="13">
      <c r="A13" s="11">
        <v>46225.0</v>
      </c>
      <c r="B13" s="13" t="s">
        <v>96</v>
      </c>
      <c r="C13" s="13" t="s">
        <v>76</v>
      </c>
      <c r="D13" s="13">
        <v>1.0</v>
      </c>
      <c r="E13" s="17">
        <v>50000.0</v>
      </c>
      <c r="F13" s="20">
        <f t="shared" si="1"/>
        <v>50000</v>
      </c>
      <c r="G13" s="21"/>
      <c r="H13" s="21">
        <v>36.0</v>
      </c>
      <c r="I13" s="20">
        <f t="shared" si="2"/>
        <v>0</v>
      </c>
      <c r="J13" s="15"/>
      <c r="K13" s="15"/>
      <c r="L13" s="22" t="str">
        <f t="shared" si="3"/>
        <v>TS-010</v>
      </c>
    </row>
    <row r="14">
      <c r="A14" s="11">
        <v>46225.0</v>
      </c>
      <c r="B14" s="13" t="s">
        <v>98</v>
      </c>
      <c r="C14" s="13" t="s">
        <v>76</v>
      </c>
      <c r="D14" s="13">
        <v>10.0</v>
      </c>
      <c r="E14" s="17">
        <v>25000.0</v>
      </c>
      <c r="F14" s="20">
        <f t="shared" si="1"/>
        <v>250000</v>
      </c>
      <c r="G14" s="21"/>
      <c r="H14" s="21">
        <v>24.0</v>
      </c>
      <c r="I14" s="20">
        <f t="shared" si="2"/>
        <v>0</v>
      </c>
      <c r="J14" s="15"/>
      <c r="K14" s="15"/>
      <c r="L14" s="22" t="str">
        <f t="shared" si="3"/>
        <v>TS-011</v>
      </c>
    </row>
    <row r="15">
      <c r="A15" s="11">
        <v>46225.0</v>
      </c>
      <c r="B15" s="13" t="s">
        <v>101</v>
      </c>
      <c r="C15" s="13" t="s">
        <v>76</v>
      </c>
      <c r="D15" s="13">
        <v>1.0</v>
      </c>
      <c r="E15" s="17">
        <v>130000.0</v>
      </c>
      <c r="F15" s="20">
        <f t="shared" si="1"/>
        <v>130000</v>
      </c>
      <c r="G15" s="21"/>
      <c r="H15" s="17">
        <v>12.0</v>
      </c>
      <c r="I15" s="20">
        <f t="shared" si="2"/>
        <v>0</v>
      </c>
      <c r="J15" s="15"/>
      <c r="K15" s="15"/>
      <c r="L15" s="22" t="str">
        <f t="shared" si="3"/>
        <v>TS-012</v>
      </c>
    </row>
    <row r="16">
      <c r="A16" s="11">
        <v>46225.0</v>
      </c>
      <c r="B16" s="13" t="s">
        <v>103</v>
      </c>
      <c r="C16" s="13" t="s">
        <v>76</v>
      </c>
      <c r="D16" s="13">
        <v>1.0</v>
      </c>
      <c r="E16" s="17">
        <v>130000.0</v>
      </c>
      <c r="F16" s="20">
        <f t="shared" si="1"/>
        <v>130000</v>
      </c>
      <c r="G16" s="21"/>
      <c r="H16" s="21"/>
      <c r="I16" s="20">
        <f t="shared" si="2"/>
        <v>0</v>
      </c>
      <c r="J16" s="15"/>
      <c r="K16" s="15"/>
      <c r="L16" s="22" t="str">
        <f t="shared" si="3"/>
        <v>TS-013</v>
      </c>
    </row>
    <row r="17">
      <c r="A17" s="28"/>
      <c r="B17" s="15"/>
      <c r="C17" s="15"/>
      <c r="D17" s="15"/>
      <c r="E17" s="21"/>
      <c r="F17" s="20">
        <f t="shared" si="1"/>
        <v>0</v>
      </c>
      <c r="G17" s="21"/>
      <c r="H17" s="21"/>
      <c r="I17" s="20">
        <f t="shared" si="2"/>
        <v>0</v>
      </c>
      <c r="J17" s="15"/>
      <c r="K17" s="15"/>
      <c r="L17" s="22" t="str">
        <f t="shared" si="3"/>
        <v/>
      </c>
    </row>
    <row r="18">
      <c r="A18" s="28"/>
      <c r="B18" s="15"/>
      <c r="C18" s="15"/>
      <c r="D18" s="15"/>
      <c r="E18" s="21"/>
      <c r="F18" s="20">
        <f t="shared" si="1"/>
        <v>0</v>
      </c>
      <c r="G18" s="21"/>
      <c r="H18" s="21"/>
      <c r="I18" s="20">
        <f t="shared" si="2"/>
        <v>0</v>
      </c>
      <c r="J18" s="15"/>
      <c r="K18" s="15"/>
      <c r="L18" s="22" t="str">
        <f t="shared" si="3"/>
        <v/>
      </c>
    </row>
    <row r="19">
      <c r="A19" s="28"/>
      <c r="B19" s="15"/>
      <c r="C19" s="15"/>
      <c r="D19" s="15"/>
      <c r="E19" s="21"/>
      <c r="F19" s="20">
        <f t="shared" si="1"/>
        <v>0</v>
      </c>
      <c r="G19" s="21"/>
      <c r="H19" s="21"/>
      <c r="I19" s="20">
        <f t="shared" si="2"/>
        <v>0</v>
      </c>
      <c r="J19" s="15"/>
      <c r="K19" s="15"/>
      <c r="L19" s="22" t="str">
        <f t="shared" si="3"/>
        <v/>
      </c>
    </row>
    <row r="20">
      <c r="A20" s="28"/>
      <c r="B20" s="15"/>
      <c r="C20" s="15"/>
      <c r="D20" s="15"/>
      <c r="E20" s="21"/>
      <c r="F20" s="20">
        <f t="shared" si="1"/>
        <v>0</v>
      </c>
      <c r="G20" s="21"/>
      <c r="H20" s="21"/>
      <c r="I20" s="20">
        <f t="shared" si="2"/>
        <v>0</v>
      </c>
      <c r="J20" s="15"/>
      <c r="K20" s="15"/>
      <c r="L20" s="22" t="str">
        <f t="shared" si="3"/>
        <v/>
      </c>
    </row>
    <row r="21" ht="15.75" customHeight="1">
      <c r="A21" s="28"/>
      <c r="B21" s="15"/>
      <c r="C21" s="15"/>
      <c r="D21" s="15"/>
      <c r="E21" s="21"/>
      <c r="F21" s="20">
        <f t="shared" si="1"/>
        <v>0</v>
      </c>
      <c r="G21" s="21"/>
      <c r="H21" s="21"/>
      <c r="I21" s="20">
        <f t="shared" si="2"/>
        <v>0</v>
      </c>
      <c r="J21" s="15"/>
      <c r="K21" s="15"/>
      <c r="L21" s="22" t="str">
        <f t="shared" si="3"/>
        <v/>
      </c>
    </row>
    <row r="22" ht="15.75" customHeight="1">
      <c r="A22" s="28"/>
      <c r="B22" s="15"/>
      <c r="C22" s="15"/>
      <c r="D22" s="15"/>
      <c r="E22" s="21"/>
      <c r="F22" s="20">
        <f t="shared" si="1"/>
        <v>0</v>
      </c>
      <c r="G22" s="21"/>
      <c r="H22" s="21"/>
      <c r="I22" s="20">
        <f t="shared" si="2"/>
        <v>0</v>
      </c>
      <c r="J22" s="15"/>
      <c r="K22" s="15"/>
      <c r="L22" s="22" t="str">
        <f t="shared" si="3"/>
        <v/>
      </c>
    </row>
    <row r="23" ht="15.75" customHeight="1">
      <c r="A23" s="28"/>
      <c r="B23" s="15"/>
      <c r="C23" s="15"/>
      <c r="D23" s="15"/>
      <c r="E23" s="21"/>
      <c r="F23" s="20">
        <f t="shared" si="1"/>
        <v>0</v>
      </c>
      <c r="G23" s="21"/>
      <c r="H23" s="21"/>
      <c r="I23" s="20">
        <f t="shared" si="2"/>
        <v>0</v>
      </c>
      <c r="J23" s="15"/>
      <c r="K23" s="15"/>
      <c r="L23" s="22" t="str">
        <f t="shared" si="3"/>
        <v/>
      </c>
    </row>
    <row r="24" ht="15.75" customHeight="1">
      <c r="A24" s="28"/>
      <c r="B24" s="15"/>
      <c r="C24" s="15"/>
      <c r="D24" s="15"/>
      <c r="E24" s="21"/>
      <c r="F24" s="20">
        <f t="shared" si="1"/>
        <v>0</v>
      </c>
      <c r="G24" s="21"/>
      <c r="H24" s="21"/>
      <c r="I24" s="20">
        <f t="shared" si="2"/>
        <v>0</v>
      </c>
      <c r="J24" s="15"/>
      <c r="K24" s="15"/>
      <c r="L24" s="22" t="str">
        <f t="shared" si="3"/>
        <v/>
      </c>
    </row>
    <row r="25" ht="15.75" customHeight="1">
      <c r="A25" s="28"/>
      <c r="B25" s="15"/>
      <c r="C25" s="15"/>
      <c r="D25" s="15"/>
      <c r="E25" s="21"/>
      <c r="F25" s="20">
        <f t="shared" si="1"/>
        <v>0</v>
      </c>
      <c r="G25" s="21"/>
      <c r="H25" s="21"/>
      <c r="I25" s="20">
        <f t="shared" si="2"/>
        <v>0</v>
      </c>
      <c r="J25" s="15"/>
      <c r="K25" s="15"/>
      <c r="L25" s="22" t="str">
        <f t="shared" si="3"/>
        <v/>
      </c>
    </row>
    <row r="26" ht="15.75" customHeight="1">
      <c r="A26" s="28"/>
      <c r="B26" s="15"/>
      <c r="C26" s="15"/>
      <c r="D26" s="15"/>
      <c r="E26" s="21"/>
      <c r="F26" s="20">
        <f t="shared" si="1"/>
        <v>0</v>
      </c>
      <c r="G26" s="21"/>
      <c r="H26" s="21"/>
      <c r="I26" s="20">
        <f t="shared" si="2"/>
        <v>0</v>
      </c>
      <c r="J26" s="15"/>
      <c r="K26" s="15"/>
      <c r="L26" s="22" t="str">
        <f t="shared" si="3"/>
        <v/>
      </c>
    </row>
    <row r="27" ht="15.75" customHeight="1">
      <c r="A27" s="28"/>
      <c r="B27" s="15"/>
      <c r="C27" s="15"/>
      <c r="D27" s="15"/>
      <c r="E27" s="21"/>
      <c r="F27" s="20">
        <f t="shared" si="1"/>
        <v>0</v>
      </c>
      <c r="G27" s="21"/>
      <c r="H27" s="21"/>
      <c r="I27" s="20">
        <f t="shared" si="2"/>
        <v>0</v>
      </c>
      <c r="J27" s="15"/>
      <c r="K27" s="15"/>
      <c r="L27" s="22" t="str">
        <f t="shared" si="3"/>
        <v/>
      </c>
    </row>
    <row r="28" ht="15.75" customHeight="1">
      <c r="A28" s="28"/>
      <c r="B28" s="15"/>
      <c r="C28" s="15"/>
      <c r="D28" s="15"/>
      <c r="E28" s="21"/>
      <c r="F28" s="20">
        <f t="shared" si="1"/>
        <v>0</v>
      </c>
      <c r="G28" s="21"/>
      <c r="H28" s="21"/>
      <c r="I28" s="20">
        <f t="shared" si="2"/>
        <v>0</v>
      </c>
      <c r="J28" s="15"/>
      <c r="K28" s="15"/>
      <c r="L28" s="22" t="str">
        <f t="shared" si="3"/>
        <v/>
      </c>
    </row>
    <row r="29" ht="15.75" customHeight="1">
      <c r="A29" s="28"/>
      <c r="B29" s="15"/>
      <c r="C29" s="15"/>
      <c r="D29" s="15"/>
      <c r="E29" s="21"/>
      <c r="F29" s="20">
        <f t="shared" si="1"/>
        <v>0</v>
      </c>
      <c r="G29" s="21"/>
      <c r="H29" s="21"/>
      <c r="I29" s="20">
        <f t="shared" si="2"/>
        <v>0</v>
      </c>
      <c r="J29" s="15"/>
      <c r="K29" s="15"/>
      <c r="L29" s="22" t="str">
        <f t="shared" si="3"/>
        <v/>
      </c>
    </row>
    <row r="30" ht="15.75" customHeight="1">
      <c r="A30" s="28"/>
      <c r="B30" s="15"/>
      <c r="C30" s="15"/>
      <c r="D30" s="15"/>
      <c r="E30" s="21"/>
      <c r="F30" s="20">
        <f t="shared" si="1"/>
        <v>0</v>
      </c>
      <c r="G30" s="21"/>
      <c r="H30" s="21"/>
      <c r="I30" s="20">
        <f t="shared" si="2"/>
        <v>0</v>
      </c>
      <c r="J30" s="15"/>
      <c r="K30" s="15"/>
      <c r="L30" s="22" t="str">
        <f t="shared" si="3"/>
        <v/>
      </c>
    </row>
    <row r="31" ht="15.75" customHeight="1">
      <c r="A31" s="28"/>
      <c r="B31" s="15"/>
      <c r="C31" s="15"/>
      <c r="D31" s="15"/>
      <c r="E31" s="21"/>
      <c r="F31" s="20">
        <f t="shared" si="1"/>
        <v>0</v>
      </c>
      <c r="G31" s="21"/>
      <c r="H31" s="21"/>
      <c r="I31" s="20">
        <f t="shared" si="2"/>
        <v>0</v>
      </c>
      <c r="J31" s="15"/>
      <c r="K31" s="15"/>
      <c r="L31" s="22" t="str">
        <f t="shared" si="3"/>
        <v/>
      </c>
    </row>
    <row r="32" ht="15.75" customHeight="1">
      <c r="A32" s="28"/>
      <c r="B32" s="15"/>
      <c r="C32" s="15"/>
      <c r="D32" s="15"/>
      <c r="E32" s="21"/>
      <c r="F32" s="20">
        <f t="shared" si="1"/>
        <v>0</v>
      </c>
      <c r="G32" s="21"/>
      <c r="H32" s="21"/>
      <c r="I32" s="20">
        <f t="shared" si="2"/>
        <v>0</v>
      </c>
      <c r="J32" s="15"/>
      <c r="K32" s="15"/>
      <c r="L32" s="22" t="str">
        <f t="shared" si="3"/>
        <v/>
      </c>
    </row>
    <row r="33" ht="15.75" customHeight="1">
      <c r="A33" s="28"/>
      <c r="B33" s="15"/>
      <c r="C33" s="15"/>
      <c r="D33" s="15"/>
      <c r="E33" s="21"/>
      <c r="F33" s="20">
        <f t="shared" si="1"/>
        <v>0</v>
      </c>
      <c r="G33" s="21"/>
      <c r="H33" s="21"/>
      <c r="I33" s="20">
        <f t="shared" si="2"/>
        <v>0</v>
      </c>
      <c r="J33" s="15"/>
      <c r="K33" s="15"/>
      <c r="L33" s="22" t="str">
        <f t="shared" si="3"/>
        <v/>
      </c>
    </row>
    <row r="34" ht="15.75" customHeight="1">
      <c r="A34" s="28"/>
      <c r="B34" s="15"/>
      <c r="C34" s="15"/>
      <c r="D34" s="15"/>
      <c r="E34" s="21"/>
      <c r="F34" s="20">
        <f t="shared" si="1"/>
        <v>0</v>
      </c>
      <c r="G34" s="21"/>
      <c r="H34" s="21"/>
      <c r="I34" s="20">
        <f t="shared" si="2"/>
        <v>0</v>
      </c>
      <c r="J34" s="15"/>
      <c r="K34" s="15"/>
      <c r="L34" s="22" t="str">
        <f t="shared" si="3"/>
        <v/>
      </c>
    </row>
    <row r="35" ht="15.75" customHeight="1">
      <c r="A35" s="28"/>
      <c r="B35" s="15"/>
      <c r="C35" s="15"/>
      <c r="D35" s="15"/>
      <c r="E35" s="21"/>
      <c r="F35" s="20">
        <f t="shared" si="1"/>
        <v>0</v>
      </c>
      <c r="G35" s="21"/>
      <c r="H35" s="21"/>
      <c r="I35" s="20">
        <f t="shared" si="2"/>
        <v>0</v>
      </c>
      <c r="J35" s="15"/>
      <c r="K35" s="15"/>
      <c r="L35" s="22" t="str">
        <f t="shared" si="3"/>
        <v/>
      </c>
    </row>
    <row r="36" ht="15.75" customHeight="1">
      <c r="A36" s="28"/>
      <c r="B36" s="15"/>
      <c r="C36" s="15"/>
      <c r="D36" s="15"/>
      <c r="E36" s="21"/>
      <c r="F36" s="20">
        <f t="shared" si="1"/>
        <v>0</v>
      </c>
      <c r="G36" s="21"/>
      <c r="H36" s="21"/>
      <c r="I36" s="20">
        <f t="shared" si="2"/>
        <v>0</v>
      </c>
      <c r="J36" s="15"/>
      <c r="K36" s="15"/>
      <c r="L36" s="22" t="str">
        <f t="shared" si="3"/>
        <v/>
      </c>
    </row>
    <row r="37" ht="15.75" customHeight="1">
      <c r="A37" s="28"/>
      <c r="B37" s="15"/>
      <c r="C37" s="15"/>
      <c r="D37" s="15"/>
      <c r="E37" s="21"/>
      <c r="F37" s="20">
        <f t="shared" si="1"/>
        <v>0</v>
      </c>
      <c r="G37" s="21"/>
      <c r="H37" s="21"/>
      <c r="I37" s="20">
        <f t="shared" si="2"/>
        <v>0</v>
      </c>
      <c r="J37" s="15"/>
      <c r="K37" s="15"/>
      <c r="L37" s="22" t="str">
        <f t="shared" si="3"/>
        <v/>
      </c>
    </row>
    <row r="38" ht="15.75" customHeight="1">
      <c r="A38" s="28"/>
      <c r="B38" s="15"/>
      <c r="C38" s="15"/>
      <c r="D38" s="15"/>
      <c r="E38" s="21"/>
      <c r="F38" s="20">
        <f t="shared" si="1"/>
        <v>0</v>
      </c>
      <c r="G38" s="21"/>
      <c r="H38" s="21"/>
      <c r="I38" s="20">
        <f t="shared" si="2"/>
        <v>0</v>
      </c>
      <c r="J38" s="15"/>
      <c r="K38" s="15"/>
      <c r="L38" s="22" t="str">
        <f t="shared" si="3"/>
        <v/>
      </c>
    </row>
    <row r="39" ht="15.75" customHeight="1">
      <c r="A39" s="28"/>
      <c r="B39" s="15"/>
      <c r="C39" s="15"/>
      <c r="D39" s="15"/>
      <c r="E39" s="21"/>
      <c r="F39" s="20">
        <f t="shared" si="1"/>
        <v>0</v>
      </c>
      <c r="G39" s="21"/>
      <c r="H39" s="21"/>
      <c r="I39" s="20">
        <f t="shared" si="2"/>
        <v>0</v>
      </c>
      <c r="J39" s="15"/>
      <c r="K39" s="15"/>
      <c r="L39" s="22" t="str">
        <f t="shared" si="3"/>
        <v/>
      </c>
    </row>
    <row r="40" ht="15.75" customHeight="1">
      <c r="A40" s="28"/>
      <c r="B40" s="15"/>
      <c r="C40" s="15"/>
      <c r="D40" s="15"/>
      <c r="E40" s="21"/>
      <c r="F40" s="20">
        <f t="shared" si="1"/>
        <v>0</v>
      </c>
      <c r="G40" s="21"/>
      <c r="H40" s="21"/>
      <c r="I40" s="20">
        <f t="shared" si="2"/>
        <v>0</v>
      </c>
      <c r="J40" s="15"/>
      <c r="K40" s="15"/>
      <c r="L40" s="22" t="str">
        <f t="shared" si="3"/>
        <v/>
      </c>
    </row>
    <row r="41" ht="15.75" customHeight="1">
      <c r="A41" s="28"/>
      <c r="B41" s="15"/>
      <c r="C41" s="15"/>
      <c r="D41" s="15"/>
      <c r="E41" s="21"/>
      <c r="F41" s="20">
        <f t="shared" si="1"/>
        <v>0</v>
      </c>
      <c r="G41" s="21"/>
      <c r="H41" s="21"/>
      <c r="I41" s="20">
        <f t="shared" si="2"/>
        <v>0</v>
      </c>
      <c r="J41" s="15"/>
      <c r="K41" s="15"/>
      <c r="L41" s="22" t="str">
        <f t="shared" si="3"/>
        <v/>
      </c>
    </row>
    <row r="42" ht="15.75" customHeight="1">
      <c r="A42" s="28"/>
      <c r="B42" s="15"/>
      <c r="C42" s="15"/>
      <c r="D42" s="15"/>
      <c r="E42" s="21"/>
      <c r="F42" s="20">
        <f t="shared" si="1"/>
        <v>0</v>
      </c>
      <c r="G42" s="21"/>
      <c r="H42" s="21"/>
      <c r="I42" s="20">
        <f t="shared" si="2"/>
        <v>0</v>
      </c>
      <c r="J42" s="15"/>
      <c r="K42" s="15"/>
      <c r="L42" s="22" t="str">
        <f t="shared" si="3"/>
        <v/>
      </c>
    </row>
    <row r="43" ht="15.75" customHeight="1">
      <c r="A43" s="28"/>
      <c r="B43" s="15"/>
      <c r="C43" s="15"/>
      <c r="D43" s="15"/>
      <c r="E43" s="21"/>
      <c r="F43" s="20">
        <f t="shared" si="1"/>
        <v>0</v>
      </c>
      <c r="G43" s="21"/>
      <c r="H43" s="21"/>
      <c r="I43" s="20">
        <f t="shared" si="2"/>
        <v>0</v>
      </c>
      <c r="J43" s="15"/>
      <c r="K43" s="15"/>
      <c r="L43" s="22" t="str">
        <f t="shared" si="3"/>
        <v/>
      </c>
    </row>
    <row r="44" ht="15.75" customHeight="1">
      <c r="A44" s="28"/>
      <c r="B44" s="15"/>
      <c r="C44" s="15"/>
      <c r="D44" s="15"/>
      <c r="E44" s="21"/>
      <c r="F44" s="20">
        <f t="shared" si="1"/>
        <v>0</v>
      </c>
      <c r="G44" s="21"/>
      <c r="H44" s="21"/>
      <c r="I44" s="20">
        <f t="shared" si="2"/>
        <v>0</v>
      </c>
      <c r="J44" s="15"/>
      <c r="K44" s="15"/>
      <c r="L44" s="22" t="str">
        <f t="shared" si="3"/>
        <v/>
      </c>
    </row>
    <row r="45" ht="15.75" customHeight="1">
      <c r="A45" s="28"/>
      <c r="B45" s="15"/>
      <c r="C45" s="15"/>
      <c r="D45" s="15"/>
      <c r="E45" s="21"/>
      <c r="F45" s="20">
        <f t="shared" si="1"/>
        <v>0</v>
      </c>
      <c r="G45" s="21"/>
      <c r="H45" s="21"/>
      <c r="I45" s="20">
        <f t="shared" si="2"/>
        <v>0</v>
      </c>
      <c r="J45" s="15"/>
      <c r="K45" s="15"/>
      <c r="L45" s="22" t="str">
        <f t="shared" si="3"/>
        <v/>
      </c>
    </row>
    <row r="46" ht="15.75" customHeight="1">
      <c r="A46" s="28"/>
      <c r="B46" s="15"/>
      <c r="C46" s="15"/>
      <c r="D46" s="15"/>
      <c r="E46" s="21"/>
      <c r="F46" s="20">
        <f t="shared" si="1"/>
        <v>0</v>
      </c>
      <c r="G46" s="21"/>
      <c r="H46" s="21"/>
      <c r="I46" s="20">
        <f t="shared" si="2"/>
        <v>0</v>
      </c>
      <c r="J46" s="15"/>
      <c r="K46" s="15"/>
      <c r="L46" s="22" t="str">
        <f t="shared" si="3"/>
        <v/>
      </c>
    </row>
    <row r="47" ht="15.75" customHeight="1">
      <c r="A47" s="28"/>
      <c r="B47" s="15"/>
      <c r="C47" s="15"/>
      <c r="D47" s="15"/>
      <c r="E47" s="21"/>
      <c r="F47" s="20">
        <f t="shared" si="1"/>
        <v>0</v>
      </c>
      <c r="G47" s="21"/>
      <c r="H47" s="21"/>
      <c r="I47" s="20">
        <f t="shared" si="2"/>
        <v>0</v>
      </c>
      <c r="J47" s="15"/>
      <c r="K47" s="15"/>
      <c r="L47" s="22" t="str">
        <f t="shared" si="3"/>
        <v/>
      </c>
    </row>
    <row r="48" ht="15.75" customHeight="1">
      <c r="A48" s="28"/>
      <c r="B48" s="15"/>
      <c r="C48" s="15"/>
      <c r="D48" s="15"/>
      <c r="E48" s="21"/>
      <c r="F48" s="20">
        <f t="shared" si="1"/>
        <v>0</v>
      </c>
      <c r="G48" s="21"/>
      <c r="H48" s="21"/>
      <c r="I48" s="20">
        <f t="shared" si="2"/>
        <v>0</v>
      </c>
      <c r="J48" s="15"/>
      <c r="K48" s="15"/>
      <c r="L48" s="22" t="str">
        <f t="shared" si="3"/>
        <v/>
      </c>
    </row>
    <row r="49" ht="15.75" customHeight="1">
      <c r="A49" s="28"/>
      <c r="B49" s="15"/>
      <c r="C49" s="15"/>
      <c r="D49" s="15"/>
      <c r="E49" s="21"/>
      <c r="F49" s="20">
        <f t="shared" si="1"/>
        <v>0</v>
      </c>
      <c r="G49" s="21"/>
      <c r="H49" s="21"/>
      <c r="I49" s="20">
        <f t="shared" si="2"/>
        <v>0</v>
      </c>
      <c r="J49" s="15"/>
      <c r="K49" s="15"/>
      <c r="L49" s="22" t="str">
        <f t="shared" si="3"/>
        <v/>
      </c>
    </row>
    <row r="50" ht="15.75" customHeight="1">
      <c r="A50" s="28"/>
      <c r="B50" s="15"/>
      <c r="C50" s="15"/>
      <c r="D50" s="15"/>
      <c r="E50" s="21"/>
      <c r="F50" s="20">
        <f t="shared" si="1"/>
        <v>0</v>
      </c>
      <c r="G50" s="21"/>
      <c r="H50" s="21"/>
      <c r="I50" s="20">
        <f t="shared" si="2"/>
        <v>0</v>
      </c>
      <c r="J50" s="15"/>
      <c r="K50" s="15"/>
      <c r="L50" s="22" t="str">
        <f t="shared" si="3"/>
        <v/>
      </c>
    </row>
    <row r="51" ht="15.75" customHeight="1">
      <c r="A51" s="28"/>
      <c r="B51" s="15"/>
      <c r="C51" s="15"/>
      <c r="D51" s="15"/>
      <c r="E51" s="21"/>
      <c r="F51" s="20">
        <f t="shared" si="1"/>
        <v>0</v>
      </c>
      <c r="G51" s="21"/>
      <c r="H51" s="21"/>
      <c r="I51" s="20">
        <f t="shared" si="2"/>
        <v>0</v>
      </c>
      <c r="J51" s="15"/>
      <c r="K51" s="15"/>
      <c r="L51" s="22" t="str">
        <f t="shared" si="3"/>
        <v/>
      </c>
    </row>
    <row r="52" ht="15.75" customHeight="1">
      <c r="A52" s="28"/>
      <c r="B52" s="15"/>
      <c r="C52" s="15"/>
      <c r="D52" s="15"/>
      <c r="E52" s="21"/>
      <c r="F52" s="20">
        <f t="shared" si="1"/>
        <v>0</v>
      </c>
      <c r="G52" s="21"/>
      <c r="H52" s="21"/>
      <c r="I52" s="20">
        <f t="shared" si="2"/>
        <v>0</v>
      </c>
      <c r="J52" s="15"/>
      <c r="K52" s="15"/>
      <c r="L52" s="22" t="str">
        <f t="shared" si="3"/>
        <v/>
      </c>
    </row>
    <row r="53" ht="15.75" customHeight="1">
      <c r="A53" s="28"/>
      <c r="B53" s="15"/>
      <c r="C53" s="15"/>
      <c r="D53" s="15"/>
      <c r="E53" s="21"/>
      <c r="F53" s="20">
        <f t="shared" si="1"/>
        <v>0</v>
      </c>
      <c r="G53" s="21"/>
      <c r="H53" s="21"/>
      <c r="I53" s="20">
        <f t="shared" si="2"/>
        <v>0</v>
      </c>
      <c r="J53" s="15"/>
      <c r="K53" s="15"/>
      <c r="L53" s="22" t="str">
        <f t="shared" si="3"/>
        <v/>
      </c>
    </row>
    <row r="54" ht="15.75" customHeight="1">
      <c r="A54" s="28"/>
      <c r="B54" s="15"/>
      <c r="C54" s="15"/>
      <c r="D54" s="15"/>
      <c r="E54" s="21"/>
      <c r="F54" s="20">
        <f t="shared" si="1"/>
        <v>0</v>
      </c>
      <c r="G54" s="21"/>
      <c r="H54" s="21"/>
      <c r="I54" s="20">
        <f t="shared" si="2"/>
        <v>0</v>
      </c>
      <c r="J54" s="15"/>
      <c r="K54" s="15"/>
      <c r="L54" s="22" t="str">
        <f t="shared" si="3"/>
        <v/>
      </c>
    </row>
    <row r="55" ht="15.75" customHeight="1">
      <c r="A55" s="28"/>
      <c r="B55" s="15"/>
      <c r="C55" s="15"/>
      <c r="D55" s="15"/>
      <c r="E55" s="21"/>
      <c r="F55" s="20">
        <f t="shared" si="1"/>
        <v>0</v>
      </c>
      <c r="G55" s="21"/>
      <c r="H55" s="21"/>
      <c r="I55" s="20">
        <f t="shared" si="2"/>
        <v>0</v>
      </c>
      <c r="J55" s="15"/>
      <c r="K55" s="15"/>
      <c r="L55" s="22" t="str">
        <f t="shared" si="3"/>
        <v/>
      </c>
    </row>
    <row r="56" ht="15.75" customHeight="1">
      <c r="A56" s="28"/>
      <c r="B56" s="15"/>
      <c r="C56" s="15"/>
      <c r="D56" s="15"/>
      <c r="E56" s="21"/>
      <c r="F56" s="20">
        <f t="shared" si="1"/>
        <v>0</v>
      </c>
      <c r="G56" s="21"/>
      <c r="H56" s="21"/>
      <c r="I56" s="20">
        <f t="shared" si="2"/>
        <v>0</v>
      </c>
      <c r="J56" s="15"/>
      <c r="K56" s="15"/>
      <c r="L56" s="22" t="str">
        <f t="shared" si="3"/>
        <v/>
      </c>
    </row>
    <row r="57" ht="15.75" customHeight="1">
      <c r="A57" s="28"/>
      <c r="B57" s="15"/>
      <c r="C57" s="15"/>
      <c r="D57" s="15"/>
      <c r="E57" s="21"/>
      <c r="F57" s="20">
        <f t="shared" si="1"/>
        <v>0</v>
      </c>
      <c r="G57" s="21"/>
      <c r="H57" s="21"/>
      <c r="I57" s="20">
        <f t="shared" si="2"/>
        <v>0</v>
      </c>
      <c r="J57" s="15"/>
      <c r="K57" s="15"/>
      <c r="L57" s="22" t="str">
        <f t="shared" si="3"/>
        <v/>
      </c>
    </row>
    <row r="58" ht="15.75" customHeight="1">
      <c r="A58" s="28"/>
      <c r="B58" s="15"/>
      <c r="C58" s="15"/>
      <c r="D58" s="15"/>
      <c r="E58" s="21"/>
      <c r="F58" s="20">
        <f t="shared" si="1"/>
        <v>0</v>
      </c>
      <c r="G58" s="21"/>
      <c r="H58" s="21"/>
      <c r="I58" s="20">
        <f t="shared" si="2"/>
        <v>0</v>
      </c>
      <c r="J58" s="15"/>
      <c r="K58" s="15"/>
      <c r="L58" s="22" t="str">
        <f t="shared" si="3"/>
        <v/>
      </c>
    </row>
    <row r="59" ht="15.75" customHeight="1">
      <c r="A59" s="28"/>
      <c r="B59" s="15"/>
      <c r="C59" s="15"/>
      <c r="D59" s="15"/>
      <c r="E59" s="21"/>
      <c r="F59" s="20">
        <f t="shared" si="1"/>
        <v>0</v>
      </c>
      <c r="G59" s="21"/>
      <c r="H59" s="21"/>
      <c r="I59" s="20">
        <f t="shared" si="2"/>
        <v>0</v>
      </c>
      <c r="J59" s="15"/>
      <c r="K59" s="15"/>
      <c r="L59" s="22" t="str">
        <f t="shared" si="3"/>
        <v/>
      </c>
    </row>
    <row r="60" ht="15.75" customHeight="1">
      <c r="A60" s="28"/>
      <c r="B60" s="15"/>
      <c r="C60" s="15"/>
      <c r="D60" s="15"/>
      <c r="E60" s="21"/>
      <c r="F60" s="20">
        <f t="shared" si="1"/>
        <v>0</v>
      </c>
      <c r="G60" s="21"/>
      <c r="H60" s="21"/>
      <c r="I60" s="20">
        <f t="shared" si="2"/>
        <v>0</v>
      </c>
      <c r="J60" s="15"/>
      <c r="K60" s="15"/>
      <c r="L60" s="22" t="str">
        <f t="shared" si="3"/>
        <v/>
      </c>
    </row>
    <row r="61" ht="15.75" customHeight="1">
      <c r="A61" s="28"/>
      <c r="B61" s="15"/>
      <c r="C61" s="15"/>
      <c r="D61" s="15"/>
      <c r="E61" s="21"/>
      <c r="F61" s="20">
        <f t="shared" si="1"/>
        <v>0</v>
      </c>
      <c r="G61" s="21"/>
      <c r="H61" s="21"/>
      <c r="I61" s="20">
        <f t="shared" si="2"/>
        <v>0</v>
      </c>
      <c r="J61" s="15"/>
      <c r="K61" s="15"/>
      <c r="L61" s="22" t="str">
        <f t="shared" si="3"/>
        <v/>
      </c>
    </row>
    <row r="62" ht="15.75" customHeight="1">
      <c r="A62" s="28"/>
      <c r="B62" s="15"/>
      <c r="C62" s="15"/>
      <c r="D62" s="15"/>
      <c r="E62" s="21"/>
      <c r="F62" s="20">
        <f t="shared" si="1"/>
        <v>0</v>
      </c>
      <c r="G62" s="21"/>
      <c r="H62" s="21"/>
      <c r="I62" s="20">
        <f t="shared" si="2"/>
        <v>0</v>
      </c>
      <c r="J62" s="15"/>
      <c r="K62" s="15"/>
      <c r="L62" s="22" t="str">
        <f t="shared" si="3"/>
        <v/>
      </c>
    </row>
    <row r="63" ht="15.75" customHeight="1">
      <c r="A63" s="28"/>
      <c r="B63" s="15"/>
      <c r="C63" s="15"/>
      <c r="D63" s="15"/>
      <c r="E63" s="21"/>
      <c r="F63" s="20">
        <f t="shared" si="1"/>
        <v>0</v>
      </c>
      <c r="G63" s="21"/>
      <c r="H63" s="21"/>
      <c r="I63" s="20">
        <f t="shared" si="2"/>
        <v>0</v>
      </c>
      <c r="J63" s="15"/>
      <c r="K63" s="15"/>
      <c r="L63" s="22" t="str">
        <f t="shared" si="3"/>
        <v/>
      </c>
    </row>
    <row r="64" ht="15.75" customHeight="1">
      <c r="A64" s="28"/>
      <c r="B64" s="15"/>
      <c r="C64" s="15"/>
      <c r="D64" s="15"/>
      <c r="E64" s="21"/>
      <c r="F64" s="20">
        <f t="shared" si="1"/>
        <v>0</v>
      </c>
      <c r="G64" s="21"/>
      <c r="H64" s="21"/>
      <c r="I64" s="20">
        <f t="shared" si="2"/>
        <v>0</v>
      </c>
      <c r="J64" s="15"/>
      <c r="K64" s="15"/>
      <c r="L64" s="22" t="str">
        <f t="shared" si="3"/>
        <v/>
      </c>
    </row>
    <row r="65" ht="15.75" customHeight="1">
      <c r="A65" s="28"/>
      <c r="B65" s="15"/>
      <c r="C65" s="15"/>
      <c r="D65" s="15"/>
      <c r="E65" s="21"/>
      <c r="F65" s="20">
        <f t="shared" si="1"/>
        <v>0</v>
      </c>
      <c r="G65" s="21"/>
      <c r="H65" s="21"/>
      <c r="I65" s="20">
        <f t="shared" si="2"/>
        <v>0</v>
      </c>
      <c r="J65" s="15"/>
      <c r="K65" s="15"/>
      <c r="L65" s="22" t="str">
        <f t="shared" si="3"/>
        <v/>
      </c>
    </row>
    <row r="66" ht="15.75" customHeight="1">
      <c r="A66" s="28"/>
      <c r="B66" s="15"/>
      <c r="C66" s="15"/>
      <c r="D66" s="15"/>
      <c r="E66" s="21"/>
      <c r="F66" s="20">
        <f t="shared" si="1"/>
        <v>0</v>
      </c>
      <c r="G66" s="21"/>
      <c r="H66" s="21"/>
      <c r="I66" s="20">
        <f t="shared" si="2"/>
        <v>0</v>
      </c>
      <c r="J66" s="15"/>
      <c r="K66" s="15"/>
      <c r="L66" s="22" t="str">
        <f t="shared" si="3"/>
        <v/>
      </c>
    </row>
    <row r="67" ht="15.75" customHeight="1">
      <c r="A67" s="28"/>
      <c r="B67" s="15"/>
      <c r="C67" s="15"/>
      <c r="D67" s="15"/>
      <c r="E67" s="21"/>
      <c r="F67" s="20">
        <f t="shared" si="1"/>
        <v>0</v>
      </c>
      <c r="G67" s="21"/>
      <c r="H67" s="21"/>
      <c r="I67" s="20">
        <f t="shared" si="2"/>
        <v>0</v>
      </c>
      <c r="J67" s="15"/>
      <c r="K67" s="15"/>
      <c r="L67" s="22" t="str">
        <f t="shared" si="3"/>
        <v/>
      </c>
    </row>
    <row r="68" ht="15.75" customHeight="1">
      <c r="A68" s="28"/>
      <c r="B68" s="15"/>
      <c r="C68" s="15"/>
      <c r="D68" s="15"/>
      <c r="E68" s="21"/>
      <c r="F68" s="20">
        <f t="shared" si="1"/>
        <v>0</v>
      </c>
      <c r="G68" s="21"/>
      <c r="H68" s="21"/>
      <c r="I68" s="20">
        <f t="shared" si="2"/>
        <v>0</v>
      </c>
      <c r="J68" s="15"/>
      <c r="K68" s="15"/>
      <c r="L68" s="22" t="str">
        <f t="shared" si="3"/>
        <v/>
      </c>
    </row>
    <row r="69" ht="15.75" customHeight="1">
      <c r="A69" s="28"/>
      <c r="B69" s="15"/>
      <c r="C69" s="15"/>
      <c r="D69" s="15"/>
      <c r="E69" s="21"/>
      <c r="F69" s="20">
        <f t="shared" si="1"/>
        <v>0</v>
      </c>
      <c r="G69" s="21"/>
      <c r="H69" s="21"/>
      <c r="I69" s="20">
        <f t="shared" si="2"/>
        <v>0</v>
      </c>
      <c r="J69" s="15"/>
      <c r="K69" s="15"/>
      <c r="L69" s="22" t="str">
        <f t="shared" si="3"/>
        <v/>
      </c>
    </row>
    <row r="70" ht="15.75" customHeight="1">
      <c r="A70" s="28"/>
      <c r="B70" s="15"/>
      <c r="C70" s="15"/>
      <c r="D70" s="15"/>
      <c r="E70" s="21"/>
      <c r="F70" s="20">
        <f t="shared" si="1"/>
        <v>0</v>
      </c>
      <c r="G70" s="21"/>
      <c r="H70" s="21"/>
      <c r="I70" s="20">
        <f t="shared" si="2"/>
        <v>0</v>
      </c>
      <c r="J70" s="15"/>
      <c r="K70" s="15"/>
      <c r="L70" s="22" t="str">
        <f t="shared" si="3"/>
        <v/>
      </c>
    </row>
    <row r="71" ht="15.75" customHeight="1">
      <c r="A71" s="28"/>
      <c r="B71" s="15"/>
      <c r="C71" s="15"/>
      <c r="D71" s="15"/>
      <c r="E71" s="21"/>
      <c r="F71" s="20">
        <f t="shared" si="1"/>
        <v>0</v>
      </c>
      <c r="G71" s="21"/>
      <c r="H71" s="21"/>
      <c r="I71" s="20">
        <f t="shared" si="2"/>
        <v>0</v>
      </c>
      <c r="J71" s="15"/>
      <c r="K71" s="15"/>
      <c r="L71" s="22" t="str">
        <f t="shared" si="3"/>
        <v/>
      </c>
    </row>
    <row r="72" ht="15.75" customHeight="1">
      <c r="A72" s="28"/>
      <c r="B72" s="15"/>
      <c r="C72" s="15"/>
      <c r="D72" s="15"/>
      <c r="E72" s="21"/>
      <c r="F72" s="20">
        <f t="shared" si="1"/>
        <v>0</v>
      </c>
      <c r="G72" s="21"/>
      <c r="H72" s="21"/>
      <c r="I72" s="20">
        <f t="shared" si="2"/>
        <v>0</v>
      </c>
      <c r="J72" s="15"/>
      <c r="K72" s="15"/>
      <c r="L72" s="22" t="str">
        <f t="shared" si="3"/>
        <v/>
      </c>
    </row>
    <row r="73" ht="15.75" customHeight="1">
      <c r="A73" s="28"/>
      <c r="B73" s="15"/>
      <c r="C73" s="15"/>
      <c r="D73" s="15"/>
      <c r="E73" s="21"/>
      <c r="F73" s="20">
        <f t="shared" si="1"/>
        <v>0</v>
      </c>
      <c r="G73" s="21"/>
      <c r="H73" s="21"/>
      <c r="I73" s="20">
        <f t="shared" si="2"/>
        <v>0</v>
      </c>
      <c r="J73" s="15"/>
      <c r="K73" s="15"/>
      <c r="L73" s="22" t="str">
        <f t="shared" si="3"/>
        <v/>
      </c>
    </row>
    <row r="74" ht="15.75" customHeight="1">
      <c r="A74" s="28"/>
      <c r="B74" s="15"/>
      <c r="C74" s="15"/>
      <c r="D74" s="15"/>
      <c r="E74" s="21"/>
      <c r="F74" s="20">
        <f t="shared" si="1"/>
        <v>0</v>
      </c>
      <c r="G74" s="21"/>
      <c r="H74" s="21"/>
      <c r="I74" s="20">
        <f t="shared" si="2"/>
        <v>0</v>
      </c>
      <c r="J74" s="15"/>
      <c r="K74" s="15"/>
      <c r="L74" s="22" t="str">
        <f t="shared" si="3"/>
        <v/>
      </c>
    </row>
    <row r="75" ht="15.75" customHeight="1">
      <c r="A75" s="28"/>
      <c r="B75" s="15"/>
      <c r="C75" s="15"/>
      <c r="D75" s="15"/>
      <c r="E75" s="21"/>
      <c r="F75" s="20">
        <f t="shared" si="1"/>
        <v>0</v>
      </c>
      <c r="G75" s="21"/>
      <c r="H75" s="21"/>
      <c r="I75" s="20">
        <f t="shared" si="2"/>
        <v>0</v>
      </c>
      <c r="J75" s="15"/>
      <c r="K75" s="15"/>
      <c r="L75" s="22" t="str">
        <f t="shared" si="3"/>
        <v/>
      </c>
    </row>
    <row r="76" ht="15.75" customHeight="1">
      <c r="A76" s="28"/>
      <c r="B76" s="15"/>
      <c r="C76" s="15"/>
      <c r="D76" s="15"/>
      <c r="E76" s="21"/>
      <c r="F76" s="20">
        <f t="shared" si="1"/>
        <v>0</v>
      </c>
      <c r="G76" s="21"/>
      <c r="H76" s="21"/>
      <c r="I76" s="20">
        <f t="shared" si="2"/>
        <v>0</v>
      </c>
      <c r="J76" s="15"/>
      <c r="K76" s="15"/>
      <c r="L76" s="22" t="str">
        <f t="shared" si="3"/>
        <v/>
      </c>
    </row>
    <row r="77" ht="15.75" customHeight="1">
      <c r="A77" s="28"/>
      <c r="B77" s="15"/>
      <c r="C77" s="15"/>
      <c r="D77" s="15"/>
      <c r="E77" s="21"/>
      <c r="F77" s="20">
        <f t="shared" si="1"/>
        <v>0</v>
      </c>
      <c r="G77" s="21"/>
      <c r="H77" s="21"/>
      <c r="I77" s="20">
        <f t="shared" si="2"/>
        <v>0</v>
      </c>
      <c r="J77" s="15"/>
      <c r="K77" s="15"/>
      <c r="L77" s="22" t="str">
        <f t="shared" si="3"/>
        <v/>
      </c>
    </row>
    <row r="78" ht="15.75" customHeight="1">
      <c r="A78" s="28"/>
      <c r="B78" s="15"/>
      <c r="C78" s="15"/>
      <c r="D78" s="15"/>
      <c r="E78" s="21"/>
      <c r="F78" s="20">
        <f t="shared" si="1"/>
        <v>0</v>
      </c>
      <c r="G78" s="21"/>
      <c r="H78" s="21"/>
      <c r="I78" s="20">
        <f t="shared" si="2"/>
        <v>0</v>
      </c>
      <c r="J78" s="15"/>
      <c r="K78" s="15"/>
      <c r="L78" s="22" t="str">
        <f t="shared" si="3"/>
        <v/>
      </c>
    </row>
    <row r="79" ht="15.75" customHeight="1">
      <c r="A79" s="28"/>
      <c r="B79" s="15"/>
      <c r="C79" s="15"/>
      <c r="D79" s="15"/>
      <c r="E79" s="21"/>
      <c r="F79" s="20">
        <f t="shared" si="1"/>
        <v>0</v>
      </c>
      <c r="G79" s="21"/>
      <c r="H79" s="21"/>
      <c r="I79" s="20">
        <f t="shared" si="2"/>
        <v>0</v>
      </c>
      <c r="J79" s="15"/>
      <c r="K79" s="15"/>
      <c r="L79" s="22" t="str">
        <f t="shared" si="3"/>
        <v/>
      </c>
    </row>
    <row r="80" ht="15.75" customHeight="1">
      <c r="A80" s="28"/>
      <c r="B80" s="15"/>
      <c r="C80" s="15"/>
      <c r="D80" s="15"/>
      <c r="E80" s="21"/>
      <c r="F80" s="20">
        <f t="shared" si="1"/>
        <v>0</v>
      </c>
      <c r="G80" s="21"/>
      <c r="H80" s="21"/>
      <c r="I80" s="20">
        <f t="shared" si="2"/>
        <v>0</v>
      </c>
      <c r="J80" s="15"/>
      <c r="K80" s="15"/>
      <c r="L80" s="22" t="str">
        <f t="shared" si="3"/>
        <v/>
      </c>
    </row>
    <row r="81" ht="15.75" customHeight="1">
      <c r="A81" s="28"/>
      <c r="B81" s="15"/>
      <c r="C81" s="15"/>
      <c r="D81" s="15"/>
      <c r="E81" s="21"/>
      <c r="F81" s="20">
        <f t="shared" si="1"/>
        <v>0</v>
      </c>
      <c r="G81" s="21"/>
      <c r="H81" s="21"/>
      <c r="I81" s="20">
        <f t="shared" si="2"/>
        <v>0</v>
      </c>
      <c r="J81" s="15"/>
      <c r="K81" s="15"/>
      <c r="L81" s="22" t="str">
        <f t="shared" si="3"/>
        <v/>
      </c>
    </row>
    <row r="82" ht="15.75" customHeight="1">
      <c r="A82" s="28"/>
      <c r="B82" s="15"/>
      <c r="C82" s="15"/>
      <c r="D82" s="15"/>
      <c r="E82" s="21"/>
      <c r="F82" s="20">
        <f t="shared" si="1"/>
        <v>0</v>
      </c>
      <c r="G82" s="21"/>
      <c r="H82" s="21"/>
      <c r="I82" s="20">
        <f t="shared" si="2"/>
        <v>0</v>
      </c>
      <c r="J82" s="15"/>
      <c r="K82" s="15"/>
      <c r="L82" s="22" t="str">
        <f t="shared" si="3"/>
        <v/>
      </c>
    </row>
    <row r="83" ht="15.75" customHeight="1">
      <c r="A83" s="28"/>
      <c r="B83" s="15"/>
      <c r="C83" s="15"/>
      <c r="D83" s="15"/>
      <c r="E83" s="21"/>
      <c r="F83" s="20">
        <f t="shared" si="1"/>
        <v>0</v>
      </c>
      <c r="G83" s="21"/>
      <c r="H83" s="21"/>
      <c r="I83" s="20">
        <f t="shared" si="2"/>
        <v>0</v>
      </c>
      <c r="J83" s="15"/>
      <c r="K83" s="15"/>
      <c r="L83" s="22" t="str">
        <f t="shared" si="3"/>
        <v/>
      </c>
    </row>
    <row r="84" ht="15.75" customHeight="1">
      <c r="A84" s="28"/>
      <c r="B84" s="15"/>
      <c r="C84" s="15"/>
      <c r="D84" s="15"/>
      <c r="E84" s="21"/>
      <c r="F84" s="20">
        <f t="shared" si="1"/>
        <v>0</v>
      </c>
      <c r="G84" s="21"/>
      <c r="H84" s="21"/>
      <c r="I84" s="20">
        <f t="shared" si="2"/>
        <v>0</v>
      </c>
      <c r="J84" s="15"/>
      <c r="K84" s="15"/>
      <c r="L84" s="22" t="str">
        <f t="shared" si="3"/>
        <v/>
      </c>
    </row>
    <row r="85" ht="15.75" customHeight="1">
      <c r="A85" s="28"/>
      <c r="B85" s="15"/>
      <c r="C85" s="15"/>
      <c r="D85" s="15"/>
      <c r="E85" s="21"/>
      <c r="F85" s="20">
        <f t="shared" si="1"/>
        <v>0</v>
      </c>
      <c r="G85" s="21"/>
      <c r="H85" s="21"/>
      <c r="I85" s="20">
        <f t="shared" si="2"/>
        <v>0</v>
      </c>
      <c r="J85" s="15"/>
      <c r="K85" s="15"/>
      <c r="L85" s="22" t="str">
        <f t="shared" si="3"/>
        <v/>
      </c>
    </row>
    <row r="86" ht="15.75" customHeight="1">
      <c r="A86" s="28"/>
      <c r="B86" s="15"/>
      <c r="C86" s="15"/>
      <c r="D86" s="15"/>
      <c r="E86" s="21"/>
      <c r="F86" s="20">
        <f t="shared" si="1"/>
        <v>0</v>
      </c>
      <c r="G86" s="21"/>
      <c r="H86" s="21"/>
      <c r="I86" s="20">
        <f t="shared" si="2"/>
        <v>0</v>
      </c>
      <c r="J86" s="15"/>
      <c r="K86" s="15"/>
      <c r="L86" s="22" t="str">
        <f t="shared" si="3"/>
        <v/>
      </c>
    </row>
    <row r="87" ht="15.75" customHeight="1">
      <c r="A87" s="28"/>
      <c r="B87" s="15"/>
      <c r="C87" s="15"/>
      <c r="D87" s="15"/>
      <c r="E87" s="21"/>
      <c r="F87" s="20">
        <f t="shared" si="1"/>
        <v>0</v>
      </c>
      <c r="G87" s="21"/>
      <c r="H87" s="21"/>
      <c r="I87" s="20">
        <f t="shared" si="2"/>
        <v>0</v>
      </c>
      <c r="J87" s="15"/>
      <c r="K87" s="15"/>
      <c r="L87" s="22" t="str">
        <f t="shared" si="3"/>
        <v/>
      </c>
    </row>
    <row r="88" ht="15.75" customHeight="1">
      <c r="A88" s="28"/>
      <c r="B88" s="15"/>
      <c r="C88" s="15"/>
      <c r="D88" s="15"/>
      <c r="E88" s="21"/>
      <c r="F88" s="20">
        <f t="shared" si="1"/>
        <v>0</v>
      </c>
      <c r="G88" s="21"/>
      <c r="H88" s="21"/>
      <c r="I88" s="20">
        <f t="shared" si="2"/>
        <v>0</v>
      </c>
      <c r="J88" s="15"/>
      <c r="K88" s="15"/>
      <c r="L88" s="22" t="str">
        <f t="shared" si="3"/>
        <v/>
      </c>
    </row>
    <row r="89" ht="15.75" customHeight="1">
      <c r="A89" s="28"/>
      <c r="B89" s="15"/>
      <c r="C89" s="15"/>
      <c r="D89" s="15"/>
      <c r="E89" s="21"/>
      <c r="F89" s="20">
        <f t="shared" si="1"/>
        <v>0</v>
      </c>
      <c r="G89" s="21"/>
      <c r="H89" s="21"/>
      <c r="I89" s="20">
        <f t="shared" si="2"/>
        <v>0</v>
      </c>
      <c r="J89" s="15"/>
      <c r="K89" s="15"/>
      <c r="L89" s="22" t="str">
        <f t="shared" si="3"/>
        <v/>
      </c>
    </row>
    <row r="90" ht="15.75" customHeight="1">
      <c r="A90" s="28"/>
      <c r="B90" s="15"/>
      <c r="C90" s="15"/>
      <c r="D90" s="15"/>
      <c r="E90" s="21"/>
      <c r="F90" s="20">
        <f t="shared" si="1"/>
        <v>0</v>
      </c>
      <c r="G90" s="21"/>
      <c r="H90" s="21"/>
      <c r="I90" s="20">
        <f t="shared" si="2"/>
        <v>0</v>
      </c>
      <c r="J90" s="15"/>
      <c r="K90" s="15"/>
      <c r="L90" s="22" t="str">
        <f t="shared" si="3"/>
        <v/>
      </c>
    </row>
    <row r="91" ht="15.75" customHeight="1">
      <c r="A91" s="28"/>
      <c r="B91" s="15"/>
      <c r="C91" s="15"/>
      <c r="D91" s="15"/>
      <c r="E91" s="21"/>
      <c r="F91" s="20">
        <f t="shared" si="1"/>
        <v>0</v>
      </c>
      <c r="G91" s="21"/>
      <c r="H91" s="21"/>
      <c r="I91" s="20">
        <f t="shared" si="2"/>
        <v>0</v>
      </c>
      <c r="J91" s="15"/>
      <c r="K91" s="15"/>
      <c r="L91" s="22" t="str">
        <f t="shared" si="3"/>
        <v/>
      </c>
    </row>
    <row r="92" ht="15.75" customHeight="1">
      <c r="A92" s="28"/>
      <c r="B92" s="15"/>
      <c r="C92" s="15"/>
      <c r="D92" s="15"/>
      <c r="E92" s="21"/>
      <c r="F92" s="20">
        <f t="shared" si="1"/>
        <v>0</v>
      </c>
      <c r="G92" s="21"/>
      <c r="H92" s="21"/>
      <c r="I92" s="20">
        <f t="shared" si="2"/>
        <v>0</v>
      </c>
      <c r="J92" s="15"/>
      <c r="K92" s="15"/>
      <c r="L92" s="22" t="str">
        <f t="shared" si="3"/>
        <v/>
      </c>
    </row>
    <row r="93" ht="15.75" customHeight="1">
      <c r="A93" s="28"/>
      <c r="B93" s="15"/>
      <c r="C93" s="15"/>
      <c r="D93" s="15"/>
      <c r="E93" s="21"/>
      <c r="F93" s="20">
        <f t="shared" si="1"/>
        <v>0</v>
      </c>
      <c r="G93" s="21"/>
      <c r="H93" s="21"/>
      <c r="I93" s="20">
        <f t="shared" si="2"/>
        <v>0</v>
      </c>
      <c r="J93" s="15"/>
      <c r="K93" s="15"/>
      <c r="L93" s="22" t="str">
        <f t="shared" si="3"/>
        <v/>
      </c>
    </row>
    <row r="94" ht="15.75" customHeight="1">
      <c r="A94" s="28"/>
      <c r="B94" s="15"/>
      <c r="C94" s="15"/>
      <c r="D94" s="15"/>
      <c r="E94" s="21"/>
      <c r="F94" s="20">
        <f t="shared" si="1"/>
        <v>0</v>
      </c>
      <c r="G94" s="21"/>
      <c r="H94" s="21"/>
      <c r="I94" s="20">
        <f t="shared" si="2"/>
        <v>0</v>
      </c>
      <c r="J94" s="15"/>
      <c r="K94" s="15"/>
      <c r="L94" s="22" t="str">
        <f t="shared" si="3"/>
        <v/>
      </c>
    </row>
    <row r="95" ht="15.75" customHeight="1">
      <c r="A95" s="28"/>
      <c r="B95" s="15"/>
      <c r="C95" s="15"/>
      <c r="D95" s="15"/>
      <c r="E95" s="21"/>
      <c r="F95" s="20">
        <f t="shared" si="1"/>
        <v>0</v>
      </c>
      <c r="G95" s="21"/>
      <c r="H95" s="21"/>
      <c r="I95" s="20">
        <f t="shared" si="2"/>
        <v>0</v>
      </c>
      <c r="J95" s="15"/>
      <c r="K95" s="15"/>
      <c r="L95" s="22" t="str">
        <f t="shared" si="3"/>
        <v/>
      </c>
    </row>
    <row r="96" ht="15.75" customHeight="1">
      <c r="A96" s="28"/>
      <c r="B96" s="15"/>
      <c r="C96" s="15"/>
      <c r="D96" s="15"/>
      <c r="E96" s="21"/>
      <c r="F96" s="20">
        <f t="shared" si="1"/>
        <v>0</v>
      </c>
      <c r="G96" s="21"/>
      <c r="H96" s="21"/>
      <c r="I96" s="20">
        <f t="shared" si="2"/>
        <v>0</v>
      </c>
      <c r="J96" s="15"/>
      <c r="K96" s="15"/>
      <c r="L96" s="22" t="str">
        <f t="shared" si="3"/>
        <v/>
      </c>
    </row>
    <row r="97" ht="15.75" customHeight="1">
      <c r="A97" s="28"/>
      <c r="B97" s="15"/>
      <c r="C97" s="15"/>
      <c r="D97" s="15"/>
      <c r="E97" s="21"/>
      <c r="F97" s="20">
        <f t="shared" si="1"/>
        <v>0</v>
      </c>
      <c r="G97" s="21"/>
      <c r="H97" s="21"/>
      <c r="I97" s="20">
        <f t="shared" si="2"/>
        <v>0</v>
      </c>
      <c r="J97" s="15"/>
      <c r="K97" s="15"/>
      <c r="L97" s="22" t="str">
        <f t="shared" si="3"/>
        <v/>
      </c>
    </row>
    <row r="98" ht="15.75" customHeight="1">
      <c r="A98" s="28"/>
      <c r="B98" s="15"/>
      <c r="C98" s="15"/>
      <c r="D98" s="15"/>
      <c r="E98" s="21"/>
      <c r="F98" s="20">
        <f t="shared" si="1"/>
        <v>0</v>
      </c>
      <c r="G98" s="21"/>
      <c r="H98" s="21"/>
      <c r="I98" s="20">
        <f t="shared" si="2"/>
        <v>0</v>
      </c>
      <c r="J98" s="15"/>
      <c r="K98" s="15"/>
      <c r="L98" s="22" t="str">
        <f t="shared" si="3"/>
        <v/>
      </c>
    </row>
    <row r="99" ht="15.75" customHeight="1">
      <c r="A99" s="28"/>
      <c r="B99" s="15"/>
      <c r="C99" s="15"/>
      <c r="D99" s="15"/>
      <c r="E99" s="21"/>
      <c r="F99" s="20">
        <f t="shared" si="1"/>
        <v>0</v>
      </c>
      <c r="G99" s="21"/>
      <c r="H99" s="21"/>
      <c r="I99" s="20">
        <f t="shared" si="2"/>
        <v>0</v>
      </c>
      <c r="J99" s="15"/>
      <c r="K99" s="15"/>
      <c r="L99" s="22" t="str">
        <f t="shared" si="3"/>
        <v/>
      </c>
    </row>
    <row r="100" ht="15.75" customHeight="1">
      <c r="A100" s="28"/>
      <c r="B100" s="15"/>
      <c r="C100" s="15"/>
      <c r="D100" s="15"/>
      <c r="E100" s="21"/>
      <c r="F100" s="20">
        <f t="shared" si="1"/>
        <v>0</v>
      </c>
      <c r="G100" s="21"/>
      <c r="H100" s="21"/>
      <c r="I100" s="20">
        <f t="shared" si="2"/>
        <v>0</v>
      </c>
      <c r="J100" s="15"/>
      <c r="K100" s="15"/>
      <c r="L100" s="22" t="str">
        <f t="shared" si="3"/>
        <v/>
      </c>
    </row>
    <row r="101" ht="15.75" customHeight="1">
      <c r="A101" s="28"/>
      <c r="B101" s="15"/>
      <c r="C101" s="15"/>
      <c r="D101" s="15"/>
      <c r="E101" s="21"/>
      <c r="F101" s="20">
        <f t="shared" si="1"/>
        <v>0</v>
      </c>
      <c r="G101" s="21"/>
      <c r="H101" s="21"/>
      <c r="I101" s="20">
        <f t="shared" si="2"/>
        <v>0</v>
      </c>
      <c r="J101" s="15"/>
      <c r="K101" s="15"/>
      <c r="L101" s="22" t="str">
        <f t="shared" si="3"/>
        <v/>
      </c>
    </row>
    <row r="102" ht="15.75" customHeight="1">
      <c r="A102" s="28"/>
      <c r="B102" s="15"/>
      <c r="C102" s="15"/>
      <c r="D102" s="15"/>
      <c r="E102" s="21"/>
      <c r="F102" s="20">
        <f t="shared" si="1"/>
        <v>0</v>
      </c>
      <c r="G102" s="21"/>
      <c r="H102" s="21"/>
      <c r="I102" s="20">
        <f t="shared" si="2"/>
        <v>0</v>
      </c>
      <c r="J102" s="15"/>
      <c r="K102" s="15"/>
      <c r="L102" s="22" t="str">
        <f t="shared" si="3"/>
        <v/>
      </c>
    </row>
    <row r="103" ht="15.75" customHeight="1">
      <c r="A103" s="28"/>
      <c r="B103" s="15"/>
      <c r="C103" s="15"/>
      <c r="D103" s="15"/>
      <c r="E103" s="21"/>
      <c r="F103" s="20">
        <f t="shared" si="1"/>
        <v>0</v>
      </c>
      <c r="G103" s="21"/>
      <c r="H103" s="21"/>
      <c r="I103" s="20">
        <f t="shared" si="2"/>
        <v>0</v>
      </c>
      <c r="J103" s="15"/>
      <c r="K103" s="15"/>
      <c r="L103" s="22" t="str">
        <f t="shared" si="3"/>
        <v/>
      </c>
    </row>
    <row r="104" ht="15.75" customHeight="1">
      <c r="A104" s="28"/>
      <c r="B104" s="15"/>
      <c r="C104" s="15"/>
      <c r="D104" s="15"/>
      <c r="E104" s="21"/>
      <c r="F104" s="20">
        <f t="shared" si="1"/>
        <v>0</v>
      </c>
      <c r="G104" s="21"/>
      <c r="H104" s="21"/>
      <c r="I104" s="20">
        <f t="shared" si="2"/>
        <v>0</v>
      </c>
      <c r="J104" s="15"/>
      <c r="K104" s="15"/>
      <c r="L104" s="22" t="str">
        <f t="shared" si="3"/>
        <v/>
      </c>
    </row>
    <row r="105" ht="15.75" customHeight="1">
      <c r="A105" s="28"/>
      <c r="B105" s="15"/>
      <c r="C105" s="15"/>
      <c r="D105" s="15"/>
      <c r="E105" s="21"/>
      <c r="F105" s="20">
        <f t="shared" si="1"/>
        <v>0</v>
      </c>
      <c r="G105" s="21"/>
      <c r="H105" s="21"/>
      <c r="I105" s="20">
        <f t="shared" si="2"/>
        <v>0</v>
      </c>
      <c r="J105" s="15"/>
      <c r="K105" s="15"/>
      <c r="L105" s="22" t="str">
        <f t="shared" si="3"/>
        <v/>
      </c>
    </row>
    <row r="106" ht="15.75" customHeight="1">
      <c r="A106" s="28"/>
      <c r="B106" s="15"/>
      <c r="C106" s="15"/>
      <c r="D106" s="15"/>
      <c r="E106" s="21"/>
      <c r="F106" s="20">
        <f t="shared" si="1"/>
        <v>0</v>
      </c>
      <c r="G106" s="21"/>
      <c r="H106" s="21"/>
      <c r="I106" s="20">
        <f t="shared" si="2"/>
        <v>0</v>
      </c>
      <c r="J106" s="15"/>
      <c r="K106" s="15"/>
      <c r="L106" s="22" t="str">
        <f t="shared" si="3"/>
        <v/>
      </c>
    </row>
    <row r="107" ht="15.75" customHeight="1">
      <c r="A107" s="28"/>
      <c r="B107" s="15"/>
      <c r="C107" s="15"/>
      <c r="D107" s="15"/>
      <c r="E107" s="21"/>
      <c r="F107" s="20">
        <f t="shared" si="1"/>
        <v>0</v>
      </c>
      <c r="G107" s="21"/>
      <c r="H107" s="21"/>
      <c r="I107" s="20">
        <f t="shared" si="2"/>
        <v>0</v>
      </c>
      <c r="J107" s="15"/>
      <c r="K107" s="15"/>
      <c r="L107" s="22" t="str">
        <f t="shared" si="3"/>
        <v/>
      </c>
    </row>
    <row r="108" ht="15.75" customHeight="1">
      <c r="A108" s="28"/>
      <c r="B108" s="15"/>
      <c r="C108" s="15"/>
      <c r="D108" s="15"/>
      <c r="E108" s="21"/>
      <c r="F108" s="20">
        <f t="shared" si="1"/>
        <v>0</v>
      </c>
      <c r="G108" s="21"/>
      <c r="H108" s="21"/>
      <c r="I108" s="20">
        <f t="shared" si="2"/>
        <v>0</v>
      </c>
      <c r="J108" s="15"/>
      <c r="K108" s="15"/>
      <c r="L108" s="22" t="str">
        <f t="shared" si="3"/>
        <v/>
      </c>
    </row>
    <row r="109" ht="15.75" customHeight="1">
      <c r="A109" s="28"/>
      <c r="B109" s="15"/>
      <c r="C109" s="15"/>
      <c r="D109" s="15"/>
      <c r="E109" s="21"/>
      <c r="F109" s="20">
        <f t="shared" si="1"/>
        <v>0</v>
      </c>
      <c r="G109" s="21"/>
      <c r="H109" s="21"/>
      <c r="I109" s="20">
        <f t="shared" si="2"/>
        <v>0</v>
      </c>
      <c r="J109" s="15"/>
      <c r="K109" s="15"/>
      <c r="L109" s="22" t="str">
        <f t="shared" si="3"/>
        <v/>
      </c>
    </row>
    <row r="110" ht="15.75" customHeight="1">
      <c r="A110" s="28"/>
      <c r="B110" s="15"/>
      <c r="C110" s="15"/>
      <c r="D110" s="15"/>
      <c r="E110" s="21"/>
      <c r="F110" s="20">
        <f t="shared" si="1"/>
        <v>0</v>
      </c>
      <c r="G110" s="21"/>
      <c r="H110" s="21"/>
      <c r="I110" s="20">
        <f t="shared" si="2"/>
        <v>0</v>
      </c>
      <c r="J110" s="15"/>
      <c r="K110" s="15"/>
      <c r="L110" s="22" t="str">
        <f t="shared" si="3"/>
        <v/>
      </c>
    </row>
    <row r="111" ht="15.75" customHeight="1">
      <c r="A111" s="28"/>
      <c r="B111" s="15"/>
      <c r="C111" s="15"/>
      <c r="D111" s="15"/>
      <c r="E111" s="21"/>
      <c r="F111" s="20">
        <f t="shared" si="1"/>
        <v>0</v>
      </c>
      <c r="G111" s="21"/>
      <c r="H111" s="21"/>
      <c r="I111" s="20">
        <f t="shared" si="2"/>
        <v>0</v>
      </c>
      <c r="J111" s="15"/>
      <c r="K111" s="15"/>
      <c r="L111" s="22" t="str">
        <f t="shared" si="3"/>
        <v/>
      </c>
    </row>
    <row r="112" ht="15.75" customHeight="1">
      <c r="A112" s="28"/>
      <c r="B112" s="15"/>
      <c r="C112" s="15"/>
      <c r="D112" s="15"/>
      <c r="E112" s="21"/>
      <c r="F112" s="20">
        <f t="shared" si="1"/>
        <v>0</v>
      </c>
      <c r="G112" s="21"/>
      <c r="H112" s="21"/>
      <c r="I112" s="20">
        <f t="shared" si="2"/>
        <v>0</v>
      </c>
      <c r="J112" s="15"/>
      <c r="K112" s="15"/>
      <c r="L112" s="22" t="str">
        <f t="shared" si="3"/>
        <v/>
      </c>
    </row>
    <row r="113" ht="15.75" customHeight="1">
      <c r="A113" s="28"/>
      <c r="B113" s="15"/>
      <c r="C113" s="15"/>
      <c r="D113" s="15"/>
      <c r="E113" s="21"/>
      <c r="F113" s="20">
        <f t="shared" si="1"/>
        <v>0</v>
      </c>
      <c r="G113" s="21"/>
      <c r="H113" s="21"/>
      <c r="I113" s="20">
        <f t="shared" si="2"/>
        <v>0</v>
      </c>
      <c r="J113" s="15"/>
      <c r="K113" s="15"/>
      <c r="L113" s="22" t="str">
        <f t="shared" si="3"/>
        <v/>
      </c>
    </row>
    <row r="114" ht="15.75" customHeight="1">
      <c r="A114" s="28"/>
      <c r="B114" s="15"/>
      <c r="C114" s="15"/>
      <c r="D114" s="15"/>
      <c r="E114" s="21"/>
      <c r="F114" s="20">
        <f t="shared" si="1"/>
        <v>0</v>
      </c>
      <c r="G114" s="21"/>
      <c r="H114" s="21"/>
      <c r="I114" s="20">
        <f t="shared" si="2"/>
        <v>0</v>
      </c>
      <c r="J114" s="15"/>
      <c r="K114" s="15"/>
      <c r="L114" s="22" t="str">
        <f t="shared" si="3"/>
        <v/>
      </c>
    </row>
    <row r="115" ht="15.75" customHeight="1">
      <c r="A115" s="28"/>
      <c r="B115" s="15"/>
      <c r="C115" s="15"/>
      <c r="D115" s="15"/>
      <c r="E115" s="21"/>
      <c r="F115" s="20">
        <f t="shared" si="1"/>
        <v>0</v>
      </c>
      <c r="G115" s="21"/>
      <c r="H115" s="21"/>
      <c r="I115" s="20">
        <f t="shared" si="2"/>
        <v>0</v>
      </c>
      <c r="J115" s="15"/>
      <c r="K115" s="15"/>
      <c r="L115" s="22" t="str">
        <f t="shared" si="3"/>
        <v/>
      </c>
    </row>
    <row r="116" ht="15.75" customHeight="1">
      <c r="A116" s="28"/>
      <c r="B116" s="15"/>
      <c r="C116" s="15"/>
      <c r="D116" s="15"/>
      <c r="E116" s="21"/>
      <c r="F116" s="20">
        <f t="shared" si="1"/>
        <v>0</v>
      </c>
      <c r="G116" s="21"/>
      <c r="H116" s="21"/>
      <c r="I116" s="20">
        <f t="shared" si="2"/>
        <v>0</v>
      </c>
      <c r="J116" s="15"/>
      <c r="K116" s="15"/>
      <c r="L116" s="22" t="str">
        <f t="shared" si="3"/>
        <v/>
      </c>
    </row>
    <row r="117" ht="15.75" customHeight="1">
      <c r="A117" s="28"/>
      <c r="B117" s="15"/>
      <c r="C117" s="15"/>
      <c r="D117" s="15"/>
      <c r="E117" s="21"/>
      <c r="F117" s="20">
        <f t="shared" si="1"/>
        <v>0</v>
      </c>
      <c r="G117" s="21"/>
      <c r="H117" s="21"/>
      <c r="I117" s="20">
        <f t="shared" si="2"/>
        <v>0</v>
      </c>
      <c r="J117" s="15"/>
      <c r="K117" s="15"/>
      <c r="L117" s="22" t="str">
        <f t="shared" si="3"/>
        <v/>
      </c>
    </row>
    <row r="118" ht="15.75" customHeight="1">
      <c r="A118" s="28"/>
      <c r="B118" s="15"/>
      <c r="C118" s="15"/>
      <c r="D118" s="15"/>
      <c r="E118" s="21"/>
      <c r="F118" s="20">
        <f t="shared" si="1"/>
        <v>0</v>
      </c>
      <c r="G118" s="21"/>
      <c r="H118" s="21"/>
      <c r="I118" s="20">
        <f t="shared" si="2"/>
        <v>0</v>
      </c>
      <c r="J118" s="15"/>
      <c r="K118" s="15"/>
      <c r="L118" s="22" t="str">
        <f t="shared" si="3"/>
        <v/>
      </c>
    </row>
    <row r="119" ht="15.75" customHeight="1">
      <c r="A119" s="28"/>
      <c r="B119" s="15"/>
      <c r="C119" s="15"/>
      <c r="D119" s="15"/>
      <c r="E119" s="21"/>
      <c r="F119" s="20">
        <f t="shared" si="1"/>
        <v>0</v>
      </c>
      <c r="G119" s="21"/>
      <c r="H119" s="21"/>
      <c r="I119" s="20">
        <f t="shared" si="2"/>
        <v>0</v>
      </c>
      <c r="J119" s="15"/>
      <c r="K119" s="15"/>
      <c r="L119" s="22" t="str">
        <f t="shared" si="3"/>
        <v/>
      </c>
    </row>
    <row r="120" ht="15.75" customHeight="1">
      <c r="A120" s="28"/>
      <c r="B120" s="15"/>
      <c r="C120" s="15"/>
      <c r="D120" s="15"/>
      <c r="E120" s="21"/>
      <c r="F120" s="20">
        <f t="shared" si="1"/>
        <v>0</v>
      </c>
      <c r="G120" s="21"/>
      <c r="H120" s="21"/>
      <c r="I120" s="20">
        <f t="shared" si="2"/>
        <v>0</v>
      </c>
      <c r="J120" s="15"/>
      <c r="K120" s="15"/>
      <c r="L120" s="22" t="str">
        <f t="shared" si="3"/>
        <v/>
      </c>
    </row>
    <row r="121" ht="15.75" customHeight="1">
      <c r="A121" s="28"/>
      <c r="B121" s="15"/>
      <c r="C121" s="15"/>
      <c r="D121" s="15"/>
      <c r="E121" s="21"/>
      <c r="F121" s="20">
        <f t="shared" si="1"/>
        <v>0</v>
      </c>
      <c r="G121" s="21"/>
      <c r="H121" s="21"/>
      <c r="I121" s="20">
        <f t="shared" si="2"/>
        <v>0</v>
      </c>
      <c r="J121" s="15"/>
      <c r="K121" s="15"/>
      <c r="L121" s="22" t="str">
        <f t="shared" si="3"/>
        <v/>
      </c>
    </row>
    <row r="122" ht="15.75" customHeight="1">
      <c r="A122" s="28"/>
      <c r="B122" s="15"/>
      <c r="C122" s="15"/>
      <c r="D122" s="15"/>
      <c r="E122" s="21"/>
      <c r="F122" s="20">
        <f t="shared" si="1"/>
        <v>0</v>
      </c>
      <c r="G122" s="21"/>
      <c r="H122" s="21"/>
      <c r="I122" s="20">
        <f t="shared" si="2"/>
        <v>0</v>
      </c>
      <c r="J122" s="15"/>
      <c r="K122" s="15"/>
      <c r="L122" s="22" t="str">
        <f t="shared" si="3"/>
        <v/>
      </c>
    </row>
    <row r="123" ht="15.75" customHeight="1">
      <c r="A123" s="28"/>
      <c r="B123" s="15"/>
      <c r="C123" s="15"/>
      <c r="D123" s="15"/>
      <c r="E123" s="21"/>
      <c r="F123" s="20">
        <f t="shared" si="1"/>
        <v>0</v>
      </c>
      <c r="G123" s="21"/>
      <c r="H123" s="21"/>
      <c r="I123" s="20">
        <f t="shared" si="2"/>
        <v>0</v>
      </c>
      <c r="J123" s="15"/>
      <c r="K123" s="15"/>
      <c r="L123" s="22" t="str">
        <f t="shared" si="3"/>
        <v/>
      </c>
    </row>
    <row r="124" ht="15.75" customHeight="1">
      <c r="A124" s="28"/>
      <c r="B124" s="15"/>
      <c r="C124" s="15"/>
      <c r="D124" s="15"/>
      <c r="E124" s="21"/>
      <c r="F124" s="20">
        <f t="shared" si="1"/>
        <v>0</v>
      </c>
      <c r="G124" s="21"/>
      <c r="H124" s="21"/>
      <c r="I124" s="20">
        <f t="shared" si="2"/>
        <v>0</v>
      </c>
      <c r="J124" s="15"/>
      <c r="K124" s="15"/>
      <c r="L124" s="22" t="str">
        <f t="shared" si="3"/>
        <v/>
      </c>
    </row>
    <row r="125" ht="15.75" customHeight="1">
      <c r="A125" s="28"/>
      <c r="B125" s="15"/>
      <c r="C125" s="15"/>
      <c r="D125" s="15"/>
      <c r="E125" s="21"/>
      <c r="F125" s="20">
        <f t="shared" si="1"/>
        <v>0</v>
      </c>
      <c r="G125" s="21"/>
      <c r="H125" s="21"/>
      <c r="I125" s="20">
        <f t="shared" si="2"/>
        <v>0</v>
      </c>
      <c r="J125" s="15"/>
      <c r="K125" s="15"/>
      <c r="L125" s="22" t="str">
        <f t="shared" si="3"/>
        <v/>
      </c>
    </row>
    <row r="126" ht="15.75" customHeight="1">
      <c r="A126" s="28"/>
      <c r="B126" s="15"/>
      <c r="C126" s="15"/>
      <c r="D126" s="15"/>
      <c r="E126" s="21"/>
      <c r="F126" s="20">
        <f t="shared" si="1"/>
        <v>0</v>
      </c>
      <c r="G126" s="21"/>
      <c r="H126" s="21"/>
      <c r="I126" s="20">
        <f t="shared" si="2"/>
        <v>0</v>
      </c>
      <c r="J126" s="15"/>
      <c r="K126" s="15"/>
      <c r="L126" s="22" t="str">
        <f t="shared" si="3"/>
        <v/>
      </c>
    </row>
    <row r="127" ht="15.75" customHeight="1">
      <c r="A127" s="28"/>
      <c r="B127" s="15"/>
      <c r="C127" s="15"/>
      <c r="D127" s="15"/>
      <c r="E127" s="21"/>
      <c r="F127" s="20">
        <f t="shared" si="1"/>
        <v>0</v>
      </c>
      <c r="G127" s="21"/>
      <c r="H127" s="21"/>
      <c r="I127" s="20">
        <f t="shared" si="2"/>
        <v>0</v>
      </c>
      <c r="J127" s="15"/>
      <c r="K127" s="15"/>
      <c r="L127" s="22" t="str">
        <f t="shared" si="3"/>
        <v/>
      </c>
    </row>
    <row r="128" ht="15.75" customHeight="1">
      <c r="A128" s="28"/>
      <c r="B128" s="15"/>
      <c r="C128" s="15"/>
      <c r="D128" s="15"/>
      <c r="E128" s="21"/>
      <c r="F128" s="20">
        <f t="shared" si="1"/>
        <v>0</v>
      </c>
      <c r="G128" s="21"/>
      <c r="H128" s="21"/>
      <c r="I128" s="20">
        <f t="shared" si="2"/>
        <v>0</v>
      </c>
      <c r="J128" s="15"/>
      <c r="K128" s="15"/>
      <c r="L128" s="22" t="str">
        <f t="shared" si="3"/>
        <v/>
      </c>
    </row>
    <row r="129" ht="15.75" customHeight="1">
      <c r="A129" s="28"/>
      <c r="B129" s="15"/>
      <c r="C129" s="15"/>
      <c r="D129" s="15"/>
      <c r="E129" s="21"/>
      <c r="F129" s="20">
        <f t="shared" si="1"/>
        <v>0</v>
      </c>
      <c r="G129" s="21"/>
      <c r="H129" s="21"/>
      <c r="I129" s="20">
        <f t="shared" si="2"/>
        <v>0</v>
      </c>
      <c r="J129" s="15"/>
      <c r="K129" s="15"/>
      <c r="L129" s="22" t="str">
        <f t="shared" si="3"/>
        <v/>
      </c>
    </row>
    <row r="130" ht="15.75" customHeight="1">
      <c r="A130" s="28"/>
      <c r="B130" s="15"/>
      <c r="C130" s="15"/>
      <c r="D130" s="15"/>
      <c r="E130" s="21"/>
      <c r="F130" s="20">
        <f t="shared" si="1"/>
        <v>0</v>
      </c>
      <c r="G130" s="21"/>
      <c r="H130" s="21"/>
      <c r="I130" s="20">
        <f t="shared" si="2"/>
        <v>0</v>
      </c>
      <c r="J130" s="15"/>
      <c r="K130" s="15"/>
      <c r="L130" s="22" t="str">
        <f t="shared" si="3"/>
        <v/>
      </c>
    </row>
    <row r="131" ht="15.75" customHeight="1">
      <c r="A131" s="28"/>
      <c r="B131" s="15"/>
      <c r="C131" s="15"/>
      <c r="D131" s="15"/>
      <c r="E131" s="21"/>
      <c r="F131" s="20">
        <f t="shared" si="1"/>
        <v>0</v>
      </c>
      <c r="G131" s="21"/>
      <c r="H131" s="21"/>
      <c r="I131" s="20">
        <f t="shared" si="2"/>
        <v>0</v>
      </c>
      <c r="J131" s="15"/>
      <c r="K131" s="15"/>
      <c r="L131" s="22" t="str">
        <f t="shared" si="3"/>
        <v/>
      </c>
    </row>
    <row r="132" ht="15.75" customHeight="1">
      <c r="A132" s="28"/>
      <c r="B132" s="15"/>
      <c r="C132" s="15"/>
      <c r="D132" s="15"/>
      <c r="E132" s="21"/>
      <c r="F132" s="20">
        <f t="shared" si="1"/>
        <v>0</v>
      </c>
      <c r="G132" s="21"/>
      <c r="H132" s="21"/>
      <c r="I132" s="20">
        <f t="shared" si="2"/>
        <v>0</v>
      </c>
      <c r="J132" s="15"/>
      <c r="K132" s="15"/>
      <c r="L132" s="22" t="str">
        <f t="shared" si="3"/>
        <v/>
      </c>
    </row>
    <row r="133" ht="15.75" customHeight="1">
      <c r="A133" s="28"/>
      <c r="B133" s="15"/>
      <c r="C133" s="15"/>
      <c r="D133" s="15"/>
      <c r="E133" s="21"/>
      <c r="F133" s="20">
        <f t="shared" si="1"/>
        <v>0</v>
      </c>
      <c r="G133" s="21"/>
      <c r="H133" s="21"/>
      <c r="I133" s="20">
        <f t="shared" si="2"/>
        <v>0</v>
      </c>
      <c r="J133" s="15"/>
      <c r="K133" s="15"/>
      <c r="L133" s="22" t="str">
        <f t="shared" si="3"/>
        <v/>
      </c>
    </row>
    <row r="134" ht="15.75" customHeight="1">
      <c r="A134" s="28"/>
      <c r="B134" s="15"/>
      <c r="C134" s="15"/>
      <c r="D134" s="15"/>
      <c r="E134" s="21"/>
      <c r="F134" s="20">
        <f t="shared" si="1"/>
        <v>0</v>
      </c>
      <c r="G134" s="21"/>
      <c r="H134" s="21"/>
      <c r="I134" s="20">
        <f t="shared" si="2"/>
        <v>0</v>
      </c>
      <c r="J134" s="15"/>
      <c r="K134" s="15"/>
      <c r="L134" s="22" t="str">
        <f t="shared" si="3"/>
        <v/>
      </c>
    </row>
    <row r="135" ht="15.75" customHeight="1">
      <c r="A135" s="28"/>
      <c r="B135" s="15"/>
      <c r="C135" s="15"/>
      <c r="D135" s="15"/>
      <c r="E135" s="21"/>
      <c r="F135" s="20">
        <f t="shared" si="1"/>
        <v>0</v>
      </c>
      <c r="G135" s="21"/>
      <c r="H135" s="21"/>
      <c r="I135" s="20">
        <f t="shared" si="2"/>
        <v>0</v>
      </c>
      <c r="J135" s="15"/>
      <c r="K135" s="15"/>
      <c r="L135" s="22" t="str">
        <f t="shared" si="3"/>
        <v/>
      </c>
    </row>
    <row r="136" ht="15.75" customHeight="1">
      <c r="A136" s="28"/>
      <c r="B136" s="15"/>
      <c r="C136" s="15"/>
      <c r="D136" s="15"/>
      <c r="E136" s="21"/>
      <c r="F136" s="20">
        <f t="shared" si="1"/>
        <v>0</v>
      </c>
      <c r="G136" s="21"/>
      <c r="H136" s="21"/>
      <c r="I136" s="20">
        <f t="shared" si="2"/>
        <v>0</v>
      </c>
      <c r="J136" s="15"/>
      <c r="K136" s="15"/>
      <c r="L136" s="22" t="str">
        <f t="shared" si="3"/>
        <v/>
      </c>
    </row>
    <row r="137" ht="15.75" customHeight="1">
      <c r="A137" s="28"/>
      <c r="B137" s="15"/>
      <c r="C137" s="15"/>
      <c r="D137" s="15"/>
      <c r="E137" s="21"/>
      <c r="F137" s="20">
        <f t="shared" si="1"/>
        <v>0</v>
      </c>
      <c r="G137" s="21"/>
      <c r="H137" s="21"/>
      <c r="I137" s="20">
        <f t="shared" si="2"/>
        <v>0</v>
      </c>
      <c r="J137" s="15"/>
      <c r="K137" s="15"/>
      <c r="L137" s="22" t="str">
        <f t="shared" si="3"/>
        <v/>
      </c>
    </row>
    <row r="138" ht="15.75" customHeight="1">
      <c r="A138" s="28"/>
      <c r="B138" s="15"/>
      <c r="C138" s="15"/>
      <c r="D138" s="15"/>
      <c r="E138" s="21"/>
      <c r="F138" s="20">
        <f t="shared" si="1"/>
        <v>0</v>
      </c>
      <c r="G138" s="21"/>
      <c r="H138" s="21"/>
      <c r="I138" s="20">
        <f t="shared" si="2"/>
        <v>0</v>
      </c>
      <c r="J138" s="15"/>
      <c r="K138" s="15"/>
      <c r="L138" s="22" t="str">
        <f t="shared" si="3"/>
        <v/>
      </c>
    </row>
    <row r="139" ht="15.75" customHeight="1">
      <c r="A139" s="28"/>
      <c r="B139" s="15"/>
      <c r="C139" s="15"/>
      <c r="D139" s="15"/>
      <c r="E139" s="21"/>
      <c r="F139" s="20">
        <f t="shared" si="1"/>
        <v>0</v>
      </c>
      <c r="G139" s="21"/>
      <c r="H139" s="21"/>
      <c r="I139" s="20">
        <f t="shared" si="2"/>
        <v>0</v>
      </c>
      <c r="J139" s="15"/>
      <c r="K139" s="15"/>
      <c r="L139" s="22" t="str">
        <f t="shared" si="3"/>
        <v/>
      </c>
    </row>
    <row r="140" ht="15.75" customHeight="1">
      <c r="A140" s="28"/>
      <c r="B140" s="15"/>
      <c r="C140" s="15"/>
      <c r="D140" s="15"/>
      <c r="E140" s="21"/>
      <c r="F140" s="20">
        <f t="shared" si="1"/>
        <v>0</v>
      </c>
      <c r="G140" s="21"/>
      <c r="H140" s="21"/>
      <c r="I140" s="20">
        <f t="shared" si="2"/>
        <v>0</v>
      </c>
      <c r="J140" s="15"/>
      <c r="K140" s="15"/>
      <c r="L140" s="22" t="str">
        <f t="shared" si="3"/>
        <v/>
      </c>
    </row>
    <row r="141" ht="15.75" customHeight="1">
      <c r="A141" s="28"/>
      <c r="B141" s="15"/>
      <c r="C141" s="15"/>
      <c r="D141" s="15"/>
      <c r="E141" s="21"/>
      <c r="F141" s="20">
        <f t="shared" si="1"/>
        <v>0</v>
      </c>
      <c r="G141" s="21"/>
      <c r="H141" s="21"/>
      <c r="I141" s="20">
        <f t="shared" si="2"/>
        <v>0</v>
      </c>
      <c r="J141" s="15"/>
      <c r="K141" s="15"/>
      <c r="L141" s="22" t="str">
        <f t="shared" si="3"/>
        <v/>
      </c>
    </row>
    <row r="142" ht="15.75" customHeight="1">
      <c r="A142" s="28"/>
      <c r="B142" s="15"/>
      <c r="C142" s="15"/>
      <c r="D142" s="15"/>
      <c r="E142" s="21"/>
      <c r="F142" s="20">
        <f t="shared" si="1"/>
        <v>0</v>
      </c>
      <c r="G142" s="21"/>
      <c r="H142" s="21"/>
      <c r="I142" s="20">
        <f t="shared" si="2"/>
        <v>0</v>
      </c>
      <c r="J142" s="15"/>
      <c r="K142" s="15"/>
      <c r="L142" s="22" t="str">
        <f t="shared" si="3"/>
        <v/>
      </c>
    </row>
    <row r="143" ht="15.75" customHeight="1">
      <c r="A143" s="28"/>
      <c r="B143" s="15"/>
      <c r="C143" s="15"/>
      <c r="D143" s="15"/>
      <c r="E143" s="21"/>
      <c r="F143" s="20">
        <f t="shared" si="1"/>
        <v>0</v>
      </c>
      <c r="G143" s="21"/>
      <c r="H143" s="21"/>
      <c r="I143" s="20">
        <f t="shared" si="2"/>
        <v>0</v>
      </c>
      <c r="J143" s="15"/>
      <c r="K143" s="15"/>
      <c r="L143" s="22" t="str">
        <f t="shared" si="3"/>
        <v/>
      </c>
    </row>
    <row r="144" ht="15.75" customHeight="1">
      <c r="A144" s="28"/>
      <c r="B144" s="15"/>
      <c r="C144" s="15"/>
      <c r="D144" s="15"/>
      <c r="E144" s="21"/>
      <c r="F144" s="20">
        <f t="shared" si="1"/>
        <v>0</v>
      </c>
      <c r="G144" s="21"/>
      <c r="H144" s="21"/>
      <c r="I144" s="20">
        <f t="shared" si="2"/>
        <v>0</v>
      </c>
      <c r="J144" s="15"/>
      <c r="K144" s="15"/>
      <c r="L144" s="22" t="str">
        <f t="shared" si="3"/>
        <v/>
      </c>
    </row>
    <row r="145" ht="15.75" customHeight="1">
      <c r="A145" s="28"/>
      <c r="B145" s="15"/>
      <c r="C145" s="15"/>
      <c r="D145" s="15"/>
      <c r="E145" s="21"/>
      <c r="F145" s="20">
        <f t="shared" si="1"/>
        <v>0</v>
      </c>
      <c r="G145" s="21"/>
      <c r="H145" s="21"/>
      <c r="I145" s="20">
        <f t="shared" si="2"/>
        <v>0</v>
      </c>
      <c r="J145" s="15"/>
      <c r="K145" s="15"/>
      <c r="L145" s="22" t="str">
        <f t="shared" si="3"/>
        <v/>
      </c>
    </row>
    <row r="146" ht="15.75" customHeight="1">
      <c r="A146" s="28"/>
      <c r="B146" s="15"/>
      <c r="C146" s="15"/>
      <c r="D146" s="15"/>
      <c r="E146" s="21"/>
      <c r="F146" s="20">
        <f t="shared" si="1"/>
        <v>0</v>
      </c>
      <c r="G146" s="21"/>
      <c r="H146" s="21"/>
      <c r="I146" s="20">
        <f t="shared" si="2"/>
        <v>0</v>
      </c>
      <c r="J146" s="15"/>
      <c r="K146" s="15"/>
      <c r="L146" s="22" t="str">
        <f t="shared" si="3"/>
        <v/>
      </c>
    </row>
    <row r="147" ht="15.75" customHeight="1">
      <c r="A147" s="28"/>
      <c r="B147" s="15"/>
      <c r="C147" s="15"/>
      <c r="D147" s="15"/>
      <c r="E147" s="21"/>
      <c r="F147" s="20">
        <f t="shared" si="1"/>
        <v>0</v>
      </c>
      <c r="G147" s="21"/>
      <c r="H147" s="21"/>
      <c r="I147" s="20">
        <f t="shared" si="2"/>
        <v>0</v>
      </c>
      <c r="J147" s="15"/>
      <c r="K147" s="15"/>
      <c r="L147" s="22" t="str">
        <f t="shared" si="3"/>
        <v/>
      </c>
    </row>
    <row r="148" ht="15.75" customHeight="1">
      <c r="A148" s="28"/>
      <c r="B148" s="15"/>
      <c r="C148" s="15"/>
      <c r="D148" s="15"/>
      <c r="E148" s="21"/>
      <c r="F148" s="20">
        <f t="shared" si="1"/>
        <v>0</v>
      </c>
      <c r="G148" s="21"/>
      <c r="H148" s="21"/>
      <c r="I148" s="20">
        <f t="shared" si="2"/>
        <v>0</v>
      </c>
      <c r="J148" s="15"/>
      <c r="K148" s="15"/>
      <c r="L148" s="22" t="str">
        <f t="shared" si="3"/>
        <v/>
      </c>
    </row>
    <row r="149" ht="15.75" customHeight="1">
      <c r="A149" s="28"/>
      <c r="B149" s="15"/>
      <c r="C149" s="15"/>
      <c r="D149" s="15"/>
      <c r="E149" s="21"/>
      <c r="F149" s="20">
        <f t="shared" si="1"/>
        <v>0</v>
      </c>
      <c r="G149" s="21"/>
      <c r="H149" s="21"/>
      <c r="I149" s="20">
        <f t="shared" si="2"/>
        <v>0</v>
      </c>
      <c r="J149" s="15"/>
      <c r="K149" s="15"/>
      <c r="L149" s="22" t="str">
        <f t="shared" si="3"/>
        <v/>
      </c>
    </row>
    <row r="150" ht="15.75" customHeight="1">
      <c r="A150" s="28"/>
      <c r="B150" s="15"/>
      <c r="C150" s="15"/>
      <c r="D150" s="15"/>
      <c r="E150" s="21"/>
      <c r="F150" s="20">
        <f t="shared" si="1"/>
        <v>0</v>
      </c>
      <c r="G150" s="21"/>
      <c r="H150" s="21"/>
      <c r="I150" s="20">
        <f t="shared" si="2"/>
        <v>0</v>
      </c>
      <c r="J150" s="15"/>
      <c r="K150" s="15"/>
      <c r="L150" s="22" t="str">
        <f t="shared" si="3"/>
        <v/>
      </c>
    </row>
    <row r="151" ht="15.75" customHeight="1">
      <c r="A151" s="28"/>
      <c r="B151" s="15"/>
      <c r="C151" s="15"/>
      <c r="D151" s="15"/>
      <c r="E151" s="21"/>
      <c r="F151" s="20">
        <f t="shared" si="1"/>
        <v>0</v>
      </c>
      <c r="G151" s="21"/>
      <c r="H151" s="21"/>
      <c r="I151" s="20">
        <f t="shared" si="2"/>
        <v>0</v>
      </c>
      <c r="J151" s="15"/>
      <c r="K151" s="15"/>
      <c r="L151" s="22" t="str">
        <f t="shared" si="3"/>
        <v/>
      </c>
    </row>
    <row r="152" ht="15.75" customHeight="1">
      <c r="A152" s="28"/>
      <c r="B152" s="15"/>
      <c r="C152" s="15"/>
      <c r="D152" s="15"/>
      <c r="E152" s="21"/>
      <c r="F152" s="20">
        <f t="shared" si="1"/>
        <v>0</v>
      </c>
      <c r="G152" s="21"/>
      <c r="H152" s="21"/>
      <c r="I152" s="20">
        <f t="shared" si="2"/>
        <v>0</v>
      </c>
      <c r="J152" s="15"/>
      <c r="K152" s="15"/>
      <c r="L152" s="22" t="str">
        <f t="shared" si="3"/>
        <v/>
      </c>
    </row>
    <row r="153" ht="15.75" customHeight="1">
      <c r="A153" s="28"/>
      <c r="B153" s="15"/>
      <c r="C153" s="15"/>
      <c r="D153" s="15"/>
      <c r="E153" s="21"/>
      <c r="F153" s="20">
        <f t="shared" si="1"/>
        <v>0</v>
      </c>
      <c r="G153" s="21"/>
      <c r="H153" s="21"/>
      <c r="I153" s="20">
        <f t="shared" si="2"/>
        <v>0</v>
      </c>
      <c r="J153" s="15"/>
      <c r="K153" s="15"/>
      <c r="L153" s="22" t="str">
        <f t="shared" si="3"/>
        <v/>
      </c>
    </row>
    <row r="154" ht="15.75" customHeight="1">
      <c r="A154" s="28"/>
      <c r="B154" s="15"/>
      <c r="C154" s="15"/>
      <c r="D154" s="15"/>
      <c r="E154" s="21"/>
      <c r="F154" s="20">
        <f t="shared" si="1"/>
        <v>0</v>
      </c>
      <c r="G154" s="21"/>
      <c r="H154" s="21"/>
      <c r="I154" s="20">
        <f t="shared" si="2"/>
        <v>0</v>
      </c>
      <c r="J154" s="15"/>
      <c r="K154" s="15"/>
      <c r="L154" s="22" t="str">
        <f t="shared" si="3"/>
        <v/>
      </c>
    </row>
    <row r="155" ht="15.75" customHeight="1">
      <c r="A155" s="28"/>
      <c r="B155" s="15"/>
      <c r="C155" s="15"/>
      <c r="D155" s="15"/>
      <c r="E155" s="21"/>
      <c r="F155" s="20">
        <f t="shared" si="1"/>
        <v>0</v>
      </c>
      <c r="G155" s="21"/>
      <c r="H155" s="21"/>
      <c r="I155" s="20">
        <f t="shared" si="2"/>
        <v>0</v>
      </c>
      <c r="J155" s="15"/>
      <c r="K155" s="15"/>
      <c r="L155" s="22" t="str">
        <f t="shared" si="3"/>
        <v/>
      </c>
    </row>
    <row r="156" ht="15.75" customHeight="1">
      <c r="A156" s="28"/>
      <c r="B156" s="15"/>
      <c r="C156" s="15"/>
      <c r="D156" s="15"/>
      <c r="E156" s="21"/>
      <c r="F156" s="20">
        <f t="shared" si="1"/>
        <v>0</v>
      </c>
      <c r="G156" s="21"/>
      <c r="H156" s="21"/>
      <c r="I156" s="20">
        <f t="shared" si="2"/>
        <v>0</v>
      </c>
      <c r="J156" s="15"/>
      <c r="K156" s="15"/>
      <c r="L156" s="22" t="str">
        <f t="shared" si="3"/>
        <v/>
      </c>
    </row>
    <row r="157" ht="15.75" customHeight="1">
      <c r="A157" s="28"/>
      <c r="B157" s="15"/>
      <c r="C157" s="15"/>
      <c r="D157" s="15"/>
      <c r="E157" s="21"/>
      <c r="F157" s="20">
        <f t="shared" si="1"/>
        <v>0</v>
      </c>
      <c r="G157" s="21"/>
      <c r="H157" s="21"/>
      <c r="I157" s="20">
        <f t="shared" si="2"/>
        <v>0</v>
      </c>
      <c r="J157" s="15"/>
      <c r="K157" s="15"/>
      <c r="L157" s="22" t="str">
        <f t="shared" si="3"/>
        <v/>
      </c>
    </row>
    <row r="158" ht="15.75" customHeight="1">
      <c r="A158" s="28"/>
      <c r="B158" s="15"/>
      <c r="C158" s="15"/>
      <c r="D158" s="15"/>
      <c r="E158" s="21"/>
      <c r="F158" s="20">
        <f t="shared" si="1"/>
        <v>0</v>
      </c>
      <c r="G158" s="21"/>
      <c r="H158" s="21"/>
      <c r="I158" s="20">
        <f t="shared" si="2"/>
        <v>0</v>
      </c>
      <c r="J158" s="15"/>
      <c r="K158" s="15"/>
      <c r="L158" s="22" t="str">
        <f t="shared" si="3"/>
        <v/>
      </c>
    </row>
    <row r="159" ht="15.75" customHeight="1">
      <c r="A159" s="28"/>
      <c r="B159" s="15"/>
      <c r="C159" s="15"/>
      <c r="D159" s="15"/>
      <c r="E159" s="21"/>
      <c r="F159" s="20">
        <f t="shared" si="1"/>
        <v>0</v>
      </c>
      <c r="G159" s="21"/>
      <c r="H159" s="21"/>
      <c r="I159" s="20">
        <f t="shared" si="2"/>
        <v>0</v>
      </c>
      <c r="J159" s="15"/>
      <c r="K159" s="15"/>
      <c r="L159" s="22" t="str">
        <f t="shared" si="3"/>
        <v/>
      </c>
    </row>
    <row r="160" ht="15.75" customHeight="1">
      <c r="A160" s="28"/>
      <c r="B160" s="15"/>
      <c r="C160" s="15"/>
      <c r="D160" s="15"/>
      <c r="E160" s="21"/>
      <c r="F160" s="20">
        <f t="shared" si="1"/>
        <v>0</v>
      </c>
      <c r="G160" s="21"/>
      <c r="H160" s="21"/>
      <c r="I160" s="20">
        <f t="shared" si="2"/>
        <v>0</v>
      </c>
      <c r="J160" s="15"/>
      <c r="K160" s="15"/>
      <c r="L160" s="22" t="str">
        <f t="shared" si="3"/>
        <v/>
      </c>
    </row>
    <row r="161" ht="15.75" customHeight="1">
      <c r="A161" s="28"/>
      <c r="B161" s="15"/>
      <c r="C161" s="15"/>
      <c r="D161" s="15"/>
      <c r="E161" s="21"/>
      <c r="F161" s="20">
        <f t="shared" si="1"/>
        <v>0</v>
      </c>
      <c r="G161" s="21"/>
      <c r="H161" s="21"/>
      <c r="I161" s="20">
        <f t="shared" si="2"/>
        <v>0</v>
      </c>
      <c r="J161" s="15"/>
      <c r="K161" s="15"/>
      <c r="L161" s="22" t="str">
        <f t="shared" si="3"/>
        <v/>
      </c>
    </row>
    <row r="162" ht="15.75" customHeight="1">
      <c r="A162" s="28"/>
      <c r="B162" s="15"/>
      <c r="C162" s="15"/>
      <c r="D162" s="15"/>
      <c r="E162" s="21"/>
      <c r="F162" s="20">
        <f t="shared" si="1"/>
        <v>0</v>
      </c>
      <c r="G162" s="21"/>
      <c r="H162" s="21"/>
      <c r="I162" s="20">
        <f t="shared" si="2"/>
        <v>0</v>
      </c>
      <c r="J162" s="15"/>
      <c r="K162" s="15"/>
      <c r="L162" s="22" t="str">
        <f t="shared" si="3"/>
        <v/>
      </c>
    </row>
    <row r="163" ht="15.75" customHeight="1">
      <c r="A163" s="28"/>
      <c r="B163" s="15"/>
      <c r="C163" s="15"/>
      <c r="D163" s="15"/>
      <c r="E163" s="21"/>
      <c r="F163" s="20">
        <f t="shared" si="1"/>
        <v>0</v>
      </c>
      <c r="G163" s="21"/>
      <c r="H163" s="21"/>
      <c r="I163" s="20">
        <f t="shared" si="2"/>
        <v>0</v>
      </c>
      <c r="J163" s="15"/>
      <c r="K163" s="15"/>
      <c r="L163" s="22" t="str">
        <f t="shared" si="3"/>
        <v/>
      </c>
    </row>
    <row r="164" ht="15.75" customHeight="1">
      <c r="A164" s="28"/>
      <c r="B164" s="15"/>
      <c r="C164" s="15"/>
      <c r="D164" s="15"/>
      <c r="E164" s="21"/>
      <c r="F164" s="20">
        <f t="shared" si="1"/>
        <v>0</v>
      </c>
      <c r="G164" s="21"/>
      <c r="H164" s="21"/>
      <c r="I164" s="20">
        <f t="shared" si="2"/>
        <v>0</v>
      </c>
      <c r="J164" s="15"/>
      <c r="K164" s="15"/>
      <c r="L164" s="22" t="str">
        <f t="shared" si="3"/>
        <v/>
      </c>
    </row>
    <row r="165" ht="15.75" customHeight="1">
      <c r="A165" s="28"/>
      <c r="B165" s="15"/>
      <c r="C165" s="15"/>
      <c r="D165" s="15"/>
      <c r="E165" s="21"/>
      <c r="F165" s="20">
        <f t="shared" si="1"/>
        <v>0</v>
      </c>
      <c r="G165" s="21"/>
      <c r="H165" s="21"/>
      <c r="I165" s="20">
        <f t="shared" si="2"/>
        <v>0</v>
      </c>
      <c r="J165" s="15"/>
      <c r="K165" s="15"/>
      <c r="L165" s="22" t="str">
        <f t="shared" si="3"/>
        <v/>
      </c>
    </row>
    <row r="166" ht="15.75" customHeight="1">
      <c r="A166" s="28"/>
      <c r="B166" s="15"/>
      <c r="C166" s="15"/>
      <c r="D166" s="15"/>
      <c r="E166" s="21"/>
      <c r="F166" s="20">
        <f t="shared" si="1"/>
        <v>0</v>
      </c>
      <c r="G166" s="21"/>
      <c r="H166" s="21"/>
      <c r="I166" s="20">
        <f t="shared" si="2"/>
        <v>0</v>
      </c>
      <c r="J166" s="15"/>
      <c r="K166" s="15"/>
      <c r="L166" s="22" t="str">
        <f t="shared" si="3"/>
        <v/>
      </c>
    </row>
    <row r="167" ht="15.75" customHeight="1">
      <c r="A167" s="28"/>
      <c r="B167" s="15"/>
      <c r="C167" s="15"/>
      <c r="D167" s="15"/>
      <c r="E167" s="21"/>
      <c r="F167" s="20">
        <f t="shared" si="1"/>
        <v>0</v>
      </c>
      <c r="G167" s="21"/>
      <c r="H167" s="21"/>
      <c r="I167" s="20">
        <f t="shared" si="2"/>
        <v>0</v>
      </c>
      <c r="J167" s="15"/>
      <c r="K167" s="15"/>
      <c r="L167" s="22" t="str">
        <f t="shared" si="3"/>
        <v/>
      </c>
    </row>
    <row r="168" ht="15.75" customHeight="1">
      <c r="A168" s="28"/>
      <c r="B168" s="15"/>
      <c r="C168" s="15"/>
      <c r="D168" s="15"/>
      <c r="E168" s="21"/>
      <c r="F168" s="20">
        <f t="shared" si="1"/>
        <v>0</v>
      </c>
      <c r="G168" s="21"/>
      <c r="H168" s="21"/>
      <c r="I168" s="20">
        <f t="shared" si="2"/>
        <v>0</v>
      </c>
      <c r="J168" s="15"/>
      <c r="K168" s="15"/>
      <c r="L168" s="22" t="str">
        <f t="shared" si="3"/>
        <v/>
      </c>
    </row>
    <row r="169" ht="15.75" customHeight="1">
      <c r="A169" s="28"/>
      <c r="B169" s="15"/>
      <c r="C169" s="15"/>
      <c r="D169" s="15"/>
      <c r="E169" s="21"/>
      <c r="F169" s="20">
        <f t="shared" si="1"/>
        <v>0</v>
      </c>
      <c r="G169" s="21"/>
      <c r="H169" s="21"/>
      <c r="I169" s="20">
        <f t="shared" si="2"/>
        <v>0</v>
      </c>
      <c r="J169" s="15"/>
      <c r="K169" s="15"/>
      <c r="L169" s="22" t="str">
        <f t="shared" si="3"/>
        <v/>
      </c>
    </row>
    <row r="170" ht="15.75" customHeight="1">
      <c r="A170" s="28"/>
      <c r="B170" s="15"/>
      <c r="C170" s="15"/>
      <c r="D170" s="15"/>
      <c r="E170" s="21"/>
      <c r="F170" s="20">
        <f t="shared" si="1"/>
        <v>0</v>
      </c>
      <c r="G170" s="21"/>
      <c r="H170" s="21"/>
      <c r="I170" s="20">
        <f t="shared" si="2"/>
        <v>0</v>
      </c>
      <c r="J170" s="15"/>
      <c r="K170" s="15"/>
      <c r="L170" s="22" t="str">
        <f t="shared" si="3"/>
        <v/>
      </c>
    </row>
    <row r="171" ht="15.75" customHeight="1">
      <c r="A171" s="28"/>
      <c r="B171" s="15"/>
      <c r="C171" s="15"/>
      <c r="D171" s="15"/>
      <c r="E171" s="21"/>
      <c r="F171" s="20">
        <f t="shared" si="1"/>
        <v>0</v>
      </c>
      <c r="G171" s="21"/>
      <c r="H171" s="21"/>
      <c r="I171" s="20">
        <f t="shared" si="2"/>
        <v>0</v>
      </c>
      <c r="J171" s="15"/>
      <c r="K171" s="15"/>
      <c r="L171" s="22" t="str">
        <f t="shared" si="3"/>
        <v/>
      </c>
    </row>
    <row r="172" ht="15.75" customHeight="1">
      <c r="A172" s="28"/>
      <c r="B172" s="15"/>
      <c r="C172" s="15"/>
      <c r="D172" s="15"/>
      <c r="E172" s="21"/>
      <c r="F172" s="20">
        <f t="shared" si="1"/>
        <v>0</v>
      </c>
      <c r="G172" s="21"/>
      <c r="H172" s="21"/>
      <c r="I172" s="20">
        <f t="shared" si="2"/>
        <v>0</v>
      </c>
      <c r="J172" s="15"/>
      <c r="K172" s="15"/>
      <c r="L172" s="22" t="str">
        <f t="shared" si="3"/>
        <v/>
      </c>
    </row>
    <row r="173" ht="15.75" customHeight="1">
      <c r="A173" s="28"/>
      <c r="B173" s="15"/>
      <c r="C173" s="15"/>
      <c r="D173" s="15"/>
      <c r="E173" s="21"/>
      <c r="F173" s="20">
        <f t="shared" si="1"/>
        <v>0</v>
      </c>
      <c r="G173" s="21"/>
      <c r="H173" s="21"/>
      <c r="I173" s="20">
        <f t="shared" si="2"/>
        <v>0</v>
      </c>
      <c r="J173" s="15"/>
      <c r="K173" s="15"/>
      <c r="L173" s="22" t="str">
        <f t="shared" si="3"/>
        <v/>
      </c>
    </row>
    <row r="174" ht="15.75" customHeight="1">
      <c r="A174" s="28"/>
      <c r="B174" s="15"/>
      <c r="C174" s="15"/>
      <c r="D174" s="15"/>
      <c r="E174" s="21"/>
      <c r="F174" s="20">
        <f t="shared" si="1"/>
        <v>0</v>
      </c>
      <c r="G174" s="21"/>
      <c r="H174" s="21"/>
      <c r="I174" s="20">
        <f t="shared" si="2"/>
        <v>0</v>
      </c>
      <c r="J174" s="15"/>
      <c r="K174" s="15"/>
      <c r="L174" s="22" t="str">
        <f t="shared" si="3"/>
        <v/>
      </c>
    </row>
    <row r="175" ht="15.75" customHeight="1">
      <c r="A175" s="28"/>
      <c r="B175" s="15"/>
      <c r="C175" s="15"/>
      <c r="D175" s="15"/>
      <c r="E175" s="21"/>
      <c r="F175" s="20">
        <f t="shared" si="1"/>
        <v>0</v>
      </c>
      <c r="G175" s="21"/>
      <c r="H175" s="21"/>
      <c r="I175" s="20">
        <f t="shared" si="2"/>
        <v>0</v>
      </c>
      <c r="J175" s="15"/>
      <c r="K175" s="15"/>
      <c r="L175" s="22" t="str">
        <f t="shared" si="3"/>
        <v/>
      </c>
    </row>
    <row r="176" ht="15.75" customHeight="1">
      <c r="A176" s="28"/>
      <c r="B176" s="15"/>
      <c r="C176" s="15"/>
      <c r="D176" s="15"/>
      <c r="E176" s="21"/>
      <c r="F176" s="20">
        <f t="shared" si="1"/>
        <v>0</v>
      </c>
      <c r="G176" s="21"/>
      <c r="H176" s="21"/>
      <c r="I176" s="20">
        <f t="shared" si="2"/>
        <v>0</v>
      </c>
      <c r="J176" s="15"/>
      <c r="K176" s="15"/>
      <c r="L176" s="22" t="str">
        <f t="shared" si="3"/>
        <v/>
      </c>
    </row>
    <row r="177" ht="15.75" customHeight="1">
      <c r="A177" s="28"/>
      <c r="B177" s="15"/>
      <c r="C177" s="15"/>
      <c r="D177" s="15"/>
      <c r="E177" s="21"/>
      <c r="F177" s="20">
        <f t="shared" si="1"/>
        <v>0</v>
      </c>
      <c r="G177" s="21"/>
      <c r="H177" s="21"/>
      <c r="I177" s="20">
        <f t="shared" si="2"/>
        <v>0</v>
      </c>
      <c r="J177" s="15"/>
      <c r="K177" s="15"/>
      <c r="L177" s="22" t="str">
        <f t="shared" si="3"/>
        <v/>
      </c>
    </row>
    <row r="178" ht="15.75" customHeight="1">
      <c r="A178" s="28"/>
      <c r="B178" s="15"/>
      <c r="C178" s="15"/>
      <c r="D178" s="15"/>
      <c r="E178" s="21"/>
      <c r="F178" s="20">
        <f t="shared" si="1"/>
        <v>0</v>
      </c>
      <c r="G178" s="21"/>
      <c r="H178" s="21"/>
      <c r="I178" s="20">
        <f t="shared" si="2"/>
        <v>0</v>
      </c>
      <c r="J178" s="15"/>
      <c r="K178" s="15"/>
      <c r="L178" s="22" t="str">
        <f t="shared" si="3"/>
        <v/>
      </c>
    </row>
    <row r="179" ht="15.75" customHeight="1">
      <c r="A179" s="28"/>
      <c r="B179" s="15"/>
      <c r="C179" s="15"/>
      <c r="D179" s="15"/>
      <c r="E179" s="21"/>
      <c r="F179" s="20">
        <f t="shared" si="1"/>
        <v>0</v>
      </c>
      <c r="G179" s="21"/>
      <c r="H179" s="21"/>
      <c r="I179" s="20">
        <f t="shared" si="2"/>
        <v>0</v>
      </c>
      <c r="J179" s="15"/>
      <c r="K179" s="15"/>
      <c r="L179" s="22" t="str">
        <f t="shared" si="3"/>
        <v/>
      </c>
    </row>
    <row r="180" ht="15.75" customHeight="1">
      <c r="A180" s="28"/>
      <c r="B180" s="15"/>
      <c r="C180" s="15"/>
      <c r="D180" s="15"/>
      <c r="E180" s="21"/>
      <c r="F180" s="20">
        <f t="shared" si="1"/>
        <v>0</v>
      </c>
      <c r="G180" s="21"/>
      <c r="H180" s="21"/>
      <c r="I180" s="20">
        <f t="shared" si="2"/>
        <v>0</v>
      </c>
      <c r="J180" s="15"/>
      <c r="K180" s="15"/>
      <c r="L180" s="22" t="str">
        <f t="shared" si="3"/>
        <v/>
      </c>
    </row>
    <row r="181" ht="15.75" customHeight="1">
      <c r="A181" s="28"/>
      <c r="B181" s="15"/>
      <c r="C181" s="15"/>
      <c r="D181" s="15"/>
      <c r="E181" s="21"/>
      <c r="F181" s="20">
        <f t="shared" si="1"/>
        <v>0</v>
      </c>
      <c r="G181" s="21"/>
      <c r="H181" s="21"/>
      <c r="I181" s="20">
        <f t="shared" si="2"/>
        <v>0</v>
      </c>
      <c r="J181" s="15"/>
      <c r="K181" s="15"/>
      <c r="L181" s="22" t="str">
        <f t="shared" si="3"/>
        <v/>
      </c>
    </row>
    <row r="182" ht="15.75" customHeight="1">
      <c r="A182" s="28"/>
      <c r="B182" s="15"/>
      <c r="C182" s="15"/>
      <c r="D182" s="15"/>
      <c r="E182" s="21"/>
      <c r="F182" s="20">
        <f t="shared" si="1"/>
        <v>0</v>
      </c>
      <c r="G182" s="21"/>
      <c r="H182" s="21"/>
      <c r="I182" s="20">
        <f t="shared" si="2"/>
        <v>0</v>
      </c>
      <c r="J182" s="15"/>
      <c r="K182" s="15"/>
      <c r="L182" s="22" t="str">
        <f t="shared" si="3"/>
        <v/>
      </c>
    </row>
    <row r="183" ht="15.75" customHeight="1">
      <c r="A183" s="28"/>
      <c r="B183" s="15"/>
      <c r="C183" s="15"/>
      <c r="D183" s="15"/>
      <c r="E183" s="21"/>
      <c r="F183" s="20">
        <f t="shared" si="1"/>
        <v>0</v>
      </c>
      <c r="G183" s="21"/>
      <c r="H183" s="21"/>
      <c r="I183" s="20">
        <f t="shared" si="2"/>
        <v>0</v>
      </c>
      <c r="J183" s="15"/>
      <c r="K183" s="15"/>
      <c r="L183" s="22" t="str">
        <f t="shared" si="3"/>
        <v/>
      </c>
    </row>
    <row r="184" ht="15.75" customHeight="1">
      <c r="A184" s="28"/>
      <c r="B184" s="15"/>
      <c r="C184" s="15"/>
      <c r="D184" s="15"/>
      <c r="E184" s="21"/>
      <c r="F184" s="20">
        <f t="shared" si="1"/>
        <v>0</v>
      </c>
      <c r="G184" s="21"/>
      <c r="H184" s="21"/>
      <c r="I184" s="20">
        <f t="shared" si="2"/>
        <v>0</v>
      </c>
      <c r="J184" s="15"/>
      <c r="K184" s="15"/>
      <c r="L184" s="22" t="str">
        <f t="shared" si="3"/>
        <v/>
      </c>
    </row>
    <row r="185" ht="15.75" customHeight="1">
      <c r="A185" s="28"/>
      <c r="B185" s="15"/>
      <c r="C185" s="15"/>
      <c r="D185" s="15"/>
      <c r="E185" s="21"/>
      <c r="F185" s="20">
        <f t="shared" si="1"/>
        <v>0</v>
      </c>
      <c r="G185" s="21"/>
      <c r="H185" s="21"/>
      <c r="I185" s="20">
        <f t="shared" si="2"/>
        <v>0</v>
      </c>
      <c r="J185" s="15"/>
      <c r="K185" s="15"/>
      <c r="L185" s="22" t="str">
        <f t="shared" si="3"/>
        <v/>
      </c>
    </row>
    <row r="186" ht="15.75" customHeight="1">
      <c r="A186" s="28"/>
      <c r="B186" s="15"/>
      <c r="C186" s="15"/>
      <c r="D186" s="15"/>
      <c r="E186" s="21"/>
      <c r="F186" s="20">
        <f t="shared" si="1"/>
        <v>0</v>
      </c>
      <c r="G186" s="21"/>
      <c r="H186" s="21"/>
      <c r="I186" s="20">
        <f t="shared" si="2"/>
        <v>0</v>
      </c>
      <c r="J186" s="15"/>
      <c r="K186" s="15"/>
      <c r="L186" s="22" t="str">
        <f t="shared" si="3"/>
        <v/>
      </c>
    </row>
    <row r="187" ht="15.75" customHeight="1">
      <c r="A187" s="28"/>
      <c r="B187" s="15"/>
      <c r="C187" s="15"/>
      <c r="D187" s="15"/>
      <c r="E187" s="21"/>
      <c r="F187" s="20">
        <f t="shared" si="1"/>
        <v>0</v>
      </c>
      <c r="G187" s="21"/>
      <c r="H187" s="21"/>
      <c r="I187" s="20">
        <f t="shared" si="2"/>
        <v>0</v>
      </c>
      <c r="J187" s="15"/>
      <c r="K187" s="15"/>
      <c r="L187" s="22" t="str">
        <f t="shared" si="3"/>
        <v/>
      </c>
    </row>
    <row r="188" ht="15.75" customHeight="1">
      <c r="A188" s="28"/>
      <c r="B188" s="15"/>
      <c r="C188" s="15"/>
      <c r="D188" s="15"/>
      <c r="E188" s="21"/>
      <c r="F188" s="20">
        <f t="shared" si="1"/>
        <v>0</v>
      </c>
      <c r="G188" s="21"/>
      <c r="H188" s="21"/>
      <c r="I188" s="20">
        <f t="shared" si="2"/>
        <v>0</v>
      </c>
      <c r="J188" s="15"/>
      <c r="K188" s="15"/>
      <c r="L188" s="22" t="str">
        <f t="shared" si="3"/>
        <v/>
      </c>
    </row>
    <row r="189" ht="15.75" customHeight="1">
      <c r="A189" s="28"/>
      <c r="B189" s="15"/>
      <c r="C189" s="15"/>
      <c r="D189" s="15"/>
      <c r="E189" s="21"/>
      <c r="F189" s="20">
        <f t="shared" si="1"/>
        <v>0</v>
      </c>
      <c r="G189" s="21"/>
      <c r="H189" s="21"/>
      <c r="I189" s="20">
        <f t="shared" si="2"/>
        <v>0</v>
      </c>
      <c r="J189" s="15"/>
      <c r="K189" s="15"/>
      <c r="L189" s="22" t="str">
        <f t="shared" si="3"/>
        <v/>
      </c>
    </row>
    <row r="190" ht="15.75" customHeight="1">
      <c r="A190" s="28"/>
      <c r="B190" s="15"/>
      <c r="C190" s="15"/>
      <c r="D190" s="15"/>
      <c r="E190" s="21"/>
      <c r="F190" s="20">
        <f t="shared" si="1"/>
        <v>0</v>
      </c>
      <c r="G190" s="21"/>
      <c r="H190" s="21"/>
      <c r="I190" s="20">
        <f t="shared" si="2"/>
        <v>0</v>
      </c>
      <c r="J190" s="15"/>
      <c r="K190" s="15"/>
      <c r="L190" s="22" t="str">
        <f t="shared" si="3"/>
        <v/>
      </c>
    </row>
    <row r="191" ht="15.75" customHeight="1">
      <c r="A191" s="28"/>
      <c r="B191" s="15"/>
      <c r="C191" s="15"/>
      <c r="D191" s="15"/>
      <c r="E191" s="21"/>
      <c r="F191" s="20">
        <f t="shared" si="1"/>
        <v>0</v>
      </c>
      <c r="G191" s="21"/>
      <c r="H191" s="21"/>
      <c r="I191" s="20">
        <f t="shared" si="2"/>
        <v>0</v>
      </c>
      <c r="J191" s="15"/>
      <c r="K191" s="15"/>
      <c r="L191" s="22" t="str">
        <f t="shared" si="3"/>
        <v/>
      </c>
    </row>
    <row r="192" ht="15.75" customHeight="1">
      <c r="A192" s="28"/>
      <c r="B192" s="15"/>
      <c r="C192" s="15"/>
      <c r="D192" s="15"/>
      <c r="E192" s="21"/>
      <c r="F192" s="20">
        <f t="shared" si="1"/>
        <v>0</v>
      </c>
      <c r="G192" s="21"/>
      <c r="H192" s="21"/>
      <c r="I192" s="20">
        <f t="shared" si="2"/>
        <v>0</v>
      </c>
      <c r="J192" s="15"/>
      <c r="K192" s="15"/>
      <c r="L192" s="22" t="str">
        <f t="shared" si="3"/>
        <v/>
      </c>
    </row>
    <row r="193" ht="15.75" customHeight="1">
      <c r="A193" s="28"/>
      <c r="B193" s="15"/>
      <c r="C193" s="15"/>
      <c r="D193" s="15"/>
      <c r="E193" s="21"/>
      <c r="F193" s="20">
        <f t="shared" si="1"/>
        <v>0</v>
      </c>
      <c r="G193" s="21"/>
      <c r="H193" s="21"/>
      <c r="I193" s="20">
        <f t="shared" si="2"/>
        <v>0</v>
      </c>
      <c r="J193" s="15"/>
      <c r="K193" s="15"/>
      <c r="L193" s="22" t="str">
        <f t="shared" si="3"/>
        <v/>
      </c>
    </row>
    <row r="194" ht="15.75" customHeight="1">
      <c r="A194" s="28"/>
      <c r="B194" s="15"/>
      <c r="C194" s="15"/>
      <c r="D194" s="15"/>
      <c r="E194" s="21"/>
      <c r="F194" s="20">
        <f t="shared" si="1"/>
        <v>0</v>
      </c>
      <c r="G194" s="21"/>
      <c r="H194" s="21"/>
      <c r="I194" s="20">
        <f t="shared" si="2"/>
        <v>0</v>
      </c>
      <c r="J194" s="15"/>
      <c r="K194" s="15"/>
      <c r="L194" s="22" t="str">
        <f t="shared" si="3"/>
        <v/>
      </c>
    </row>
    <row r="195" ht="15.75" customHeight="1">
      <c r="A195" s="28"/>
      <c r="B195" s="15"/>
      <c r="C195" s="15"/>
      <c r="D195" s="15"/>
      <c r="E195" s="21"/>
      <c r="F195" s="20">
        <f t="shared" si="1"/>
        <v>0</v>
      </c>
      <c r="G195" s="21"/>
      <c r="H195" s="21"/>
      <c r="I195" s="20">
        <f t="shared" si="2"/>
        <v>0</v>
      </c>
      <c r="J195" s="15"/>
      <c r="K195" s="15"/>
      <c r="L195" s="22" t="str">
        <f t="shared" si="3"/>
        <v/>
      </c>
    </row>
    <row r="196" ht="15.75" customHeight="1">
      <c r="A196" s="28"/>
      <c r="B196" s="15"/>
      <c r="C196" s="15"/>
      <c r="D196" s="15"/>
      <c r="E196" s="21"/>
      <c r="F196" s="20">
        <f t="shared" si="1"/>
        <v>0</v>
      </c>
      <c r="G196" s="21"/>
      <c r="H196" s="21"/>
      <c r="I196" s="20">
        <f t="shared" si="2"/>
        <v>0</v>
      </c>
      <c r="J196" s="15"/>
      <c r="K196" s="15"/>
      <c r="L196" s="22" t="str">
        <f t="shared" si="3"/>
        <v/>
      </c>
    </row>
    <row r="197" ht="15.75" customHeight="1">
      <c r="A197" s="28"/>
      <c r="B197" s="15"/>
      <c r="C197" s="15"/>
      <c r="D197" s="15"/>
      <c r="E197" s="21"/>
      <c r="F197" s="20">
        <f t="shared" si="1"/>
        <v>0</v>
      </c>
      <c r="G197" s="21"/>
      <c r="H197" s="21"/>
      <c r="I197" s="20">
        <f t="shared" si="2"/>
        <v>0</v>
      </c>
      <c r="J197" s="15"/>
      <c r="K197" s="15"/>
      <c r="L197" s="22" t="str">
        <f t="shared" si="3"/>
        <v/>
      </c>
    </row>
    <row r="198" ht="15.75" customHeight="1">
      <c r="A198" s="28"/>
      <c r="B198" s="15"/>
      <c r="C198" s="15"/>
      <c r="D198" s="15"/>
      <c r="E198" s="21"/>
      <c r="F198" s="20">
        <f t="shared" si="1"/>
        <v>0</v>
      </c>
      <c r="G198" s="21"/>
      <c r="H198" s="21"/>
      <c r="I198" s="20">
        <f t="shared" si="2"/>
        <v>0</v>
      </c>
      <c r="J198" s="15"/>
      <c r="K198" s="15"/>
      <c r="L198" s="22" t="str">
        <f t="shared" si="3"/>
        <v/>
      </c>
    </row>
    <row r="199" ht="15.75" customHeight="1">
      <c r="A199" s="28"/>
      <c r="B199" s="15"/>
      <c r="C199" s="15"/>
      <c r="D199" s="15"/>
      <c r="E199" s="21"/>
      <c r="F199" s="20">
        <f t="shared" si="1"/>
        <v>0</v>
      </c>
      <c r="G199" s="21"/>
      <c r="H199" s="21"/>
      <c r="I199" s="20">
        <f t="shared" si="2"/>
        <v>0</v>
      </c>
      <c r="J199" s="15"/>
      <c r="K199" s="15"/>
      <c r="L199" s="22" t="str">
        <f t="shared" si="3"/>
        <v/>
      </c>
    </row>
    <row r="200" ht="15.75" customHeight="1">
      <c r="A200" s="28"/>
      <c r="B200" s="15"/>
      <c r="C200" s="15"/>
      <c r="D200" s="15"/>
      <c r="E200" s="21"/>
      <c r="F200" s="20">
        <f t="shared" si="1"/>
        <v>0</v>
      </c>
      <c r="G200" s="21"/>
      <c r="H200" s="21"/>
      <c r="I200" s="20">
        <f t="shared" si="2"/>
        <v>0</v>
      </c>
      <c r="J200" s="15"/>
      <c r="K200" s="15"/>
      <c r="L200" s="22" t="str">
        <f t="shared" si="3"/>
        <v/>
      </c>
    </row>
    <row r="201" ht="15.75" customHeight="1">
      <c r="A201" s="28"/>
      <c r="B201" s="15"/>
      <c r="C201" s="15"/>
      <c r="D201" s="15"/>
      <c r="E201" s="21"/>
      <c r="F201" s="20">
        <f t="shared" si="1"/>
        <v>0</v>
      </c>
      <c r="G201" s="21"/>
      <c r="H201" s="21"/>
      <c r="I201" s="20">
        <f t="shared" si="2"/>
        <v>0</v>
      </c>
      <c r="J201" s="15"/>
      <c r="K201" s="15"/>
      <c r="L201" s="22" t="str">
        <f t="shared" si="3"/>
        <v/>
      </c>
    </row>
    <row r="202" ht="15.75" customHeight="1">
      <c r="A202" s="28"/>
      <c r="B202" s="15"/>
      <c r="C202" s="15"/>
      <c r="D202" s="15"/>
      <c r="E202" s="21"/>
      <c r="F202" s="20">
        <f t="shared" si="1"/>
        <v>0</v>
      </c>
      <c r="G202" s="21"/>
      <c r="H202" s="21"/>
      <c r="I202" s="20">
        <f t="shared" si="2"/>
        <v>0</v>
      </c>
      <c r="J202" s="15"/>
      <c r="K202" s="15"/>
      <c r="L202" s="22" t="str">
        <f t="shared" si="3"/>
        <v/>
      </c>
    </row>
    <row r="203" ht="15.75" customHeight="1">
      <c r="A203" s="28"/>
      <c r="B203" s="15"/>
      <c r="C203" s="15"/>
      <c r="D203" s="15"/>
      <c r="E203" s="21"/>
      <c r="F203" s="20">
        <f t="shared" si="1"/>
        <v>0</v>
      </c>
      <c r="G203" s="21"/>
      <c r="H203" s="21"/>
      <c r="I203" s="20">
        <f t="shared" si="2"/>
        <v>0</v>
      </c>
      <c r="J203" s="15"/>
      <c r="K203" s="15"/>
      <c r="L203" s="22" t="str">
        <f t="shared" si="3"/>
        <v/>
      </c>
    </row>
    <row r="204" ht="15.75" customHeight="1"/>
    <row r="205" ht="15.75" customHeight="1"/>
    <row r="206" ht="15.75" customHeight="1">
      <c r="A206" s="4" t="s">
        <v>108</v>
      </c>
      <c r="B206" s="4" t="s">
        <v>4</v>
      </c>
    </row>
    <row r="207" ht="15.75" customHeight="1">
      <c r="A207" s="30" t="s">
        <v>109</v>
      </c>
      <c r="B207" s="31">
        <f>SUM(F4:F203)</f>
        <v>2637200</v>
      </c>
    </row>
    <row r="208" ht="15.75" customHeight="1">
      <c r="A208" s="32" t="s">
        <v>110</v>
      </c>
      <c r="B208" s="33">
        <f>SUMIFS(I4:I203,J4:J203,"Có")</f>
        <v>91363.88889</v>
      </c>
    </row>
    <row r="209" ht="15.75" customHeight="1">
      <c r="A209" s="32" t="s">
        <v>111</v>
      </c>
      <c r="B209" s="33">
        <f>IFERROR(B208/'Thiết lập'!$B$9,0)</f>
        <v>91.36388889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qref="J4:J203">
      <formula1>$O$3:$O$4</formula1>
    </dataValidation>
    <dataValidation type="list" allowBlank="1" sqref="C4:C203">
      <formula1>$N$3:$N$6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18.0"/>
    <col customWidth="1" min="4" max="4" width="22.0"/>
    <col customWidth="1" min="5" max="5" width="20.0"/>
    <col customWidth="1" min="6" max="6" width="12.0"/>
    <col customWidth="1" min="7" max="7" width="18.0"/>
    <col customWidth="1" min="8" max="9" width="8.63"/>
    <col customWidth="1" min="10" max="10" width="19.25"/>
    <col customWidth="1" min="11" max="26" width="8.63"/>
  </cols>
  <sheetData>
    <row r="1">
      <c r="A1" s="1" t="s">
        <v>37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4" t="s">
        <v>46</v>
      </c>
      <c r="H2" s="2"/>
      <c r="I2" s="18" t="s">
        <v>20</v>
      </c>
      <c r="J2" s="18" t="s">
        <v>55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60</v>
      </c>
      <c r="B3" s="4" t="s">
        <v>61</v>
      </c>
      <c r="C3" s="4" t="s">
        <v>63</v>
      </c>
      <c r="D3" s="4" t="s">
        <v>65</v>
      </c>
      <c r="E3" s="4" t="s">
        <v>66</v>
      </c>
      <c r="F3" s="4" t="s">
        <v>20</v>
      </c>
      <c r="G3" s="4" t="s">
        <v>68</v>
      </c>
      <c r="H3" s="2"/>
      <c r="I3" s="18" t="s">
        <v>38</v>
      </c>
      <c r="J3" s="18" t="s">
        <v>70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3" t="s">
        <v>72</v>
      </c>
      <c r="B4" s="23" t="s">
        <v>77</v>
      </c>
      <c r="C4" s="24">
        <v>400.0</v>
      </c>
      <c r="D4" s="23" t="s">
        <v>86</v>
      </c>
      <c r="E4" s="7">
        <v>35000.0</v>
      </c>
      <c r="F4" s="23" t="s">
        <v>38</v>
      </c>
      <c r="G4" s="18" t="str">
        <f t="shared" ref="G4:G53" si="1">IF(AND(B4&lt;&gt;"",F4="Có"),B4,"")</f>
        <v>Size M</v>
      </c>
      <c r="H4" s="2"/>
      <c r="I4" s="18" t="s">
        <v>71</v>
      </c>
      <c r="J4" s="18" t="s">
        <v>97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3" t="s">
        <v>99</v>
      </c>
      <c r="B5" s="23" t="s">
        <v>100</v>
      </c>
      <c r="C5" s="24">
        <v>550.0</v>
      </c>
      <c r="D5" s="23" t="s">
        <v>86</v>
      </c>
      <c r="E5" s="7">
        <v>40000.0</v>
      </c>
      <c r="F5" s="23" t="s">
        <v>38</v>
      </c>
      <c r="G5" s="18" t="str">
        <f t="shared" si="1"/>
        <v>Size L</v>
      </c>
      <c r="H5" s="2"/>
      <c r="I5" s="2"/>
      <c r="J5" s="18" t="s">
        <v>102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3" t="str">
        <f t="shared" ref="A6:A53" si="2">IF(B6="","","SZ-"&amp;TEXT(ROW()-3,"000"))</f>
        <v/>
      </c>
      <c r="B6" s="23"/>
      <c r="C6" s="29"/>
      <c r="D6" s="23"/>
      <c r="E6" s="7"/>
      <c r="F6" s="23"/>
      <c r="G6" s="18" t="str">
        <f t="shared" si="1"/>
        <v/>
      </c>
      <c r="H6" s="2"/>
      <c r="I6" s="2"/>
      <c r="J6" s="18" t="s">
        <v>104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3" t="str">
        <f t="shared" si="2"/>
        <v/>
      </c>
      <c r="B7" s="23"/>
      <c r="C7" s="29"/>
      <c r="D7" s="23"/>
      <c r="E7" s="7"/>
      <c r="F7" s="23"/>
      <c r="G7" s="18" t="str">
        <f t="shared" si="1"/>
        <v/>
      </c>
      <c r="H7" s="2"/>
      <c r="I7" s="2"/>
      <c r="J7" s="18" t="s">
        <v>105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3" t="str">
        <f t="shared" si="2"/>
        <v/>
      </c>
      <c r="B8" s="23"/>
      <c r="C8" s="29"/>
      <c r="D8" s="23"/>
      <c r="E8" s="7"/>
      <c r="F8" s="23"/>
      <c r="G8" s="18" t="str">
        <f t="shared" si="1"/>
        <v/>
      </c>
      <c r="H8" s="2"/>
      <c r="I8" s="2"/>
      <c r="J8" s="18" t="s">
        <v>106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3" t="str">
        <f t="shared" si="2"/>
        <v/>
      </c>
      <c r="B9" s="23"/>
      <c r="C9" s="29"/>
      <c r="D9" s="23"/>
      <c r="E9" s="7"/>
      <c r="F9" s="23"/>
      <c r="G9" s="18" t="str">
        <f t="shared" si="1"/>
        <v/>
      </c>
      <c r="H9" s="2"/>
      <c r="I9" s="2"/>
      <c r="J9" s="18" t="s">
        <v>107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3" t="str">
        <f t="shared" si="2"/>
        <v/>
      </c>
      <c r="B10" s="23"/>
      <c r="C10" s="29"/>
      <c r="D10" s="23"/>
      <c r="E10" s="7"/>
      <c r="F10" s="23"/>
      <c r="G10" s="18" t="str">
        <f t="shared" si="1"/>
        <v/>
      </c>
      <c r="H10" s="2"/>
      <c r="I10" s="2"/>
      <c r="J10" s="18" t="s">
        <v>86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3" t="str">
        <f t="shared" si="2"/>
        <v/>
      </c>
      <c r="B11" s="23"/>
      <c r="C11" s="29"/>
      <c r="D11" s="23"/>
      <c r="E11" s="7"/>
      <c r="F11" s="23"/>
      <c r="G11" s="18" t="str">
        <f t="shared" si="1"/>
        <v/>
      </c>
      <c r="H11" s="2"/>
      <c r="I11" s="2"/>
      <c r="J11" s="18" t="str">
        <f>IF(AND('Hàng hóa'!B20&lt;&gt;"",'Hàng hóa'!C20="Bao bì",'Hàng hóa'!I20="Có"),'Hàng hóa'!B20,"")</f>
        <v>Màng Wrap nhỏ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3" t="str">
        <f t="shared" si="2"/>
        <v/>
      </c>
      <c r="B12" s="23"/>
      <c r="C12" s="29"/>
      <c r="D12" s="23"/>
      <c r="E12" s="7"/>
      <c r="F12" s="23"/>
      <c r="G12" s="18" t="str">
        <f t="shared" si="1"/>
        <v/>
      </c>
      <c r="H12" s="2"/>
      <c r="I12" s="2"/>
      <c r="J12" s="18" t="str">
        <f>IF(AND('Hàng hóa'!B21&lt;&gt;"",'Hàng hóa'!C21="Bao bì",'Hàng hóa'!I21="Có"),'Hàng hóa'!B21,"")</f>
        <v/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3" t="str">
        <f t="shared" si="2"/>
        <v/>
      </c>
      <c r="B13" s="23"/>
      <c r="C13" s="29"/>
      <c r="D13" s="23"/>
      <c r="E13" s="7"/>
      <c r="F13" s="23"/>
      <c r="G13" s="18" t="str">
        <f t="shared" si="1"/>
        <v/>
      </c>
      <c r="H13" s="2"/>
      <c r="I13" s="2"/>
      <c r="J13" s="18" t="str">
        <f>IF(AND('Hàng hóa'!B22&lt;&gt;"",'Hàng hóa'!C22="Bao bì",'Hàng hóa'!I22="Có"),'Hàng hóa'!B22,"")</f>
        <v/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3" t="str">
        <f t="shared" si="2"/>
        <v/>
      </c>
      <c r="B14" s="23"/>
      <c r="C14" s="29"/>
      <c r="D14" s="23"/>
      <c r="E14" s="7"/>
      <c r="F14" s="23"/>
      <c r="G14" s="18" t="str">
        <f t="shared" si="1"/>
        <v/>
      </c>
      <c r="H14" s="2"/>
      <c r="I14" s="2"/>
      <c r="J14" s="18" t="str">
        <f>IF(AND('Hàng hóa'!B23&lt;&gt;"",'Hàng hóa'!C23="Bao bì",'Hàng hóa'!I23="Có"),'Hàng hóa'!B23,"")</f>
        <v/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3" t="str">
        <f t="shared" si="2"/>
        <v/>
      </c>
      <c r="B15" s="23"/>
      <c r="C15" s="29"/>
      <c r="D15" s="23"/>
      <c r="E15" s="7"/>
      <c r="F15" s="23"/>
      <c r="G15" s="18" t="str">
        <f t="shared" si="1"/>
        <v/>
      </c>
      <c r="H15" s="2"/>
      <c r="I15" s="2"/>
      <c r="J15" s="18" t="str">
        <f>IF(AND('Hàng hóa'!B24&lt;&gt;"",'Hàng hóa'!C24="Bao bì",'Hàng hóa'!I24="Có"),'Hàng hóa'!B24,"")</f>
        <v/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3" t="str">
        <f t="shared" si="2"/>
        <v/>
      </c>
      <c r="B16" s="23"/>
      <c r="C16" s="29"/>
      <c r="D16" s="23"/>
      <c r="E16" s="7"/>
      <c r="F16" s="23"/>
      <c r="G16" s="18" t="str">
        <f t="shared" si="1"/>
        <v/>
      </c>
      <c r="H16" s="2"/>
      <c r="I16" s="2"/>
      <c r="J16" s="18" t="str">
        <f>IF(AND('Hàng hóa'!B25&lt;&gt;"",'Hàng hóa'!C25="Bao bì",'Hàng hóa'!I25="Có"),'Hàng hóa'!B25,"")</f>
        <v/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3" t="str">
        <f t="shared" si="2"/>
        <v/>
      </c>
      <c r="B17" s="23"/>
      <c r="C17" s="29"/>
      <c r="D17" s="23"/>
      <c r="E17" s="7"/>
      <c r="F17" s="23"/>
      <c r="G17" s="18" t="str">
        <f t="shared" si="1"/>
        <v/>
      </c>
      <c r="H17" s="2"/>
      <c r="I17" s="2"/>
      <c r="J17" s="18" t="str">
        <f>IF(AND('Hàng hóa'!B26&lt;&gt;"",'Hàng hóa'!C26="Bao bì",'Hàng hóa'!I26="Có"),'Hàng hóa'!B26,"")</f>
        <v/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3" t="str">
        <f t="shared" si="2"/>
        <v/>
      </c>
      <c r="B18" s="23"/>
      <c r="C18" s="29"/>
      <c r="D18" s="23"/>
      <c r="E18" s="7"/>
      <c r="F18" s="23"/>
      <c r="G18" s="18" t="str">
        <f t="shared" si="1"/>
        <v/>
      </c>
      <c r="H18" s="2"/>
      <c r="I18" s="2"/>
      <c r="J18" s="18" t="str">
        <f>IF(AND('Hàng hóa'!B27&lt;&gt;"",'Hàng hóa'!C27="Bao bì",'Hàng hóa'!I27="Có"),'Hàng hóa'!B27,"")</f>
        <v/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3" t="str">
        <f t="shared" si="2"/>
        <v/>
      </c>
      <c r="B19" s="23"/>
      <c r="C19" s="29"/>
      <c r="D19" s="23"/>
      <c r="E19" s="7"/>
      <c r="F19" s="23"/>
      <c r="G19" s="18" t="str">
        <f t="shared" si="1"/>
        <v/>
      </c>
      <c r="H19" s="2"/>
      <c r="I19" s="2"/>
      <c r="J19" s="18" t="str">
        <f>IF(AND('Hàng hóa'!B28&lt;&gt;"",'Hàng hóa'!C28="Bao bì",'Hàng hóa'!I28="Có"),'Hàng hóa'!B28,"")</f>
        <v/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3" t="str">
        <f t="shared" si="2"/>
        <v/>
      </c>
      <c r="B20" s="23"/>
      <c r="C20" s="29"/>
      <c r="D20" s="23"/>
      <c r="E20" s="7"/>
      <c r="F20" s="23"/>
      <c r="G20" s="18" t="str">
        <f t="shared" si="1"/>
        <v/>
      </c>
      <c r="H20" s="2"/>
      <c r="I20" s="2"/>
      <c r="J20" s="18" t="str">
        <f>IF(AND('Hàng hóa'!B29&lt;&gt;"",'Hàng hóa'!C29="Bao bì",'Hàng hóa'!I29="Có"),'Hàng hóa'!B29,"")</f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23" t="str">
        <f t="shared" si="2"/>
        <v/>
      </c>
      <c r="B21" s="23"/>
      <c r="C21" s="29"/>
      <c r="D21" s="23"/>
      <c r="E21" s="7"/>
      <c r="F21" s="23"/>
      <c r="G21" s="18" t="str">
        <f t="shared" si="1"/>
        <v/>
      </c>
      <c r="H21" s="2"/>
      <c r="I21" s="2"/>
      <c r="J21" s="18" t="str">
        <f>IF(AND('Hàng hóa'!B30&lt;&gt;"",'Hàng hóa'!C30="Bao bì",'Hàng hóa'!I30="Có"),'Hàng hóa'!B30,"")</f>
        <v/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3" t="str">
        <f t="shared" si="2"/>
        <v/>
      </c>
      <c r="B22" s="23"/>
      <c r="C22" s="29"/>
      <c r="D22" s="23"/>
      <c r="E22" s="7"/>
      <c r="F22" s="23"/>
      <c r="G22" s="18" t="str">
        <f t="shared" si="1"/>
        <v/>
      </c>
      <c r="H22" s="2"/>
      <c r="I22" s="2"/>
      <c r="J22" s="18" t="str">
        <f>IF(AND('Hàng hóa'!B31&lt;&gt;"",'Hàng hóa'!C31="Bao bì",'Hàng hóa'!I31="Có"),'Hàng hóa'!B31,"")</f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3" t="str">
        <f t="shared" si="2"/>
        <v/>
      </c>
      <c r="B23" s="23"/>
      <c r="C23" s="29"/>
      <c r="D23" s="23"/>
      <c r="E23" s="7"/>
      <c r="F23" s="23"/>
      <c r="G23" s="18" t="str">
        <f t="shared" si="1"/>
        <v/>
      </c>
      <c r="H23" s="2"/>
      <c r="I23" s="2"/>
      <c r="J23" s="18" t="str">
        <f>IF(AND('Hàng hóa'!B32&lt;&gt;"",'Hàng hóa'!C32="Bao bì",'Hàng hóa'!I32="Có"),'Hàng hóa'!B32,"")</f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3" t="str">
        <f t="shared" si="2"/>
        <v/>
      </c>
      <c r="B24" s="23"/>
      <c r="C24" s="29"/>
      <c r="D24" s="23"/>
      <c r="E24" s="7"/>
      <c r="F24" s="23"/>
      <c r="G24" s="18" t="str">
        <f t="shared" si="1"/>
        <v/>
      </c>
      <c r="H24" s="2"/>
      <c r="I24" s="2"/>
      <c r="J24" s="18" t="str">
        <f>IF(AND('Hàng hóa'!B33&lt;&gt;"",'Hàng hóa'!C33="Bao bì",'Hàng hóa'!I33="Có"),'Hàng hóa'!B33,"")</f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3" t="str">
        <f t="shared" si="2"/>
        <v/>
      </c>
      <c r="B25" s="23"/>
      <c r="C25" s="29"/>
      <c r="D25" s="23"/>
      <c r="E25" s="7"/>
      <c r="F25" s="23"/>
      <c r="G25" s="18" t="str">
        <f t="shared" si="1"/>
        <v/>
      </c>
      <c r="H25" s="2"/>
      <c r="I25" s="2"/>
      <c r="J25" s="18" t="str">
        <f>IF(AND('Hàng hóa'!B34&lt;&gt;"",'Hàng hóa'!C34="Bao bì",'Hàng hóa'!I34="Có"),'Hàng hóa'!B34,"")</f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3" t="str">
        <f t="shared" si="2"/>
        <v/>
      </c>
      <c r="B26" s="23"/>
      <c r="C26" s="29"/>
      <c r="D26" s="23"/>
      <c r="E26" s="7"/>
      <c r="F26" s="23"/>
      <c r="G26" s="18" t="str">
        <f t="shared" si="1"/>
        <v/>
      </c>
      <c r="H26" s="2"/>
      <c r="I26" s="2"/>
      <c r="J26" s="18" t="str">
        <f>IF(AND('Hàng hóa'!B35&lt;&gt;"",'Hàng hóa'!C35="Bao bì",'Hàng hóa'!I35="Có"),'Hàng hóa'!B35,"")</f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3" t="str">
        <f t="shared" si="2"/>
        <v/>
      </c>
      <c r="B27" s="23"/>
      <c r="C27" s="29"/>
      <c r="D27" s="23"/>
      <c r="E27" s="7"/>
      <c r="F27" s="23"/>
      <c r="G27" s="18" t="str">
        <f t="shared" si="1"/>
        <v/>
      </c>
      <c r="H27" s="2"/>
      <c r="I27" s="2"/>
      <c r="J27" s="18" t="str">
        <f>IF(AND('Hàng hóa'!B36&lt;&gt;"",'Hàng hóa'!C36="Bao bì",'Hàng hóa'!I36="Có"),'Hàng hóa'!B36,"")</f>
        <v/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3" t="str">
        <f t="shared" si="2"/>
        <v/>
      </c>
      <c r="B28" s="23"/>
      <c r="C28" s="29"/>
      <c r="D28" s="23"/>
      <c r="E28" s="7"/>
      <c r="F28" s="23"/>
      <c r="G28" s="18" t="str">
        <f t="shared" si="1"/>
        <v/>
      </c>
      <c r="H28" s="2"/>
      <c r="I28" s="2"/>
      <c r="J28" s="18" t="str">
        <f>IF(AND('Hàng hóa'!B37&lt;&gt;"",'Hàng hóa'!C37="Bao bì",'Hàng hóa'!I37="Có"),'Hàng hóa'!B37,"")</f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3" t="str">
        <f t="shared" si="2"/>
        <v/>
      </c>
      <c r="B29" s="23"/>
      <c r="C29" s="29"/>
      <c r="D29" s="23"/>
      <c r="E29" s="7"/>
      <c r="F29" s="23"/>
      <c r="G29" s="18" t="str">
        <f t="shared" si="1"/>
        <v/>
      </c>
      <c r="H29" s="2"/>
      <c r="I29" s="2"/>
      <c r="J29" s="18" t="str">
        <f>IF(AND('Hàng hóa'!B38&lt;&gt;"",'Hàng hóa'!C38="Bao bì",'Hàng hóa'!I38="Có"),'Hàng hóa'!B38,"")</f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3" t="str">
        <f t="shared" si="2"/>
        <v/>
      </c>
      <c r="B30" s="23"/>
      <c r="C30" s="29"/>
      <c r="D30" s="23"/>
      <c r="E30" s="7"/>
      <c r="F30" s="23"/>
      <c r="G30" s="18" t="str">
        <f t="shared" si="1"/>
        <v/>
      </c>
      <c r="H30" s="2"/>
      <c r="I30" s="2"/>
      <c r="J30" s="18" t="str">
        <f>IF(AND('Hàng hóa'!B39&lt;&gt;"",'Hàng hóa'!C39="Bao bì",'Hàng hóa'!I39="Có"),'Hàng hóa'!B39,"")</f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3" t="str">
        <f t="shared" si="2"/>
        <v/>
      </c>
      <c r="B31" s="23"/>
      <c r="C31" s="29"/>
      <c r="D31" s="23"/>
      <c r="E31" s="7"/>
      <c r="F31" s="23"/>
      <c r="G31" s="18" t="str">
        <f t="shared" si="1"/>
        <v/>
      </c>
      <c r="H31" s="2"/>
      <c r="I31" s="2"/>
      <c r="J31" s="18" t="str">
        <f>IF(AND('Hàng hóa'!B40&lt;&gt;"",'Hàng hóa'!C40="Bao bì",'Hàng hóa'!I40="Có"),'Hàng hóa'!B40,"")</f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3" t="str">
        <f t="shared" si="2"/>
        <v/>
      </c>
      <c r="B32" s="23"/>
      <c r="C32" s="29"/>
      <c r="D32" s="23"/>
      <c r="E32" s="7"/>
      <c r="F32" s="23"/>
      <c r="G32" s="18" t="str">
        <f t="shared" si="1"/>
        <v/>
      </c>
      <c r="H32" s="2"/>
      <c r="I32" s="2"/>
      <c r="J32" s="18" t="str">
        <f>IF(AND('Hàng hóa'!B41&lt;&gt;"",'Hàng hóa'!C41="Bao bì",'Hàng hóa'!I41="Có"),'Hàng hóa'!B41,"")</f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3" t="str">
        <f t="shared" si="2"/>
        <v/>
      </c>
      <c r="B33" s="23"/>
      <c r="C33" s="29"/>
      <c r="D33" s="23"/>
      <c r="E33" s="7"/>
      <c r="F33" s="23"/>
      <c r="G33" s="18" t="str">
        <f t="shared" si="1"/>
        <v/>
      </c>
      <c r="H33" s="2"/>
      <c r="I33" s="2"/>
      <c r="J33" s="18" t="str">
        <f>IF(AND('Hàng hóa'!B42&lt;&gt;"",'Hàng hóa'!C42="Bao bì",'Hàng hóa'!I42="Có"),'Hàng hóa'!B42,"")</f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3" t="str">
        <f t="shared" si="2"/>
        <v/>
      </c>
      <c r="B34" s="23"/>
      <c r="C34" s="29"/>
      <c r="D34" s="23"/>
      <c r="E34" s="7"/>
      <c r="F34" s="23"/>
      <c r="G34" s="18" t="str">
        <f t="shared" si="1"/>
        <v/>
      </c>
      <c r="H34" s="2"/>
      <c r="I34" s="2"/>
      <c r="J34" s="18" t="str">
        <f>IF(AND('Hàng hóa'!B43&lt;&gt;"",'Hàng hóa'!C43="Bao bì",'Hàng hóa'!I43="Có"),'Hàng hóa'!B43,"")</f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3" t="str">
        <f t="shared" si="2"/>
        <v/>
      </c>
      <c r="B35" s="23"/>
      <c r="C35" s="29"/>
      <c r="D35" s="23"/>
      <c r="E35" s="7"/>
      <c r="F35" s="23"/>
      <c r="G35" s="18" t="str">
        <f t="shared" si="1"/>
        <v/>
      </c>
      <c r="H35" s="2"/>
      <c r="I35" s="2"/>
      <c r="J35" s="18" t="str">
        <f>IF(AND('Hàng hóa'!B44&lt;&gt;"",'Hàng hóa'!C44="Bao bì",'Hàng hóa'!I44="Có"),'Hàng hóa'!B44,"")</f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3" t="str">
        <f t="shared" si="2"/>
        <v/>
      </c>
      <c r="B36" s="23"/>
      <c r="C36" s="29"/>
      <c r="D36" s="23"/>
      <c r="E36" s="7"/>
      <c r="F36" s="23"/>
      <c r="G36" s="18" t="str">
        <f t="shared" si="1"/>
        <v/>
      </c>
      <c r="H36" s="2"/>
      <c r="I36" s="2"/>
      <c r="J36" s="18" t="str">
        <f>IF(AND('Hàng hóa'!B45&lt;&gt;"",'Hàng hóa'!C45="Bao bì",'Hàng hóa'!I45="Có"),'Hàng hóa'!B45,"")</f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3" t="str">
        <f t="shared" si="2"/>
        <v/>
      </c>
      <c r="B37" s="23"/>
      <c r="C37" s="29"/>
      <c r="D37" s="23"/>
      <c r="E37" s="7"/>
      <c r="F37" s="23"/>
      <c r="G37" s="18" t="str">
        <f t="shared" si="1"/>
        <v/>
      </c>
      <c r="H37" s="2"/>
      <c r="I37" s="2"/>
      <c r="J37" s="18" t="str">
        <f>IF(AND('Hàng hóa'!B46&lt;&gt;"",'Hàng hóa'!C46="Bao bì",'Hàng hóa'!I46="Có"),'Hàng hóa'!B46,"")</f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3" t="str">
        <f t="shared" si="2"/>
        <v/>
      </c>
      <c r="B38" s="23"/>
      <c r="C38" s="29"/>
      <c r="D38" s="23"/>
      <c r="E38" s="7"/>
      <c r="F38" s="23"/>
      <c r="G38" s="18" t="str">
        <f t="shared" si="1"/>
        <v/>
      </c>
      <c r="H38" s="2"/>
      <c r="I38" s="2"/>
      <c r="J38" s="18" t="str">
        <f>IF(AND('Hàng hóa'!B47&lt;&gt;"",'Hàng hóa'!C47="Bao bì",'Hàng hóa'!I47="Có"),'Hàng hóa'!B47,"")</f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3" t="str">
        <f t="shared" si="2"/>
        <v/>
      </c>
      <c r="B39" s="23"/>
      <c r="C39" s="29"/>
      <c r="D39" s="23"/>
      <c r="E39" s="7"/>
      <c r="F39" s="23"/>
      <c r="G39" s="18" t="str">
        <f t="shared" si="1"/>
        <v/>
      </c>
      <c r="H39" s="2"/>
      <c r="I39" s="2"/>
      <c r="J39" s="18" t="str">
        <f>IF(AND('Hàng hóa'!B48&lt;&gt;"",'Hàng hóa'!C48="Bao bì",'Hàng hóa'!I48="Có"),'Hàng hóa'!B48,"")</f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3" t="str">
        <f t="shared" si="2"/>
        <v/>
      </c>
      <c r="B40" s="23"/>
      <c r="C40" s="29"/>
      <c r="D40" s="23"/>
      <c r="E40" s="7"/>
      <c r="F40" s="23"/>
      <c r="G40" s="18" t="str">
        <f t="shared" si="1"/>
        <v/>
      </c>
      <c r="H40" s="2"/>
      <c r="I40" s="2"/>
      <c r="J40" s="18" t="str">
        <f>IF(AND('Hàng hóa'!B49&lt;&gt;"",'Hàng hóa'!C49="Bao bì",'Hàng hóa'!I49="Có"),'Hàng hóa'!B49,"")</f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3" t="str">
        <f t="shared" si="2"/>
        <v/>
      </c>
      <c r="B41" s="23"/>
      <c r="C41" s="29"/>
      <c r="D41" s="23"/>
      <c r="E41" s="7"/>
      <c r="F41" s="23"/>
      <c r="G41" s="18" t="str">
        <f t="shared" si="1"/>
        <v/>
      </c>
      <c r="H41" s="2"/>
      <c r="I41" s="2"/>
      <c r="J41" s="18" t="str">
        <f>IF(AND('Hàng hóa'!B50&lt;&gt;"",'Hàng hóa'!C50="Bao bì",'Hàng hóa'!I50="Có"),'Hàng hóa'!B50,"")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3" t="str">
        <f t="shared" si="2"/>
        <v/>
      </c>
      <c r="B42" s="23"/>
      <c r="C42" s="29"/>
      <c r="D42" s="23"/>
      <c r="E42" s="7"/>
      <c r="F42" s="23"/>
      <c r="G42" s="18" t="str">
        <f t="shared" si="1"/>
        <v/>
      </c>
      <c r="H42" s="2"/>
      <c r="I42" s="2"/>
      <c r="J42" s="18" t="str">
        <f>IF(AND('Hàng hóa'!B51&lt;&gt;"",'Hàng hóa'!C51="Bao bì",'Hàng hóa'!I51="Có"),'Hàng hóa'!B51,"")</f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3" t="str">
        <f t="shared" si="2"/>
        <v/>
      </c>
      <c r="B43" s="23"/>
      <c r="C43" s="29"/>
      <c r="D43" s="23"/>
      <c r="E43" s="7"/>
      <c r="F43" s="23"/>
      <c r="G43" s="18" t="str">
        <f t="shared" si="1"/>
        <v/>
      </c>
      <c r="H43" s="2"/>
      <c r="I43" s="2"/>
      <c r="J43" s="18" t="str">
        <f>IF(AND('Hàng hóa'!B52&lt;&gt;"",'Hàng hóa'!C52="Bao bì",'Hàng hóa'!I52="Có"),'Hàng hóa'!B52,"")</f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3" t="str">
        <f t="shared" si="2"/>
        <v/>
      </c>
      <c r="B44" s="23"/>
      <c r="C44" s="29"/>
      <c r="D44" s="23"/>
      <c r="E44" s="7"/>
      <c r="F44" s="23"/>
      <c r="G44" s="18" t="str">
        <f t="shared" si="1"/>
        <v/>
      </c>
      <c r="H44" s="2"/>
      <c r="I44" s="2"/>
      <c r="J44" s="18" t="str">
        <f>IF(AND('Hàng hóa'!B53&lt;&gt;"",'Hàng hóa'!C53="Bao bì",'Hàng hóa'!I53="Có"),'Hàng hóa'!B53,"")</f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3" t="str">
        <f t="shared" si="2"/>
        <v/>
      </c>
      <c r="B45" s="23"/>
      <c r="C45" s="29"/>
      <c r="D45" s="23"/>
      <c r="E45" s="7"/>
      <c r="F45" s="23"/>
      <c r="G45" s="18" t="str">
        <f t="shared" si="1"/>
        <v/>
      </c>
      <c r="H45" s="2"/>
      <c r="I45" s="2"/>
      <c r="J45" s="18" t="str">
        <f>IF(AND('Hàng hóa'!B54&lt;&gt;"",'Hàng hóa'!C54="Bao bì",'Hàng hóa'!I54="Có"),'Hàng hóa'!B54,"")</f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3" t="str">
        <f t="shared" si="2"/>
        <v/>
      </c>
      <c r="B46" s="23"/>
      <c r="C46" s="29"/>
      <c r="D46" s="23"/>
      <c r="E46" s="7"/>
      <c r="F46" s="23"/>
      <c r="G46" s="18" t="str">
        <f t="shared" si="1"/>
        <v/>
      </c>
      <c r="H46" s="2"/>
      <c r="I46" s="2"/>
      <c r="J46" s="18" t="str">
        <f>IF(AND('Hàng hóa'!B55&lt;&gt;"",'Hàng hóa'!C55="Bao bì",'Hàng hóa'!I55="Có"),'Hàng hóa'!B55,"")</f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3" t="str">
        <f t="shared" si="2"/>
        <v/>
      </c>
      <c r="B47" s="23"/>
      <c r="C47" s="29"/>
      <c r="D47" s="23"/>
      <c r="E47" s="7"/>
      <c r="F47" s="23"/>
      <c r="G47" s="18" t="str">
        <f t="shared" si="1"/>
        <v/>
      </c>
      <c r="H47" s="2"/>
      <c r="I47" s="2"/>
      <c r="J47" s="18" t="str">
        <f>IF(AND('Hàng hóa'!B56&lt;&gt;"",'Hàng hóa'!C56="Bao bì",'Hàng hóa'!I56="Có"),'Hàng hóa'!B56,"")</f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3" t="str">
        <f t="shared" si="2"/>
        <v/>
      </c>
      <c r="B48" s="23"/>
      <c r="C48" s="29"/>
      <c r="D48" s="23"/>
      <c r="E48" s="7"/>
      <c r="F48" s="23"/>
      <c r="G48" s="18" t="str">
        <f t="shared" si="1"/>
        <v/>
      </c>
      <c r="H48" s="2"/>
      <c r="I48" s="2"/>
      <c r="J48" s="18" t="str">
        <f>IF(AND('Hàng hóa'!B57&lt;&gt;"",'Hàng hóa'!C57="Bao bì",'Hàng hóa'!I57="Có"),'Hàng hóa'!B57,"")</f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3" t="str">
        <f t="shared" si="2"/>
        <v/>
      </c>
      <c r="B49" s="23"/>
      <c r="C49" s="29"/>
      <c r="D49" s="23"/>
      <c r="E49" s="7"/>
      <c r="F49" s="23"/>
      <c r="G49" s="18" t="str">
        <f t="shared" si="1"/>
        <v/>
      </c>
      <c r="H49" s="2"/>
      <c r="I49" s="2"/>
      <c r="J49" s="18" t="str">
        <f>IF(AND('Hàng hóa'!B58&lt;&gt;"",'Hàng hóa'!C58="Bao bì",'Hàng hóa'!I58="Có"),'Hàng hóa'!B58,"")</f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3" t="str">
        <f t="shared" si="2"/>
        <v/>
      </c>
      <c r="B50" s="23"/>
      <c r="C50" s="29"/>
      <c r="D50" s="23"/>
      <c r="E50" s="7"/>
      <c r="F50" s="23"/>
      <c r="G50" s="18" t="str">
        <f t="shared" si="1"/>
        <v/>
      </c>
      <c r="H50" s="2"/>
      <c r="I50" s="2"/>
      <c r="J50" s="18" t="str">
        <f>IF(AND('Hàng hóa'!B59&lt;&gt;"",'Hàng hóa'!C59="Bao bì",'Hàng hóa'!I59="Có"),'Hàng hóa'!B59,"")</f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3" t="str">
        <f t="shared" si="2"/>
        <v/>
      </c>
      <c r="B51" s="23"/>
      <c r="C51" s="29"/>
      <c r="D51" s="23"/>
      <c r="E51" s="7"/>
      <c r="F51" s="23"/>
      <c r="G51" s="18" t="str">
        <f t="shared" si="1"/>
        <v/>
      </c>
      <c r="H51" s="2"/>
      <c r="I51" s="2"/>
      <c r="J51" s="18" t="str">
        <f>IF(AND('Hàng hóa'!B60&lt;&gt;"",'Hàng hóa'!C60="Bao bì",'Hàng hóa'!I60="Có"),'Hàng hóa'!B60,"")</f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3" t="str">
        <f t="shared" si="2"/>
        <v/>
      </c>
      <c r="B52" s="23"/>
      <c r="C52" s="29"/>
      <c r="D52" s="23"/>
      <c r="E52" s="7"/>
      <c r="F52" s="23"/>
      <c r="G52" s="18" t="str">
        <f t="shared" si="1"/>
        <v/>
      </c>
      <c r="H52" s="2"/>
      <c r="I52" s="2"/>
      <c r="J52" s="18" t="str">
        <f>IF(AND('Hàng hóa'!B61&lt;&gt;"",'Hàng hóa'!C61="Bao bì",'Hàng hóa'!I61="Có"),'Hàng hóa'!B61,"")</f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3" t="str">
        <f t="shared" si="2"/>
        <v/>
      </c>
      <c r="B53" s="23"/>
      <c r="C53" s="29"/>
      <c r="D53" s="23"/>
      <c r="E53" s="7"/>
      <c r="F53" s="23"/>
      <c r="G53" s="18" t="str">
        <f t="shared" si="1"/>
        <v/>
      </c>
      <c r="H53" s="2"/>
      <c r="I53" s="2"/>
      <c r="J53" s="18" t="str">
        <f>IF(AND('Hàng hóa'!B62&lt;&gt;"",'Hàng hóa'!C62="Bao bì",'Hàng hóa'!I62="Có"),'Hàng hóa'!B62,"")</f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18" t="str">
        <f>IF(AND('Hàng hóa'!B63&lt;&gt;"",'Hàng hóa'!C63="Bao bì",'Hàng hóa'!I63="Có"),'Hàng hóa'!B63,"")</f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18" t="str">
        <f>IF(AND('Hàng hóa'!B64&lt;&gt;"",'Hàng hóa'!C64="Bao bì",'Hàng hóa'!I64="Có"),'Hàng hóa'!B64,"")</f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18" t="str">
        <f>IF(AND('Hàng hóa'!B65&lt;&gt;"",'Hàng hóa'!C65="Bao bì",'Hàng hóa'!I65="Có"),'Hàng hóa'!B65,"")</f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18" t="str">
        <f>IF(AND('Hàng hóa'!B66&lt;&gt;"",'Hàng hóa'!C66="Bao bì",'Hàng hóa'!I66="Có"),'Hàng hóa'!B66,"")</f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18" t="str">
        <f>IF(AND('Hàng hóa'!B67&lt;&gt;"",'Hàng hóa'!C67="Bao bì",'Hàng hóa'!I67="Có"),'Hàng hóa'!B67,"")</f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18" t="str">
        <f>IF(AND('Hàng hóa'!B68&lt;&gt;"",'Hàng hóa'!C68="Bao bì",'Hàng hóa'!I68="Có"),'Hàng hóa'!B68,"")</f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18" t="str">
        <f>IF(AND('Hàng hóa'!B69&lt;&gt;"",'Hàng hóa'!C69="Bao bì",'Hàng hóa'!I69="Có"),'Hàng hóa'!B69,"")</f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18" t="str">
        <f>IF(AND('Hàng hóa'!B70&lt;&gt;"",'Hàng hóa'!C70="Bao bì",'Hàng hóa'!I70="Có"),'Hàng hóa'!B70,"")</f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18" t="str">
        <f>IF(AND('Hàng hóa'!B71&lt;&gt;"",'Hàng hóa'!C71="Bao bì",'Hàng hóa'!I71="Có"),'Hàng hóa'!B71,"")</f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18" t="str">
        <f>IF(AND('Hàng hóa'!B72&lt;&gt;"",'Hàng hóa'!C72="Bao bì",'Hàng hóa'!I72="Có"),'Hàng hóa'!B72,"")</f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18" t="str">
        <f>IF(AND('Hàng hóa'!B73&lt;&gt;"",'Hàng hóa'!C73="Bao bì",'Hàng hóa'!I73="Có"),'Hàng hóa'!B73,"")</f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18" t="str">
        <f>IF(AND('Hàng hóa'!B74&lt;&gt;"",'Hàng hóa'!C74="Bao bì",'Hàng hóa'!I74="Có"),'Hàng hóa'!B74,"")</f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18" t="str">
        <f>IF(AND('Hàng hóa'!B75&lt;&gt;"",'Hàng hóa'!C75="Bao bì",'Hàng hóa'!I75="Có"),'Hàng hóa'!B75,"")</f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18" t="str">
        <f>IF(AND('Hàng hóa'!B76&lt;&gt;"",'Hàng hóa'!C76="Bao bì",'Hàng hóa'!I76="Có"),'Hàng hóa'!B76,"")</f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18" t="str">
        <f>IF(AND('Hàng hóa'!B77&lt;&gt;"",'Hàng hóa'!C77="Bao bì",'Hàng hóa'!I77="Có"),'Hàng hóa'!B77,"")</f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18" t="str">
        <f>IF(AND('Hàng hóa'!B78&lt;&gt;"",'Hàng hóa'!C78="Bao bì",'Hàng hóa'!I78="Có"),'Hàng hóa'!B78,"")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18" t="str">
        <f>IF(AND('Hàng hóa'!B79&lt;&gt;"",'Hàng hóa'!C79="Bao bì",'Hàng hóa'!I79="Có"),'Hàng hóa'!B79,"")</f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18" t="str">
        <f>IF(AND('Hàng hóa'!B80&lt;&gt;"",'Hàng hóa'!C80="Bao bì",'Hàng hóa'!I80="Có"),'Hàng hóa'!B80,"")</f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18" t="str">
        <f>IF(AND('Hàng hóa'!B81&lt;&gt;"",'Hàng hóa'!C81="Bao bì",'Hàng hóa'!I81="Có"),'Hàng hóa'!B81,"")</f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18" t="str">
        <f>IF(AND('Hàng hóa'!B82&lt;&gt;"",'Hàng hóa'!C82="Bao bì",'Hàng hóa'!I82="Có"),'Hàng hóa'!B82,"")</f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18" t="str">
        <f>IF(AND('Hàng hóa'!B83&lt;&gt;"",'Hàng hóa'!C83="Bao bì",'Hàng hóa'!I83="Có"),'Hàng hóa'!B83,"")</f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18" t="str">
        <f>IF(AND('Hàng hóa'!B84&lt;&gt;"",'Hàng hóa'!C84="Bao bì",'Hàng hóa'!I84="Có"),'Hàng hóa'!B84,"")</f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18" t="str">
        <f>IF(AND('Hàng hóa'!B85&lt;&gt;"",'Hàng hóa'!C85="Bao bì",'Hàng hóa'!I85="Có"),'Hàng hóa'!B85,"")</f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18" t="str">
        <f>IF(AND('Hàng hóa'!B86&lt;&gt;"",'Hàng hóa'!C86="Bao bì",'Hàng hóa'!I86="Có"),'Hàng hóa'!B86,"")</f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18" t="str">
        <f>IF(AND('Hàng hóa'!B87&lt;&gt;"",'Hàng hóa'!C87="Bao bì",'Hàng hóa'!I87="Có"),'Hàng hóa'!B87,"")</f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18" t="str">
        <f>IF(AND('Hàng hóa'!B88&lt;&gt;"",'Hàng hóa'!C88="Bao bì",'Hàng hóa'!I88="Có"),'Hàng hóa'!B88,"")</f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18" t="str">
        <f>IF(AND('Hàng hóa'!B89&lt;&gt;"",'Hàng hóa'!C89="Bao bì",'Hàng hóa'!I89="Có"),'Hàng hóa'!B89,"")</f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18" t="str">
        <f>IF(AND('Hàng hóa'!B90&lt;&gt;"",'Hàng hóa'!C90="Bao bì",'Hàng hóa'!I90="Có"),'Hàng hóa'!B90,"")</f>
        <v/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18" t="str">
        <f>IF(AND('Hàng hóa'!B91&lt;&gt;"",'Hàng hóa'!C91="Bao bì",'Hàng hóa'!I91="Có"),'Hàng hóa'!B91,"")</f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18" t="str">
        <f>IF(AND('Hàng hóa'!B92&lt;&gt;"",'Hàng hóa'!C92="Bao bì",'Hàng hóa'!I92="Có"),'Hàng hóa'!B92,"")</f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18" t="str">
        <f>IF(AND('Hàng hóa'!B93&lt;&gt;"",'Hàng hóa'!C93="Bao bì",'Hàng hóa'!I93="Có"),'Hàng hóa'!B93,"")</f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18" t="str">
        <f>IF(AND('Hàng hóa'!B94&lt;&gt;"",'Hàng hóa'!C94="Bao bì",'Hàng hóa'!I94="Có"),'Hàng hóa'!B94,"")</f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18" t="str">
        <f>IF(AND('Hàng hóa'!B95&lt;&gt;"",'Hàng hóa'!C95="Bao bì",'Hàng hóa'!I95="Có"),'Hàng hóa'!B95,"")</f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18" t="str">
        <f>IF(AND('Hàng hóa'!B96&lt;&gt;"",'Hàng hóa'!C96="Bao bì",'Hàng hóa'!I96="Có"),'Hàng hóa'!B96,"")</f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18" t="str">
        <f>IF(AND('Hàng hóa'!B97&lt;&gt;"",'Hàng hóa'!C97="Bao bì",'Hàng hóa'!I97="Có"),'Hàng hóa'!B97,"")</f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18" t="str">
        <f>IF(AND('Hàng hóa'!B98&lt;&gt;"",'Hàng hóa'!C98="Bao bì",'Hàng hóa'!I98="Có"),'Hàng hóa'!B98,"")</f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18" t="str">
        <f>IF(AND('Hàng hóa'!B99&lt;&gt;"",'Hàng hóa'!C99="Bao bì",'Hàng hóa'!I99="Có"),'Hàng hóa'!B99,"")</f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18" t="str">
        <f>IF(AND('Hàng hóa'!B100&lt;&gt;"",'Hàng hóa'!C100="Bao bì",'Hàng hóa'!I100="Có"),'Hàng hóa'!B100,"")</f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18" t="str">
        <f>IF(AND('Hàng hóa'!B101&lt;&gt;"",'Hàng hóa'!C101="Bao bì",'Hàng hóa'!I101="Có"),'Hàng hóa'!B101,"")</f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18" t="str">
        <f>IF(AND('Hàng hóa'!B102&lt;&gt;"",'Hàng hóa'!C102="Bao bì",'Hàng hóa'!I102="Có"),'Hàng hóa'!B102,"")</f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18" t="str">
        <f>IF(AND('Hàng hóa'!B103&lt;&gt;"",'Hàng hóa'!C103="Bao bì",'Hàng hóa'!I103="Có"),'Hàng hóa'!B103,"")</f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18" t="str">
        <f>IF(AND('Hàng hóa'!B104&lt;&gt;"",'Hàng hóa'!C104="Bao bì",'Hàng hóa'!I104="Có"),'Hàng hóa'!B104,"")</f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18" t="str">
        <f>IF(AND('Hàng hóa'!B105&lt;&gt;"",'Hàng hóa'!C105="Bao bì",'Hàng hóa'!I105="Có"),'Hàng hóa'!B105,"")</f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18" t="str">
        <f>IF(AND('Hàng hóa'!B106&lt;&gt;"",'Hàng hóa'!C106="Bao bì",'Hàng hóa'!I106="Có"),'Hàng hóa'!B106,"")</f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18" t="str">
        <f>IF(AND('Hàng hóa'!B107&lt;&gt;"",'Hàng hóa'!C107="Bao bì",'Hàng hóa'!I107="Có"),'Hàng hóa'!B107,"")</f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18" t="str">
        <f>IF(AND('Hàng hóa'!B108&lt;&gt;"",'Hàng hóa'!C108="Bao bì",'Hàng hóa'!I108="Có"),'Hàng hóa'!B108,"")</f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18" t="str">
        <f>IF(AND('Hàng hóa'!B109&lt;&gt;"",'Hàng hóa'!C109="Bao bì",'Hàng hóa'!I109="Có"),'Hàng hóa'!B109,"")</f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18" t="str">
        <f>IF(AND('Hàng hóa'!B110&lt;&gt;"",'Hàng hóa'!C110="Bao bì",'Hàng hóa'!I110="Có"),'Hàng hóa'!B110,"")</f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18" t="str">
        <f>IF(AND('Hàng hóa'!B111&lt;&gt;"",'Hàng hóa'!C111="Bao bì",'Hàng hóa'!I111="Có"),'Hàng hóa'!B111,"")</f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18" t="str">
        <f>IF(AND('Hàng hóa'!B112&lt;&gt;"",'Hàng hóa'!C112="Bao bì",'Hàng hóa'!I112="Có"),'Hàng hóa'!B112,"")</f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18" t="str">
        <f>IF(AND('Hàng hóa'!B113&lt;&gt;"",'Hàng hóa'!C113="Bao bì",'Hàng hóa'!I113="Có"),'Hàng hóa'!B113,"")</f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18" t="str">
        <f>IF(AND('Hàng hóa'!B114&lt;&gt;"",'Hàng hóa'!C114="Bao bì",'Hàng hóa'!I114="Có"),'Hàng hóa'!B114,"")</f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18" t="str">
        <f>IF(AND('Hàng hóa'!B115&lt;&gt;"",'Hàng hóa'!C115="Bao bì",'Hàng hóa'!I115="Có"),'Hàng hóa'!B115,"")</f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18" t="str">
        <f>IF(AND('Hàng hóa'!B116&lt;&gt;"",'Hàng hóa'!C116="Bao bì",'Hàng hóa'!I116="Có"),'Hàng hóa'!B116,"")</f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18" t="str">
        <f>IF(AND('Hàng hóa'!B117&lt;&gt;"",'Hàng hóa'!C117="Bao bì",'Hàng hóa'!I117="Có"),'Hàng hóa'!B117,"")</f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18" t="str">
        <f>IF(AND('Hàng hóa'!B118&lt;&gt;"",'Hàng hóa'!C118="Bao bì",'Hàng hóa'!I118="Có"),'Hàng hóa'!B118,"")</f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18" t="str">
        <f>IF(AND('Hàng hóa'!B119&lt;&gt;"",'Hàng hóa'!C119="Bao bì",'Hàng hóa'!I119="Có"),'Hàng hóa'!B119,"")</f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18" t="str">
        <f>IF(AND('Hàng hóa'!B120&lt;&gt;"",'Hàng hóa'!C120="Bao bì",'Hàng hóa'!I120="Có"),'Hàng hóa'!B120,"")</f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18" t="str">
        <f>IF(AND('Hàng hóa'!B121&lt;&gt;"",'Hàng hóa'!C121="Bao bì",'Hàng hóa'!I121="Có"),'Hàng hóa'!B121,"")</f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18" t="str">
        <f>IF(AND('Hàng hóa'!B122&lt;&gt;"",'Hàng hóa'!C122="Bao bì",'Hàng hóa'!I122="Có"),'Hàng hóa'!B122,"")</f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18" t="str">
        <f>IF(AND('Hàng hóa'!B123&lt;&gt;"",'Hàng hóa'!C123="Bao bì",'Hàng hóa'!I123="Có"),'Hàng hóa'!B123,"")</f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18" t="str">
        <f>IF(AND('Hàng hóa'!B124&lt;&gt;"",'Hàng hóa'!C124="Bao bì",'Hàng hóa'!I124="Có"),'Hàng hóa'!B124,"")</f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18" t="str">
        <f>IF(AND('Hàng hóa'!B125&lt;&gt;"",'Hàng hóa'!C125="Bao bì",'Hàng hóa'!I125="Có"),'Hàng hóa'!B125,"")</f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18" t="str">
        <f>IF(AND('Hàng hóa'!B126&lt;&gt;"",'Hàng hóa'!C126="Bao bì",'Hàng hóa'!I126="Có"),'Hàng hóa'!B126,"")</f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18" t="str">
        <f>IF(AND('Hàng hóa'!B127&lt;&gt;"",'Hàng hóa'!C127="Bao bì",'Hàng hóa'!I127="Có"),'Hàng hóa'!B127,"")</f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18" t="str">
        <f>IF(AND('Hàng hóa'!B128&lt;&gt;"",'Hàng hóa'!C128="Bao bì",'Hàng hóa'!I128="Có"),'Hàng hóa'!B128,"")</f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18" t="str">
        <f>IF(AND('Hàng hóa'!B129&lt;&gt;"",'Hàng hóa'!C129="Bao bì",'Hàng hóa'!I129="Có"),'Hàng hóa'!B129,"")</f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18" t="str">
        <f>IF(AND('Hàng hóa'!B130&lt;&gt;"",'Hàng hóa'!C130="Bao bì",'Hàng hóa'!I130="Có"),'Hàng hóa'!B130,"")</f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18" t="str">
        <f>IF(AND('Hàng hóa'!B131&lt;&gt;"",'Hàng hóa'!C131="Bao bì",'Hàng hóa'!I131="Có"),'Hàng hóa'!B131,"")</f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18" t="str">
        <f>IF(AND('Hàng hóa'!B132&lt;&gt;"",'Hàng hóa'!C132="Bao bì",'Hàng hóa'!I132="Có"),'Hàng hóa'!B132,"")</f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18" t="str">
        <f>IF(AND('Hàng hóa'!B133&lt;&gt;"",'Hàng hóa'!C133="Bao bì",'Hàng hóa'!I133="Có"),'Hàng hóa'!B133,"")</f>
        <v/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18" t="str">
        <f>IF(AND('Hàng hóa'!B134&lt;&gt;"",'Hàng hóa'!C134="Bao bì",'Hàng hóa'!I134="Có"),'Hàng hóa'!B134,"")</f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18" t="str">
        <f>IF(AND('Hàng hóa'!B135&lt;&gt;"",'Hàng hóa'!C135="Bao bì",'Hàng hóa'!I135="Có"),'Hàng hóa'!B135,"")</f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18" t="str">
        <f>IF(AND('Hàng hóa'!B136&lt;&gt;"",'Hàng hóa'!C136="Bao bì",'Hàng hóa'!I136="Có"),'Hàng hóa'!B136,"")</f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18" t="str">
        <f>IF(AND('Hàng hóa'!B137&lt;&gt;"",'Hàng hóa'!C137="Bao bì",'Hàng hóa'!I137="Có"),'Hàng hóa'!B137,"")</f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18" t="str">
        <f>IF(AND('Hàng hóa'!B138&lt;&gt;"",'Hàng hóa'!C138="Bao bì",'Hàng hóa'!I138="Có"),'Hàng hóa'!B138,"")</f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18" t="str">
        <f>IF(AND('Hàng hóa'!B139&lt;&gt;"",'Hàng hóa'!C139="Bao bì",'Hàng hóa'!I139="Có"),'Hàng hóa'!B139,"")</f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18" t="str">
        <f>IF(AND('Hàng hóa'!B140&lt;&gt;"",'Hàng hóa'!C140="Bao bì",'Hàng hóa'!I140="Có"),'Hàng hóa'!B140,"")</f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18" t="str">
        <f>IF(AND('Hàng hóa'!B141&lt;&gt;"",'Hàng hóa'!C141="Bao bì",'Hàng hóa'!I141="Có"),'Hàng hóa'!B141,"")</f>
        <v/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18" t="str">
        <f>IF(AND('Hàng hóa'!B142&lt;&gt;"",'Hàng hóa'!C142="Bao bì",'Hàng hóa'!I142="Có"),'Hàng hóa'!B142,"")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18" t="str">
        <f>IF(AND('Hàng hóa'!B143&lt;&gt;"",'Hàng hóa'!C143="Bao bì",'Hàng hóa'!I143="Có"),'Hàng hóa'!B143,"")</f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18" t="str">
        <f>IF(AND('Hàng hóa'!B144&lt;&gt;"",'Hàng hóa'!C144="Bao bì",'Hàng hóa'!I144="Có"),'Hàng hóa'!B144,"")</f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18" t="str">
        <f>IF(AND('Hàng hóa'!B145&lt;&gt;"",'Hàng hóa'!C145="Bao bì",'Hàng hóa'!I145="Có"),'Hàng hóa'!B145,"")</f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18" t="str">
        <f>IF(AND('Hàng hóa'!B146&lt;&gt;"",'Hàng hóa'!C146="Bao bì",'Hàng hóa'!I146="Có"),'Hàng hóa'!B146,"")</f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18" t="str">
        <f>IF(AND('Hàng hóa'!B147&lt;&gt;"",'Hàng hóa'!C147="Bao bì",'Hàng hóa'!I147="Có"),'Hàng hóa'!B147,"")</f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18" t="str">
        <f>IF(AND('Hàng hóa'!B148&lt;&gt;"",'Hàng hóa'!C148="Bao bì",'Hàng hóa'!I148="Có"),'Hàng hóa'!B148,"")</f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18" t="str">
        <f>IF(AND('Hàng hóa'!B149&lt;&gt;"",'Hàng hóa'!C149="Bao bì",'Hàng hóa'!I149="Có"),'Hàng hóa'!B149,"")</f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18" t="str">
        <f>IF(AND('Hàng hóa'!B150&lt;&gt;"",'Hàng hóa'!C150="Bao bì",'Hàng hóa'!I150="Có"),'Hàng hóa'!B150,"")</f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18" t="str">
        <f>IF(AND('Hàng hóa'!B151&lt;&gt;"",'Hàng hóa'!C151="Bao bì",'Hàng hóa'!I151="Có"),'Hàng hóa'!B151,"")</f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18" t="str">
        <f>IF(AND('Hàng hóa'!B152&lt;&gt;"",'Hàng hóa'!C152="Bao bì",'Hàng hóa'!I152="Có"),'Hàng hóa'!B152,"")</f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18" t="str">
        <f>IF(AND('Hàng hóa'!B153&lt;&gt;"",'Hàng hóa'!C153="Bao bì",'Hàng hóa'!I153="Có"),'Hàng hóa'!B153,"")</f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18" t="str">
        <f>IF(AND('Hàng hóa'!B154&lt;&gt;"",'Hàng hóa'!C154="Bao bì",'Hàng hóa'!I154="Có"),'Hàng hóa'!B154,"")</f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18" t="str">
        <f>IF(AND('Hàng hóa'!B155&lt;&gt;"",'Hàng hóa'!C155="Bao bì",'Hàng hóa'!I155="Có"),'Hàng hóa'!B155,"")</f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18" t="str">
        <f>IF(AND('Hàng hóa'!B156&lt;&gt;"",'Hàng hóa'!C156="Bao bì",'Hàng hóa'!I156="Có"),'Hàng hóa'!B156,"")</f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18" t="str">
        <f>IF(AND('Hàng hóa'!B157&lt;&gt;"",'Hàng hóa'!C157="Bao bì",'Hàng hóa'!I157="Có"),'Hàng hóa'!B157,"")</f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18" t="str">
        <f>IF(AND('Hàng hóa'!B158&lt;&gt;"",'Hàng hóa'!C158="Bao bì",'Hàng hóa'!I158="Có"),'Hàng hóa'!B158,"")</f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18" t="str">
        <f>IF(AND('Hàng hóa'!B159&lt;&gt;"",'Hàng hóa'!C159="Bao bì",'Hàng hóa'!I159="Có"),'Hàng hóa'!B159,"")</f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18" t="str">
        <f>IF(AND('Hàng hóa'!B160&lt;&gt;"",'Hàng hóa'!C160="Bao bì",'Hàng hóa'!I160="Có"),'Hàng hóa'!B160,"")</f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18" t="str">
        <f>IF(AND('Hàng hóa'!B161&lt;&gt;"",'Hàng hóa'!C161="Bao bì",'Hàng hóa'!I161="Có"),'Hàng hóa'!B161,"")</f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18" t="str">
        <f>IF(AND('Hàng hóa'!B162&lt;&gt;"",'Hàng hóa'!C162="Bao bì",'Hàng hóa'!I162="Có"),'Hàng hóa'!B162,"")</f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18" t="str">
        <f>IF(AND('Hàng hóa'!B163&lt;&gt;"",'Hàng hóa'!C163="Bao bì",'Hàng hóa'!I163="Có"),'Hàng hóa'!B163,"")</f>
        <v/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18" t="str">
        <f>IF(AND('Hàng hóa'!B164&lt;&gt;"",'Hàng hóa'!C164="Bao bì",'Hàng hóa'!I164="Có"),'Hàng hóa'!B164,"")</f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18" t="str">
        <f>IF(AND('Hàng hóa'!B165&lt;&gt;"",'Hàng hóa'!C165="Bao bì",'Hàng hóa'!I165="Có"),'Hàng hóa'!B165,"")</f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18" t="str">
        <f>IF(AND('Hàng hóa'!B166&lt;&gt;"",'Hàng hóa'!C166="Bao bì",'Hàng hóa'!I166="Có"),'Hàng hóa'!B166,"")</f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18" t="str">
        <f>IF(AND('Hàng hóa'!B167&lt;&gt;"",'Hàng hóa'!C167="Bao bì",'Hàng hóa'!I167="Có"),'Hàng hóa'!B167,"")</f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18" t="str">
        <f>IF(AND('Hàng hóa'!B168&lt;&gt;"",'Hàng hóa'!C168="Bao bì",'Hàng hóa'!I168="Có"),'Hàng hóa'!B168,"")</f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18" t="str">
        <f>IF(AND('Hàng hóa'!B169&lt;&gt;"",'Hàng hóa'!C169="Bao bì",'Hàng hóa'!I169="Có"),'Hàng hóa'!B169,"")</f>
        <v/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18" t="str">
        <f>IF(AND('Hàng hóa'!B170&lt;&gt;"",'Hàng hóa'!C170="Bao bì",'Hàng hóa'!I170="Có"),'Hàng hóa'!B170,"")</f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18" t="str">
        <f>IF(AND('Hàng hóa'!B171&lt;&gt;"",'Hàng hóa'!C171="Bao bì",'Hàng hóa'!I171="Có"),'Hàng hóa'!B171,"")</f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18" t="str">
        <f>IF(AND('Hàng hóa'!B172&lt;&gt;"",'Hàng hóa'!C172="Bao bì",'Hàng hóa'!I172="Có"),'Hàng hóa'!B172,"")</f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18" t="str">
        <f>IF(AND('Hàng hóa'!B173&lt;&gt;"",'Hàng hóa'!C173="Bao bì",'Hàng hóa'!I173="Có"),'Hàng hóa'!B173,"")</f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18" t="str">
        <f>IF(AND('Hàng hóa'!B174&lt;&gt;"",'Hàng hóa'!C174="Bao bì",'Hàng hóa'!I174="Có"),'Hàng hóa'!B174,"")</f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18" t="str">
        <f>IF(AND('Hàng hóa'!B175&lt;&gt;"",'Hàng hóa'!C175="Bao bì",'Hàng hóa'!I175="Có"),'Hàng hóa'!B175,"")</f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18" t="str">
        <f>IF(AND('Hàng hóa'!B176&lt;&gt;"",'Hàng hóa'!C176="Bao bì",'Hàng hóa'!I176="Có"),'Hàng hóa'!B176,"")</f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18" t="str">
        <f>IF(AND('Hàng hóa'!B177&lt;&gt;"",'Hàng hóa'!C177="Bao bì",'Hàng hóa'!I177="Có"),'Hàng hóa'!B177,"")</f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18" t="str">
        <f>IF(AND('Hàng hóa'!B178&lt;&gt;"",'Hàng hóa'!C178="Bao bì",'Hàng hóa'!I178="Có"),'Hàng hóa'!B178,"")</f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18" t="str">
        <f>IF(AND('Hàng hóa'!B179&lt;&gt;"",'Hàng hóa'!C179="Bao bì",'Hàng hóa'!I179="Có"),'Hàng hóa'!B179,"")</f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18" t="str">
        <f>IF(AND('Hàng hóa'!B180&lt;&gt;"",'Hàng hóa'!C180="Bao bì",'Hàng hóa'!I180="Có"),'Hàng hóa'!B180,"")</f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18" t="str">
        <f>IF(AND('Hàng hóa'!B181&lt;&gt;"",'Hàng hóa'!C181="Bao bì",'Hàng hóa'!I181="Có"),'Hàng hóa'!B181,"")</f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18" t="str">
        <f>IF(AND('Hàng hóa'!B182&lt;&gt;"",'Hàng hóa'!C182="Bao bì",'Hàng hóa'!I182="Có"),'Hàng hóa'!B182,"")</f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18" t="str">
        <f>IF(AND('Hàng hóa'!B183&lt;&gt;"",'Hàng hóa'!C183="Bao bì",'Hàng hóa'!I183="Có"),'Hàng hóa'!B183,"")</f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18" t="str">
        <f>IF(AND('Hàng hóa'!B184&lt;&gt;"",'Hàng hóa'!C184="Bao bì",'Hàng hóa'!I184="Có"),'Hàng hóa'!B184,"")</f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18" t="str">
        <f>IF(AND('Hàng hóa'!B185&lt;&gt;"",'Hàng hóa'!C185="Bao bì",'Hàng hóa'!I185="Có"),'Hàng hóa'!B185,"")</f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18" t="str">
        <f>IF(AND('Hàng hóa'!B186&lt;&gt;"",'Hàng hóa'!C186="Bao bì",'Hàng hóa'!I186="Có"),'Hàng hóa'!B186,"")</f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18" t="str">
        <f>IF(AND('Hàng hóa'!B187&lt;&gt;"",'Hàng hóa'!C187="Bao bì",'Hàng hóa'!I187="Có"),'Hàng hóa'!B187,"")</f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18" t="str">
        <f>IF(AND('Hàng hóa'!B188&lt;&gt;"",'Hàng hóa'!C188="Bao bì",'Hàng hóa'!I188="Có"),'Hàng hóa'!B188,"")</f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18" t="str">
        <f>IF(AND('Hàng hóa'!B189&lt;&gt;"",'Hàng hóa'!C189="Bao bì",'Hàng hóa'!I189="Có"),'Hàng hóa'!B189,"")</f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18" t="str">
        <f>IF(AND('Hàng hóa'!B190&lt;&gt;"",'Hàng hóa'!C190="Bao bì",'Hàng hóa'!I190="Có"),'Hàng hóa'!B190,"")</f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18" t="str">
        <f>IF(AND('Hàng hóa'!B191&lt;&gt;"",'Hàng hóa'!C191="Bao bì",'Hàng hóa'!I191="Có"),'Hàng hóa'!B191,"")</f>
        <v/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18" t="str">
        <f>IF(AND('Hàng hóa'!B192&lt;&gt;"",'Hàng hóa'!C192="Bao bì",'Hàng hóa'!I192="Có"),'Hàng hóa'!B192,"")</f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18" t="str">
        <f>IF(AND('Hàng hóa'!B193&lt;&gt;"",'Hàng hóa'!C193="Bao bì",'Hàng hóa'!I193="Có"),'Hàng hóa'!B193,"")</f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18" t="str">
        <f>IF(AND('Hàng hóa'!B194&lt;&gt;"",'Hàng hóa'!C194="Bao bì",'Hàng hóa'!I194="Có"),'Hàng hóa'!B194,"")</f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18" t="str">
        <f>IF(AND('Hàng hóa'!B195&lt;&gt;"",'Hàng hóa'!C195="Bao bì",'Hàng hóa'!I195="Có"),'Hàng hóa'!B195,"")</f>
        <v/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18" t="str">
        <f>IF(AND('Hàng hóa'!B196&lt;&gt;"",'Hàng hóa'!C196="Bao bì",'Hàng hóa'!I196="Có"),'Hàng hóa'!B196,"")</f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18" t="str">
        <f>IF(AND('Hàng hóa'!B197&lt;&gt;"",'Hàng hóa'!C197="Bao bì",'Hàng hóa'!I197="Có"),'Hàng hóa'!B197,"")</f>
        <v/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18" t="str">
        <f>IF(AND('Hàng hóa'!B198&lt;&gt;"",'Hàng hóa'!C198="Bao bì",'Hàng hóa'!I198="Có"),'Hàng hóa'!B198,"")</f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18" t="str">
        <f>IF(AND('Hàng hóa'!B199&lt;&gt;"",'Hàng hóa'!C199="Bao bì",'Hàng hóa'!I199="Có"),'Hàng hóa'!B199,"")</f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18" t="str">
        <f>IF(AND('Hàng hóa'!B200&lt;&gt;"",'Hàng hóa'!C200="Bao bì",'Hàng hóa'!I200="Có"),'Hàng hóa'!B200,"")</f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18" t="str">
        <f>IF(AND('Hàng hóa'!B201&lt;&gt;"",'Hàng hóa'!C201="Bao bì",'Hàng hóa'!I201="Có"),'Hàng hóa'!B201,"")</f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18" t="str">
        <f>IF(AND('Hàng hóa'!B202&lt;&gt;"",'Hàng hóa'!C202="Bao bì",'Hàng hóa'!I202="Có"),'Hàng hóa'!B202,"")</f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18" t="str">
        <f>IF(AND('Hàng hóa'!B203&lt;&gt;"",'Hàng hóa'!C203="Bao bì",'Hàng hóa'!I203="Có"),'Hàng hóa'!B203,"")</f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18" t="str">
        <f>IF(AND('Hàng hóa'!B196&lt;&gt;"",'Hàng hóa'!C196="Bao bì",'Hàng hóa'!I196="Có"),'Hàng hóa'!B196,"")</f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18" t="str">
        <f>IF(AND('Hàng hóa'!B197&lt;&gt;"",'Hàng hóa'!C197="Bao bì",'Hàng hóa'!I197="Có"),'Hàng hóa'!B197,"")</f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18" t="str">
        <f>IF(AND('Hàng hóa'!B198&lt;&gt;"",'Hàng hóa'!C198="Bao bì",'Hàng hóa'!I198="Có"),'Hàng hóa'!B198,"")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18" t="str">
        <f>IF(AND('Hàng hóa'!B199&lt;&gt;"",'Hàng hóa'!C199="Bao bì",'Hàng hóa'!I199="Có"),'Hàng hóa'!B199,"")</f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18" t="str">
        <f>IF(AND('Hàng hóa'!B200&lt;&gt;"",'Hàng hóa'!C200="Bao bì",'Hàng hóa'!I200="Có"),'Hàng hóa'!B200,"")</f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18" t="str">
        <f>IF(AND('Hàng hóa'!B201&lt;&gt;"",'Hàng hóa'!C201="Bao bì",'Hàng hóa'!I201="Có"),'Hàng hóa'!B201,"")</f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18" t="str">
        <f>IF(AND('Hàng hóa'!B202&lt;&gt;"",'Hàng hóa'!C202="Bao bì",'Hàng hóa'!I202="Có"),'Hàng hóa'!B202,"")</f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18" t="str">
        <f>IF(AND('Hàng hóa'!B203&lt;&gt;"",'Hàng hóa'!C203="Bao bì",'Hàng hóa'!I203="Có"),'Hàng hóa'!B203,"")</f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dataValidations>
    <dataValidation type="list" allowBlank="1" sqref="F4:F53">
      <formula1>$I$3:$I$4</formula1>
    </dataValidation>
    <dataValidation type="list" allowBlank="1" sqref="D4:D53">
      <formula1>$J$3:$J$194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14.0"/>
    <col customWidth="1" min="4" max="4" width="25.0"/>
    <col customWidth="1" min="5" max="5" width="13.0"/>
    <col customWidth="1" min="6" max="7" width="16.0"/>
    <col customWidth="1" min="8" max="8" width="19.0"/>
    <col customWidth="1" min="9" max="9" width="17.0"/>
    <col customWidth="1" min="10" max="10" width="16.0"/>
    <col customWidth="1" min="11" max="11" width="14.0"/>
    <col customWidth="1" min="12" max="13" width="17.0"/>
    <col customWidth="1" min="14" max="14" width="16.0"/>
    <col customWidth="1" min="15" max="15" width="12.0"/>
    <col customWidth="1" min="16" max="16" width="22.0"/>
    <col customWidth="1" min="17" max="17" width="8.63"/>
    <col customWidth="1" min="18" max="18" width="15.63"/>
    <col customWidth="1" min="19" max="19" width="8.88"/>
    <col customWidth="1" min="20" max="20" width="15.25"/>
    <col customWidth="1" min="21" max="26" width="8.63"/>
  </cols>
  <sheetData>
    <row r="1">
      <c r="A1" s="1" t="s">
        <v>112</v>
      </c>
      <c r="Q1" s="2"/>
      <c r="R1" s="2"/>
      <c r="S1" s="2"/>
      <c r="T1" s="2"/>
      <c r="U1" s="2"/>
      <c r="V1" s="2"/>
      <c r="W1" s="2"/>
    </row>
    <row r="2">
      <c r="A2" s="14" t="s">
        <v>113</v>
      </c>
      <c r="Q2" s="2"/>
      <c r="R2" s="18" t="s">
        <v>114</v>
      </c>
      <c r="S2" s="18" t="s">
        <v>115</v>
      </c>
      <c r="T2" s="18" t="s">
        <v>20</v>
      </c>
      <c r="U2" s="2"/>
      <c r="V2" s="2"/>
      <c r="W2" s="2"/>
    </row>
    <row r="3">
      <c r="A3" s="4" t="s">
        <v>116</v>
      </c>
      <c r="B3" s="4" t="s">
        <v>117</v>
      </c>
      <c r="C3" s="4" t="s">
        <v>61</v>
      </c>
      <c r="D3" s="4" t="s">
        <v>118</v>
      </c>
      <c r="E3" s="4" t="s">
        <v>119</v>
      </c>
      <c r="F3" s="4" t="s">
        <v>120</v>
      </c>
      <c r="G3" s="4" t="s">
        <v>121</v>
      </c>
      <c r="H3" s="4" t="s">
        <v>122</v>
      </c>
      <c r="I3" s="4" t="s">
        <v>123</v>
      </c>
      <c r="J3" s="4" t="s">
        <v>124</v>
      </c>
      <c r="K3" s="4" t="s">
        <v>125</v>
      </c>
      <c r="L3" s="4" t="s">
        <v>126</v>
      </c>
      <c r="M3" s="4" t="s">
        <v>127</v>
      </c>
      <c r="N3" s="4" t="s">
        <v>128</v>
      </c>
      <c r="O3" s="4" t="s">
        <v>20</v>
      </c>
      <c r="P3" s="4" t="s">
        <v>129</v>
      </c>
      <c r="Q3" s="2"/>
      <c r="R3" s="18" t="s">
        <v>130</v>
      </c>
      <c r="S3" s="18" t="str">
        <f>IF(Size!G4&lt;&gt;"",Size!G4,"")</f>
        <v>Size M</v>
      </c>
      <c r="T3" s="18" t="s">
        <v>38</v>
      </c>
      <c r="U3" s="2"/>
      <c r="V3" s="2"/>
      <c r="W3" s="2"/>
    </row>
    <row r="4">
      <c r="A4" s="23" t="s">
        <v>131</v>
      </c>
      <c r="B4" s="23" t="s">
        <v>130</v>
      </c>
      <c r="C4" s="23" t="s">
        <v>77</v>
      </c>
      <c r="D4" s="37" t="str">
        <f t="shared" ref="D4:D103" si="1">IF(OR(B4="",C4=""),"",B4&amp;" - "&amp;C4)</f>
        <v>Oreo - Size M</v>
      </c>
      <c r="E4" s="38">
        <v>15.0</v>
      </c>
      <c r="F4" s="19">
        <f t="array" ref="F4">IFERROR(INDEX(Size!$E$4:$E$53,MATCH(C4,Size!$B$4:$B$53,0)),0)</f>
        <v>35000</v>
      </c>
      <c r="G4" s="19">
        <f t="array" ref="G4">IFERROR(INDEX(Size!$C$4:$C$53,MATCH(C4,Size!$B$4:$B$53,0)),0)</f>
        <v>400</v>
      </c>
      <c r="H4" s="19">
        <f>IF(A4="","",G4*'Mẻ sữa'!$U$5)</f>
        <v>11862.08333</v>
      </c>
      <c r="I4" s="19">
        <f t="array" ref="I4">IFERROR(E4*INDEX('Hàng hóa'!$H$4:$H$203,MATCH(B4,'Hàng hóa'!$B$4:$B$203,0)),0)</f>
        <v>3562.5</v>
      </c>
      <c r="J4" s="19">
        <f t="array" ref="J4">IF(A4="","",IFERROR(INDEX('Hàng hóa'!$H$4:$H$203,MATCH(INDEX(Size!$D$4:$D$53,MATCH(C4,Size!$B$4:$B$53,0)),'Hàng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>900</v>
      </c>
      <c r="K4" s="19">
        <f>IF(A4="","",(H4+I4+J4)*'Thiết lập'!$B$8)</f>
        <v>816.2291667</v>
      </c>
      <c r="L4" s="19">
        <f t="shared" ref="L4:L103" si="2">IF(A4="","",SUM(H4:K4))</f>
        <v>17140.8125</v>
      </c>
      <c r="M4" s="19">
        <f>IF(A4="","",'Thiết lập'!$B$12)</f>
        <v>91.36388889</v>
      </c>
      <c r="N4" s="19">
        <f t="shared" ref="N4:N103" si="3">IF(A4="","",L4+M4)</f>
        <v>17232.17639</v>
      </c>
      <c r="O4" s="23" t="s">
        <v>38</v>
      </c>
      <c r="P4" s="18" t="str">
        <f t="shared" ref="P4:P103" si="4">IF(AND(D4&lt;&gt;"",O4="Có"),D4,"")</f>
        <v>Oreo - Size M</v>
      </c>
      <c r="Q4" s="2"/>
      <c r="R4" s="18" t="s">
        <v>170</v>
      </c>
      <c r="S4" s="18" t="str">
        <f>IF(Size!G5&lt;&gt;"",Size!G5,"")</f>
        <v>Size L</v>
      </c>
      <c r="T4" s="18" t="s">
        <v>71</v>
      </c>
      <c r="U4" s="2"/>
      <c r="V4" s="2"/>
      <c r="W4" s="2"/>
    </row>
    <row r="5">
      <c r="A5" s="23" t="s">
        <v>174</v>
      </c>
      <c r="B5" s="23" t="s">
        <v>130</v>
      </c>
      <c r="C5" s="23" t="s">
        <v>100</v>
      </c>
      <c r="D5" s="37" t="str">
        <f t="shared" si="1"/>
        <v>Oreo - Size L</v>
      </c>
      <c r="E5" s="38">
        <v>15.0</v>
      </c>
      <c r="F5" s="19">
        <f t="array" ref="F5">IFERROR(INDEX(Size!$E$4:$E$53,MATCH(C5,Size!$B$4:$B$53,0)),0)</f>
        <v>40000</v>
      </c>
      <c r="G5" s="19">
        <f t="array" ref="G5">IFERROR(INDEX(Size!$C$4:$C$53,MATCH(C5,Size!$B$4:$B$53,0)),0)</f>
        <v>550</v>
      </c>
      <c r="H5" s="19">
        <f>IF(A5="","",G5*'Mẻ sữa'!$U$5)</f>
        <v>16310.36458</v>
      </c>
      <c r="I5" s="19">
        <f t="array" ref="I5">IFERROR(E5*INDEX('Hàng hóa'!$H$4:$H$203,MATCH(B5,'Hàng hóa'!$B$4:$B$203,0)),0)</f>
        <v>3562.5</v>
      </c>
      <c r="J5" s="19">
        <f t="array" ref="J5">IF(A5="","",IFERROR(INDEX('Hàng hóa'!$H$4:$H$203,MATCH(INDEX(Size!$D$4:$D$53,MATCH(C5,Size!$B$4:$B$53,0)),'Hàng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>900</v>
      </c>
      <c r="K5" s="19">
        <f>IF(A5="","",(H5+I5+J5)*'Thiết lập'!$B$8)</f>
        <v>1038.643229</v>
      </c>
      <c r="L5" s="19">
        <f t="shared" si="2"/>
        <v>21811.50781</v>
      </c>
      <c r="M5" s="19">
        <f>IF(A5="","",'Thiết lập'!$B$12)</f>
        <v>91.36388889</v>
      </c>
      <c r="N5" s="19">
        <f t="shared" si="3"/>
        <v>21902.8717</v>
      </c>
      <c r="O5" s="23" t="s">
        <v>38</v>
      </c>
      <c r="P5" s="18" t="str">
        <f t="shared" si="4"/>
        <v>Oreo - Size L</v>
      </c>
      <c r="Q5" s="2"/>
      <c r="R5" s="18" t="s">
        <v>182</v>
      </c>
      <c r="S5" s="18" t="str">
        <f>IF(Size!G6&lt;&gt;"",Size!G6,"")</f>
        <v/>
      </c>
      <c r="T5" s="18"/>
      <c r="U5" s="2"/>
      <c r="V5" s="2"/>
      <c r="W5" s="2"/>
    </row>
    <row r="6">
      <c r="A6" s="23" t="s">
        <v>185</v>
      </c>
      <c r="B6" s="23" t="s">
        <v>170</v>
      </c>
      <c r="C6" s="23" t="s">
        <v>77</v>
      </c>
      <c r="D6" s="37" t="str">
        <f t="shared" si="1"/>
        <v>Dừa non - Size M</v>
      </c>
      <c r="E6" s="38">
        <v>15.0</v>
      </c>
      <c r="F6" s="19">
        <f t="array" ref="F6">IFERROR(INDEX(Size!$E$4:$E$53,MATCH(C6,Size!$B$4:$B$53,0)),0)</f>
        <v>35000</v>
      </c>
      <c r="G6" s="19">
        <f t="array" ref="G6">IFERROR(INDEX(Size!$C$4:$C$53,MATCH(C6,Size!$B$4:$B$53,0)),0)</f>
        <v>400</v>
      </c>
      <c r="H6" s="19">
        <f>IF(A6="","",G6*'Mẻ sữa'!$U$5)</f>
        <v>11862.08333</v>
      </c>
      <c r="I6" s="19">
        <f t="array" ref="I6">IFERROR(E6*INDEX('Hàng hóa'!$H$4:$H$203,MATCH(B6,'Hàng hóa'!$B$4:$B$203,0)),0)</f>
        <v>1581.818182</v>
      </c>
      <c r="J6" s="19">
        <f t="array" ref="J6">IF(A6="","",IFERROR(INDEX('Hàng hóa'!$H$4:$H$203,MATCH(INDEX(Size!$D$4:$D$53,MATCH(C6,Size!$B$4:$B$53,0)),'Hàng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>900</v>
      </c>
      <c r="K6" s="19">
        <f>IF(A6="","",(H6+I6+J6)*'Thiết lập'!$B$8)</f>
        <v>717.1950758</v>
      </c>
      <c r="L6" s="19">
        <f t="shared" si="2"/>
        <v>15061.09659</v>
      </c>
      <c r="M6" s="19">
        <f>IF(A6="","",'Thiết lập'!$B$12)</f>
        <v>91.36388889</v>
      </c>
      <c r="N6" s="19">
        <f t="shared" si="3"/>
        <v>15152.46048</v>
      </c>
      <c r="O6" s="23" t="s">
        <v>38</v>
      </c>
      <c r="P6" s="18" t="str">
        <f t="shared" si="4"/>
        <v>Dừa non - Size M</v>
      </c>
      <c r="Q6" s="2"/>
      <c r="R6" s="18" t="s">
        <v>194</v>
      </c>
      <c r="S6" s="18" t="str">
        <f>IF(Size!G7&lt;&gt;"",Size!G7,"")</f>
        <v/>
      </c>
      <c r="T6" s="18"/>
      <c r="U6" s="2"/>
      <c r="V6" s="2"/>
      <c r="W6" s="2"/>
    </row>
    <row r="7">
      <c r="A7" s="23" t="s">
        <v>195</v>
      </c>
      <c r="B7" s="23" t="s">
        <v>170</v>
      </c>
      <c r="C7" s="23" t="s">
        <v>100</v>
      </c>
      <c r="D7" s="37" t="str">
        <f t="shared" si="1"/>
        <v>Dừa non - Size L</v>
      </c>
      <c r="E7" s="38">
        <v>15.0</v>
      </c>
      <c r="F7" s="19">
        <f t="array" ref="F7">IFERROR(INDEX(Size!$E$4:$E$53,MATCH(C7,Size!$B$4:$B$53,0)),0)</f>
        <v>40000</v>
      </c>
      <c r="G7" s="19">
        <f t="array" ref="G7">IFERROR(INDEX(Size!$C$4:$C$53,MATCH(C7,Size!$B$4:$B$53,0)),0)</f>
        <v>550</v>
      </c>
      <c r="H7" s="19">
        <f>IF(A7="","",G7*'Mẻ sữa'!$U$5)</f>
        <v>16310.36458</v>
      </c>
      <c r="I7" s="19">
        <f t="array" ref="I7">IFERROR(E7*INDEX('Hàng hóa'!$H$4:$H$203,MATCH(B7,'Hàng hóa'!$B$4:$B$203,0)),0)</f>
        <v>1581.818182</v>
      </c>
      <c r="J7" s="19">
        <f t="array" ref="J7">IF(A7="","",IFERROR(INDEX('Hàng hóa'!$H$4:$H$203,MATCH(INDEX(Size!$D$4:$D$53,MATCH(C7,Size!$B$4:$B$53,0)),'Hàng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>900</v>
      </c>
      <c r="K7" s="19">
        <f>IF(A7="","",(H7+I7+J7)*'Thiết lập'!$B$8)</f>
        <v>939.6091383</v>
      </c>
      <c r="L7" s="19">
        <f t="shared" si="2"/>
        <v>19731.7919</v>
      </c>
      <c r="M7" s="19">
        <f>IF(A7="","",'Thiết lập'!$B$12)</f>
        <v>91.36388889</v>
      </c>
      <c r="N7" s="19">
        <f t="shared" si="3"/>
        <v>19823.15579</v>
      </c>
      <c r="O7" s="23" t="s">
        <v>38</v>
      </c>
      <c r="P7" s="18" t="str">
        <f t="shared" si="4"/>
        <v>Dừa non - Size L</v>
      </c>
      <c r="Q7" s="2"/>
      <c r="R7" s="18" t="s">
        <v>201</v>
      </c>
      <c r="S7" s="18" t="str">
        <f>IF(Size!G8&lt;&gt;"",Size!G8,"")</f>
        <v/>
      </c>
      <c r="T7" s="18"/>
      <c r="U7" s="2"/>
      <c r="V7" s="2"/>
      <c r="W7" s="2"/>
    </row>
    <row r="8">
      <c r="A8" s="23" t="s">
        <v>203</v>
      </c>
      <c r="B8" s="23" t="s">
        <v>182</v>
      </c>
      <c r="C8" s="23" t="s">
        <v>77</v>
      </c>
      <c r="D8" s="37" t="str">
        <f t="shared" si="1"/>
        <v>Dâu giòn - Size M</v>
      </c>
      <c r="E8" s="38">
        <v>15.0</v>
      </c>
      <c r="F8" s="19">
        <f t="array" ref="F8">IFERROR(INDEX(Size!$E$4:$E$53,MATCH(C8,Size!$B$4:$B$53,0)),0)</f>
        <v>35000</v>
      </c>
      <c r="G8" s="19">
        <f t="array" ref="G8">IFERROR(INDEX(Size!$C$4:$C$53,MATCH(C8,Size!$B$4:$B$53,0)),0)</f>
        <v>400</v>
      </c>
      <c r="H8" s="19">
        <f>IF(A8="","",G8*'Mẻ sữa'!$U$5)</f>
        <v>11862.08333</v>
      </c>
      <c r="I8" s="19">
        <f t="array" ref="I8">IFERROR(E8*INDEX('Hàng hóa'!$H$4:$H$203,MATCH(B8,'Hàng hóa'!$B$4:$B$203,0)),0)</f>
        <v>5940000</v>
      </c>
      <c r="J8" s="19">
        <f t="array" ref="J8">IF(A8="","",IFERROR(INDEX('Hàng hóa'!$H$4:$H$203,MATCH(INDEX(Size!$D$4:$D$53,MATCH(C8,Size!$B$4:$B$53,0)),'Hàng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>900</v>
      </c>
      <c r="K8" s="19">
        <f>IF(A8="","",(H8+I8+J8)*'Thiết lập'!$B$8)</f>
        <v>297638.1042</v>
      </c>
      <c r="L8" s="19">
        <f t="shared" si="2"/>
        <v>6250400.188</v>
      </c>
      <c r="M8" s="19">
        <f>IF(A8="","",'Thiết lập'!$B$12)</f>
        <v>91.36388889</v>
      </c>
      <c r="N8" s="19">
        <f t="shared" si="3"/>
        <v>6250491.551</v>
      </c>
      <c r="O8" s="23" t="s">
        <v>38</v>
      </c>
      <c r="P8" s="18" t="str">
        <f t="shared" si="4"/>
        <v>Dâu giòn - Size M</v>
      </c>
      <c r="Q8" s="2"/>
      <c r="R8" s="18" t="str">
        <f>IF(AND('Hàng hóa'!B20&lt;&gt;"",'Hàng hóa'!C20="Topping",'Hàng hóa'!I20="Có"),'Hàng hóa'!B20,"")</f>
        <v/>
      </c>
      <c r="S8" s="18" t="str">
        <f>IF(Size!G9&lt;&gt;"",Size!G9,"")</f>
        <v/>
      </c>
      <c r="T8" s="18"/>
      <c r="U8" s="2"/>
      <c r="V8" s="2"/>
      <c r="W8" s="2"/>
    </row>
    <row r="9">
      <c r="A9" s="23" t="s">
        <v>208</v>
      </c>
      <c r="B9" s="23" t="s">
        <v>182</v>
      </c>
      <c r="C9" s="23" t="s">
        <v>100</v>
      </c>
      <c r="D9" s="37" t="str">
        <f t="shared" si="1"/>
        <v>Dâu giòn - Size L</v>
      </c>
      <c r="E9" s="38">
        <v>15.0</v>
      </c>
      <c r="F9" s="19">
        <f t="array" ref="F9">IFERROR(INDEX(Size!$E$4:$E$53,MATCH(C9,Size!$B$4:$B$53,0)),0)</f>
        <v>40000</v>
      </c>
      <c r="G9" s="19">
        <f t="array" ref="G9">IFERROR(INDEX(Size!$C$4:$C$53,MATCH(C9,Size!$B$4:$B$53,0)),0)</f>
        <v>550</v>
      </c>
      <c r="H9" s="19">
        <f>IF(A9="","",G9*'Mẻ sữa'!$U$5)</f>
        <v>16310.36458</v>
      </c>
      <c r="I9" s="19">
        <f t="array" ref="I9">IFERROR(E9*INDEX('Hàng hóa'!$H$4:$H$203,MATCH(B9,'Hàng hóa'!$B$4:$B$203,0)),0)</f>
        <v>5940000</v>
      </c>
      <c r="J9" s="19">
        <f t="array" ref="J9">IF(A9="","",IFERROR(INDEX('Hàng hóa'!$H$4:$H$203,MATCH(INDEX(Size!$D$4:$D$53,MATCH(C9,Size!$B$4:$B$53,0)),'Hàng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>900</v>
      </c>
      <c r="K9" s="19">
        <f>IF(A9="","",(H9+I9+J9)*'Thiết lập'!$B$8)</f>
        <v>297860.5182</v>
      </c>
      <c r="L9" s="19">
        <f t="shared" si="2"/>
        <v>6255070.883</v>
      </c>
      <c r="M9" s="19">
        <f>IF(A9="","",'Thiết lập'!$B$12)</f>
        <v>91.36388889</v>
      </c>
      <c r="N9" s="19">
        <f t="shared" si="3"/>
        <v>6255162.247</v>
      </c>
      <c r="O9" s="23" t="s">
        <v>38</v>
      </c>
      <c r="P9" s="18" t="str">
        <f t="shared" si="4"/>
        <v>Dâu giòn - Size L</v>
      </c>
      <c r="Q9" s="2"/>
      <c r="R9" s="18" t="str">
        <f>IF(AND('Hàng hóa'!B21&lt;&gt;"",'Hàng hóa'!C21="Topping",'Hàng hóa'!I21="Có"),'Hàng hóa'!B21,"")</f>
        <v/>
      </c>
      <c r="S9" s="18" t="str">
        <f>IF(Size!G10&lt;&gt;"",Size!G10,"")</f>
        <v/>
      </c>
      <c r="T9" s="18"/>
      <c r="U9" s="2"/>
      <c r="V9" s="2"/>
      <c r="W9" s="2"/>
    </row>
    <row r="10">
      <c r="A10" s="23" t="s">
        <v>220</v>
      </c>
      <c r="B10" s="23" t="s">
        <v>194</v>
      </c>
      <c r="C10" s="23" t="s">
        <v>77</v>
      </c>
      <c r="D10" s="37" t="str">
        <f t="shared" si="1"/>
        <v>Sữa chua sấy - Size M</v>
      </c>
      <c r="E10" s="38">
        <v>15.0</v>
      </c>
      <c r="F10" s="19">
        <f t="array" ref="F10">IFERROR(INDEX(Size!$E$4:$E$53,MATCH(C10,Size!$B$4:$B$53,0)),0)</f>
        <v>35000</v>
      </c>
      <c r="G10" s="19">
        <f t="array" ref="G10">IFERROR(INDEX(Size!$C$4:$C$53,MATCH(C10,Size!$B$4:$B$53,0)),0)</f>
        <v>400</v>
      </c>
      <c r="H10" s="19">
        <f>IF(A10="","",G10*'Mẻ sữa'!$U$5)</f>
        <v>11862.08333</v>
      </c>
      <c r="I10" s="19">
        <f t="array" ref="I10">IFERROR(E10*INDEX('Hàng hóa'!$H$4:$H$203,MATCH(B10,'Hàng hóa'!$B$4:$B$203,0)),0)</f>
        <v>4855500</v>
      </c>
      <c r="J10" s="19">
        <f t="array" ref="J10">IF(A10="","",IFERROR(INDEX('Hàng hóa'!$H$4:$H$203,MATCH(INDEX(Size!$D$4:$D$53,MATCH(C10,Size!$B$4:$B$53,0)),'Hàng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>900</v>
      </c>
      <c r="K10" s="19">
        <f>IF(A10="","",(H10+I10+J10)*'Thiết lập'!$B$8)</f>
        <v>243413.1042</v>
      </c>
      <c r="L10" s="19">
        <f t="shared" si="2"/>
        <v>5111675.188</v>
      </c>
      <c r="M10" s="19">
        <f>IF(A10="","",'Thiết lập'!$B$12)</f>
        <v>91.36388889</v>
      </c>
      <c r="N10" s="19">
        <f t="shared" si="3"/>
        <v>5111766.551</v>
      </c>
      <c r="O10" s="23" t="s">
        <v>38</v>
      </c>
      <c r="P10" s="18" t="str">
        <f t="shared" si="4"/>
        <v>Sữa chua sấy - Size M</v>
      </c>
      <c r="Q10" s="2"/>
      <c r="R10" s="18" t="str">
        <f>IF(AND('Hàng hóa'!B22&lt;&gt;"",'Hàng hóa'!C22="Topping",'Hàng hóa'!I22="Có"),'Hàng hóa'!B22,"")</f>
        <v/>
      </c>
      <c r="S10" s="18" t="str">
        <f>IF(Size!G11&lt;&gt;"",Size!G11,"")</f>
        <v/>
      </c>
      <c r="T10" s="18"/>
      <c r="U10" s="2"/>
      <c r="V10" s="2"/>
      <c r="W10" s="2"/>
    </row>
    <row r="11">
      <c r="A11" s="23" t="s">
        <v>224</v>
      </c>
      <c r="B11" s="23" t="s">
        <v>194</v>
      </c>
      <c r="C11" s="23" t="s">
        <v>100</v>
      </c>
      <c r="D11" s="37" t="str">
        <f t="shared" si="1"/>
        <v>Sữa chua sấy - Size L</v>
      </c>
      <c r="E11" s="38">
        <v>15.0</v>
      </c>
      <c r="F11" s="19">
        <f t="array" ref="F11">IFERROR(INDEX(Size!$E$4:$E$53,MATCH(C11,Size!$B$4:$B$53,0)),0)</f>
        <v>40000</v>
      </c>
      <c r="G11" s="19">
        <f t="array" ref="G11">IFERROR(INDEX(Size!$C$4:$C$53,MATCH(C11,Size!$B$4:$B$53,0)),0)</f>
        <v>550</v>
      </c>
      <c r="H11" s="19">
        <f>IF(A11="","",G11*'Mẻ sữa'!$U$5)</f>
        <v>16310.36458</v>
      </c>
      <c r="I11" s="19">
        <f t="array" ref="I11">IFERROR(E11*INDEX('Hàng hóa'!$H$4:$H$203,MATCH(B11,'Hàng hóa'!$B$4:$B$203,0)),0)</f>
        <v>4855500</v>
      </c>
      <c r="J11" s="19">
        <f t="array" ref="J11">IF(A11="","",IFERROR(INDEX('Hàng hóa'!$H$4:$H$203,MATCH(INDEX(Size!$D$4:$D$53,MATCH(C11,Size!$B$4:$B$53,0)),'Hàng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>900</v>
      </c>
      <c r="K11" s="19">
        <f>IF(A11="","",(H11+I11+J11)*'Thiết lập'!$B$8)</f>
        <v>243635.5182</v>
      </c>
      <c r="L11" s="19">
        <f t="shared" si="2"/>
        <v>5116345.883</v>
      </c>
      <c r="M11" s="19">
        <f>IF(A11="","",'Thiết lập'!$B$12)</f>
        <v>91.36388889</v>
      </c>
      <c r="N11" s="19">
        <f t="shared" si="3"/>
        <v>5116437.247</v>
      </c>
      <c r="O11" s="23" t="s">
        <v>38</v>
      </c>
      <c r="P11" s="18" t="str">
        <f t="shared" si="4"/>
        <v>Sữa chua sấy - Size L</v>
      </c>
      <c r="Q11" s="2"/>
      <c r="R11" s="18" t="str">
        <f>IF(AND('Hàng hóa'!B23&lt;&gt;"",'Hàng hóa'!C23="Topping",'Hàng hóa'!I23="Có"),'Hàng hóa'!B23,"")</f>
        <v/>
      </c>
      <c r="S11" s="18" t="str">
        <f>IF(Size!G12&lt;&gt;"",Size!G12,"")</f>
        <v/>
      </c>
      <c r="T11" s="18"/>
      <c r="U11" s="2"/>
      <c r="V11" s="2"/>
      <c r="W11" s="2"/>
    </row>
    <row r="12">
      <c r="A12" s="23" t="s">
        <v>226</v>
      </c>
      <c r="B12" s="23" t="s">
        <v>201</v>
      </c>
      <c r="C12" s="23" t="s">
        <v>77</v>
      </c>
      <c r="D12" s="37" t="str">
        <f t="shared" si="1"/>
        <v>Choco Ball - Size M</v>
      </c>
      <c r="E12" s="38">
        <v>15.0</v>
      </c>
      <c r="F12" s="19">
        <f t="array" ref="F12">IFERROR(INDEX(Size!$E$4:$E$53,MATCH(C12,Size!$B$4:$B$53,0)),0)</f>
        <v>35000</v>
      </c>
      <c r="G12" s="19">
        <f t="array" ref="G12">IFERROR(INDEX(Size!$C$4:$C$53,MATCH(C12,Size!$B$4:$B$53,0)),0)</f>
        <v>400</v>
      </c>
      <c r="H12" s="19">
        <f>IF(A12="","",G12*'Mẻ sữa'!$U$5)</f>
        <v>11862.08333</v>
      </c>
      <c r="I12" s="19">
        <f t="array" ref="I12">IFERROR(E12*INDEX('Hàng hóa'!$H$4:$H$203,MATCH(B12,'Hàng hóa'!$B$4:$B$203,0)),0)</f>
        <v>4280000</v>
      </c>
      <c r="J12" s="19">
        <f t="array" ref="J12">IF(A12="","",IFERROR(INDEX('Hàng hóa'!$H$4:$H$203,MATCH(INDEX(Size!$D$4:$D$53,MATCH(C12,Size!$B$4:$B$53,0)),'Hàng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>900</v>
      </c>
      <c r="K12" s="19">
        <f>IF(A12="","",(H12+I12+J12)*'Thiết lập'!$B$8)</f>
        <v>214638.1042</v>
      </c>
      <c r="L12" s="19">
        <f t="shared" si="2"/>
        <v>4507400.188</v>
      </c>
      <c r="M12" s="19">
        <f>IF(A12="","",'Thiết lập'!$B$12)</f>
        <v>91.36388889</v>
      </c>
      <c r="N12" s="19">
        <f t="shared" si="3"/>
        <v>4507491.551</v>
      </c>
      <c r="O12" s="23" t="s">
        <v>38</v>
      </c>
      <c r="P12" s="18" t="str">
        <f t="shared" si="4"/>
        <v>Choco Ball - Size M</v>
      </c>
      <c r="Q12" s="2"/>
      <c r="R12" s="18" t="str">
        <f>IF(AND('Hàng hóa'!B24&lt;&gt;"",'Hàng hóa'!C24="Topping",'Hàng hóa'!I24="Có"),'Hàng hóa'!B24,"")</f>
        <v/>
      </c>
      <c r="S12" s="18" t="str">
        <f>IF(Size!G13&lt;&gt;"",Size!G13,"")</f>
        <v/>
      </c>
      <c r="T12" s="18"/>
      <c r="U12" s="2"/>
      <c r="V12" s="2"/>
      <c r="W12" s="2"/>
    </row>
    <row r="13">
      <c r="A13" s="23" t="s">
        <v>227</v>
      </c>
      <c r="B13" s="23" t="s">
        <v>201</v>
      </c>
      <c r="C13" s="23" t="s">
        <v>100</v>
      </c>
      <c r="D13" s="37" t="str">
        <f t="shared" si="1"/>
        <v>Choco Ball - Size L</v>
      </c>
      <c r="E13" s="38">
        <v>15.0</v>
      </c>
      <c r="F13" s="19">
        <f t="array" ref="F13">IFERROR(INDEX(Size!$E$4:$E$53,MATCH(C13,Size!$B$4:$B$53,0)),0)</f>
        <v>40000</v>
      </c>
      <c r="G13" s="19">
        <f t="array" ref="G13">IFERROR(INDEX(Size!$C$4:$C$53,MATCH(C13,Size!$B$4:$B$53,0)),0)</f>
        <v>550</v>
      </c>
      <c r="H13" s="19">
        <f>IF(A13="","",G13*'Mẻ sữa'!$U$5)</f>
        <v>16310.36458</v>
      </c>
      <c r="I13" s="19">
        <f t="array" ref="I13">IFERROR(E13*INDEX('Hàng hóa'!$H$4:$H$203,MATCH(B13,'Hàng hóa'!$B$4:$B$203,0)),0)</f>
        <v>4280000</v>
      </c>
      <c r="J13" s="19">
        <f t="array" ref="J13">IF(A13="","",IFERROR(INDEX('Hàng hóa'!$H$4:$H$203,MATCH(INDEX(Size!$D$4:$D$53,MATCH(C13,Size!$B$4:$B$53,0)),'Hàng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>900</v>
      </c>
      <c r="K13" s="19">
        <f>IF(A13="","",(H13+I13+J13)*'Thiết lập'!$B$8)</f>
        <v>214860.5182</v>
      </c>
      <c r="L13" s="19">
        <f t="shared" si="2"/>
        <v>4512070.883</v>
      </c>
      <c r="M13" s="19">
        <f>IF(A13="","",'Thiết lập'!$B$12)</f>
        <v>91.36388889</v>
      </c>
      <c r="N13" s="19">
        <f t="shared" si="3"/>
        <v>4512162.247</v>
      </c>
      <c r="O13" s="23" t="s">
        <v>38</v>
      </c>
      <c r="P13" s="18" t="str">
        <f t="shared" si="4"/>
        <v>Choco Ball - Size L</v>
      </c>
      <c r="Q13" s="2"/>
      <c r="R13" s="18" t="str">
        <f>IF(AND('Hàng hóa'!B25&lt;&gt;"",'Hàng hóa'!C25="Topping",'Hàng hóa'!I25="Có"),'Hàng hóa'!B25,"")</f>
        <v/>
      </c>
      <c r="S13" s="18" t="str">
        <f>IF(Size!G14&lt;&gt;"",Size!G14,"")</f>
        <v/>
      </c>
      <c r="T13" s="18"/>
      <c r="U13" s="2"/>
      <c r="V13" s="2"/>
      <c r="W13" s="2"/>
    </row>
    <row r="14">
      <c r="A14" s="23" t="str">
        <f t="shared" ref="A14:A103" si="5">IF(OR(B14="",C14=""),"","SP-"&amp;TEXT(ROW()-3,"000"))</f>
        <v/>
      </c>
      <c r="B14" s="23"/>
      <c r="C14" s="23"/>
      <c r="D14" s="37" t="str">
        <f t="shared" si="1"/>
        <v/>
      </c>
      <c r="E14" s="55"/>
      <c r="F14" s="19">
        <f t="array" ref="F14">IFERROR(INDEX(Size!$E$4:$E$53,MATCH(C14,Size!$B$4:$B$53,0)),0)</f>
        <v>0</v>
      </c>
      <c r="G14" s="19">
        <f t="array" ref="G14">IFERROR(INDEX(Size!$C$4:$C$53,MATCH(C14,Size!$B$4:$B$53,0)),0)</f>
        <v>0</v>
      </c>
      <c r="H14" s="19" t="str">
        <f>IF(A14="","",G14*'Mẻ sữa'!$U$5)</f>
        <v/>
      </c>
      <c r="I14" s="19">
        <f t="array" ref="I14">IFERROR(E14*INDEX('Hàng hóa'!$H$4:$H$203,MATCH(B14,'Hàng hóa'!$B$4:$B$203,0)),0)</f>
        <v>0</v>
      </c>
      <c r="J14" s="19" t="str">
        <f t="array" ref="J14">IF(A14="","",IFERROR(INDEX('Hàng hóa'!$H$4:$H$203,MATCH(INDEX(Size!$D$4:$D$53,MATCH(C14,Size!$B$4:$B$53,0)),'Hàng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14" s="19" t="str">
        <f>IF(A14="","",(H14+I14+J14)*'Thiết lập'!$B$8)</f>
        <v/>
      </c>
      <c r="L14" s="19" t="str">
        <f t="shared" si="2"/>
        <v/>
      </c>
      <c r="M14" s="19" t="str">
        <f>IF(A14="","",'Thiết lập'!$B$12)</f>
        <v/>
      </c>
      <c r="N14" s="19" t="str">
        <f t="shared" si="3"/>
        <v/>
      </c>
      <c r="O14" s="23"/>
      <c r="P14" s="18" t="str">
        <f t="shared" si="4"/>
        <v/>
      </c>
      <c r="Q14" s="2"/>
      <c r="R14" s="18" t="str">
        <f>IF(AND('Hàng hóa'!B26&lt;&gt;"",'Hàng hóa'!C26="Topping",'Hàng hóa'!I26="Có"),'Hàng hóa'!B26,"")</f>
        <v/>
      </c>
      <c r="S14" s="18" t="str">
        <f>IF(Size!G15&lt;&gt;"",Size!G15,"")</f>
        <v/>
      </c>
      <c r="T14" s="18"/>
      <c r="U14" s="2"/>
      <c r="V14" s="2"/>
      <c r="W14" s="2"/>
    </row>
    <row r="15">
      <c r="A15" s="23" t="str">
        <f t="shared" si="5"/>
        <v/>
      </c>
      <c r="B15" s="23"/>
      <c r="C15" s="23"/>
      <c r="D15" s="37" t="str">
        <f t="shared" si="1"/>
        <v/>
      </c>
      <c r="E15" s="55"/>
      <c r="F15" s="19">
        <f t="array" ref="F15">IFERROR(INDEX(Size!$E$4:$E$53,MATCH(C15,Size!$B$4:$B$53,0)),0)</f>
        <v>0</v>
      </c>
      <c r="G15" s="19">
        <f t="array" ref="G15">IFERROR(INDEX(Size!$C$4:$C$53,MATCH(C15,Size!$B$4:$B$53,0)),0)</f>
        <v>0</v>
      </c>
      <c r="H15" s="19" t="str">
        <f>IF(A15="","",G15*'Mẻ sữa'!$U$5)</f>
        <v/>
      </c>
      <c r="I15" s="19">
        <f t="array" ref="I15">IFERROR(E15*INDEX('Hàng hóa'!$H$4:$H$203,MATCH(B15,'Hàng hóa'!$B$4:$B$203,0)),0)</f>
        <v>0</v>
      </c>
      <c r="J15" s="19" t="str">
        <f t="array" ref="J15">IF(A15="","",IFERROR(INDEX('Hàng hóa'!$H$4:$H$203,MATCH(INDEX(Size!$D$4:$D$53,MATCH(C15,Size!$B$4:$B$53,0)),'Hàng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15" s="19" t="str">
        <f>IF(A15="","",(H15+I15+J15)*'Thiết lập'!$B$8)</f>
        <v/>
      </c>
      <c r="L15" s="19" t="str">
        <f t="shared" si="2"/>
        <v/>
      </c>
      <c r="M15" s="19" t="str">
        <f>IF(A15="","",'Thiết lập'!$B$12)</f>
        <v/>
      </c>
      <c r="N15" s="19" t="str">
        <f t="shared" si="3"/>
        <v/>
      </c>
      <c r="O15" s="23"/>
      <c r="P15" s="18" t="str">
        <f t="shared" si="4"/>
        <v/>
      </c>
      <c r="Q15" s="2"/>
      <c r="R15" s="18" t="str">
        <f>IF(AND('Hàng hóa'!B27&lt;&gt;"",'Hàng hóa'!C27="Topping",'Hàng hóa'!I27="Có"),'Hàng hóa'!B27,"")</f>
        <v/>
      </c>
      <c r="S15" s="18" t="str">
        <f>IF(Size!G16&lt;&gt;"",Size!G16,"")</f>
        <v/>
      </c>
      <c r="T15" s="18"/>
      <c r="U15" s="2"/>
      <c r="V15" s="2"/>
      <c r="W15" s="2"/>
    </row>
    <row r="16">
      <c r="A16" s="23" t="str">
        <f t="shared" si="5"/>
        <v/>
      </c>
      <c r="B16" s="23"/>
      <c r="C16" s="23"/>
      <c r="D16" s="37" t="str">
        <f t="shared" si="1"/>
        <v/>
      </c>
      <c r="E16" s="55"/>
      <c r="F16" s="19">
        <f t="array" ref="F16">IFERROR(INDEX(Size!$E$4:$E$53,MATCH(C16,Size!$B$4:$B$53,0)),0)</f>
        <v>0</v>
      </c>
      <c r="G16" s="19">
        <f t="array" ref="G16">IFERROR(INDEX(Size!$C$4:$C$53,MATCH(C16,Size!$B$4:$B$53,0)),0)</f>
        <v>0</v>
      </c>
      <c r="H16" s="19" t="str">
        <f>IF(A16="","",G16*'Mẻ sữa'!$U$5)</f>
        <v/>
      </c>
      <c r="I16" s="19">
        <f t="array" ref="I16">IFERROR(E16*INDEX('Hàng hóa'!$H$4:$H$203,MATCH(B16,'Hàng hóa'!$B$4:$B$203,0)),0)</f>
        <v>0</v>
      </c>
      <c r="J16" s="19" t="str">
        <f t="array" ref="J16">IF(A16="","",IFERROR(INDEX('Hàng hóa'!$H$4:$H$203,MATCH(INDEX(Size!$D$4:$D$53,MATCH(C16,Size!$B$4:$B$53,0)),'Hàng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16" s="19" t="str">
        <f>IF(A16="","",(H16+I16+J16)*'Thiết lập'!$B$8)</f>
        <v/>
      </c>
      <c r="L16" s="19" t="str">
        <f t="shared" si="2"/>
        <v/>
      </c>
      <c r="M16" s="19" t="str">
        <f>IF(A16="","",'Thiết lập'!$B$12)</f>
        <v/>
      </c>
      <c r="N16" s="19" t="str">
        <f t="shared" si="3"/>
        <v/>
      </c>
      <c r="O16" s="23"/>
      <c r="P16" s="18" t="str">
        <f t="shared" si="4"/>
        <v/>
      </c>
      <c r="Q16" s="2"/>
      <c r="R16" s="18" t="str">
        <f>IF(AND('Hàng hóa'!B28&lt;&gt;"",'Hàng hóa'!C28="Topping",'Hàng hóa'!I28="Có"),'Hàng hóa'!B28,"")</f>
        <v/>
      </c>
      <c r="S16" s="18" t="str">
        <f>IF(Size!G17&lt;&gt;"",Size!G17,"")</f>
        <v/>
      </c>
      <c r="T16" s="18"/>
      <c r="U16" s="2"/>
      <c r="V16" s="2"/>
      <c r="W16" s="2"/>
    </row>
    <row r="17">
      <c r="A17" s="23" t="str">
        <f t="shared" si="5"/>
        <v/>
      </c>
      <c r="B17" s="23"/>
      <c r="C17" s="23"/>
      <c r="D17" s="37" t="str">
        <f t="shared" si="1"/>
        <v/>
      </c>
      <c r="E17" s="55"/>
      <c r="F17" s="19">
        <f t="array" ref="F17">IFERROR(INDEX(Size!$E$4:$E$53,MATCH(C17,Size!$B$4:$B$53,0)),0)</f>
        <v>0</v>
      </c>
      <c r="G17" s="19">
        <f t="array" ref="G17">IFERROR(INDEX(Size!$C$4:$C$53,MATCH(C17,Size!$B$4:$B$53,0)),0)</f>
        <v>0</v>
      </c>
      <c r="H17" s="19" t="str">
        <f>IF(A17="","",G17*'Mẻ sữa'!$U$5)</f>
        <v/>
      </c>
      <c r="I17" s="19">
        <f t="array" ref="I17">IFERROR(E17*INDEX('Hàng hóa'!$H$4:$H$203,MATCH(B17,'Hàng hóa'!$B$4:$B$203,0)),0)</f>
        <v>0</v>
      </c>
      <c r="J17" s="19" t="str">
        <f t="array" ref="J17">IF(A17="","",IFERROR(INDEX('Hàng hóa'!$H$4:$H$203,MATCH(INDEX(Size!$D$4:$D$53,MATCH(C17,Size!$B$4:$B$53,0)),'Hàng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17" s="19" t="str">
        <f>IF(A17="","",(H17+I17+J17)*'Thiết lập'!$B$8)</f>
        <v/>
      </c>
      <c r="L17" s="19" t="str">
        <f t="shared" si="2"/>
        <v/>
      </c>
      <c r="M17" s="19" t="str">
        <f>IF(A17="","",'Thiết lập'!$B$12)</f>
        <v/>
      </c>
      <c r="N17" s="19" t="str">
        <f t="shared" si="3"/>
        <v/>
      </c>
      <c r="O17" s="23"/>
      <c r="P17" s="18" t="str">
        <f t="shared" si="4"/>
        <v/>
      </c>
      <c r="Q17" s="2"/>
      <c r="R17" s="18" t="str">
        <f>IF(AND('Hàng hóa'!B29&lt;&gt;"",'Hàng hóa'!C29="Topping",'Hàng hóa'!I29="Có"),'Hàng hóa'!B29,"")</f>
        <v/>
      </c>
      <c r="S17" s="18" t="str">
        <f>IF(Size!G18&lt;&gt;"",Size!G18,"")</f>
        <v/>
      </c>
      <c r="T17" s="18"/>
      <c r="U17" s="2"/>
      <c r="V17" s="2"/>
      <c r="W17" s="2"/>
    </row>
    <row r="18">
      <c r="A18" s="23" t="str">
        <f t="shared" si="5"/>
        <v/>
      </c>
      <c r="B18" s="23"/>
      <c r="C18" s="23"/>
      <c r="D18" s="37" t="str">
        <f t="shared" si="1"/>
        <v/>
      </c>
      <c r="E18" s="55"/>
      <c r="F18" s="19">
        <f t="array" ref="F18">IFERROR(INDEX(Size!$E$4:$E$53,MATCH(C18,Size!$B$4:$B$53,0)),0)</f>
        <v>0</v>
      </c>
      <c r="G18" s="19">
        <f t="array" ref="G18">IFERROR(INDEX(Size!$C$4:$C$53,MATCH(C18,Size!$B$4:$B$53,0)),0)</f>
        <v>0</v>
      </c>
      <c r="H18" s="19" t="str">
        <f>IF(A18="","",G18*'Mẻ sữa'!$U$5)</f>
        <v/>
      </c>
      <c r="I18" s="19">
        <f t="array" ref="I18">IFERROR(E18*INDEX('Hàng hóa'!$H$4:$H$203,MATCH(B18,'Hàng hóa'!$B$4:$B$203,0)),0)</f>
        <v>0</v>
      </c>
      <c r="J18" s="19" t="str">
        <f t="array" ref="J18">IF(A18="","",IFERROR(INDEX('Hàng hóa'!$H$4:$H$203,MATCH(INDEX(Size!$D$4:$D$53,MATCH(C18,Size!$B$4:$B$53,0)),'Hàng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18" s="19" t="str">
        <f>IF(A18="","",(H18+I18+J18)*'Thiết lập'!$B$8)</f>
        <v/>
      </c>
      <c r="L18" s="19" t="str">
        <f t="shared" si="2"/>
        <v/>
      </c>
      <c r="M18" s="19" t="str">
        <f>IF(A18="","",'Thiết lập'!$B$12)</f>
        <v/>
      </c>
      <c r="N18" s="19" t="str">
        <f t="shared" si="3"/>
        <v/>
      </c>
      <c r="O18" s="23"/>
      <c r="P18" s="18" t="str">
        <f t="shared" si="4"/>
        <v/>
      </c>
      <c r="Q18" s="2"/>
      <c r="R18" s="18" t="str">
        <f>IF(AND('Hàng hóa'!B30&lt;&gt;"",'Hàng hóa'!C30="Topping",'Hàng hóa'!I30="Có"),'Hàng hóa'!B30,"")</f>
        <v/>
      </c>
      <c r="S18" s="18" t="str">
        <f>IF(Size!G19&lt;&gt;"",Size!G19,"")</f>
        <v/>
      </c>
      <c r="T18" s="18"/>
      <c r="U18" s="2"/>
      <c r="V18" s="2"/>
      <c r="W18" s="2"/>
    </row>
    <row r="19">
      <c r="A19" s="23" t="str">
        <f t="shared" si="5"/>
        <v/>
      </c>
      <c r="B19" s="23"/>
      <c r="C19" s="23"/>
      <c r="D19" s="37" t="str">
        <f t="shared" si="1"/>
        <v/>
      </c>
      <c r="E19" s="55"/>
      <c r="F19" s="19">
        <f t="array" ref="F19">IFERROR(INDEX(Size!$E$4:$E$53,MATCH(C19,Size!$B$4:$B$53,0)),0)</f>
        <v>0</v>
      </c>
      <c r="G19" s="19">
        <f t="array" ref="G19">IFERROR(INDEX(Size!$C$4:$C$53,MATCH(C19,Size!$B$4:$B$53,0)),0)</f>
        <v>0</v>
      </c>
      <c r="H19" s="19" t="str">
        <f>IF(A19="","",G19*'Mẻ sữa'!$U$5)</f>
        <v/>
      </c>
      <c r="I19" s="19">
        <f t="array" ref="I19">IFERROR(E19*INDEX('Hàng hóa'!$H$4:$H$203,MATCH(B19,'Hàng hóa'!$B$4:$B$203,0)),0)</f>
        <v>0</v>
      </c>
      <c r="J19" s="19" t="str">
        <f t="array" ref="J19">IF(A19="","",IFERROR(INDEX('Hàng hóa'!$H$4:$H$203,MATCH(INDEX(Size!$D$4:$D$53,MATCH(C19,Size!$B$4:$B$53,0)),'Hàng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19" s="19" t="str">
        <f>IF(A19="","",(H19+I19+J19)*'Thiết lập'!$B$8)</f>
        <v/>
      </c>
      <c r="L19" s="19" t="str">
        <f t="shared" si="2"/>
        <v/>
      </c>
      <c r="M19" s="19" t="str">
        <f>IF(A19="","",'Thiết lập'!$B$12)</f>
        <v/>
      </c>
      <c r="N19" s="19" t="str">
        <f t="shared" si="3"/>
        <v/>
      </c>
      <c r="O19" s="23"/>
      <c r="P19" s="18" t="str">
        <f t="shared" si="4"/>
        <v/>
      </c>
      <c r="Q19" s="2"/>
      <c r="R19" s="18" t="str">
        <f>IF(AND('Hàng hóa'!B31&lt;&gt;"",'Hàng hóa'!C31="Topping",'Hàng hóa'!I31="Có"),'Hàng hóa'!B31,"")</f>
        <v/>
      </c>
      <c r="S19" s="18" t="str">
        <f>IF(Size!G20&lt;&gt;"",Size!G20,"")</f>
        <v/>
      </c>
      <c r="T19" s="18"/>
      <c r="U19" s="2"/>
      <c r="V19" s="2"/>
      <c r="W19" s="2"/>
    </row>
    <row r="20">
      <c r="A20" s="23" t="str">
        <f t="shared" si="5"/>
        <v/>
      </c>
      <c r="B20" s="23"/>
      <c r="C20" s="23"/>
      <c r="D20" s="37" t="str">
        <f t="shared" si="1"/>
        <v/>
      </c>
      <c r="E20" s="55"/>
      <c r="F20" s="19">
        <f t="array" ref="F20">IFERROR(INDEX(Size!$E$4:$E$53,MATCH(C20,Size!$B$4:$B$53,0)),0)</f>
        <v>0</v>
      </c>
      <c r="G20" s="19">
        <f t="array" ref="G20">IFERROR(INDEX(Size!$C$4:$C$53,MATCH(C20,Size!$B$4:$B$53,0)),0)</f>
        <v>0</v>
      </c>
      <c r="H20" s="19" t="str">
        <f>IF(A20="","",G20*'Mẻ sữa'!$U$5)</f>
        <v/>
      </c>
      <c r="I20" s="19">
        <f t="array" ref="I20">IFERROR(E20*INDEX('Hàng hóa'!$H$4:$H$203,MATCH(B20,'Hàng hóa'!$B$4:$B$203,0)),0)</f>
        <v>0</v>
      </c>
      <c r="J20" s="19" t="str">
        <f t="array" ref="J20">IF(A20="","",IFERROR(INDEX('Hàng hóa'!$H$4:$H$203,MATCH(INDEX(Size!$D$4:$D$53,MATCH(C20,Size!$B$4:$B$53,0)),'Hàng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20" s="19" t="str">
        <f>IF(A20="","",(H20+I20+J20)*'Thiết lập'!$B$8)</f>
        <v/>
      </c>
      <c r="L20" s="19" t="str">
        <f t="shared" si="2"/>
        <v/>
      </c>
      <c r="M20" s="19" t="str">
        <f>IF(A20="","",'Thiết lập'!$B$12)</f>
        <v/>
      </c>
      <c r="N20" s="19" t="str">
        <f t="shared" si="3"/>
        <v/>
      </c>
      <c r="O20" s="23"/>
      <c r="P20" s="18" t="str">
        <f t="shared" si="4"/>
        <v/>
      </c>
      <c r="Q20" s="2"/>
      <c r="R20" s="18" t="str">
        <f>IF(AND('Hàng hóa'!B32&lt;&gt;"",'Hàng hóa'!C32="Topping",'Hàng hóa'!I32="Có"),'Hàng hóa'!B32,"")</f>
        <v/>
      </c>
      <c r="S20" s="18" t="str">
        <f>IF(Size!G21&lt;&gt;"",Size!G21,"")</f>
        <v/>
      </c>
      <c r="T20" s="18"/>
      <c r="U20" s="2"/>
      <c r="V20" s="2"/>
      <c r="W20" s="2"/>
    </row>
    <row r="21" ht="15.75" customHeight="1">
      <c r="A21" s="23" t="str">
        <f t="shared" si="5"/>
        <v/>
      </c>
      <c r="B21" s="23"/>
      <c r="C21" s="23"/>
      <c r="D21" s="37" t="str">
        <f t="shared" si="1"/>
        <v/>
      </c>
      <c r="E21" s="55"/>
      <c r="F21" s="19">
        <f t="array" ref="F21">IFERROR(INDEX(Size!$E$4:$E$53,MATCH(C21,Size!$B$4:$B$53,0)),0)</f>
        <v>0</v>
      </c>
      <c r="G21" s="19">
        <f t="array" ref="G21">IFERROR(INDEX(Size!$C$4:$C$53,MATCH(C21,Size!$B$4:$B$53,0)),0)</f>
        <v>0</v>
      </c>
      <c r="H21" s="19" t="str">
        <f>IF(A21="","",G21*'Mẻ sữa'!$U$5)</f>
        <v/>
      </c>
      <c r="I21" s="19">
        <f t="array" ref="I21">IFERROR(E21*INDEX('Hàng hóa'!$H$4:$H$203,MATCH(B21,'Hàng hóa'!$B$4:$B$203,0)),0)</f>
        <v>0</v>
      </c>
      <c r="J21" s="19" t="str">
        <f t="array" ref="J21">IF(A21="","",IFERROR(INDEX('Hàng hóa'!$H$4:$H$203,MATCH(INDEX(Size!$D$4:$D$53,MATCH(C21,Size!$B$4:$B$53,0)),'Hàng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21" s="19" t="str">
        <f>IF(A21="","",(H21+I21+J21)*'Thiết lập'!$B$8)</f>
        <v/>
      </c>
      <c r="L21" s="19" t="str">
        <f t="shared" si="2"/>
        <v/>
      </c>
      <c r="M21" s="19" t="str">
        <f>IF(A21="","",'Thiết lập'!$B$12)</f>
        <v/>
      </c>
      <c r="N21" s="19" t="str">
        <f t="shared" si="3"/>
        <v/>
      </c>
      <c r="O21" s="23"/>
      <c r="P21" s="18" t="str">
        <f t="shared" si="4"/>
        <v/>
      </c>
      <c r="Q21" s="2"/>
      <c r="R21" s="18" t="str">
        <f>IF(AND('Hàng hóa'!B33&lt;&gt;"",'Hàng hóa'!C33="Topping",'Hàng hóa'!I33="Có"),'Hàng hóa'!B33,"")</f>
        <v/>
      </c>
      <c r="S21" s="18" t="str">
        <f>IF(Size!G22&lt;&gt;"",Size!G22,"")</f>
        <v/>
      </c>
      <c r="T21" s="18"/>
      <c r="U21" s="2"/>
      <c r="V21" s="2"/>
      <c r="W21" s="2"/>
    </row>
    <row r="22" ht="15.75" customHeight="1">
      <c r="A22" s="23" t="str">
        <f t="shared" si="5"/>
        <v/>
      </c>
      <c r="B22" s="23"/>
      <c r="C22" s="23"/>
      <c r="D22" s="37" t="str">
        <f t="shared" si="1"/>
        <v/>
      </c>
      <c r="E22" s="55"/>
      <c r="F22" s="19">
        <f t="array" ref="F22">IFERROR(INDEX(Size!$E$4:$E$53,MATCH(C22,Size!$B$4:$B$53,0)),0)</f>
        <v>0</v>
      </c>
      <c r="G22" s="19">
        <f t="array" ref="G22">IFERROR(INDEX(Size!$C$4:$C$53,MATCH(C22,Size!$B$4:$B$53,0)),0)</f>
        <v>0</v>
      </c>
      <c r="H22" s="19" t="str">
        <f>IF(A22="","",G22*'Mẻ sữa'!$U$5)</f>
        <v/>
      </c>
      <c r="I22" s="19">
        <f t="array" ref="I22">IFERROR(E22*INDEX('Hàng hóa'!$H$4:$H$203,MATCH(B22,'Hàng hóa'!$B$4:$B$203,0)),0)</f>
        <v>0</v>
      </c>
      <c r="J22" s="19" t="str">
        <f t="array" ref="J22">IF(A22="","",IFERROR(INDEX('Hàng hóa'!$H$4:$H$203,MATCH(INDEX(Size!$D$4:$D$53,MATCH(C22,Size!$B$4:$B$53,0)),'Hàng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22" s="19" t="str">
        <f>IF(A22="","",(H22+I22+J22)*'Thiết lập'!$B$8)</f>
        <v/>
      </c>
      <c r="L22" s="19" t="str">
        <f t="shared" si="2"/>
        <v/>
      </c>
      <c r="M22" s="19" t="str">
        <f>IF(A22="","",'Thiết lập'!$B$12)</f>
        <v/>
      </c>
      <c r="N22" s="19" t="str">
        <f t="shared" si="3"/>
        <v/>
      </c>
      <c r="O22" s="23"/>
      <c r="P22" s="18" t="str">
        <f t="shared" si="4"/>
        <v/>
      </c>
      <c r="Q22" s="2"/>
      <c r="R22" s="18" t="str">
        <f>IF(AND('Hàng hóa'!B34&lt;&gt;"",'Hàng hóa'!C34="Topping",'Hàng hóa'!I34="Có"),'Hàng hóa'!B34,"")</f>
        <v/>
      </c>
      <c r="S22" s="18" t="str">
        <f>IF(Size!G23&lt;&gt;"",Size!G23,"")</f>
        <v/>
      </c>
      <c r="T22" s="18"/>
      <c r="U22" s="2"/>
      <c r="V22" s="2"/>
      <c r="W22" s="2"/>
    </row>
    <row r="23" ht="15.75" customHeight="1">
      <c r="A23" s="23" t="str">
        <f t="shared" si="5"/>
        <v/>
      </c>
      <c r="B23" s="23"/>
      <c r="C23" s="23"/>
      <c r="D23" s="37" t="str">
        <f t="shared" si="1"/>
        <v/>
      </c>
      <c r="E23" s="55"/>
      <c r="F23" s="19">
        <f t="array" ref="F23">IFERROR(INDEX(Size!$E$4:$E$53,MATCH(C23,Size!$B$4:$B$53,0)),0)</f>
        <v>0</v>
      </c>
      <c r="G23" s="19">
        <f t="array" ref="G23">IFERROR(INDEX(Size!$C$4:$C$53,MATCH(C23,Size!$B$4:$B$53,0)),0)</f>
        <v>0</v>
      </c>
      <c r="H23" s="19" t="str">
        <f>IF(A23="","",G23*'Mẻ sữa'!$U$5)</f>
        <v/>
      </c>
      <c r="I23" s="19">
        <f t="array" ref="I23">IFERROR(E23*INDEX('Hàng hóa'!$H$4:$H$203,MATCH(B23,'Hàng hóa'!$B$4:$B$203,0)),0)</f>
        <v>0</v>
      </c>
      <c r="J23" s="19" t="str">
        <f t="array" ref="J23">IF(A23="","",IFERROR(INDEX('Hàng hóa'!$H$4:$H$203,MATCH(INDEX(Size!$D$4:$D$53,MATCH(C23,Size!$B$4:$B$53,0)),'Hàng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23" s="19" t="str">
        <f>IF(A23="","",(H23+I23+J23)*'Thiết lập'!$B$8)</f>
        <v/>
      </c>
      <c r="L23" s="19" t="str">
        <f t="shared" si="2"/>
        <v/>
      </c>
      <c r="M23" s="19" t="str">
        <f>IF(A23="","",'Thiết lập'!$B$12)</f>
        <v/>
      </c>
      <c r="N23" s="19" t="str">
        <f t="shared" si="3"/>
        <v/>
      </c>
      <c r="O23" s="23"/>
      <c r="P23" s="18" t="str">
        <f t="shared" si="4"/>
        <v/>
      </c>
      <c r="Q23" s="2"/>
      <c r="R23" s="18" t="str">
        <f>IF(AND('Hàng hóa'!B35&lt;&gt;"",'Hàng hóa'!C35="Topping",'Hàng hóa'!I35="Có"),'Hàng hóa'!B35,"")</f>
        <v/>
      </c>
      <c r="S23" s="18" t="str">
        <f>IF(Size!G24&lt;&gt;"",Size!G24,"")</f>
        <v/>
      </c>
      <c r="T23" s="18"/>
      <c r="U23" s="2"/>
      <c r="V23" s="2"/>
      <c r="W23" s="2"/>
    </row>
    <row r="24" ht="15.75" customHeight="1">
      <c r="A24" s="23" t="str">
        <f t="shared" si="5"/>
        <v/>
      </c>
      <c r="B24" s="23"/>
      <c r="C24" s="23"/>
      <c r="D24" s="37" t="str">
        <f t="shared" si="1"/>
        <v/>
      </c>
      <c r="E24" s="55"/>
      <c r="F24" s="19">
        <f t="array" ref="F24">IFERROR(INDEX(Size!$E$4:$E$53,MATCH(C24,Size!$B$4:$B$53,0)),0)</f>
        <v>0</v>
      </c>
      <c r="G24" s="19">
        <f t="array" ref="G24">IFERROR(INDEX(Size!$C$4:$C$53,MATCH(C24,Size!$B$4:$B$53,0)),0)</f>
        <v>0</v>
      </c>
      <c r="H24" s="19" t="str">
        <f>IF(A24="","",G24*'Mẻ sữa'!$U$5)</f>
        <v/>
      </c>
      <c r="I24" s="19">
        <f t="array" ref="I24">IFERROR(E24*INDEX('Hàng hóa'!$H$4:$H$203,MATCH(B24,'Hàng hóa'!$B$4:$B$203,0)),0)</f>
        <v>0</v>
      </c>
      <c r="J24" s="19" t="str">
        <f t="array" ref="J24">IF(A24="","",IFERROR(INDEX('Hàng hóa'!$H$4:$H$203,MATCH(INDEX(Size!$D$4:$D$53,MATCH(C24,Size!$B$4:$B$53,0)),'Hàng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24" s="19" t="str">
        <f>IF(A24="","",(H24+I24+J24)*'Thiết lập'!$B$8)</f>
        <v/>
      </c>
      <c r="L24" s="19" t="str">
        <f t="shared" si="2"/>
        <v/>
      </c>
      <c r="M24" s="19" t="str">
        <f>IF(A24="","",'Thiết lập'!$B$12)</f>
        <v/>
      </c>
      <c r="N24" s="19" t="str">
        <f t="shared" si="3"/>
        <v/>
      </c>
      <c r="O24" s="23"/>
      <c r="P24" s="18" t="str">
        <f t="shared" si="4"/>
        <v/>
      </c>
      <c r="Q24" s="2"/>
      <c r="R24" s="18" t="str">
        <f>IF(AND('Hàng hóa'!B36&lt;&gt;"",'Hàng hóa'!C36="Topping",'Hàng hóa'!I36="Có"),'Hàng hóa'!B36,"")</f>
        <v/>
      </c>
      <c r="S24" s="18" t="str">
        <f>IF(Size!G25&lt;&gt;"",Size!G25,"")</f>
        <v/>
      </c>
      <c r="T24" s="18"/>
      <c r="U24" s="2"/>
      <c r="V24" s="2"/>
      <c r="W24" s="2"/>
    </row>
    <row r="25" ht="15.75" customHeight="1">
      <c r="A25" s="23" t="str">
        <f t="shared" si="5"/>
        <v/>
      </c>
      <c r="B25" s="23"/>
      <c r="C25" s="23"/>
      <c r="D25" s="37" t="str">
        <f t="shared" si="1"/>
        <v/>
      </c>
      <c r="E25" s="55"/>
      <c r="F25" s="19">
        <f t="array" ref="F25">IFERROR(INDEX(Size!$E$4:$E$53,MATCH(C25,Size!$B$4:$B$53,0)),0)</f>
        <v>0</v>
      </c>
      <c r="G25" s="19">
        <f t="array" ref="G25">IFERROR(INDEX(Size!$C$4:$C$53,MATCH(C25,Size!$B$4:$B$53,0)),0)</f>
        <v>0</v>
      </c>
      <c r="H25" s="19" t="str">
        <f>IF(A25="","",G25*'Mẻ sữa'!$U$5)</f>
        <v/>
      </c>
      <c r="I25" s="19">
        <f t="array" ref="I25">IFERROR(E25*INDEX('Hàng hóa'!$H$4:$H$203,MATCH(B25,'Hàng hóa'!$B$4:$B$203,0)),0)</f>
        <v>0</v>
      </c>
      <c r="J25" s="19" t="str">
        <f t="array" ref="J25">IF(A25="","",IFERROR(INDEX('Hàng hóa'!$H$4:$H$203,MATCH(INDEX(Size!$D$4:$D$53,MATCH(C25,Size!$B$4:$B$53,0)),'Hàng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25" s="19" t="str">
        <f>IF(A25="","",(H25+I25+J25)*'Thiết lập'!$B$8)</f>
        <v/>
      </c>
      <c r="L25" s="19" t="str">
        <f t="shared" si="2"/>
        <v/>
      </c>
      <c r="M25" s="19" t="str">
        <f>IF(A25="","",'Thiết lập'!$B$12)</f>
        <v/>
      </c>
      <c r="N25" s="19" t="str">
        <f t="shared" si="3"/>
        <v/>
      </c>
      <c r="O25" s="23"/>
      <c r="P25" s="18" t="str">
        <f t="shared" si="4"/>
        <v/>
      </c>
      <c r="Q25" s="2"/>
      <c r="R25" s="18" t="str">
        <f>IF(AND('Hàng hóa'!B37&lt;&gt;"",'Hàng hóa'!C37="Topping",'Hàng hóa'!I37="Có"),'Hàng hóa'!B37,"")</f>
        <v/>
      </c>
      <c r="S25" s="18" t="str">
        <f>IF(Size!G26&lt;&gt;"",Size!G26,"")</f>
        <v/>
      </c>
      <c r="T25" s="18"/>
      <c r="U25" s="2"/>
      <c r="V25" s="2"/>
      <c r="W25" s="2"/>
    </row>
    <row r="26" ht="15.75" customHeight="1">
      <c r="A26" s="23" t="str">
        <f t="shared" si="5"/>
        <v/>
      </c>
      <c r="B26" s="23"/>
      <c r="C26" s="23"/>
      <c r="D26" s="37" t="str">
        <f t="shared" si="1"/>
        <v/>
      </c>
      <c r="E26" s="55"/>
      <c r="F26" s="19">
        <f t="array" ref="F26">IFERROR(INDEX(Size!$E$4:$E$53,MATCH(C26,Size!$B$4:$B$53,0)),0)</f>
        <v>0</v>
      </c>
      <c r="G26" s="19">
        <f t="array" ref="G26">IFERROR(INDEX(Size!$C$4:$C$53,MATCH(C26,Size!$B$4:$B$53,0)),0)</f>
        <v>0</v>
      </c>
      <c r="H26" s="19" t="str">
        <f>IF(A26="","",G26*'Mẻ sữa'!$U$5)</f>
        <v/>
      </c>
      <c r="I26" s="19">
        <f t="array" ref="I26">IFERROR(E26*INDEX('Hàng hóa'!$H$4:$H$203,MATCH(B26,'Hàng hóa'!$B$4:$B$203,0)),0)</f>
        <v>0</v>
      </c>
      <c r="J26" s="19" t="str">
        <f t="array" ref="J26">IF(A26="","",IFERROR(INDEX('Hàng hóa'!$H$4:$H$203,MATCH(INDEX(Size!$D$4:$D$53,MATCH(C26,Size!$B$4:$B$53,0)),'Hàng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26" s="19" t="str">
        <f>IF(A26="","",(H26+I26+J26)*'Thiết lập'!$B$8)</f>
        <v/>
      </c>
      <c r="L26" s="19" t="str">
        <f t="shared" si="2"/>
        <v/>
      </c>
      <c r="M26" s="19" t="str">
        <f>IF(A26="","",'Thiết lập'!$B$12)</f>
        <v/>
      </c>
      <c r="N26" s="19" t="str">
        <f t="shared" si="3"/>
        <v/>
      </c>
      <c r="O26" s="23"/>
      <c r="P26" s="18" t="str">
        <f t="shared" si="4"/>
        <v/>
      </c>
      <c r="Q26" s="2"/>
      <c r="R26" s="18" t="str">
        <f>IF(AND('Hàng hóa'!B38&lt;&gt;"",'Hàng hóa'!C38="Topping",'Hàng hóa'!I38="Có"),'Hàng hóa'!B38,"")</f>
        <v/>
      </c>
      <c r="S26" s="18" t="str">
        <f>IF(Size!G27&lt;&gt;"",Size!G27,"")</f>
        <v/>
      </c>
      <c r="T26" s="18"/>
      <c r="U26" s="2"/>
      <c r="V26" s="2"/>
      <c r="W26" s="2"/>
    </row>
    <row r="27" ht="15.75" customHeight="1">
      <c r="A27" s="23" t="str">
        <f t="shared" si="5"/>
        <v/>
      </c>
      <c r="B27" s="23"/>
      <c r="C27" s="23"/>
      <c r="D27" s="37" t="str">
        <f t="shared" si="1"/>
        <v/>
      </c>
      <c r="E27" s="55"/>
      <c r="F27" s="19">
        <f t="array" ref="F27">IFERROR(INDEX(Size!$E$4:$E$53,MATCH(C27,Size!$B$4:$B$53,0)),0)</f>
        <v>0</v>
      </c>
      <c r="G27" s="19">
        <f t="array" ref="G27">IFERROR(INDEX(Size!$C$4:$C$53,MATCH(C27,Size!$B$4:$B$53,0)),0)</f>
        <v>0</v>
      </c>
      <c r="H27" s="19" t="str">
        <f>IF(A27="","",G27*'Mẻ sữa'!$U$5)</f>
        <v/>
      </c>
      <c r="I27" s="19">
        <f t="array" ref="I27">IFERROR(E27*INDEX('Hàng hóa'!$H$4:$H$203,MATCH(B27,'Hàng hóa'!$B$4:$B$203,0)),0)</f>
        <v>0</v>
      </c>
      <c r="J27" s="19" t="str">
        <f t="array" ref="J27">IF(A27="","",IFERROR(INDEX('Hàng hóa'!$H$4:$H$203,MATCH(INDEX(Size!$D$4:$D$53,MATCH(C27,Size!$B$4:$B$53,0)),'Hàng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27" s="19" t="str">
        <f>IF(A27="","",(H27+I27+J27)*'Thiết lập'!$B$8)</f>
        <v/>
      </c>
      <c r="L27" s="19" t="str">
        <f t="shared" si="2"/>
        <v/>
      </c>
      <c r="M27" s="19" t="str">
        <f>IF(A27="","",'Thiết lập'!$B$12)</f>
        <v/>
      </c>
      <c r="N27" s="19" t="str">
        <f t="shared" si="3"/>
        <v/>
      </c>
      <c r="O27" s="23"/>
      <c r="P27" s="18" t="str">
        <f t="shared" si="4"/>
        <v/>
      </c>
      <c r="Q27" s="2"/>
      <c r="R27" s="18" t="str">
        <f>IF(AND('Hàng hóa'!B39&lt;&gt;"",'Hàng hóa'!C39="Topping",'Hàng hóa'!I39="Có"),'Hàng hóa'!B39,"")</f>
        <v/>
      </c>
      <c r="S27" s="18" t="str">
        <f>IF(Size!G28&lt;&gt;"",Size!G28,"")</f>
        <v/>
      </c>
      <c r="T27" s="18"/>
      <c r="U27" s="2"/>
      <c r="V27" s="2"/>
      <c r="W27" s="2"/>
    </row>
    <row r="28" ht="15.75" customHeight="1">
      <c r="A28" s="23" t="str">
        <f t="shared" si="5"/>
        <v/>
      </c>
      <c r="B28" s="23"/>
      <c r="C28" s="23"/>
      <c r="D28" s="37" t="str">
        <f t="shared" si="1"/>
        <v/>
      </c>
      <c r="E28" s="55"/>
      <c r="F28" s="19">
        <f t="array" ref="F28">IFERROR(INDEX(Size!$E$4:$E$53,MATCH(C28,Size!$B$4:$B$53,0)),0)</f>
        <v>0</v>
      </c>
      <c r="G28" s="19">
        <f t="array" ref="G28">IFERROR(INDEX(Size!$C$4:$C$53,MATCH(C28,Size!$B$4:$B$53,0)),0)</f>
        <v>0</v>
      </c>
      <c r="H28" s="19" t="str">
        <f>IF(A28="","",G28*'Mẻ sữa'!$U$5)</f>
        <v/>
      </c>
      <c r="I28" s="19">
        <f t="array" ref="I28">IFERROR(E28*INDEX('Hàng hóa'!$H$4:$H$203,MATCH(B28,'Hàng hóa'!$B$4:$B$203,0)),0)</f>
        <v>0</v>
      </c>
      <c r="J28" s="19" t="str">
        <f t="array" ref="J28">IF(A28="","",IFERROR(INDEX('Hàng hóa'!$H$4:$H$203,MATCH(INDEX(Size!$D$4:$D$53,MATCH(C28,Size!$B$4:$B$53,0)),'Hàng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28" s="19" t="str">
        <f>IF(A28="","",(H28+I28+J28)*'Thiết lập'!$B$8)</f>
        <v/>
      </c>
      <c r="L28" s="19" t="str">
        <f t="shared" si="2"/>
        <v/>
      </c>
      <c r="M28" s="19" t="str">
        <f>IF(A28="","",'Thiết lập'!$B$12)</f>
        <v/>
      </c>
      <c r="N28" s="19" t="str">
        <f t="shared" si="3"/>
        <v/>
      </c>
      <c r="O28" s="23"/>
      <c r="P28" s="18" t="str">
        <f t="shared" si="4"/>
        <v/>
      </c>
      <c r="Q28" s="2"/>
      <c r="R28" s="18" t="str">
        <f>IF(AND('Hàng hóa'!B40&lt;&gt;"",'Hàng hóa'!C40="Topping",'Hàng hóa'!I40="Có"),'Hàng hóa'!B40,"")</f>
        <v/>
      </c>
      <c r="S28" s="18" t="str">
        <f>IF(Size!G29&lt;&gt;"",Size!G29,"")</f>
        <v/>
      </c>
      <c r="T28" s="18"/>
      <c r="U28" s="2"/>
      <c r="V28" s="2"/>
      <c r="W28" s="2"/>
    </row>
    <row r="29" ht="15.75" customHeight="1">
      <c r="A29" s="23" t="str">
        <f t="shared" si="5"/>
        <v/>
      </c>
      <c r="B29" s="23"/>
      <c r="C29" s="23"/>
      <c r="D29" s="37" t="str">
        <f t="shared" si="1"/>
        <v/>
      </c>
      <c r="E29" s="55"/>
      <c r="F29" s="19">
        <f t="array" ref="F29">IFERROR(INDEX(Size!$E$4:$E$53,MATCH(C29,Size!$B$4:$B$53,0)),0)</f>
        <v>0</v>
      </c>
      <c r="G29" s="19">
        <f t="array" ref="G29">IFERROR(INDEX(Size!$C$4:$C$53,MATCH(C29,Size!$B$4:$B$53,0)),0)</f>
        <v>0</v>
      </c>
      <c r="H29" s="19" t="str">
        <f>IF(A29="","",G29*'Mẻ sữa'!$U$5)</f>
        <v/>
      </c>
      <c r="I29" s="19">
        <f t="array" ref="I29">IFERROR(E29*INDEX('Hàng hóa'!$H$4:$H$203,MATCH(B29,'Hàng hóa'!$B$4:$B$203,0)),0)</f>
        <v>0</v>
      </c>
      <c r="J29" s="19" t="str">
        <f t="array" ref="J29">IF(A29="","",IFERROR(INDEX('Hàng hóa'!$H$4:$H$203,MATCH(INDEX(Size!$D$4:$D$53,MATCH(C29,Size!$B$4:$B$53,0)),'Hàng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29" s="19" t="str">
        <f>IF(A29="","",(H29+I29+J29)*'Thiết lập'!$B$8)</f>
        <v/>
      </c>
      <c r="L29" s="19" t="str">
        <f t="shared" si="2"/>
        <v/>
      </c>
      <c r="M29" s="19" t="str">
        <f>IF(A29="","",'Thiết lập'!$B$12)</f>
        <v/>
      </c>
      <c r="N29" s="19" t="str">
        <f t="shared" si="3"/>
        <v/>
      </c>
      <c r="O29" s="23"/>
      <c r="P29" s="18" t="str">
        <f t="shared" si="4"/>
        <v/>
      </c>
      <c r="Q29" s="2"/>
      <c r="R29" s="18" t="str">
        <f>IF(AND('Hàng hóa'!B41&lt;&gt;"",'Hàng hóa'!C41="Topping",'Hàng hóa'!I41="Có"),'Hàng hóa'!B41,"")</f>
        <v/>
      </c>
      <c r="S29" s="18" t="str">
        <f>IF(Size!G30&lt;&gt;"",Size!G30,"")</f>
        <v/>
      </c>
      <c r="T29" s="18"/>
      <c r="U29" s="2"/>
      <c r="V29" s="2"/>
      <c r="W29" s="2"/>
    </row>
    <row r="30" ht="15.75" customHeight="1">
      <c r="A30" s="23" t="str">
        <f t="shared" si="5"/>
        <v/>
      </c>
      <c r="B30" s="23"/>
      <c r="C30" s="23"/>
      <c r="D30" s="37" t="str">
        <f t="shared" si="1"/>
        <v/>
      </c>
      <c r="E30" s="55"/>
      <c r="F30" s="19">
        <f t="array" ref="F30">IFERROR(INDEX(Size!$E$4:$E$53,MATCH(C30,Size!$B$4:$B$53,0)),0)</f>
        <v>0</v>
      </c>
      <c r="G30" s="19">
        <f t="array" ref="G30">IFERROR(INDEX(Size!$C$4:$C$53,MATCH(C30,Size!$B$4:$B$53,0)),0)</f>
        <v>0</v>
      </c>
      <c r="H30" s="19" t="str">
        <f>IF(A30="","",G30*'Mẻ sữa'!$U$5)</f>
        <v/>
      </c>
      <c r="I30" s="19">
        <f t="array" ref="I30">IFERROR(E30*INDEX('Hàng hóa'!$H$4:$H$203,MATCH(B30,'Hàng hóa'!$B$4:$B$203,0)),0)</f>
        <v>0</v>
      </c>
      <c r="J30" s="19" t="str">
        <f t="array" ref="J30">IF(A30="","",IFERROR(INDEX('Hàng hóa'!$H$4:$H$203,MATCH(INDEX(Size!$D$4:$D$53,MATCH(C30,Size!$B$4:$B$53,0)),'Hàng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30" s="19" t="str">
        <f>IF(A30="","",(H30+I30+J30)*'Thiết lập'!$B$8)</f>
        <v/>
      </c>
      <c r="L30" s="19" t="str">
        <f t="shared" si="2"/>
        <v/>
      </c>
      <c r="M30" s="19" t="str">
        <f>IF(A30="","",'Thiết lập'!$B$12)</f>
        <v/>
      </c>
      <c r="N30" s="19" t="str">
        <f t="shared" si="3"/>
        <v/>
      </c>
      <c r="O30" s="23"/>
      <c r="P30" s="18" t="str">
        <f t="shared" si="4"/>
        <v/>
      </c>
      <c r="Q30" s="2"/>
      <c r="R30" s="18" t="str">
        <f>IF(AND('Hàng hóa'!B42&lt;&gt;"",'Hàng hóa'!C42="Topping",'Hàng hóa'!I42="Có"),'Hàng hóa'!B42,"")</f>
        <v/>
      </c>
      <c r="S30" s="18" t="str">
        <f>IF(Size!G31&lt;&gt;"",Size!G31,"")</f>
        <v/>
      </c>
      <c r="T30" s="18"/>
      <c r="U30" s="2"/>
      <c r="V30" s="2"/>
      <c r="W30" s="2"/>
    </row>
    <row r="31" ht="15.75" customHeight="1">
      <c r="A31" s="23" t="str">
        <f t="shared" si="5"/>
        <v/>
      </c>
      <c r="B31" s="23"/>
      <c r="C31" s="23"/>
      <c r="D31" s="37" t="str">
        <f t="shared" si="1"/>
        <v/>
      </c>
      <c r="E31" s="55"/>
      <c r="F31" s="19">
        <f t="array" ref="F31">IFERROR(INDEX(Size!$E$4:$E$53,MATCH(C31,Size!$B$4:$B$53,0)),0)</f>
        <v>0</v>
      </c>
      <c r="G31" s="19">
        <f t="array" ref="G31">IFERROR(INDEX(Size!$C$4:$C$53,MATCH(C31,Size!$B$4:$B$53,0)),0)</f>
        <v>0</v>
      </c>
      <c r="H31" s="19" t="str">
        <f>IF(A31="","",G31*'Mẻ sữa'!$U$5)</f>
        <v/>
      </c>
      <c r="I31" s="19">
        <f t="array" ref="I31">IFERROR(E31*INDEX('Hàng hóa'!$H$4:$H$203,MATCH(B31,'Hàng hóa'!$B$4:$B$203,0)),0)</f>
        <v>0</v>
      </c>
      <c r="J31" s="19" t="str">
        <f t="array" ref="J31">IF(A31="","",IFERROR(INDEX('Hàng hóa'!$H$4:$H$203,MATCH(INDEX(Size!$D$4:$D$53,MATCH(C31,Size!$B$4:$B$53,0)),'Hàng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31" s="19" t="str">
        <f>IF(A31="","",(H31+I31+J31)*'Thiết lập'!$B$8)</f>
        <v/>
      </c>
      <c r="L31" s="19" t="str">
        <f t="shared" si="2"/>
        <v/>
      </c>
      <c r="M31" s="19" t="str">
        <f>IF(A31="","",'Thiết lập'!$B$12)</f>
        <v/>
      </c>
      <c r="N31" s="19" t="str">
        <f t="shared" si="3"/>
        <v/>
      </c>
      <c r="O31" s="23"/>
      <c r="P31" s="18" t="str">
        <f t="shared" si="4"/>
        <v/>
      </c>
      <c r="Q31" s="2"/>
      <c r="R31" s="18" t="str">
        <f>IF(AND('Hàng hóa'!B43&lt;&gt;"",'Hàng hóa'!C43="Topping",'Hàng hóa'!I43="Có"),'Hàng hóa'!B43,"")</f>
        <v/>
      </c>
      <c r="S31" s="18" t="str">
        <f>IF(Size!G32&lt;&gt;"",Size!G32,"")</f>
        <v/>
      </c>
      <c r="T31" s="18"/>
      <c r="U31" s="2"/>
      <c r="V31" s="2"/>
      <c r="W31" s="2"/>
    </row>
    <row r="32" ht="15.75" customHeight="1">
      <c r="A32" s="23" t="str">
        <f t="shared" si="5"/>
        <v/>
      </c>
      <c r="B32" s="23"/>
      <c r="C32" s="23"/>
      <c r="D32" s="37" t="str">
        <f t="shared" si="1"/>
        <v/>
      </c>
      <c r="E32" s="55"/>
      <c r="F32" s="19">
        <f t="array" ref="F32">IFERROR(INDEX(Size!$E$4:$E$53,MATCH(C32,Size!$B$4:$B$53,0)),0)</f>
        <v>0</v>
      </c>
      <c r="G32" s="19">
        <f t="array" ref="G32">IFERROR(INDEX(Size!$C$4:$C$53,MATCH(C32,Size!$B$4:$B$53,0)),0)</f>
        <v>0</v>
      </c>
      <c r="H32" s="19" t="str">
        <f>IF(A32="","",G32*'Mẻ sữa'!$U$5)</f>
        <v/>
      </c>
      <c r="I32" s="19">
        <f t="array" ref="I32">IFERROR(E32*INDEX('Hàng hóa'!$H$4:$H$203,MATCH(B32,'Hàng hóa'!$B$4:$B$203,0)),0)</f>
        <v>0</v>
      </c>
      <c r="J32" s="19" t="str">
        <f t="array" ref="J32">IF(A32="","",IFERROR(INDEX('Hàng hóa'!$H$4:$H$203,MATCH(INDEX(Size!$D$4:$D$53,MATCH(C32,Size!$B$4:$B$53,0)),'Hàng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32" s="19" t="str">
        <f>IF(A32="","",(H32+I32+J32)*'Thiết lập'!$B$8)</f>
        <v/>
      </c>
      <c r="L32" s="19" t="str">
        <f t="shared" si="2"/>
        <v/>
      </c>
      <c r="M32" s="19" t="str">
        <f>IF(A32="","",'Thiết lập'!$B$12)</f>
        <v/>
      </c>
      <c r="N32" s="19" t="str">
        <f t="shared" si="3"/>
        <v/>
      </c>
      <c r="O32" s="23"/>
      <c r="P32" s="18" t="str">
        <f t="shared" si="4"/>
        <v/>
      </c>
      <c r="Q32" s="2"/>
      <c r="R32" s="18" t="str">
        <f>IF(AND('Hàng hóa'!B44&lt;&gt;"",'Hàng hóa'!C44="Topping",'Hàng hóa'!I44="Có"),'Hàng hóa'!B44,"")</f>
        <v/>
      </c>
      <c r="S32" s="18" t="str">
        <f>IF(Size!G33&lt;&gt;"",Size!G33,"")</f>
        <v/>
      </c>
      <c r="T32" s="18"/>
      <c r="U32" s="2"/>
      <c r="V32" s="2"/>
      <c r="W32" s="2"/>
    </row>
    <row r="33" ht="15.75" customHeight="1">
      <c r="A33" s="23" t="str">
        <f t="shared" si="5"/>
        <v/>
      </c>
      <c r="B33" s="23"/>
      <c r="C33" s="23"/>
      <c r="D33" s="37" t="str">
        <f t="shared" si="1"/>
        <v/>
      </c>
      <c r="E33" s="55"/>
      <c r="F33" s="19">
        <f t="array" ref="F33">IFERROR(INDEX(Size!$E$4:$E$53,MATCH(C33,Size!$B$4:$B$53,0)),0)</f>
        <v>0</v>
      </c>
      <c r="G33" s="19">
        <f t="array" ref="G33">IFERROR(INDEX(Size!$C$4:$C$53,MATCH(C33,Size!$B$4:$B$53,0)),0)</f>
        <v>0</v>
      </c>
      <c r="H33" s="19" t="str">
        <f>IF(A33="","",G33*'Mẻ sữa'!$U$5)</f>
        <v/>
      </c>
      <c r="I33" s="19">
        <f t="array" ref="I33">IFERROR(E33*INDEX('Hàng hóa'!$H$4:$H$203,MATCH(B33,'Hàng hóa'!$B$4:$B$203,0)),0)</f>
        <v>0</v>
      </c>
      <c r="J33" s="19" t="str">
        <f t="array" ref="J33">IF(A33="","",IFERROR(INDEX('Hàng hóa'!$H$4:$H$203,MATCH(INDEX(Size!$D$4:$D$53,MATCH(C33,Size!$B$4:$B$53,0)),'Hàng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33" s="19" t="str">
        <f>IF(A33="","",(H33+I33+J33)*'Thiết lập'!$B$8)</f>
        <v/>
      </c>
      <c r="L33" s="19" t="str">
        <f t="shared" si="2"/>
        <v/>
      </c>
      <c r="M33" s="19" t="str">
        <f>IF(A33="","",'Thiết lập'!$B$12)</f>
        <v/>
      </c>
      <c r="N33" s="19" t="str">
        <f t="shared" si="3"/>
        <v/>
      </c>
      <c r="O33" s="23"/>
      <c r="P33" s="18" t="str">
        <f t="shared" si="4"/>
        <v/>
      </c>
      <c r="Q33" s="2"/>
      <c r="R33" s="18" t="str">
        <f>IF(AND('Hàng hóa'!B45&lt;&gt;"",'Hàng hóa'!C45="Topping",'Hàng hóa'!I45="Có"),'Hàng hóa'!B45,"")</f>
        <v/>
      </c>
      <c r="S33" s="18" t="str">
        <f>IF(Size!G34&lt;&gt;"",Size!G34,"")</f>
        <v/>
      </c>
      <c r="T33" s="18"/>
      <c r="U33" s="2"/>
      <c r="V33" s="2"/>
      <c r="W33" s="2"/>
    </row>
    <row r="34" ht="15.75" customHeight="1">
      <c r="A34" s="23" t="str">
        <f t="shared" si="5"/>
        <v/>
      </c>
      <c r="B34" s="23"/>
      <c r="C34" s="23"/>
      <c r="D34" s="37" t="str">
        <f t="shared" si="1"/>
        <v/>
      </c>
      <c r="E34" s="55"/>
      <c r="F34" s="19">
        <f t="array" ref="F34">IFERROR(INDEX(Size!$E$4:$E$53,MATCH(C34,Size!$B$4:$B$53,0)),0)</f>
        <v>0</v>
      </c>
      <c r="G34" s="19">
        <f t="array" ref="G34">IFERROR(INDEX(Size!$C$4:$C$53,MATCH(C34,Size!$B$4:$B$53,0)),0)</f>
        <v>0</v>
      </c>
      <c r="H34" s="19" t="str">
        <f>IF(A34="","",G34*'Mẻ sữa'!$U$5)</f>
        <v/>
      </c>
      <c r="I34" s="19">
        <f t="array" ref="I34">IFERROR(E34*INDEX('Hàng hóa'!$H$4:$H$203,MATCH(B34,'Hàng hóa'!$B$4:$B$203,0)),0)</f>
        <v>0</v>
      </c>
      <c r="J34" s="19" t="str">
        <f t="array" ref="J34">IF(A34="","",IFERROR(INDEX('Hàng hóa'!$H$4:$H$203,MATCH(INDEX(Size!$D$4:$D$53,MATCH(C34,Size!$B$4:$B$53,0)),'Hàng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34" s="19" t="str">
        <f>IF(A34="","",(H34+I34+J34)*'Thiết lập'!$B$8)</f>
        <v/>
      </c>
      <c r="L34" s="19" t="str">
        <f t="shared" si="2"/>
        <v/>
      </c>
      <c r="M34" s="19" t="str">
        <f>IF(A34="","",'Thiết lập'!$B$12)</f>
        <v/>
      </c>
      <c r="N34" s="19" t="str">
        <f t="shared" si="3"/>
        <v/>
      </c>
      <c r="O34" s="23"/>
      <c r="P34" s="18" t="str">
        <f t="shared" si="4"/>
        <v/>
      </c>
      <c r="Q34" s="2"/>
      <c r="R34" s="18" t="str">
        <f>IF(AND('Hàng hóa'!B46&lt;&gt;"",'Hàng hóa'!C46="Topping",'Hàng hóa'!I46="Có"),'Hàng hóa'!B46,"")</f>
        <v/>
      </c>
      <c r="S34" s="18" t="str">
        <f>IF(Size!G35&lt;&gt;"",Size!G35,"")</f>
        <v/>
      </c>
      <c r="T34" s="18"/>
      <c r="U34" s="2"/>
      <c r="V34" s="2"/>
      <c r="W34" s="2"/>
    </row>
    <row r="35" ht="15.75" customHeight="1">
      <c r="A35" s="23" t="str">
        <f t="shared" si="5"/>
        <v/>
      </c>
      <c r="B35" s="23"/>
      <c r="C35" s="23"/>
      <c r="D35" s="37" t="str">
        <f t="shared" si="1"/>
        <v/>
      </c>
      <c r="E35" s="55"/>
      <c r="F35" s="19">
        <f t="array" ref="F35">IFERROR(INDEX(Size!$E$4:$E$53,MATCH(C35,Size!$B$4:$B$53,0)),0)</f>
        <v>0</v>
      </c>
      <c r="G35" s="19">
        <f t="array" ref="G35">IFERROR(INDEX(Size!$C$4:$C$53,MATCH(C35,Size!$B$4:$B$53,0)),0)</f>
        <v>0</v>
      </c>
      <c r="H35" s="19" t="str">
        <f>IF(A35="","",G35*'Mẻ sữa'!$U$5)</f>
        <v/>
      </c>
      <c r="I35" s="19">
        <f t="array" ref="I35">IFERROR(E35*INDEX('Hàng hóa'!$H$4:$H$203,MATCH(B35,'Hàng hóa'!$B$4:$B$203,0)),0)</f>
        <v>0</v>
      </c>
      <c r="J35" s="19" t="str">
        <f t="array" ref="J35">IF(A35="","",IFERROR(INDEX('Hàng hóa'!$H$4:$H$203,MATCH(INDEX(Size!$D$4:$D$53,MATCH(C35,Size!$B$4:$B$53,0)),'Hàng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35" s="19" t="str">
        <f>IF(A35="","",(H35+I35+J35)*'Thiết lập'!$B$8)</f>
        <v/>
      </c>
      <c r="L35" s="19" t="str">
        <f t="shared" si="2"/>
        <v/>
      </c>
      <c r="M35" s="19" t="str">
        <f>IF(A35="","",'Thiết lập'!$B$12)</f>
        <v/>
      </c>
      <c r="N35" s="19" t="str">
        <f t="shared" si="3"/>
        <v/>
      </c>
      <c r="O35" s="23"/>
      <c r="P35" s="18" t="str">
        <f t="shared" si="4"/>
        <v/>
      </c>
      <c r="Q35" s="2"/>
      <c r="R35" s="18" t="str">
        <f>IF(AND('Hàng hóa'!B47&lt;&gt;"",'Hàng hóa'!C47="Topping",'Hàng hóa'!I47="Có"),'Hàng hóa'!B47,"")</f>
        <v/>
      </c>
      <c r="S35" s="18" t="str">
        <f>IF(Size!G36&lt;&gt;"",Size!G36,"")</f>
        <v/>
      </c>
      <c r="T35" s="18"/>
      <c r="U35" s="2"/>
      <c r="V35" s="2"/>
      <c r="W35" s="2"/>
    </row>
    <row r="36" ht="15.75" customHeight="1">
      <c r="A36" s="23" t="str">
        <f t="shared" si="5"/>
        <v/>
      </c>
      <c r="B36" s="23"/>
      <c r="C36" s="23"/>
      <c r="D36" s="37" t="str">
        <f t="shared" si="1"/>
        <v/>
      </c>
      <c r="E36" s="55"/>
      <c r="F36" s="19">
        <f t="array" ref="F36">IFERROR(INDEX(Size!$E$4:$E$53,MATCH(C36,Size!$B$4:$B$53,0)),0)</f>
        <v>0</v>
      </c>
      <c r="G36" s="19">
        <f t="array" ref="G36">IFERROR(INDEX(Size!$C$4:$C$53,MATCH(C36,Size!$B$4:$B$53,0)),0)</f>
        <v>0</v>
      </c>
      <c r="H36" s="19" t="str">
        <f>IF(A36="","",G36*'Mẻ sữa'!$U$5)</f>
        <v/>
      </c>
      <c r="I36" s="19">
        <f t="array" ref="I36">IFERROR(E36*INDEX('Hàng hóa'!$H$4:$H$203,MATCH(B36,'Hàng hóa'!$B$4:$B$203,0)),0)</f>
        <v>0</v>
      </c>
      <c r="J36" s="19" t="str">
        <f t="array" ref="J36">IF(A36="","",IFERROR(INDEX('Hàng hóa'!$H$4:$H$203,MATCH(INDEX(Size!$D$4:$D$53,MATCH(C36,Size!$B$4:$B$53,0)),'Hàng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36" s="19" t="str">
        <f>IF(A36="","",(H36+I36+J36)*'Thiết lập'!$B$8)</f>
        <v/>
      </c>
      <c r="L36" s="19" t="str">
        <f t="shared" si="2"/>
        <v/>
      </c>
      <c r="M36" s="19" t="str">
        <f>IF(A36="","",'Thiết lập'!$B$12)</f>
        <v/>
      </c>
      <c r="N36" s="19" t="str">
        <f t="shared" si="3"/>
        <v/>
      </c>
      <c r="O36" s="23"/>
      <c r="P36" s="18" t="str">
        <f t="shared" si="4"/>
        <v/>
      </c>
      <c r="Q36" s="2"/>
      <c r="R36" s="18" t="str">
        <f>IF(AND('Hàng hóa'!B48&lt;&gt;"",'Hàng hóa'!C48="Topping",'Hàng hóa'!I48="Có"),'Hàng hóa'!B48,"")</f>
        <v/>
      </c>
      <c r="S36" s="18" t="str">
        <f>IF(Size!G37&lt;&gt;"",Size!G37,"")</f>
        <v/>
      </c>
      <c r="T36" s="18"/>
      <c r="U36" s="2"/>
      <c r="V36" s="2"/>
      <c r="W36" s="2"/>
    </row>
    <row r="37" ht="15.75" customHeight="1">
      <c r="A37" s="23" t="str">
        <f t="shared" si="5"/>
        <v/>
      </c>
      <c r="B37" s="23"/>
      <c r="C37" s="23"/>
      <c r="D37" s="37" t="str">
        <f t="shared" si="1"/>
        <v/>
      </c>
      <c r="E37" s="55"/>
      <c r="F37" s="19">
        <f t="array" ref="F37">IFERROR(INDEX(Size!$E$4:$E$53,MATCH(C37,Size!$B$4:$B$53,0)),0)</f>
        <v>0</v>
      </c>
      <c r="G37" s="19">
        <f t="array" ref="G37">IFERROR(INDEX(Size!$C$4:$C$53,MATCH(C37,Size!$B$4:$B$53,0)),0)</f>
        <v>0</v>
      </c>
      <c r="H37" s="19" t="str">
        <f>IF(A37="","",G37*'Mẻ sữa'!$U$5)</f>
        <v/>
      </c>
      <c r="I37" s="19">
        <f t="array" ref="I37">IFERROR(E37*INDEX('Hàng hóa'!$H$4:$H$203,MATCH(B37,'Hàng hóa'!$B$4:$B$203,0)),0)</f>
        <v>0</v>
      </c>
      <c r="J37" s="19" t="str">
        <f t="array" ref="J37">IF(A37="","",IFERROR(INDEX('Hàng hóa'!$H$4:$H$203,MATCH(INDEX(Size!$D$4:$D$53,MATCH(C37,Size!$B$4:$B$53,0)),'Hàng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37" s="19" t="str">
        <f>IF(A37="","",(H37+I37+J37)*'Thiết lập'!$B$8)</f>
        <v/>
      </c>
      <c r="L37" s="19" t="str">
        <f t="shared" si="2"/>
        <v/>
      </c>
      <c r="M37" s="19" t="str">
        <f>IF(A37="","",'Thiết lập'!$B$12)</f>
        <v/>
      </c>
      <c r="N37" s="19" t="str">
        <f t="shared" si="3"/>
        <v/>
      </c>
      <c r="O37" s="23"/>
      <c r="P37" s="18" t="str">
        <f t="shared" si="4"/>
        <v/>
      </c>
      <c r="Q37" s="2"/>
      <c r="R37" s="18" t="str">
        <f>IF(AND('Hàng hóa'!B49&lt;&gt;"",'Hàng hóa'!C49="Topping",'Hàng hóa'!I49="Có"),'Hàng hóa'!B49,"")</f>
        <v/>
      </c>
      <c r="S37" s="18" t="str">
        <f>IF(Size!G38&lt;&gt;"",Size!G38,"")</f>
        <v/>
      </c>
      <c r="T37" s="18"/>
      <c r="U37" s="2"/>
      <c r="V37" s="2"/>
      <c r="W37" s="2"/>
    </row>
    <row r="38" ht="15.75" customHeight="1">
      <c r="A38" s="23" t="str">
        <f t="shared" si="5"/>
        <v/>
      </c>
      <c r="B38" s="23"/>
      <c r="C38" s="23"/>
      <c r="D38" s="37" t="str">
        <f t="shared" si="1"/>
        <v/>
      </c>
      <c r="E38" s="55"/>
      <c r="F38" s="19">
        <f t="array" ref="F38">IFERROR(INDEX(Size!$E$4:$E$53,MATCH(C38,Size!$B$4:$B$53,0)),0)</f>
        <v>0</v>
      </c>
      <c r="G38" s="19">
        <f t="array" ref="G38">IFERROR(INDEX(Size!$C$4:$C$53,MATCH(C38,Size!$B$4:$B$53,0)),0)</f>
        <v>0</v>
      </c>
      <c r="H38" s="19" t="str">
        <f>IF(A38="","",G38*'Mẻ sữa'!$U$5)</f>
        <v/>
      </c>
      <c r="I38" s="19">
        <f t="array" ref="I38">IFERROR(E38*INDEX('Hàng hóa'!$H$4:$H$203,MATCH(B38,'Hàng hóa'!$B$4:$B$203,0)),0)</f>
        <v>0</v>
      </c>
      <c r="J38" s="19" t="str">
        <f t="array" ref="J38">IF(A38="","",IFERROR(INDEX('Hàng hóa'!$H$4:$H$203,MATCH(INDEX(Size!$D$4:$D$53,MATCH(C38,Size!$B$4:$B$53,0)),'Hàng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38" s="19" t="str">
        <f>IF(A38="","",(H38+I38+J38)*'Thiết lập'!$B$8)</f>
        <v/>
      </c>
      <c r="L38" s="19" t="str">
        <f t="shared" si="2"/>
        <v/>
      </c>
      <c r="M38" s="19" t="str">
        <f>IF(A38="","",'Thiết lập'!$B$12)</f>
        <v/>
      </c>
      <c r="N38" s="19" t="str">
        <f t="shared" si="3"/>
        <v/>
      </c>
      <c r="O38" s="23"/>
      <c r="P38" s="18" t="str">
        <f t="shared" si="4"/>
        <v/>
      </c>
      <c r="Q38" s="2"/>
      <c r="R38" s="18" t="str">
        <f>IF(AND('Hàng hóa'!B50&lt;&gt;"",'Hàng hóa'!C50="Topping",'Hàng hóa'!I50="Có"),'Hàng hóa'!B50,"")</f>
        <v/>
      </c>
      <c r="S38" s="18" t="str">
        <f>IF(Size!G39&lt;&gt;"",Size!G39,"")</f>
        <v/>
      </c>
      <c r="T38" s="18"/>
      <c r="U38" s="2"/>
      <c r="V38" s="2"/>
      <c r="W38" s="2"/>
    </row>
    <row r="39" ht="15.75" customHeight="1">
      <c r="A39" s="23" t="str">
        <f t="shared" si="5"/>
        <v/>
      </c>
      <c r="B39" s="23"/>
      <c r="C39" s="23"/>
      <c r="D39" s="37" t="str">
        <f t="shared" si="1"/>
        <v/>
      </c>
      <c r="E39" s="55"/>
      <c r="F39" s="19">
        <f t="array" ref="F39">IFERROR(INDEX(Size!$E$4:$E$53,MATCH(C39,Size!$B$4:$B$53,0)),0)</f>
        <v>0</v>
      </c>
      <c r="G39" s="19">
        <f t="array" ref="G39">IFERROR(INDEX(Size!$C$4:$C$53,MATCH(C39,Size!$B$4:$B$53,0)),0)</f>
        <v>0</v>
      </c>
      <c r="H39" s="19" t="str">
        <f>IF(A39="","",G39*'Mẻ sữa'!$U$5)</f>
        <v/>
      </c>
      <c r="I39" s="19">
        <f t="array" ref="I39">IFERROR(E39*INDEX('Hàng hóa'!$H$4:$H$203,MATCH(B39,'Hàng hóa'!$B$4:$B$203,0)),0)</f>
        <v>0</v>
      </c>
      <c r="J39" s="19" t="str">
        <f t="array" ref="J39">IF(A39="","",IFERROR(INDEX('Hàng hóa'!$H$4:$H$203,MATCH(INDEX(Size!$D$4:$D$53,MATCH(C39,Size!$B$4:$B$53,0)),'Hàng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39" s="19" t="str">
        <f>IF(A39="","",(H39+I39+J39)*'Thiết lập'!$B$8)</f>
        <v/>
      </c>
      <c r="L39" s="19" t="str">
        <f t="shared" si="2"/>
        <v/>
      </c>
      <c r="M39" s="19" t="str">
        <f>IF(A39="","",'Thiết lập'!$B$12)</f>
        <v/>
      </c>
      <c r="N39" s="19" t="str">
        <f t="shared" si="3"/>
        <v/>
      </c>
      <c r="O39" s="23"/>
      <c r="P39" s="18" t="str">
        <f t="shared" si="4"/>
        <v/>
      </c>
      <c r="Q39" s="2"/>
      <c r="R39" s="18" t="str">
        <f>IF(AND('Hàng hóa'!B51&lt;&gt;"",'Hàng hóa'!C51="Topping",'Hàng hóa'!I51="Có"),'Hàng hóa'!B51,"")</f>
        <v/>
      </c>
      <c r="S39" s="18" t="str">
        <f>IF(Size!G40&lt;&gt;"",Size!G40,"")</f>
        <v/>
      </c>
      <c r="T39" s="18"/>
      <c r="U39" s="2"/>
      <c r="V39" s="2"/>
      <c r="W39" s="2"/>
    </row>
    <row r="40" ht="15.75" customHeight="1">
      <c r="A40" s="23" t="str">
        <f t="shared" si="5"/>
        <v/>
      </c>
      <c r="B40" s="23"/>
      <c r="C40" s="23"/>
      <c r="D40" s="37" t="str">
        <f t="shared" si="1"/>
        <v/>
      </c>
      <c r="E40" s="55"/>
      <c r="F40" s="19">
        <f t="array" ref="F40">IFERROR(INDEX(Size!$E$4:$E$53,MATCH(C40,Size!$B$4:$B$53,0)),0)</f>
        <v>0</v>
      </c>
      <c r="G40" s="19">
        <f t="array" ref="G40">IFERROR(INDEX(Size!$C$4:$C$53,MATCH(C40,Size!$B$4:$B$53,0)),0)</f>
        <v>0</v>
      </c>
      <c r="H40" s="19" t="str">
        <f>IF(A40="","",G40*'Mẻ sữa'!$U$5)</f>
        <v/>
      </c>
      <c r="I40" s="19">
        <f t="array" ref="I40">IFERROR(E40*INDEX('Hàng hóa'!$H$4:$H$203,MATCH(B40,'Hàng hóa'!$B$4:$B$203,0)),0)</f>
        <v>0</v>
      </c>
      <c r="J40" s="19" t="str">
        <f t="array" ref="J40">IF(A40="","",IFERROR(INDEX('Hàng hóa'!$H$4:$H$203,MATCH(INDEX(Size!$D$4:$D$53,MATCH(C40,Size!$B$4:$B$53,0)),'Hàng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40" s="19" t="str">
        <f>IF(A40="","",(H40+I40+J40)*'Thiết lập'!$B$8)</f>
        <v/>
      </c>
      <c r="L40" s="19" t="str">
        <f t="shared" si="2"/>
        <v/>
      </c>
      <c r="M40" s="19" t="str">
        <f>IF(A40="","",'Thiết lập'!$B$12)</f>
        <v/>
      </c>
      <c r="N40" s="19" t="str">
        <f t="shared" si="3"/>
        <v/>
      </c>
      <c r="O40" s="23"/>
      <c r="P40" s="18" t="str">
        <f t="shared" si="4"/>
        <v/>
      </c>
      <c r="Q40" s="2"/>
      <c r="R40" s="18" t="str">
        <f>IF(AND('Hàng hóa'!B52&lt;&gt;"",'Hàng hóa'!C52="Topping",'Hàng hóa'!I52="Có"),'Hàng hóa'!B52,"")</f>
        <v/>
      </c>
      <c r="S40" s="18" t="str">
        <f>IF(Size!G41&lt;&gt;"",Size!G41,"")</f>
        <v/>
      </c>
      <c r="T40" s="18"/>
      <c r="U40" s="2"/>
      <c r="V40" s="2"/>
      <c r="W40" s="2"/>
    </row>
    <row r="41" ht="15.75" customHeight="1">
      <c r="A41" s="23" t="str">
        <f t="shared" si="5"/>
        <v/>
      </c>
      <c r="B41" s="23"/>
      <c r="C41" s="23"/>
      <c r="D41" s="37" t="str">
        <f t="shared" si="1"/>
        <v/>
      </c>
      <c r="E41" s="55"/>
      <c r="F41" s="19">
        <f t="array" ref="F41">IFERROR(INDEX(Size!$E$4:$E$53,MATCH(C41,Size!$B$4:$B$53,0)),0)</f>
        <v>0</v>
      </c>
      <c r="G41" s="19">
        <f t="array" ref="G41">IFERROR(INDEX(Size!$C$4:$C$53,MATCH(C41,Size!$B$4:$B$53,0)),0)</f>
        <v>0</v>
      </c>
      <c r="H41" s="19" t="str">
        <f>IF(A41="","",G41*'Mẻ sữa'!$U$5)</f>
        <v/>
      </c>
      <c r="I41" s="19">
        <f t="array" ref="I41">IFERROR(E41*INDEX('Hàng hóa'!$H$4:$H$203,MATCH(B41,'Hàng hóa'!$B$4:$B$203,0)),0)</f>
        <v>0</v>
      </c>
      <c r="J41" s="19" t="str">
        <f t="array" ref="J41">IF(A41="","",IFERROR(INDEX('Hàng hóa'!$H$4:$H$203,MATCH(INDEX(Size!$D$4:$D$53,MATCH(C41,Size!$B$4:$B$53,0)),'Hàng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41" s="19" t="str">
        <f>IF(A41="","",(H41+I41+J41)*'Thiết lập'!$B$8)</f>
        <v/>
      </c>
      <c r="L41" s="19" t="str">
        <f t="shared" si="2"/>
        <v/>
      </c>
      <c r="M41" s="19" t="str">
        <f>IF(A41="","",'Thiết lập'!$B$12)</f>
        <v/>
      </c>
      <c r="N41" s="19" t="str">
        <f t="shared" si="3"/>
        <v/>
      </c>
      <c r="O41" s="23"/>
      <c r="P41" s="18" t="str">
        <f t="shared" si="4"/>
        <v/>
      </c>
      <c r="Q41" s="2"/>
      <c r="R41" s="18" t="str">
        <f>IF(AND('Hàng hóa'!B53&lt;&gt;"",'Hàng hóa'!C53="Topping",'Hàng hóa'!I53="Có"),'Hàng hóa'!B53,"")</f>
        <v/>
      </c>
      <c r="S41" s="18" t="str">
        <f>IF(Size!G42&lt;&gt;"",Size!G42,"")</f>
        <v/>
      </c>
      <c r="T41" s="18"/>
      <c r="U41" s="2"/>
      <c r="V41" s="2"/>
      <c r="W41" s="2"/>
    </row>
    <row r="42" ht="15.75" customHeight="1">
      <c r="A42" s="23" t="str">
        <f t="shared" si="5"/>
        <v/>
      </c>
      <c r="B42" s="23"/>
      <c r="C42" s="23"/>
      <c r="D42" s="37" t="str">
        <f t="shared" si="1"/>
        <v/>
      </c>
      <c r="E42" s="55"/>
      <c r="F42" s="19">
        <f t="array" ref="F42">IFERROR(INDEX(Size!$E$4:$E$53,MATCH(C42,Size!$B$4:$B$53,0)),0)</f>
        <v>0</v>
      </c>
      <c r="G42" s="19">
        <f t="array" ref="G42">IFERROR(INDEX(Size!$C$4:$C$53,MATCH(C42,Size!$B$4:$B$53,0)),0)</f>
        <v>0</v>
      </c>
      <c r="H42" s="19" t="str">
        <f>IF(A42="","",G42*'Mẻ sữa'!$U$5)</f>
        <v/>
      </c>
      <c r="I42" s="19">
        <f t="array" ref="I42">IFERROR(E42*INDEX('Hàng hóa'!$H$4:$H$203,MATCH(B42,'Hàng hóa'!$B$4:$B$203,0)),0)</f>
        <v>0</v>
      </c>
      <c r="J42" s="19" t="str">
        <f t="array" ref="J42">IF(A42="","",IFERROR(INDEX('Hàng hóa'!$H$4:$H$203,MATCH(INDEX(Size!$D$4:$D$53,MATCH(C42,Size!$B$4:$B$53,0)),'Hàng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42" s="19" t="str">
        <f>IF(A42="","",(H42+I42+J42)*'Thiết lập'!$B$8)</f>
        <v/>
      </c>
      <c r="L42" s="19" t="str">
        <f t="shared" si="2"/>
        <v/>
      </c>
      <c r="M42" s="19" t="str">
        <f>IF(A42="","",'Thiết lập'!$B$12)</f>
        <v/>
      </c>
      <c r="N42" s="19" t="str">
        <f t="shared" si="3"/>
        <v/>
      </c>
      <c r="O42" s="23"/>
      <c r="P42" s="18" t="str">
        <f t="shared" si="4"/>
        <v/>
      </c>
      <c r="Q42" s="2"/>
      <c r="R42" s="18" t="str">
        <f>IF(AND('Hàng hóa'!B54&lt;&gt;"",'Hàng hóa'!C54="Topping",'Hàng hóa'!I54="Có"),'Hàng hóa'!B54,"")</f>
        <v/>
      </c>
      <c r="S42" s="18" t="str">
        <f>IF(Size!G43&lt;&gt;"",Size!G43,"")</f>
        <v/>
      </c>
      <c r="T42" s="18"/>
      <c r="U42" s="2"/>
      <c r="V42" s="2"/>
      <c r="W42" s="2"/>
    </row>
    <row r="43" ht="15.75" customHeight="1">
      <c r="A43" s="23" t="str">
        <f t="shared" si="5"/>
        <v/>
      </c>
      <c r="B43" s="23"/>
      <c r="C43" s="23"/>
      <c r="D43" s="37" t="str">
        <f t="shared" si="1"/>
        <v/>
      </c>
      <c r="E43" s="55"/>
      <c r="F43" s="19">
        <f t="array" ref="F43">IFERROR(INDEX(Size!$E$4:$E$53,MATCH(C43,Size!$B$4:$B$53,0)),0)</f>
        <v>0</v>
      </c>
      <c r="G43" s="19">
        <f t="array" ref="G43">IFERROR(INDEX(Size!$C$4:$C$53,MATCH(C43,Size!$B$4:$B$53,0)),0)</f>
        <v>0</v>
      </c>
      <c r="H43" s="19" t="str">
        <f>IF(A43="","",G43*'Mẻ sữa'!$U$5)</f>
        <v/>
      </c>
      <c r="I43" s="19">
        <f t="array" ref="I43">IFERROR(E43*INDEX('Hàng hóa'!$H$4:$H$203,MATCH(B43,'Hàng hóa'!$B$4:$B$203,0)),0)</f>
        <v>0</v>
      </c>
      <c r="J43" s="19" t="str">
        <f t="array" ref="J43">IF(A43="","",IFERROR(INDEX('Hàng hóa'!$H$4:$H$203,MATCH(INDEX(Size!$D$4:$D$53,MATCH(C43,Size!$B$4:$B$53,0)),'Hàng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43" s="19" t="str">
        <f>IF(A43="","",(H43+I43+J43)*'Thiết lập'!$B$8)</f>
        <v/>
      </c>
      <c r="L43" s="19" t="str">
        <f t="shared" si="2"/>
        <v/>
      </c>
      <c r="M43" s="19" t="str">
        <f>IF(A43="","",'Thiết lập'!$B$12)</f>
        <v/>
      </c>
      <c r="N43" s="19" t="str">
        <f t="shared" si="3"/>
        <v/>
      </c>
      <c r="O43" s="23"/>
      <c r="P43" s="18" t="str">
        <f t="shared" si="4"/>
        <v/>
      </c>
      <c r="Q43" s="2"/>
      <c r="R43" s="18" t="str">
        <f>IF(AND('Hàng hóa'!B55&lt;&gt;"",'Hàng hóa'!C55="Topping",'Hàng hóa'!I55="Có"),'Hàng hóa'!B55,"")</f>
        <v/>
      </c>
      <c r="S43" s="18" t="str">
        <f>IF(Size!G44&lt;&gt;"",Size!G44,"")</f>
        <v/>
      </c>
      <c r="T43" s="18"/>
      <c r="U43" s="2"/>
      <c r="V43" s="2"/>
      <c r="W43" s="2"/>
    </row>
    <row r="44" ht="15.75" customHeight="1">
      <c r="A44" s="23" t="str">
        <f t="shared" si="5"/>
        <v/>
      </c>
      <c r="B44" s="23"/>
      <c r="C44" s="23"/>
      <c r="D44" s="37" t="str">
        <f t="shared" si="1"/>
        <v/>
      </c>
      <c r="E44" s="55"/>
      <c r="F44" s="19">
        <f t="array" ref="F44">IFERROR(INDEX(Size!$E$4:$E$53,MATCH(C44,Size!$B$4:$B$53,0)),0)</f>
        <v>0</v>
      </c>
      <c r="G44" s="19">
        <f t="array" ref="G44">IFERROR(INDEX(Size!$C$4:$C$53,MATCH(C44,Size!$B$4:$B$53,0)),0)</f>
        <v>0</v>
      </c>
      <c r="H44" s="19" t="str">
        <f>IF(A44="","",G44*'Mẻ sữa'!$U$5)</f>
        <v/>
      </c>
      <c r="I44" s="19">
        <f t="array" ref="I44">IFERROR(E44*INDEX('Hàng hóa'!$H$4:$H$203,MATCH(B44,'Hàng hóa'!$B$4:$B$203,0)),0)</f>
        <v>0</v>
      </c>
      <c r="J44" s="19" t="str">
        <f t="array" ref="J44">IF(A44="","",IFERROR(INDEX('Hàng hóa'!$H$4:$H$203,MATCH(INDEX(Size!$D$4:$D$53,MATCH(C44,Size!$B$4:$B$53,0)),'Hàng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44" s="19" t="str">
        <f>IF(A44="","",(H44+I44+J44)*'Thiết lập'!$B$8)</f>
        <v/>
      </c>
      <c r="L44" s="19" t="str">
        <f t="shared" si="2"/>
        <v/>
      </c>
      <c r="M44" s="19" t="str">
        <f>IF(A44="","",'Thiết lập'!$B$12)</f>
        <v/>
      </c>
      <c r="N44" s="19" t="str">
        <f t="shared" si="3"/>
        <v/>
      </c>
      <c r="O44" s="23"/>
      <c r="P44" s="18" t="str">
        <f t="shared" si="4"/>
        <v/>
      </c>
      <c r="Q44" s="2"/>
      <c r="R44" s="18" t="str">
        <f>IF(AND('Hàng hóa'!B56&lt;&gt;"",'Hàng hóa'!C56="Topping",'Hàng hóa'!I56="Có"),'Hàng hóa'!B56,"")</f>
        <v/>
      </c>
      <c r="S44" s="18" t="str">
        <f>IF(Size!G45&lt;&gt;"",Size!G45,"")</f>
        <v/>
      </c>
      <c r="T44" s="18"/>
      <c r="U44" s="2"/>
      <c r="V44" s="2"/>
      <c r="W44" s="2"/>
    </row>
    <row r="45" ht="15.75" customHeight="1">
      <c r="A45" s="23" t="str">
        <f t="shared" si="5"/>
        <v/>
      </c>
      <c r="B45" s="23"/>
      <c r="C45" s="23"/>
      <c r="D45" s="37" t="str">
        <f t="shared" si="1"/>
        <v/>
      </c>
      <c r="E45" s="55"/>
      <c r="F45" s="19">
        <f t="array" ref="F45">IFERROR(INDEX(Size!$E$4:$E$53,MATCH(C45,Size!$B$4:$B$53,0)),0)</f>
        <v>0</v>
      </c>
      <c r="G45" s="19">
        <f t="array" ref="G45">IFERROR(INDEX(Size!$C$4:$C$53,MATCH(C45,Size!$B$4:$B$53,0)),0)</f>
        <v>0</v>
      </c>
      <c r="H45" s="19" t="str">
        <f>IF(A45="","",G45*'Mẻ sữa'!$U$5)</f>
        <v/>
      </c>
      <c r="I45" s="19">
        <f t="array" ref="I45">IFERROR(E45*INDEX('Hàng hóa'!$H$4:$H$203,MATCH(B45,'Hàng hóa'!$B$4:$B$203,0)),0)</f>
        <v>0</v>
      </c>
      <c r="J45" s="19" t="str">
        <f t="array" ref="J45">IF(A45="","",IFERROR(INDEX('Hàng hóa'!$H$4:$H$203,MATCH(INDEX(Size!$D$4:$D$53,MATCH(C45,Size!$B$4:$B$53,0)),'Hàng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45" s="19" t="str">
        <f>IF(A45="","",(H45+I45+J45)*'Thiết lập'!$B$8)</f>
        <v/>
      </c>
      <c r="L45" s="19" t="str">
        <f t="shared" si="2"/>
        <v/>
      </c>
      <c r="M45" s="19" t="str">
        <f>IF(A45="","",'Thiết lập'!$B$12)</f>
        <v/>
      </c>
      <c r="N45" s="19" t="str">
        <f t="shared" si="3"/>
        <v/>
      </c>
      <c r="O45" s="23"/>
      <c r="P45" s="18" t="str">
        <f t="shared" si="4"/>
        <v/>
      </c>
      <c r="Q45" s="2"/>
      <c r="R45" s="18" t="str">
        <f>IF(AND('Hàng hóa'!B57&lt;&gt;"",'Hàng hóa'!C57="Topping",'Hàng hóa'!I57="Có"),'Hàng hóa'!B57,"")</f>
        <v/>
      </c>
      <c r="S45" s="18" t="str">
        <f>IF(Size!G46&lt;&gt;"",Size!G46,"")</f>
        <v/>
      </c>
      <c r="T45" s="18"/>
      <c r="U45" s="2"/>
      <c r="V45" s="2"/>
      <c r="W45" s="2"/>
    </row>
    <row r="46" ht="15.75" customHeight="1">
      <c r="A46" s="23" t="str">
        <f t="shared" si="5"/>
        <v/>
      </c>
      <c r="B46" s="23"/>
      <c r="C46" s="23"/>
      <c r="D46" s="37" t="str">
        <f t="shared" si="1"/>
        <v/>
      </c>
      <c r="E46" s="55"/>
      <c r="F46" s="19">
        <f t="array" ref="F46">IFERROR(INDEX(Size!$E$4:$E$53,MATCH(C46,Size!$B$4:$B$53,0)),0)</f>
        <v>0</v>
      </c>
      <c r="G46" s="19">
        <f t="array" ref="G46">IFERROR(INDEX(Size!$C$4:$C$53,MATCH(C46,Size!$B$4:$B$53,0)),0)</f>
        <v>0</v>
      </c>
      <c r="H46" s="19" t="str">
        <f>IF(A46="","",G46*'Mẻ sữa'!$U$5)</f>
        <v/>
      </c>
      <c r="I46" s="19">
        <f t="array" ref="I46">IFERROR(E46*INDEX('Hàng hóa'!$H$4:$H$203,MATCH(B46,'Hàng hóa'!$B$4:$B$203,0)),0)</f>
        <v>0</v>
      </c>
      <c r="J46" s="19" t="str">
        <f t="array" ref="J46">IF(A46="","",IFERROR(INDEX('Hàng hóa'!$H$4:$H$203,MATCH(INDEX(Size!$D$4:$D$53,MATCH(C46,Size!$B$4:$B$53,0)),'Hàng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46" s="19" t="str">
        <f>IF(A46="","",(H46+I46+J46)*'Thiết lập'!$B$8)</f>
        <v/>
      </c>
      <c r="L46" s="19" t="str">
        <f t="shared" si="2"/>
        <v/>
      </c>
      <c r="M46" s="19" t="str">
        <f>IF(A46="","",'Thiết lập'!$B$12)</f>
        <v/>
      </c>
      <c r="N46" s="19" t="str">
        <f t="shared" si="3"/>
        <v/>
      </c>
      <c r="O46" s="23"/>
      <c r="P46" s="18" t="str">
        <f t="shared" si="4"/>
        <v/>
      </c>
      <c r="Q46" s="2"/>
      <c r="R46" s="18" t="str">
        <f>IF(AND('Hàng hóa'!B58&lt;&gt;"",'Hàng hóa'!C58="Topping",'Hàng hóa'!I58="Có"),'Hàng hóa'!B58,"")</f>
        <v/>
      </c>
      <c r="S46" s="18" t="str">
        <f>IF(Size!G47&lt;&gt;"",Size!G47,"")</f>
        <v/>
      </c>
      <c r="T46" s="18"/>
      <c r="U46" s="2"/>
      <c r="V46" s="2"/>
      <c r="W46" s="2"/>
    </row>
    <row r="47" ht="15.75" customHeight="1">
      <c r="A47" s="23" t="str">
        <f t="shared" si="5"/>
        <v/>
      </c>
      <c r="B47" s="23"/>
      <c r="C47" s="23"/>
      <c r="D47" s="37" t="str">
        <f t="shared" si="1"/>
        <v/>
      </c>
      <c r="E47" s="55"/>
      <c r="F47" s="19">
        <f t="array" ref="F47">IFERROR(INDEX(Size!$E$4:$E$53,MATCH(C47,Size!$B$4:$B$53,0)),0)</f>
        <v>0</v>
      </c>
      <c r="G47" s="19">
        <f t="array" ref="G47">IFERROR(INDEX(Size!$C$4:$C$53,MATCH(C47,Size!$B$4:$B$53,0)),0)</f>
        <v>0</v>
      </c>
      <c r="H47" s="19" t="str">
        <f>IF(A47="","",G47*'Mẻ sữa'!$U$5)</f>
        <v/>
      </c>
      <c r="I47" s="19">
        <f t="array" ref="I47">IFERROR(E47*INDEX('Hàng hóa'!$H$4:$H$203,MATCH(B47,'Hàng hóa'!$B$4:$B$203,0)),0)</f>
        <v>0</v>
      </c>
      <c r="J47" s="19" t="str">
        <f t="array" ref="J47">IF(A47="","",IFERROR(INDEX('Hàng hóa'!$H$4:$H$203,MATCH(INDEX(Size!$D$4:$D$53,MATCH(C47,Size!$B$4:$B$53,0)),'Hàng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47" s="19" t="str">
        <f>IF(A47="","",(H47+I47+J47)*'Thiết lập'!$B$8)</f>
        <v/>
      </c>
      <c r="L47" s="19" t="str">
        <f t="shared" si="2"/>
        <v/>
      </c>
      <c r="M47" s="19" t="str">
        <f>IF(A47="","",'Thiết lập'!$B$12)</f>
        <v/>
      </c>
      <c r="N47" s="19" t="str">
        <f t="shared" si="3"/>
        <v/>
      </c>
      <c r="O47" s="23"/>
      <c r="P47" s="18" t="str">
        <f t="shared" si="4"/>
        <v/>
      </c>
      <c r="Q47" s="2"/>
      <c r="R47" s="18" t="str">
        <f>IF(AND('Hàng hóa'!B59&lt;&gt;"",'Hàng hóa'!C59="Topping",'Hàng hóa'!I59="Có"),'Hàng hóa'!B59,"")</f>
        <v/>
      </c>
      <c r="S47" s="18" t="str">
        <f>IF(Size!G48&lt;&gt;"",Size!G48,"")</f>
        <v/>
      </c>
      <c r="T47" s="18"/>
      <c r="U47" s="2"/>
      <c r="V47" s="2"/>
      <c r="W47" s="2"/>
    </row>
    <row r="48" ht="15.75" customHeight="1">
      <c r="A48" s="23" t="str">
        <f t="shared" si="5"/>
        <v/>
      </c>
      <c r="B48" s="23"/>
      <c r="C48" s="23"/>
      <c r="D48" s="37" t="str">
        <f t="shared" si="1"/>
        <v/>
      </c>
      <c r="E48" s="55"/>
      <c r="F48" s="19">
        <f t="array" ref="F48">IFERROR(INDEX(Size!$E$4:$E$53,MATCH(C48,Size!$B$4:$B$53,0)),0)</f>
        <v>0</v>
      </c>
      <c r="G48" s="19">
        <f t="array" ref="G48">IFERROR(INDEX(Size!$C$4:$C$53,MATCH(C48,Size!$B$4:$B$53,0)),0)</f>
        <v>0</v>
      </c>
      <c r="H48" s="19" t="str">
        <f>IF(A48="","",G48*'Mẻ sữa'!$U$5)</f>
        <v/>
      </c>
      <c r="I48" s="19">
        <f t="array" ref="I48">IFERROR(E48*INDEX('Hàng hóa'!$H$4:$H$203,MATCH(B48,'Hàng hóa'!$B$4:$B$203,0)),0)</f>
        <v>0</v>
      </c>
      <c r="J48" s="19" t="str">
        <f t="array" ref="J48">IF(A48="","",IFERROR(INDEX('Hàng hóa'!$H$4:$H$203,MATCH(INDEX(Size!$D$4:$D$53,MATCH(C48,Size!$B$4:$B$53,0)),'Hàng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48" s="19" t="str">
        <f>IF(A48="","",(H48+I48+J48)*'Thiết lập'!$B$8)</f>
        <v/>
      </c>
      <c r="L48" s="19" t="str">
        <f t="shared" si="2"/>
        <v/>
      </c>
      <c r="M48" s="19" t="str">
        <f>IF(A48="","",'Thiết lập'!$B$12)</f>
        <v/>
      </c>
      <c r="N48" s="19" t="str">
        <f t="shared" si="3"/>
        <v/>
      </c>
      <c r="O48" s="23"/>
      <c r="P48" s="18" t="str">
        <f t="shared" si="4"/>
        <v/>
      </c>
      <c r="Q48" s="2"/>
      <c r="R48" s="18" t="str">
        <f>IF(AND('Hàng hóa'!B60&lt;&gt;"",'Hàng hóa'!C60="Topping",'Hàng hóa'!I60="Có"),'Hàng hóa'!B60,"")</f>
        <v/>
      </c>
      <c r="S48" s="18" t="str">
        <f>IF(Size!G49&lt;&gt;"",Size!G49,"")</f>
        <v/>
      </c>
      <c r="T48" s="18"/>
      <c r="U48" s="2"/>
      <c r="V48" s="2"/>
      <c r="W48" s="2"/>
    </row>
    <row r="49" ht="15.75" customHeight="1">
      <c r="A49" s="23" t="str">
        <f t="shared" si="5"/>
        <v/>
      </c>
      <c r="B49" s="23"/>
      <c r="C49" s="23"/>
      <c r="D49" s="37" t="str">
        <f t="shared" si="1"/>
        <v/>
      </c>
      <c r="E49" s="55"/>
      <c r="F49" s="19">
        <f t="array" ref="F49">IFERROR(INDEX(Size!$E$4:$E$53,MATCH(C49,Size!$B$4:$B$53,0)),0)</f>
        <v>0</v>
      </c>
      <c r="G49" s="19">
        <f t="array" ref="G49">IFERROR(INDEX(Size!$C$4:$C$53,MATCH(C49,Size!$B$4:$B$53,0)),0)</f>
        <v>0</v>
      </c>
      <c r="H49" s="19" t="str">
        <f>IF(A49="","",G49*'Mẻ sữa'!$U$5)</f>
        <v/>
      </c>
      <c r="I49" s="19">
        <f t="array" ref="I49">IFERROR(E49*INDEX('Hàng hóa'!$H$4:$H$203,MATCH(B49,'Hàng hóa'!$B$4:$B$203,0)),0)</f>
        <v>0</v>
      </c>
      <c r="J49" s="19" t="str">
        <f t="array" ref="J49">IF(A49="","",IFERROR(INDEX('Hàng hóa'!$H$4:$H$203,MATCH(INDEX(Size!$D$4:$D$53,MATCH(C49,Size!$B$4:$B$53,0)),'Hàng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49" s="19" t="str">
        <f>IF(A49="","",(H49+I49+J49)*'Thiết lập'!$B$8)</f>
        <v/>
      </c>
      <c r="L49" s="19" t="str">
        <f t="shared" si="2"/>
        <v/>
      </c>
      <c r="M49" s="19" t="str">
        <f>IF(A49="","",'Thiết lập'!$B$12)</f>
        <v/>
      </c>
      <c r="N49" s="19" t="str">
        <f t="shared" si="3"/>
        <v/>
      </c>
      <c r="O49" s="23"/>
      <c r="P49" s="18" t="str">
        <f t="shared" si="4"/>
        <v/>
      </c>
      <c r="Q49" s="2"/>
      <c r="R49" s="18" t="str">
        <f>IF(AND('Hàng hóa'!B61&lt;&gt;"",'Hàng hóa'!C61="Topping",'Hàng hóa'!I61="Có"),'Hàng hóa'!B61,"")</f>
        <v/>
      </c>
      <c r="S49" s="18" t="str">
        <f>IF(Size!G50&lt;&gt;"",Size!G50,"")</f>
        <v/>
      </c>
      <c r="T49" s="18"/>
      <c r="U49" s="2"/>
      <c r="V49" s="2"/>
      <c r="W49" s="2"/>
    </row>
    <row r="50" ht="15.75" customHeight="1">
      <c r="A50" s="23" t="str">
        <f t="shared" si="5"/>
        <v/>
      </c>
      <c r="B50" s="23"/>
      <c r="C50" s="23"/>
      <c r="D50" s="37" t="str">
        <f t="shared" si="1"/>
        <v/>
      </c>
      <c r="E50" s="55"/>
      <c r="F50" s="19">
        <f t="array" ref="F50">IFERROR(INDEX(Size!$E$4:$E$53,MATCH(C50,Size!$B$4:$B$53,0)),0)</f>
        <v>0</v>
      </c>
      <c r="G50" s="19">
        <f t="array" ref="G50">IFERROR(INDEX(Size!$C$4:$C$53,MATCH(C50,Size!$B$4:$B$53,0)),0)</f>
        <v>0</v>
      </c>
      <c r="H50" s="19" t="str">
        <f>IF(A50="","",G50*'Mẻ sữa'!$U$5)</f>
        <v/>
      </c>
      <c r="I50" s="19">
        <f t="array" ref="I50">IFERROR(E50*INDEX('Hàng hóa'!$H$4:$H$203,MATCH(B50,'Hàng hóa'!$B$4:$B$203,0)),0)</f>
        <v>0</v>
      </c>
      <c r="J50" s="19" t="str">
        <f t="array" ref="J50">IF(A50="","",IFERROR(INDEX('Hàng hóa'!$H$4:$H$203,MATCH(INDEX(Size!$D$4:$D$53,MATCH(C50,Size!$B$4:$B$53,0)),'Hàng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50" s="19" t="str">
        <f>IF(A50="","",(H50+I50+J50)*'Thiết lập'!$B$8)</f>
        <v/>
      </c>
      <c r="L50" s="19" t="str">
        <f t="shared" si="2"/>
        <v/>
      </c>
      <c r="M50" s="19" t="str">
        <f>IF(A50="","",'Thiết lập'!$B$12)</f>
        <v/>
      </c>
      <c r="N50" s="19" t="str">
        <f t="shared" si="3"/>
        <v/>
      </c>
      <c r="O50" s="23"/>
      <c r="P50" s="18" t="str">
        <f t="shared" si="4"/>
        <v/>
      </c>
      <c r="Q50" s="2"/>
      <c r="R50" s="18" t="str">
        <f>IF(AND('Hàng hóa'!B62&lt;&gt;"",'Hàng hóa'!C62="Topping",'Hàng hóa'!I62="Có"),'Hàng hóa'!B62,"")</f>
        <v/>
      </c>
      <c r="S50" s="18" t="str">
        <f>IF(Size!G51&lt;&gt;"",Size!G51,"")</f>
        <v/>
      </c>
      <c r="T50" s="18"/>
      <c r="U50" s="2"/>
      <c r="V50" s="2"/>
      <c r="W50" s="2"/>
    </row>
    <row r="51" ht="15.75" customHeight="1">
      <c r="A51" s="23" t="str">
        <f t="shared" si="5"/>
        <v/>
      </c>
      <c r="B51" s="23"/>
      <c r="C51" s="23"/>
      <c r="D51" s="37" t="str">
        <f t="shared" si="1"/>
        <v/>
      </c>
      <c r="E51" s="55"/>
      <c r="F51" s="19">
        <f t="array" ref="F51">IFERROR(INDEX(Size!$E$4:$E$53,MATCH(C51,Size!$B$4:$B$53,0)),0)</f>
        <v>0</v>
      </c>
      <c r="G51" s="19">
        <f t="array" ref="G51">IFERROR(INDEX(Size!$C$4:$C$53,MATCH(C51,Size!$B$4:$B$53,0)),0)</f>
        <v>0</v>
      </c>
      <c r="H51" s="19" t="str">
        <f>IF(A51="","",G51*'Mẻ sữa'!$U$5)</f>
        <v/>
      </c>
      <c r="I51" s="19">
        <f t="array" ref="I51">IFERROR(E51*INDEX('Hàng hóa'!$H$4:$H$203,MATCH(B51,'Hàng hóa'!$B$4:$B$203,0)),0)</f>
        <v>0</v>
      </c>
      <c r="J51" s="19" t="str">
        <f t="array" ref="J51">IF(A51="","",IFERROR(INDEX('Hàng hóa'!$H$4:$H$203,MATCH(INDEX(Size!$D$4:$D$53,MATCH(C51,Size!$B$4:$B$53,0)),'Hàng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51" s="19" t="str">
        <f>IF(A51="","",(H51+I51+J51)*'Thiết lập'!$B$8)</f>
        <v/>
      </c>
      <c r="L51" s="19" t="str">
        <f t="shared" si="2"/>
        <v/>
      </c>
      <c r="M51" s="19" t="str">
        <f>IF(A51="","",'Thiết lập'!$B$12)</f>
        <v/>
      </c>
      <c r="N51" s="19" t="str">
        <f t="shared" si="3"/>
        <v/>
      </c>
      <c r="O51" s="23"/>
      <c r="P51" s="18" t="str">
        <f t="shared" si="4"/>
        <v/>
      </c>
      <c r="Q51" s="2"/>
      <c r="R51" s="18" t="str">
        <f>IF(AND('Hàng hóa'!B63&lt;&gt;"",'Hàng hóa'!C63="Topping",'Hàng hóa'!I63="Có"),'Hàng hóa'!B63,"")</f>
        <v/>
      </c>
      <c r="S51" s="18" t="str">
        <f>IF(Size!G52&lt;&gt;"",Size!G52,"")</f>
        <v/>
      </c>
      <c r="T51" s="18"/>
      <c r="U51" s="2"/>
      <c r="V51" s="2"/>
      <c r="W51" s="2"/>
    </row>
    <row r="52" ht="15.75" customHeight="1">
      <c r="A52" s="23" t="str">
        <f t="shared" si="5"/>
        <v/>
      </c>
      <c r="B52" s="23"/>
      <c r="C52" s="23"/>
      <c r="D52" s="37" t="str">
        <f t="shared" si="1"/>
        <v/>
      </c>
      <c r="E52" s="55"/>
      <c r="F52" s="19">
        <f t="array" ref="F52">IFERROR(INDEX(Size!$E$4:$E$53,MATCH(C52,Size!$B$4:$B$53,0)),0)</f>
        <v>0</v>
      </c>
      <c r="G52" s="19">
        <f t="array" ref="G52">IFERROR(INDEX(Size!$C$4:$C$53,MATCH(C52,Size!$B$4:$B$53,0)),0)</f>
        <v>0</v>
      </c>
      <c r="H52" s="19" t="str">
        <f>IF(A52="","",G52*'Mẻ sữa'!$U$5)</f>
        <v/>
      </c>
      <c r="I52" s="19">
        <f t="array" ref="I52">IFERROR(E52*INDEX('Hàng hóa'!$H$4:$H$203,MATCH(B52,'Hàng hóa'!$B$4:$B$203,0)),0)</f>
        <v>0</v>
      </c>
      <c r="J52" s="19" t="str">
        <f t="array" ref="J52">IF(A52="","",IFERROR(INDEX('Hàng hóa'!$H$4:$H$203,MATCH(INDEX(Size!$D$4:$D$53,MATCH(C52,Size!$B$4:$B$53,0)),'Hàng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52" s="19" t="str">
        <f>IF(A52="","",(H52+I52+J52)*'Thiết lập'!$B$8)</f>
        <v/>
      </c>
      <c r="L52" s="19" t="str">
        <f t="shared" si="2"/>
        <v/>
      </c>
      <c r="M52" s="19" t="str">
        <f>IF(A52="","",'Thiết lập'!$B$12)</f>
        <v/>
      </c>
      <c r="N52" s="19" t="str">
        <f t="shared" si="3"/>
        <v/>
      </c>
      <c r="O52" s="23"/>
      <c r="P52" s="18" t="str">
        <f t="shared" si="4"/>
        <v/>
      </c>
      <c r="Q52" s="2"/>
      <c r="R52" s="18" t="str">
        <f>IF(AND('Hàng hóa'!B64&lt;&gt;"",'Hàng hóa'!C64="Topping",'Hàng hóa'!I64="Có"),'Hàng hóa'!B64,"")</f>
        <v/>
      </c>
      <c r="S52" s="18" t="str">
        <f>IF(Size!G53&lt;&gt;"",Size!G53,"")</f>
        <v/>
      </c>
      <c r="T52" s="18"/>
      <c r="U52" s="2"/>
      <c r="V52" s="2"/>
      <c r="W52" s="2"/>
    </row>
    <row r="53" ht="15.75" customHeight="1">
      <c r="A53" s="23" t="str">
        <f t="shared" si="5"/>
        <v/>
      </c>
      <c r="B53" s="23"/>
      <c r="C53" s="23"/>
      <c r="D53" s="37" t="str">
        <f t="shared" si="1"/>
        <v/>
      </c>
      <c r="E53" s="55"/>
      <c r="F53" s="19">
        <f t="array" ref="F53">IFERROR(INDEX(Size!$E$4:$E$53,MATCH(C53,Size!$B$4:$B$53,0)),0)</f>
        <v>0</v>
      </c>
      <c r="G53" s="19">
        <f t="array" ref="G53">IFERROR(INDEX(Size!$C$4:$C$53,MATCH(C53,Size!$B$4:$B$53,0)),0)</f>
        <v>0</v>
      </c>
      <c r="H53" s="19" t="str">
        <f>IF(A53="","",G53*'Mẻ sữa'!$U$5)</f>
        <v/>
      </c>
      <c r="I53" s="19">
        <f t="array" ref="I53">IFERROR(E53*INDEX('Hàng hóa'!$H$4:$H$203,MATCH(B53,'Hàng hóa'!$B$4:$B$203,0)),0)</f>
        <v>0</v>
      </c>
      <c r="J53" s="19" t="str">
        <f t="array" ref="J53">IF(A53="","",IFERROR(INDEX('Hàng hóa'!$H$4:$H$203,MATCH(INDEX(Size!$D$4:$D$53,MATCH(C53,Size!$B$4:$B$53,0)),'Hàng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53" s="19" t="str">
        <f>IF(A53="","",(H53+I53+J53)*'Thiết lập'!$B$8)</f>
        <v/>
      </c>
      <c r="L53" s="19" t="str">
        <f t="shared" si="2"/>
        <v/>
      </c>
      <c r="M53" s="19" t="str">
        <f>IF(A53="","",'Thiết lập'!$B$12)</f>
        <v/>
      </c>
      <c r="N53" s="19" t="str">
        <f t="shared" si="3"/>
        <v/>
      </c>
      <c r="O53" s="23"/>
      <c r="P53" s="18" t="str">
        <f t="shared" si="4"/>
        <v/>
      </c>
      <c r="Q53" s="2"/>
      <c r="R53" s="18" t="str">
        <f>IF(AND('Hàng hóa'!B65&lt;&gt;"",'Hàng hóa'!C65="Topping",'Hàng hóa'!I65="Có"),'Hàng hóa'!B65,"")</f>
        <v/>
      </c>
      <c r="S53" s="18"/>
      <c r="T53" s="18"/>
      <c r="U53" s="2"/>
      <c r="V53" s="2"/>
      <c r="W53" s="2"/>
    </row>
    <row r="54" ht="15.75" customHeight="1">
      <c r="A54" s="23" t="str">
        <f t="shared" si="5"/>
        <v/>
      </c>
      <c r="B54" s="23"/>
      <c r="C54" s="23"/>
      <c r="D54" s="37" t="str">
        <f t="shared" si="1"/>
        <v/>
      </c>
      <c r="E54" s="55"/>
      <c r="F54" s="19">
        <f t="array" ref="F54">IFERROR(INDEX(Size!$E$4:$E$53,MATCH(C54,Size!$B$4:$B$53,0)),0)</f>
        <v>0</v>
      </c>
      <c r="G54" s="19">
        <f t="array" ref="G54">IFERROR(INDEX(Size!$C$4:$C$53,MATCH(C54,Size!$B$4:$B$53,0)),0)</f>
        <v>0</v>
      </c>
      <c r="H54" s="19" t="str">
        <f>IF(A54="","",G54*'Mẻ sữa'!$U$5)</f>
        <v/>
      </c>
      <c r="I54" s="19">
        <f t="array" ref="I54">IFERROR(E54*INDEX('Hàng hóa'!$H$4:$H$203,MATCH(B54,'Hàng hóa'!$B$4:$B$203,0)),0)</f>
        <v>0</v>
      </c>
      <c r="J54" s="19" t="str">
        <f t="array" ref="J54">IF(A54="","",IFERROR(INDEX('Hàng hóa'!$H$4:$H$203,MATCH(INDEX(Size!$D$4:$D$53,MATCH(C54,Size!$B$4:$B$53,0)),'Hàng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54" s="19" t="str">
        <f>IF(A54="","",(H54+I54+J54)*'Thiết lập'!$B$8)</f>
        <v/>
      </c>
      <c r="L54" s="19" t="str">
        <f t="shared" si="2"/>
        <v/>
      </c>
      <c r="M54" s="19" t="str">
        <f>IF(A54="","",'Thiết lập'!$B$12)</f>
        <v/>
      </c>
      <c r="N54" s="19" t="str">
        <f t="shared" si="3"/>
        <v/>
      </c>
      <c r="O54" s="23"/>
      <c r="P54" s="18" t="str">
        <f t="shared" si="4"/>
        <v/>
      </c>
      <c r="Q54" s="2"/>
      <c r="R54" s="18" t="str">
        <f>IF(AND('Hàng hóa'!B66&lt;&gt;"",'Hàng hóa'!C66="Topping",'Hàng hóa'!I66="Có"),'Hàng hóa'!B66,"")</f>
        <v/>
      </c>
      <c r="S54" s="18"/>
      <c r="T54" s="18"/>
      <c r="U54" s="2"/>
      <c r="V54" s="2"/>
      <c r="W54" s="2"/>
    </row>
    <row r="55" ht="15.75" customHeight="1">
      <c r="A55" s="23" t="str">
        <f t="shared" si="5"/>
        <v/>
      </c>
      <c r="B55" s="23"/>
      <c r="C55" s="23"/>
      <c r="D55" s="37" t="str">
        <f t="shared" si="1"/>
        <v/>
      </c>
      <c r="E55" s="55"/>
      <c r="F55" s="19">
        <f t="array" ref="F55">IFERROR(INDEX(Size!$E$4:$E$53,MATCH(C55,Size!$B$4:$B$53,0)),0)</f>
        <v>0</v>
      </c>
      <c r="G55" s="19">
        <f t="array" ref="G55">IFERROR(INDEX(Size!$C$4:$C$53,MATCH(C55,Size!$B$4:$B$53,0)),0)</f>
        <v>0</v>
      </c>
      <c r="H55" s="19" t="str">
        <f>IF(A55="","",G55*'Mẻ sữa'!$U$5)</f>
        <v/>
      </c>
      <c r="I55" s="19">
        <f t="array" ref="I55">IFERROR(E55*INDEX('Hàng hóa'!$H$4:$H$203,MATCH(B55,'Hàng hóa'!$B$4:$B$203,0)),0)</f>
        <v>0</v>
      </c>
      <c r="J55" s="19" t="str">
        <f t="array" ref="J55">IF(A55="","",IFERROR(INDEX('Hàng hóa'!$H$4:$H$203,MATCH(INDEX(Size!$D$4:$D$53,MATCH(C55,Size!$B$4:$B$53,0)),'Hàng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55" s="19" t="str">
        <f>IF(A55="","",(H55+I55+J55)*'Thiết lập'!$B$8)</f>
        <v/>
      </c>
      <c r="L55" s="19" t="str">
        <f t="shared" si="2"/>
        <v/>
      </c>
      <c r="M55" s="19" t="str">
        <f>IF(A55="","",'Thiết lập'!$B$12)</f>
        <v/>
      </c>
      <c r="N55" s="19" t="str">
        <f t="shared" si="3"/>
        <v/>
      </c>
      <c r="O55" s="23"/>
      <c r="P55" s="18" t="str">
        <f t="shared" si="4"/>
        <v/>
      </c>
      <c r="Q55" s="2"/>
      <c r="R55" s="18" t="str">
        <f>IF(AND('Hàng hóa'!B67&lt;&gt;"",'Hàng hóa'!C67="Topping",'Hàng hóa'!I67="Có"),'Hàng hóa'!B67,"")</f>
        <v/>
      </c>
      <c r="S55" s="18"/>
      <c r="T55" s="18"/>
      <c r="U55" s="2"/>
      <c r="V55" s="2"/>
      <c r="W55" s="2"/>
    </row>
    <row r="56" ht="15.75" customHeight="1">
      <c r="A56" s="23" t="str">
        <f t="shared" si="5"/>
        <v/>
      </c>
      <c r="B56" s="23"/>
      <c r="C56" s="23"/>
      <c r="D56" s="37" t="str">
        <f t="shared" si="1"/>
        <v/>
      </c>
      <c r="E56" s="55"/>
      <c r="F56" s="19">
        <f t="array" ref="F56">IFERROR(INDEX(Size!$E$4:$E$53,MATCH(C56,Size!$B$4:$B$53,0)),0)</f>
        <v>0</v>
      </c>
      <c r="G56" s="19">
        <f t="array" ref="G56">IFERROR(INDEX(Size!$C$4:$C$53,MATCH(C56,Size!$B$4:$B$53,0)),0)</f>
        <v>0</v>
      </c>
      <c r="H56" s="19" t="str">
        <f>IF(A56="","",G56*'Mẻ sữa'!$U$5)</f>
        <v/>
      </c>
      <c r="I56" s="19">
        <f t="array" ref="I56">IFERROR(E56*INDEX('Hàng hóa'!$H$4:$H$203,MATCH(B56,'Hàng hóa'!$B$4:$B$203,0)),0)</f>
        <v>0</v>
      </c>
      <c r="J56" s="19" t="str">
        <f t="array" ref="J56">IF(A56="","",IFERROR(INDEX('Hàng hóa'!$H$4:$H$203,MATCH(INDEX(Size!$D$4:$D$53,MATCH(C56,Size!$B$4:$B$53,0)),'Hàng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56" s="19" t="str">
        <f>IF(A56="","",(H56+I56+J56)*'Thiết lập'!$B$8)</f>
        <v/>
      </c>
      <c r="L56" s="19" t="str">
        <f t="shared" si="2"/>
        <v/>
      </c>
      <c r="M56" s="19" t="str">
        <f>IF(A56="","",'Thiết lập'!$B$12)</f>
        <v/>
      </c>
      <c r="N56" s="19" t="str">
        <f t="shared" si="3"/>
        <v/>
      </c>
      <c r="O56" s="23"/>
      <c r="P56" s="18" t="str">
        <f t="shared" si="4"/>
        <v/>
      </c>
      <c r="Q56" s="2"/>
      <c r="R56" s="18" t="str">
        <f>IF(AND('Hàng hóa'!B68&lt;&gt;"",'Hàng hóa'!C68="Topping",'Hàng hóa'!I68="Có"),'Hàng hóa'!B68,"")</f>
        <v/>
      </c>
      <c r="S56" s="18"/>
      <c r="T56" s="18"/>
      <c r="U56" s="2"/>
      <c r="V56" s="2"/>
      <c r="W56" s="2"/>
    </row>
    <row r="57" ht="15.75" customHeight="1">
      <c r="A57" s="23" t="str">
        <f t="shared" si="5"/>
        <v/>
      </c>
      <c r="B57" s="23"/>
      <c r="C57" s="23"/>
      <c r="D57" s="37" t="str">
        <f t="shared" si="1"/>
        <v/>
      </c>
      <c r="E57" s="55"/>
      <c r="F57" s="19">
        <f t="array" ref="F57">IFERROR(INDEX(Size!$E$4:$E$53,MATCH(C57,Size!$B$4:$B$53,0)),0)</f>
        <v>0</v>
      </c>
      <c r="G57" s="19">
        <f t="array" ref="G57">IFERROR(INDEX(Size!$C$4:$C$53,MATCH(C57,Size!$B$4:$B$53,0)),0)</f>
        <v>0</v>
      </c>
      <c r="H57" s="19" t="str">
        <f>IF(A57="","",G57*'Mẻ sữa'!$U$5)</f>
        <v/>
      </c>
      <c r="I57" s="19">
        <f t="array" ref="I57">IFERROR(E57*INDEX('Hàng hóa'!$H$4:$H$203,MATCH(B57,'Hàng hóa'!$B$4:$B$203,0)),0)</f>
        <v>0</v>
      </c>
      <c r="J57" s="19" t="str">
        <f t="array" ref="J57">IF(A57="","",IFERROR(INDEX('Hàng hóa'!$H$4:$H$203,MATCH(INDEX(Size!$D$4:$D$53,MATCH(C57,Size!$B$4:$B$53,0)),'Hàng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57" s="19" t="str">
        <f>IF(A57="","",(H57+I57+J57)*'Thiết lập'!$B$8)</f>
        <v/>
      </c>
      <c r="L57" s="19" t="str">
        <f t="shared" si="2"/>
        <v/>
      </c>
      <c r="M57" s="19" t="str">
        <f>IF(A57="","",'Thiết lập'!$B$12)</f>
        <v/>
      </c>
      <c r="N57" s="19" t="str">
        <f t="shared" si="3"/>
        <v/>
      </c>
      <c r="O57" s="23"/>
      <c r="P57" s="18" t="str">
        <f t="shared" si="4"/>
        <v/>
      </c>
      <c r="Q57" s="2"/>
      <c r="R57" s="18" t="str">
        <f>IF(AND('Hàng hóa'!B69&lt;&gt;"",'Hàng hóa'!C69="Topping",'Hàng hóa'!I69="Có"),'Hàng hóa'!B69,"")</f>
        <v/>
      </c>
      <c r="S57" s="18"/>
      <c r="T57" s="18"/>
      <c r="U57" s="2"/>
      <c r="V57" s="2"/>
      <c r="W57" s="2"/>
    </row>
    <row r="58" ht="15.75" customHeight="1">
      <c r="A58" s="23" t="str">
        <f t="shared" si="5"/>
        <v/>
      </c>
      <c r="B58" s="23"/>
      <c r="C58" s="23"/>
      <c r="D58" s="37" t="str">
        <f t="shared" si="1"/>
        <v/>
      </c>
      <c r="E58" s="55"/>
      <c r="F58" s="19">
        <f t="array" ref="F58">IFERROR(INDEX(Size!$E$4:$E$53,MATCH(C58,Size!$B$4:$B$53,0)),0)</f>
        <v>0</v>
      </c>
      <c r="G58" s="19">
        <f t="array" ref="G58">IFERROR(INDEX(Size!$C$4:$C$53,MATCH(C58,Size!$B$4:$B$53,0)),0)</f>
        <v>0</v>
      </c>
      <c r="H58" s="19" t="str">
        <f>IF(A58="","",G58*'Mẻ sữa'!$U$5)</f>
        <v/>
      </c>
      <c r="I58" s="19">
        <f t="array" ref="I58">IFERROR(E58*INDEX('Hàng hóa'!$H$4:$H$203,MATCH(B58,'Hàng hóa'!$B$4:$B$203,0)),0)</f>
        <v>0</v>
      </c>
      <c r="J58" s="19" t="str">
        <f t="array" ref="J58">IF(A58="","",IFERROR(INDEX('Hàng hóa'!$H$4:$H$203,MATCH(INDEX(Size!$D$4:$D$53,MATCH(C58,Size!$B$4:$B$53,0)),'Hàng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58" s="19" t="str">
        <f>IF(A58="","",(H58+I58+J58)*'Thiết lập'!$B$8)</f>
        <v/>
      </c>
      <c r="L58" s="19" t="str">
        <f t="shared" si="2"/>
        <v/>
      </c>
      <c r="M58" s="19" t="str">
        <f>IF(A58="","",'Thiết lập'!$B$12)</f>
        <v/>
      </c>
      <c r="N58" s="19" t="str">
        <f t="shared" si="3"/>
        <v/>
      </c>
      <c r="O58" s="23"/>
      <c r="P58" s="18" t="str">
        <f t="shared" si="4"/>
        <v/>
      </c>
      <c r="Q58" s="2"/>
      <c r="R58" s="18" t="str">
        <f>IF(AND('Hàng hóa'!B70&lt;&gt;"",'Hàng hóa'!C70="Topping",'Hàng hóa'!I70="Có"),'Hàng hóa'!B70,"")</f>
        <v/>
      </c>
      <c r="S58" s="18"/>
      <c r="T58" s="18"/>
      <c r="U58" s="2"/>
      <c r="V58" s="2"/>
      <c r="W58" s="2"/>
    </row>
    <row r="59" ht="15.75" customHeight="1">
      <c r="A59" s="23" t="str">
        <f t="shared" si="5"/>
        <v/>
      </c>
      <c r="B59" s="23"/>
      <c r="C59" s="23"/>
      <c r="D59" s="37" t="str">
        <f t="shared" si="1"/>
        <v/>
      </c>
      <c r="E59" s="55"/>
      <c r="F59" s="19">
        <f t="array" ref="F59">IFERROR(INDEX(Size!$E$4:$E$53,MATCH(C59,Size!$B$4:$B$53,0)),0)</f>
        <v>0</v>
      </c>
      <c r="G59" s="19">
        <f t="array" ref="G59">IFERROR(INDEX(Size!$C$4:$C$53,MATCH(C59,Size!$B$4:$B$53,0)),0)</f>
        <v>0</v>
      </c>
      <c r="H59" s="19" t="str">
        <f>IF(A59="","",G59*'Mẻ sữa'!$U$5)</f>
        <v/>
      </c>
      <c r="I59" s="19">
        <f t="array" ref="I59">IFERROR(E59*INDEX('Hàng hóa'!$H$4:$H$203,MATCH(B59,'Hàng hóa'!$B$4:$B$203,0)),0)</f>
        <v>0</v>
      </c>
      <c r="J59" s="19" t="str">
        <f t="array" ref="J59">IF(A59="","",IFERROR(INDEX('Hàng hóa'!$H$4:$H$203,MATCH(INDEX(Size!$D$4:$D$53,MATCH(C59,Size!$B$4:$B$53,0)),'Hàng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59" s="19" t="str">
        <f>IF(A59="","",(H59+I59+J59)*'Thiết lập'!$B$8)</f>
        <v/>
      </c>
      <c r="L59" s="19" t="str">
        <f t="shared" si="2"/>
        <v/>
      </c>
      <c r="M59" s="19" t="str">
        <f>IF(A59="","",'Thiết lập'!$B$12)</f>
        <v/>
      </c>
      <c r="N59" s="19" t="str">
        <f t="shared" si="3"/>
        <v/>
      </c>
      <c r="O59" s="23"/>
      <c r="P59" s="18" t="str">
        <f t="shared" si="4"/>
        <v/>
      </c>
      <c r="Q59" s="2"/>
      <c r="R59" s="18" t="str">
        <f>IF(AND('Hàng hóa'!B71&lt;&gt;"",'Hàng hóa'!C71="Topping",'Hàng hóa'!I71="Có"),'Hàng hóa'!B71,"")</f>
        <v/>
      </c>
      <c r="S59" s="18"/>
      <c r="T59" s="18"/>
      <c r="U59" s="2"/>
      <c r="V59" s="2"/>
      <c r="W59" s="2"/>
    </row>
    <row r="60" ht="15.75" customHeight="1">
      <c r="A60" s="23" t="str">
        <f t="shared" si="5"/>
        <v/>
      </c>
      <c r="B60" s="23"/>
      <c r="C60" s="23"/>
      <c r="D60" s="37" t="str">
        <f t="shared" si="1"/>
        <v/>
      </c>
      <c r="E60" s="55"/>
      <c r="F60" s="19">
        <f t="array" ref="F60">IFERROR(INDEX(Size!$E$4:$E$53,MATCH(C60,Size!$B$4:$B$53,0)),0)</f>
        <v>0</v>
      </c>
      <c r="G60" s="19">
        <f t="array" ref="G60">IFERROR(INDEX(Size!$C$4:$C$53,MATCH(C60,Size!$B$4:$B$53,0)),0)</f>
        <v>0</v>
      </c>
      <c r="H60" s="19" t="str">
        <f>IF(A60="","",G60*'Mẻ sữa'!$U$5)</f>
        <v/>
      </c>
      <c r="I60" s="19">
        <f t="array" ref="I60">IFERROR(E60*INDEX('Hàng hóa'!$H$4:$H$203,MATCH(B60,'Hàng hóa'!$B$4:$B$203,0)),0)</f>
        <v>0</v>
      </c>
      <c r="J60" s="19" t="str">
        <f t="array" ref="J60">IF(A60="","",IFERROR(INDEX('Hàng hóa'!$H$4:$H$203,MATCH(INDEX(Size!$D$4:$D$53,MATCH(C60,Size!$B$4:$B$53,0)),'Hàng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60" s="19" t="str">
        <f>IF(A60="","",(H60+I60+J60)*'Thiết lập'!$B$8)</f>
        <v/>
      </c>
      <c r="L60" s="19" t="str">
        <f t="shared" si="2"/>
        <v/>
      </c>
      <c r="M60" s="19" t="str">
        <f>IF(A60="","",'Thiết lập'!$B$12)</f>
        <v/>
      </c>
      <c r="N60" s="19" t="str">
        <f t="shared" si="3"/>
        <v/>
      </c>
      <c r="O60" s="23"/>
      <c r="P60" s="18" t="str">
        <f t="shared" si="4"/>
        <v/>
      </c>
      <c r="Q60" s="2"/>
      <c r="R60" s="18" t="str">
        <f>IF(AND('Hàng hóa'!B72&lt;&gt;"",'Hàng hóa'!C72="Topping",'Hàng hóa'!I72="Có"),'Hàng hóa'!B72,"")</f>
        <v/>
      </c>
      <c r="S60" s="18"/>
      <c r="T60" s="18"/>
      <c r="U60" s="2"/>
      <c r="V60" s="2"/>
      <c r="W60" s="2"/>
    </row>
    <row r="61" ht="15.75" customHeight="1">
      <c r="A61" s="23" t="str">
        <f t="shared" si="5"/>
        <v/>
      </c>
      <c r="B61" s="23"/>
      <c r="C61" s="23"/>
      <c r="D61" s="37" t="str">
        <f t="shared" si="1"/>
        <v/>
      </c>
      <c r="E61" s="55"/>
      <c r="F61" s="19">
        <f t="array" ref="F61">IFERROR(INDEX(Size!$E$4:$E$53,MATCH(C61,Size!$B$4:$B$53,0)),0)</f>
        <v>0</v>
      </c>
      <c r="G61" s="19">
        <f t="array" ref="G61">IFERROR(INDEX(Size!$C$4:$C$53,MATCH(C61,Size!$B$4:$B$53,0)),0)</f>
        <v>0</v>
      </c>
      <c r="H61" s="19" t="str">
        <f>IF(A61="","",G61*'Mẻ sữa'!$U$5)</f>
        <v/>
      </c>
      <c r="I61" s="19">
        <f t="array" ref="I61">IFERROR(E61*INDEX('Hàng hóa'!$H$4:$H$203,MATCH(B61,'Hàng hóa'!$B$4:$B$203,0)),0)</f>
        <v>0</v>
      </c>
      <c r="J61" s="19" t="str">
        <f t="array" ref="J61">IF(A61="","",IFERROR(INDEX('Hàng hóa'!$H$4:$H$203,MATCH(INDEX(Size!$D$4:$D$53,MATCH(C61,Size!$B$4:$B$53,0)),'Hàng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61" s="19" t="str">
        <f>IF(A61="","",(H61+I61+J61)*'Thiết lập'!$B$8)</f>
        <v/>
      </c>
      <c r="L61" s="19" t="str">
        <f t="shared" si="2"/>
        <v/>
      </c>
      <c r="M61" s="19" t="str">
        <f>IF(A61="","",'Thiết lập'!$B$12)</f>
        <v/>
      </c>
      <c r="N61" s="19" t="str">
        <f t="shared" si="3"/>
        <v/>
      </c>
      <c r="O61" s="23"/>
      <c r="P61" s="18" t="str">
        <f t="shared" si="4"/>
        <v/>
      </c>
      <c r="Q61" s="2"/>
      <c r="R61" s="18" t="str">
        <f>IF(AND('Hàng hóa'!B73&lt;&gt;"",'Hàng hóa'!C73="Topping",'Hàng hóa'!I73="Có"),'Hàng hóa'!B73,"")</f>
        <v/>
      </c>
      <c r="S61" s="18"/>
      <c r="T61" s="18"/>
      <c r="U61" s="2"/>
      <c r="V61" s="2"/>
      <c r="W61" s="2"/>
    </row>
    <row r="62" ht="15.75" customHeight="1">
      <c r="A62" s="23" t="str">
        <f t="shared" si="5"/>
        <v/>
      </c>
      <c r="B62" s="23"/>
      <c r="C62" s="23"/>
      <c r="D62" s="37" t="str">
        <f t="shared" si="1"/>
        <v/>
      </c>
      <c r="E62" s="55"/>
      <c r="F62" s="19">
        <f t="array" ref="F62">IFERROR(INDEX(Size!$E$4:$E$53,MATCH(C62,Size!$B$4:$B$53,0)),0)</f>
        <v>0</v>
      </c>
      <c r="G62" s="19">
        <f t="array" ref="G62">IFERROR(INDEX(Size!$C$4:$C$53,MATCH(C62,Size!$B$4:$B$53,0)),0)</f>
        <v>0</v>
      </c>
      <c r="H62" s="19" t="str">
        <f>IF(A62="","",G62*'Mẻ sữa'!$U$5)</f>
        <v/>
      </c>
      <c r="I62" s="19">
        <f t="array" ref="I62">IFERROR(E62*INDEX('Hàng hóa'!$H$4:$H$203,MATCH(B62,'Hàng hóa'!$B$4:$B$203,0)),0)</f>
        <v>0</v>
      </c>
      <c r="J62" s="19" t="str">
        <f t="array" ref="J62">IF(A62="","",IFERROR(INDEX('Hàng hóa'!$H$4:$H$203,MATCH(INDEX(Size!$D$4:$D$53,MATCH(C62,Size!$B$4:$B$53,0)),'Hàng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62" s="19" t="str">
        <f>IF(A62="","",(H62+I62+J62)*'Thiết lập'!$B$8)</f>
        <v/>
      </c>
      <c r="L62" s="19" t="str">
        <f t="shared" si="2"/>
        <v/>
      </c>
      <c r="M62" s="19" t="str">
        <f>IF(A62="","",'Thiết lập'!$B$12)</f>
        <v/>
      </c>
      <c r="N62" s="19" t="str">
        <f t="shared" si="3"/>
        <v/>
      </c>
      <c r="O62" s="23"/>
      <c r="P62" s="18" t="str">
        <f t="shared" si="4"/>
        <v/>
      </c>
      <c r="Q62" s="2"/>
      <c r="R62" s="18" t="str">
        <f>IF(AND('Hàng hóa'!B74&lt;&gt;"",'Hàng hóa'!C74="Topping",'Hàng hóa'!I74="Có"),'Hàng hóa'!B74,"")</f>
        <v/>
      </c>
      <c r="S62" s="18"/>
      <c r="T62" s="18"/>
      <c r="U62" s="2"/>
      <c r="V62" s="2"/>
      <c r="W62" s="2"/>
    </row>
    <row r="63" ht="15.75" customHeight="1">
      <c r="A63" s="23" t="str">
        <f t="shared" si="5"/>
        <v/>
      </c>
      <c r="B63" s="23"/>
      <c r="C63" s="23"/>
      <c r="D63" s="37" t="str">
        <f t="shared" si="1"/>
        <v/>
      </c>
      <c r="E63" s="55"/>
      <c r="F63" s="19">
        <f t="array" ref="F63">IFERROR(INDEX(Size!$E$4:$E$53,MATCH(C63,Size!$B$4:$B$53,0)),0)</f>
        <v>0</v>
      </c>
      <c r="G63" s="19">
        <f t="array" ref="G63">IFERROR(INDEX(Size!$C$4:$C$53,MATCH(C63,Size!$B$4:$B$53,0)),0)</f>
        <v>0</v>
      </c>
      <c r="H63" s="19" t="str">
        <f>IF(A63="","",G63*'Mẻ sữa'!$U$5)</f>
        <v/>
      </c>
      <c r="I63" s="19">
        <f t="array" ref="I63">IFERROR(E63*INDEX('Hàng hóa'!$H$4:$H$203,MATCH(B63,'Hàng hóa'!$B$4:$B$203,0)),0)</f>
        <v>0</v>
      </c>
      <c r="J63" s="19" t="str">
        <f t="array" ref="J63">IF(A63="","",IFERROR(INDEX('Hàng hóa'!$H$4:$H$203,MATCH(INDEX(Size!$D$4:$D$53,MATCH(C63,Size!$B$4:$B$53,0)),'Hàng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63" s="19" t="str">
        <f>IF(A63="","",(H63+I63+J63)*'Thiết lập'!$B$8)</f>
        <v/>
      </c>
      <c r="L63" s="19" t="str">
        <f t="shared" si="2"/>
        <v/>
      </c>
      <c r="M63" s="19" t="str">
        <f>IF(A63="","",'Thiết lập'!$B$12)</f>
        <v/>
      </c>
      <c r="N63" s="19" t="str">
        <f t="shared" si="3"/>
        <v/>
      </c>
      <c r="O63" s="23"/>
      <c r="P63" s="18" t="str">
        <f t="shared" si="4"/>
        <v/>
      </c>
      <c r="Q63" s="2"/>
      <c r="R63" s="18" t="str">
        <f>IF(AND('Hàng hóa'!B75&lt;&gt;"",'Hàng hóa'!C75="Topping",'Hàng hóa'!I75="Có"),'Hàng hóa'!B75,"")</f>
        <v/>
      </c>
      <c r="S63" s="18"/>
      <c r="T63" s="18"/>
      <c r="U63" s="2"/>
      <c r="V63" s="2"/>
      <c r="W63" s="2"/>
    </row>
    <row r="64" ht="15.75" customHeight="1">
      <c r="A64" s="23" t="str">
        <f t="shared" si="5"/>
        <v/>
      </c>
      <c r="B64" s="23"/>
      <c r="C64" s="23"/>
      <c r="D64" s="37" t="str">
        <f t="shared" si="1"/>
        <v/>
      </c>
      <c r="E64" s="55"/>
      <c r="F64" s="19">
        <f t="array" ref="F64">IFERROR(INDEX(Size!$E$4:$E$53,MATCH(C64,Size!$B$4:$B$53,0)),0)</f>
        <v>0</v>
      </c>
      <c r="G64" s="19">
        <f t="array" ref="G64">IFERROR(INDEX(Size!$C$4:$C$53,MATCH(C64,Size!$B$4:$B$53,0)),0)</f>
        <v>0</v>
      </c>
      <c r="H64" s="19" t="str">
        <f>IF(A64="","",G64*'Mẻ sữa'!$U$5)</f>
        <v/>
      </c>
      <c r="I64" s="19">
        <f t="array" ref="I64">IFERROR(E64*INDEX('Hàng hóa'!$H$4:$H$203,MATCH(B64,'Hàng hóa'!$B$4:$B$203,0)),0)</f>
        <v>0</v>
      </c>
      <c r="J64" s="19" t="str">
        <f t="array" ref="J64">IF(A64="","",IFERROR(INDEX('Hàng hóa'!$H$4:$H$203,MATCH(INDEX(Size!$D$4:$D$53,MATCH(C64,Size!$B$4:$B$53,0)),'Hàng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64" s="19" t="str">
        <f>IF(A64="","",(H64+I64+J64)*'Thiết lập'!$B$8)</f>
        <v/>
      </c>
      <c r="L64" s="19" t="str">
        <f t="shared" si="2"/>
        <v/>
      </c>
      <c r="M64" s="19" t="str">
        <f>IF(A64="","",'Thiết lập'!$B$12)</f>
        <v/>
      </c>
      <c r="N64" s="19" t="str">
        <f t="shared" si="3"/>
        <v/>
      </c>
      <c r="O64" s="23"/>
      <c r="P64" s="18" t="str">
        <f t="shared" si="4"/>
        <v/>
      </c>
      <c r="Q64" s="2"/>
      <c r="R64" s="18" t="str">
        <f>IF(AND('Hàng hóa'!B76&lt;&gt;"",'Hàng hóa'!C76="Topping",'Hàng hóa'!I76="Có"),'Hàng hóa'!B76,"")</f>
        <v/>
      </c>
      <c r="S64" s="18"/>
      <c r="T64" s="18"/>
      <c r="U64" s="2"/>
      <c r="V64" s="2"/>
      <c r="W64" s="2"/>
    </row>
    <row r="65" ht="15.75" customHeight="1">
      <c r="A65" s="23" t="str">
        <f t="shared" si="5"/>
        <v/>
      </c>
      <c r="B65" s="23"/>
      <c r="C65" s="23"/>
      <c r="D65" s="37" t="str">
        <f t="shared" si="1"/>
        <v/>
      </c>
      <c r="E65" s="55"/>
      <c r="F65" s="19">
        <f t="array" ref="F65">IFERROR(INDEX(Size!$E$4:$E$53,MATCH(C65,Size!$B$4:$B$53,0)),0)</f>
        <v>0</v>
      </c>
      <c r="G65" s="19">
        <f t="array" ref="G65">IFERROR(INDEX(Size!$C$4:$C$53,MATCH(C65,Size!$B$4:$B$53,0)),0)</f>
        <v>0</v>
      </c>
      <c r="H65" s="19" t="str">
        <f>IF(A65="","",G65*'Mẻ sữa'!$U$5)</f>
        <v/>
      </c>
      <c r="I65" s="19">
        <f t="array" ref="I65">IFERROR(E65*INDEX('Hàng hóa'!$H$4:$H$203,MATCH(B65,'Hàng hóa'!$B$4:$B$203,0)),0)</f>
        <v>0</v>
      </c>
      <c r="J65" s="19" t="str">
        <f t="array" ref="J65">IF(A65="","",IFERROR(INDEX('Hàng hóa'!$H$4:$H$203,MATCH(INDEX(Size!$D$4:$D$53,MATCH(C65,Size!$B$4:$B$53,0)),'Hàng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65" s="19" t="str">
        <f>IF(A65="","",(H65+I65+J65)*'Thiết lập'!$B$8)</f>
        <v/>
      </c>
      <c r="L65" s="19" t="str">
        <f t="shared" si="2"/>
        <v/>
      </c>
      <c r="M65" s="19" t="str">
        <f>IF(A65="","",'Thiết lập'!$B$12)</f>
        <v/>
      </c>
      <c r="N65" s="19" t="str">
        <f t="shared" si="3"/>
        <v/>
      </c>
      <c r="O65" s="23"/>
      <c r="P65" s="18" t="str">
        <f t="shared" si="4"/>
        <v/>
      </c>
      <c r="Q65" s="2"/>
      <c r="R65" s="18" t="str">
        <f>IF(AND('Hàng hóa'!B77&lt;&gt;"",'Hàng hóa'!C77="Topping",'Hàng hóa'!I77="Có"),'Hàng hóa'!B77,"")</f>
        <v/>
      </c>
      <c r="S65" s="18"/>
      <c r="T65" s="18"/>
      <c r="U65" s="2"/>
      <c r="V65" s="2"/>
      <c r="W65" s="2"/>
    </row>
    <row r="66" ht="15.75" customHeight="1">
      <c r="A66" s="23" t="str">
        <f t="shared" si="5"/>
        <v/>
      </c>
      <c r="B66" s="23"/>
      <c r="C66" s="23"/>
      <c r="D66" s="37" t="str">
        <f t="shared" si="1"/>
        <v/>
      </c>
      <c r="E66" s="55"/>
      <c r="F66" s="19">
        <f t="array" ref="F66">IFERROR(INDEX(Size!$E$4:$E$53,MATCH(C66,Size!$B$4:$B$53,0)),0)</f>
        <v>0</v>
      </c>
      <c r="G66" s="19">
        <f t="array" ref="G66">IFERROR(INDEX(Size!$C$4:$C$53,MATCH(C66,Size!$B$4:$B$53,0)),0)</f>
        <v>0</v>
      </c>
      <c r="H66" s="19" t="str">
        <f>IF(A66="","",G66*'Mẻ sữa'!$U$5)</f>
        <v/>
      </c>
      <c r="I66" s="19">
        <f t="array" ref="I66">IFERROR(E66*INDEX('Hàng hóa'!$H$4:$H$203,MATCH(B66,'Hàng hóa'!$B$4:$B$203,0)),0)</f>
        <v>0</v>
      </c>
      <c r="J66" s="19" t="str">
        <f t="array" ref="J66">IF(A66="","",IFERROR(INDEX('Hàng hóa'!$H$4:$H$203,MATCH(INDEX(Size!$D$4:$D$53,MATCH(C66,Size!$B$4:$B$53,0)),'Hàng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66" s="19" t="str">
        <f>IF(A66="","",(H66+I66+J66)*'Thiết lập'!$B$8)</f>
        <v/>
      </c>
      <c r="L66" s="19" t="str">
        <f t="shared" si="2"/>
        <v/>
      </c>
      <c r="M66" s="19" t="str">
        <f>IF(A66="","",'Thiết lập'!$B$12)</f>
        <v/>
      </c>
      <c r="N66" s="19" t="str">
        <f t="shared" si="3"/>
        <v/>
      </c>
      <c r="O66" s="23"/>
      <c r="P66" s="18" t="str">
        <f t="shared" si="4"/>
        <v/>
      </c>
      <c r="Q66" s="2"/>
      <c r="R66" s="18" t="str">
        <f>IF(AND('Hàng hóa'!B78&lt;&gt;"",'Hàng hóa'!C78="Topping",'Hàng hóa'!I78="Có"),'Hàng hóa'!B78,"")</f>
        <v/>
      </c>
      <c r="S66" s="18"/>
      <c r="T66" s="18"/>
      <c r="U66" s="2"/>
      <c r="V66" s="2"/>
      <c r="W66" s="2"/>
    </row>
    <row r="67" ht="15.75" customHeight="1">
      <c r="A67" s="23" t="str">
        <f t="shared" si="5"/>
        <v/>
      </c>
      <c r="B67" s="23"/>
      <c r="C67" s="23"/>
      <c r="D67" s="37" t="str">
        <f t="shared" si="1"/>
        <v/>
      </c>
      <c r="E67" s="55"/>
      <c r="F67" s="19">
        <f t="array" ref="F67">IFERROR(INDEX(Size!$E$4:$E$53,MATCH(C67,Size!$B$4:$B$53,0)),0)</f>
        <v>0</v>
      </c>
      <c r="G67" s="19">
        <f t="array" ref="G67">IFERROR(INDEX(Size!$C$4:$C$53,MATCH(C67,Size!$B$4:$B$53,0)),0)</f>
        <v>0</v>
      </c>
      <c r="H67" s="19" t="str">
        <f>IF(A67="","",G67*'Mẻ sữa'!$U$5)</f>
        <v/>
      </c>
      <c r="I67" s="19">
        <f t="array" ref="I67">IFERROR(E67*INDEX('Hàng hóa'!$H$4:$H$203,MATCH(B67,'Hàng hóa'!$B$4:$B$203,0)),0)</f>
        <v>0</v>
      </c>
      <c r="J67" s="19" t="str">
        <f t="array" ref="J67">IF(A67="","",IFERROR(INDEX('Hàng hóa'!$H$4:$H$203,MATCH(INDEX(Size!$D$4:$D$53,MATCH(C67,Size!$B$4:$B$53,0)),'Hàng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67" s="19" t="str">
        <f>IF(A67="","",(H67+I67+J67)*'Thiết lập'!$B$8)</f>
        <v/>
      </c>
      <c r="L67" s="19" t="str">
        <f t="shared" si="2"/>
        <v/>
      </c>
      <c r="M67" s="19" t="str">
        <f>IF(A67="","",'Thiết lập'!$B$12)</f>
        <v/>
      </c>
      <c r="N67" s="19" t="str">
        <f t="shared" si="3"/>
        <v/>
      </c>
      <c r="O67" s="23"/>
      <c r="P67" s="18" t="str">
        <f t="shared" si="4"/>
        <v/>
      </c>
      <c r="Q67" s="2"/>
      <c r="R67" s="18" t="str">
        <f>IF(AND('Hàng hóa'!B79&lt;&gt;"",'Hàng hóa'!C79="Topping",'Hàng hóa'!I79="Có"),'Hàng hóa'!B79,"")</f>
        <v/>
      </c>
      <c r="S67" s="18"/>
      <c r="T67" s="18"/>
      <c r="U67" s="2"/>
      <c r="V67" s="2"/>
      <c r="W67" s="2"/>
    </row>
    <row r="68" ht="15.75" customHeight="1">
      <c r="A68" s="23" t="str">
        <f t="shared" si="5"/>
        <v/>
      </c>
      <c r="B68" s="23"/>
      <c r="C68" s="23"/>
      <c r="D68" s="37" t="str">
        <f t="shared" si="1"/>
        <v/>
      </c>
      <c r="E68" s="55"/>
      <c r="F68" s="19">
        <f t="array" ref="F68">IFERROR(INDEX(Size!$E$4:$E$53,MATCH(C68,Size!$B$4:$B$53,0)),0)</f>
        <v>0</v>
      </c>
      <c r="G68" s="19">
        <f t="array" ref="G68">IFERROR(INDEX(Size!$C$4:$C$53,MATCH(C68,Size!$B$4:$B$53,0)),0)</f>
        <v>0</v>
      </c>
      <c r="H68" s="19" t="str">
        <f>IF(A68="","",G68*'Mẻ sữa'!$U$5)</f>
        <v/>
      </c>
      <c r="I68" s="19">
        <f t="array" ref="I68">IFERROR(E68*INDEX('Hàng hóa'!$H$4:$H$203,MATCH(B68,'Hàng hóa'!$B$4:$B$203,0)),0)</f>
        <v>0</v>
      </c>
      <c r="J68" s="19" t="str">
        <f t="array" ref="J68">IF(A68="","",IFERROR(INDEX('Hàng hóa'!$H$4:$H$203,MATCH(INDEX(Size!$D$4:$D$53,MATCH(C68,Size!$B$4:$B$53,0)),'Hàng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68" s="19" t="str">
        <f>IF(A68="","",(H68+I68+J68)*'Thiết lập'!$B$8)</f>
        <v/>
      </c>
      <c r="L68" s="19" t="str">
        <f t="shared" si="2"/>
        <v/>
      </c>
      <c r="M68" s="19" t="str">
        <f>IF(A68="","",'Thiết lập'!$B$12)</f>
        <v/>
      </c>
      <c r="N68" s="19" t="str">
        <f t="shared" si="3"/>
        <v/>
      </c>
      <c r="O68" s="23"/>
      <c r="P68" s="18" t="str">
        <f t="shared" si="4"/>
        <v/>
      </c>
      <c r="Q68" s="2"/>
      <c r="R68" s="18" t="str">
        <f>IF(AND('Hàng hóa'!B80&lt;&gt;"",'Hàng hóa'!C80="Topping",'Hàng hóa'!I80="Có"),'Hàng hóa'!B80,"")</f>
        <v/>
      </c>
      <c r="S68" s="18"/>
      <c r="T68" s="18"/>
      <c r="U68" s="2"/>
      <c r="V68" s="2"/>
      <c r="W68" s="2"/>
    </row>
    <row r="69" ht="15.75" customHeight="1">
      <c r="A69" s="23" t="str">
        <f t="shared" si="5"/>
        <v/>
      </c>
      <c r="B69" s="23"/>
      <c r="C69" s="23"/>
      <c r="D69" s="37" t="str">
        <f t="shared" si="1"/>
        <v/>
      </c>
      <c r="E69" s="55"/>
      <c r="F69" s="19">
        <f t="array" ref="F69">IFERROR(INDEX(Size!$E$4:$E$53,MATCH(C69,Size!$B$4:$B$53,0)),0)</f>
        <v>0</v>
      </c>
      <c r="G69" s="19">
        <f t="array" ref="G69">IFERROR(INDEX(Size!$C$4:$C$53,MATCH(C69,Size!$B$4:$B$53,0)),0)</f>
        <v>0</v>
      </c>
      <c r="H69" s="19" t="str">
        <f>IF(A69="","",G69*'Mẻ sữa'!$U$5)</f>
        <v/>
      </c>
      <c r="I69" s="19">
        <f t="array" ref="I69">IFERROR(E69*INDEX('Hàng hóa'!$H$4:$H$203,MATCH(B69,'Hàng hóa'!$B$4:$B$203,0)),0)</f>
        <v>0</v>
      </c>
      <c r="J69" s="19" t="str">
        <f t="array" ref="J69">IF(A69="","",IFERROR(INDEX('Hàng hóa'!$H$4:$H$203,MATCH(INDEX(Size!$D$4:$D$53,MATCH(C69,Size!$B$4:$B$53,0)),'Hàng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69" s="19" t="str">
        <f>IF(A69="","",(H69+I69+J69)*'Thiết lập'!$B$8)</f>
        <v/>
      </c>
      <c r="L69" s="19" t="str">
        <f t="shared" si="2"/>
        <v/>
      </c>
      <c r="M69" s="19" t="str">
        <f>IF(A69="","",'Thiết lập'!$B$12)</f>
        <v/>
      </c>
      <c r="N69" s="19" t="str">
        <f t="shared" si="3"/>
        <v/>
      </c>
      <c r="O69" s="23"/>
      <c r="P69" s="18" t="str">
        <f t="shared" si="4"/>
        <v/>
      </c>
      <c r="Q69" s="2"/>
      <c r="R69" s="18" t="str">
        <f>IF(AND('Hàng hóa'!B81&lt;&gt;"",'Hàng hóa'!C81="Topping",'Hàng hóa'!I81="Có"),'Hàng hóa'!B81,"")</f>
        <v/>
      </c>
      <c r="S69" s="18"/>
      <c r="T69" s="18"/>
      <c r="U69" s="2"/>
      <c r="V69" s="2"/>
      <c r="W69" s="2"/>
    </row>
    <row r="70" ht="15.75" customHeight="1">
      <c r="A70" s="23" t="str">
        <f t="shared" si="5"/>
        <v/>
      </c>
      <c r="B70" s="23"/>
      <c r="C70" s="23"/>
      <c r="D70" s="37" t="str">
        <f t="shared" si="1"/>
        <v/>
      </c>
      <c r="E70" s="55"/>
      <c r="F70" s="19">
        <f t="array" ref="F70">IFERROR(INDEX(Size!$E$4:$E$53,MATCH(C70,Size!$B$4:$B$53,0)),0)</f>
        <v>0</v>
      </c>
      <c r="G70" s="19">
        <f t="array" ref="G70">IFERROR(INDEX(Size!$C$4:$C$53,MATCH(C70,Size!$B$4:$B$53,0)),0)</f>
        <v>0</v>
      </c>
      <c r="H70" s="19" t="str">
        <f>IF(A70="","",G70*'Mẻ sữa'!$U$5)</f>
        <v/>
      </c>
      <c r="I70" s="19">
        <f t="array" ref="I70">IFERROR(E70*INDEX('Hàng hóa'!$H$4:$H$203,MATCH(B70,'Hàng hóa'!$B$4:$B$203,0)),0)</f>
        <v>0</v>
      </c>
      <c r="J70" s="19" t="str">
        <f t="array" ref="J70">IF(A70="","",IFERROR(INDEX('Hàng hóa'!$H$4:$H$203,MATCH(INDEX(Size!$D$4:$D$53,MATCH(C70,Size!$B$4:$B$53,0)),'Hàng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70" s="19" t="str">
        <f>IF(A70="","",(H70+I70+J70)*'Thiết lập'!$B$8)</f>
        <v/>
      </c>
      <c r="L70" s="19" t="str">
        <f t="shared" si="2"/>
        <v/>
      </c>
      <c r="M70" s="19" t="str">
        <f>IF(A70="","",'Thiết lập'!$B$12)</f>
        <v/>
      </c>
      <c r="N70" s="19" t="str">
        <f t="shared" si="3"/>
        <v/>
      </c>
      <c r="O70" s="23"/>
      <c r="P70" s="18" t="str">
        <f t="shared" si="4"/>
        <v/>
      </c>
      <c r="Q70" s="2"/>
      <c r="R70" s="18" t="str">
        <f>IF(AND('Hàng hóa'!B82&lt;&gt;"",'Hàng hóa'!C82="Topping",'Hàng hóa'!I82="Có"),'Hàng hóa'!B82,"")</f>
        <v/>
      </c>
      <c r="S70" s="18"/>
      <c r="T70" s="18"/>
      <c r="U70" s="2"/>
      <c r="V70" s="2"/>
      <c r="W70" s="2"/>
    </row>
    <row r="71" ht="15.75" customHeight="1">
      <c r="A71" s="23" t="str">
        <f t="shared" si="5"/>
        <v/>
      </c>
      <c r="B71" s="23"/>
      <c r="C71" s="23"/>
      <c r="D71" s="37" t="str">
        <f t="shared" si="1"/>
        <v/>
      </c>
      <c r="E71" s="55"/>
      <c r="F71" s="19">
        <f t="array" ref="F71">IFERROR(INDEX(Size!$E$4:$E$53,MATCH(C71,Size!$B$4:$B$53,0)),0)</f>
        <v>0</v>
      </c>
      <c r="G71" s="19">
        <f t="array" ref="G71">IFERROR(INDEX(Size!$C$4:$C$53,MATCH(C71,Size!$B$4:$B$53,0)),0)</f>
        <v>0</v>
      </c>
      <c r="H71" s="19" t="str">
        <f>IF(A71="","",G71*'Mẻ sữa'!$U$5)</f>
        <v/>
      </c>
      <c r="I71" s="19">
        <f t="array" ref="I71">IFERROR(E71*INDEX('Hàng hóa'!$H$4:$H$203,MATCH(B71,'Hàng hóa'!$B$4:$B$203,0)),0)</f>
        <v>0</v>
      </c>
      <c r="J71" s="19" t="str">
        <f t="array" ref="J71">IF(A71="","",IFERROR(INDEX('Hàng hóa'!$H$4:$H$203,MATCH(INDEX(Size!$D$4:$D$53,MATCH(C71,Size!$B$4:$B$53,0)),'Hàng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71" s="19" t="str">
        <f>IF(A71="","",(H71+I71+J71)*'Thiết lập'!$B$8)</f>
        <v/>
      </c>
      <c r="L71" s="19" t="str">
        <f t="shared" si="2"/>
        <v/>
      </c>
      <c r="M71" s="19" t="str">
        <f>IF(A71="","",'Thiết lập'!$B$12)</f>
        <v/>
      </c>
      <c r="N71" s="19" t="str">
        <f t="shared" si="3"/>
        <v/>
      </c>
      <c r="O71" s="23"/>
      <c r="P71" s="18" t="str">
        <f t="shared" si="4"/>
        <v/>
      </c>
      <c r="Q71" s="2"/>
      <c r="R71" s="18" t="str">
        <f>IF(AND('Hàng hóa'!B83&lt;&gt;"",'Hàng hóa'!C83="Topping",'Hàng hóa'!I83="Có"),'Hàng hóa'!B83,"")</f>
        <v/>
      </c>
      <c r="S71" s="18"/>
      <c r="T71" s="18"/>
      <c r="U71" s="2"/>
      <c r="V71" s="2"/>
      <c r="W71" s="2"/>
    </row>
    <row r="72" ht="15.75" customHeight="1">
      <c r="A72" s="23" t="str">
        <f t="shared" si="5"/>
        <v/>
      </c>
      <c r="B72" s="23"/>
      <c r="C72" s="23"/>
      <c r="D72" s="37" t="str">
        <f t="shared" si="1"/>
        <v/>
      </c>
      <c r="E72" s="55"/>
      <c r="F72" s="19">
        <f t="array" ref="F72">IFERROR(INDEX(Size!$E$4:$E$53,MATCH(C72,Size!$B$4:$B$53,0)),0)</f>
        <v>0</v>
      </c>
      <c r="G72" s="19">
        <f t="array" ref="G72">IFERROR(INDEX(Size!$C$4:$C$53,MATCH(C72,Size!$B$4:$B$53,0)),0)</f>
        <v>0</v>
      </c>
      <c r="H72" s="19" t="str">
        <f>IF(A72="","",G72*'Mẻ sữa'!$U$5)</f>
        <v/>
      </c>
      <c r="I72" s="19">
        <f t="array" ref="I72">IFERROR(E72*INDEX('Hàng hóa'!$H$4:$H$203,MATCH(B72,'Hàng hóa'!$B$4:$B$203,0)),0)</f>
        <v>0</v>
      </c>
      <c r="J72" s="19" t="str">
        <f t="array" ref="J72">IF(A72="","",IFERROR(INDEX('Hàng hóa'!$H$4:$H$203,MATCH(INDEX(Size!$D$4:$D$53,MATCH(C72,Size!$B$4:$B$53,0)),'Hàng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72" s="19" t="str">
        <f>IF(A72="","",(H72+I72+J72)*'Thiết lập'!$B$8)</f>
        <v/>
      </c>
      <c r="L72" s="19" t="str">
        <f t="shared" si="2"/>
        <v/>
      </c>
      <c r="M72" s="19" t="str">
        <f>IF(A72="","",'Thiết lập'!$B$12)</f>
        <v/>
      </c>
      <c r="N72" s="19" t="str">
        <f t="shared" si="3"/>
        <v/>
      </c>
      <c r="O72" s="23"/>
      <c r="P72" s="18" t="str">
        <f t="shared" si="4"/>
        <v/>
      </c>
      <c r="Q72" s="2"/>
      <c r="R72" s="18" t="str">
        <f>IF(AND('Hàng hóa'!B84&lt;&gt;"",'Hàng hóa'!C84="Topping",'Hàng hóa'!I84="Có"),'Hàng hóa'!B84,"")</f>
        <v/>
      </c>
      <c r="S72" s="18"/>
      <c r="T72" s="18"/>
      <c r="U72" s="2"/>
      <c r="V72" s="2"/>
      <c r="W72" s="2"/>
    </row>
    <row r="73" ht="15.75" customHeight="1">
      <c r="A73" s="23" t="str">
        <f t="shared" si="5"/>
        <v/>
      </c>
      <c r="B73" s="23"/>
      <c r="C73" s="23"/>
      <c r="D73" s="37" t="str">
        <f t="shared" si="1"/>
        <v/>
      </c>
      <c r="E73" s="55"/>
      <c r="F73" s="19">
        <f t="array" ref="F73">IFERROR(INDEX(Size!$E$4:$E$53,MATCH(C73,Size!$B$4:$B$53,0)),0)</f>
        <v>0</v>
      </c>
      <c r="G73" s="19">
        <f t="array" ref="G73">IFERROR(INDEX(Size!$C$4:$C$53,MATCH(C73,Size!$B$4:$B$53,0)),0)</f>
        <v>0</v>
      </c>
      <c r="H73" s="19" t="str">
        <f>IF(A73="","",G73*'Mẻ sữa'!$U$5)</f>
        <v/>
      </c>
      <c r="I73" s="19">
        <f t="array" ref="I73">IFERROR(E73*INDEX('Hàng hóa'!$H$4:$H$203,MATCH(B73,'Hàng hóa'!$B$4:$B$203,0)),0)</f>
        <v>0</v>
      </c>
      <c r="J73" s="19" t="str">
        <f t="array" ref="J73">IF(A73="","",IFERROR(INDEX('Hàng hóa'!$H$4:$H$203,MATCH(INDEX(Size!$D$4:$D$53,MATCH(C73,Size!$B$4:$B$53,0)),'Hàng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73" s="19" t="str">
        <f>IF(A73="","",(H73+I73+J73)*'Thiết lập'!$B$8)</f>
        <v/>
      </c>
      <c r="L73" s="19" t="str">
        <f t="shared" si="2"/>
        <v/>
      </c>
      <c r="M73" s="19" t="str">
        <f>IF(A73="","",'Thiết lập'!$B$12)</f>
        <v/>
      </c>
      <c r="N73" s="19" t="str">
        <f t="shared" si="3"/>
        <v/>
      </c>
      <c r="O73" s="23"/>
      <c r="P73" s="18" t="str">
        <f t="shared" si="4"/>
        <v/>
      </c>
      <c r="Q73" s="2"/>
      <c r="R73" s="18" t="str">
        <f>IF(AND('Hàng hóa'!B85&lt;&gt;"",'Hàng hóa'!C85="Topping",'Hàng hóa'!I85="Có"),'Hàng hóa'!B85,"")</f>
        <v/>
      </c>
      <c r="S73" s="18"/>
      <c r="T73" s="18"/>
      <c r="U73" s="2"/>
      <c r="V73" s="2"/>
      <c r="W73" s="2"/>
    </row>
    <row r="74" ht="15.75" customHeight="1">
      <c r="A74" s="23" t="str">
        <f t="shared" si="5"/>
        <v/>
      </c>
      <c r="B74" s="23"/>
      <c r="C74" s="23"/>
      <c r="D74" s="37" t="str">
        <f t="shared" si="1"/>
        <v/>
      </c>
      <c r="E74" s="55"/>
      <c r="F74" s="19">
        <f t="array" ref="F74">IFERROR(INDEX(Size!$E$4:$E$53,MATCH(C74,Size!$B$4:$B$53,0)),0)</f>
        <v>0</v>
      </c>
      <c r="G74" s="19">
        <f t="array" ref="G74">IFERROR(INDEX(Size!$C$4:$C$53,MATCH(C74,Size!$B$4:$B$53,0)),0)</f>
        <v>0</v>
      </c>
      <c r="H74" s="19" t="str">
        <f>IF(A74="","",G74*'Mẻ sữa'!$U$5)</f>
        <v/>
      </c>
      <c r="I74" s="19">
        <f t="array" ref="I74">IFERROR(E74*INDEX('Hàng hóa'!$H$4:$H$203,MATCH(B74,'Hàng hóa'!$B$4:$B$203,0)),0)</f>
        <v>0</v>
      </c>
      <c r="J74" s="19" t="str">
        <f t="array" ref="J74">IF(A74="","",IFERROR(INDEX('Hàng hóa'!$H$4:$H$203,MATCH(INDEX(Size!$D$4:$D$53,MATCH(C74,Size!$B$4:$B$53,0)),'Hàng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74" s="19" t="str">
        <f>IF(A74="","",(H74+I74+J74)*'Thiết lập'!$B$8)</f>
        <v/>
      </c>
      <c r="L74" s="19" t="str">
        <f t="shared" si="2"/>
        <v/>
      </c>
      <c r="M74" s="19" t="str">
        <f>IF(A74="","",'Thiết lập'!$B$12)</f>
        <v/>
      </c>
      <c r="N74" s="19" t="str">
        <f t="shared" si="3"/>
        <v/>
      </c>
      <c r="O74" s="23"/>
      <c r="P74" s="18" t="str">
        <f t="shared" si="4"/>
        <v/>
      </c>
      <c r="Q74" s="2"/>
      <c r="R74" s="18" t="str">
        <f>IF(AND('Hàng hóa'!B86&lt;&gt;"",'Hàng hóa'!C86="Topping",'Hàng hóa'!I86="Có"),'Hàng hóa'!B86,"")</f>
        <v/>
      </c>
      <c r="S74" s="18"/>
      <c r="T74" s="18"/>
      <c r="U74" s="2"/>
      <c r="V74" s="2"/>
      <c r="W74" s="2"/>
    </row>
    <row r="75" ht="15.75" customHeight="1">
      <c r="A75" s="23" t="str">
        <f t="shared" si="5"/>
        <v/>
      </c>
      <c r="B75" s="23"/>
      <c r="C75" s="23"/>
      <c r="D75" s="37" t="str">
        <f t="shared" si="1"/>
        <v/>
      </c>
      <c r="E75" s="55"/>
      <c r="F75" s="19">
        <f t="array" ref="F75">IFERROR(INDEX(Size!$E$4:$E$53,MATCH(C75,Size!$B$4:$B$53,0)),0)</f>
        <v>0</v>
      </c>
      <c r="G75" s="19">
        <f t="array" ref="G75">IFERROR(INDEX(Size!$C$4:$C$53,MATCH(C75,Size!$B$4:$B$53,0)),0)</f>
        <v>0</v>
      </c>
      <c r="H75" s="19" t="str">
        <f>IF(A75="","",G75*'Mẻ sữa'!$U$5)</f>
        <v/>
      </c>
      <c r="I75" s="19">
        <f t="array" ref="I75">IFERROR(E75*INDEX('Hàng hóa'!$H$4:$H$203,MATCH(B75,'Hàng hóa'!$B$4:$B$203,0)),0)</f>
        <v>0</v>
      </c>
      <c r="J75" s="19" t="str">
        <f t="array" ref="J75">IF(A75="","",IFERROR(INDEX('Hàng hóa'!$H$4:$H$203,MATCH(INDEX(Size!$D$4:$D$53,MATCH(C75,Size!$B$4:$B$53,0)),'Hàng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75" s="19" t="str">
        <f>IF(A75="","",(H75+I75+J75)*'Thiết lập'!$B$8)</f>
        <v/>
      </c>
      <c r="L75" s="19" t="str">
        <f t="shared" si="2"/>
        <v/>
      </c>
      <c r="M75" s="19" t="str">
        <f>IF(A75="","",'Thiết lập'!$B$12)</f>
        <v/>
      </c>
      <c r="N75" s="19" t="str">
        <f t="shared" si="3"/>
        <v/>
      </c>
      <c r="O75" s="23"/>
      <c r="P75" s="18" t="str">
        <f t="shared" si="4"/>
        <v/>
      </c>
      <c r="Q75" s="2"/>
      <c r="R75" s="18" t="str">
        <f>IF(AND('Hàng hóa'!B87&lt;&gt;"",'Hàng hóa'!C87="Topping",'Hàng hóa'!I87="Có"),'Hàng hóa'!B87,"")</f>
        <v/>
      </c>
      <c r="S75" s="18"/>
      <c r="T75" s="18"/>
      <c r="U75" s="2"/>
      <c r="V75" s="2"/>
      <c r="W75" s="2"/>
    </row>
    <row r="76" ht="15.75" customHeight="1">
      <c r="A76" s="23" t="str">
        <f t="shared" si="5"/>
        <v/>
      </c>
      <c r="B76" s="23"/>
      <c r="C76" s="23"/>
      <c r="D76" s="37" t="str">
        <f t="shared" si="1"/>
        <v/>
      </c>
      <c r="E76" s="55"/>
      <c r="F76" s="19">
        <f t="array" ref="F76">IFERROR(INDEX(Size!$E$4:$E$53,MATCH(C76,Size!$B$4:$B$53,0)),0)</f>
        <v>0</v>
      </c>
      <c r="G76" s="19">
        <f t="array" ref="G76">IFERROR(INDEX(Size!$C$4:$C$53,MATCH(C76,Size!$B$4:$B$53,0)),0)</f>
        <v>0</v>
      </c>
      <c r="H76" s="19" t="str">
        <f>IF(A76="","",G76*'Mẻ sữa'!$U$5)</f>
        <v/>
      </c>
      <c r="I76" s="19">
        <f t="array" ref="I76">IFERROR(E76*INDEX('Hàng hóa'!$H$4:$H$203,MATCH(B76,'Hàng hóa'!$B$4:$B$203,0)),0)</f>
        <v>0</v>
      </c>
      <c r="J76" s="19" t="str">
        <f t="array" ref="J76">IF(A76="","",IFERROR(INDEX('Hàng hóa'!$H$4:$H$203,MATCH(INDEX(Size!$D$4:$D$53,MATCH(C76,Size!$B$4:$B$53,0)),'Hàng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76" s="19" t="str">
        <f>IF(A76="","",(H76+I76+J76)*'Thiết lập'!$B$8)</f>
        <v/>
      </c>
      <c r="L76" s="19" t="str">
        <f t="shared" si="2"/>
        <v/>
      </c>
      <c r="M76" s="19" t="str">
        <f>IF(A76="","",'Thiết lập'!$B$12)</f>
        <v/>
      </c>
      <c r="N76" s="19" t="str">
        <f t="shared" si="3"/>
        <v/>
      </c>
      <c r="O76" s="23"/>
      <c r="P76" s="18" t="str">
        <f t="shared" si="4"/>
        <v/>
      </c>
      <c r="Q76" s="2"/>
      <c r="R76" s="18" t="str">
        <f>IF(AND('Hàng hóa'!B88&lt;&gt;"",'Hàng hóa'!C88="Topping",'Hàng hóa'!I88="Có"),'Hàng hóa'!B88,"")</f>
        <v/>
      </c>
      <c r="S76" s="18"/>
      <c r="T76" s="18"/>
      <c r="U76" s="2"/>
      <c r="V76" s="2"/>
      <c r="W76" s="2"/>
    </row>
    <row r="77" ht="15.75" customHeight="1">
      <c r="A77" s="23" t="str">
        <f t="shared" si="5"/>
        <v/>
      </c>
      <c r="B77" s="23"/>
      <c r="C77" s="23"/>
      <c r="D77" s="37" t="str">
        <f t="shared" si="1"/>
        <v/>
      </c>
      <c r="E77" s="55"/>
      <c r="F77" s="19">
        <f t="array" ref="F77">IFERROR(INDEX(Size!$E$4:$E$53,MATCH(C77,Size!$B$4:$B$53,0)),0)</f>
        <v>0</v>
      </c>
      <c r="G77" s="19">
        <f t="array" ref="G77">IFERROR(INDEX(Size!$C$4:$C$53,MATCH(C77,Size!$B$4:$B$53,0)),0)</f>
        <v>0</v>
      </c>
      <c r="H77" s="19" t="str">
        <f>IF(A77="","",G77*'Mẻ sữa'!$U$5)</f>
        <v/>
      </c>
      <c r="I77" s="19">
        <f t="array" ref="I77">IFERROR(E77*INDEX('Hàng hóa'!$H$4:$H$203,MATCH(B77,'Hàng hóa'!$B$4:$B$203,0)),0)</f>
        <v>0</v>
      </c>
      <c r="J77" s="19" t="str">
        <f t="array" ref="J77">IF(A77="","",IFERROR(INDEX('Hàng hóa'!$H$4:$H$203,MATCH(INDEX(Size!$D$4:$D$53,MATCH(C77,Size!$B$4:$B$53,0)),'Hàng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77" s="19" t="str">
        <f>IF(A77="","",(H77+I77+J77)*'Thiết lập'!$B$8)</f>
        <v/>
      </c>
      <c r="L77" s="19" t="str">
        <f t="shared" si="2"/>
        <v/>
      </c>
      <c r="M77" s="19" t="str">
        <f>IF(A77="","",'Thiết lập'!$B$12)</f>
        <v/>
      </c>
      <c r="N77" s="19" t="str">
        <f t="shared" si="3"/>
        <v/>
      </c>
      <c r="O77" s="23"/>
      <c r="P77" s="18" t="str">
        <f t="shared" si="4"/>
        <v/>
      </c>
      <c r="Q77" s="2"/>
      <c r="R77" s="18" t="str">
        <f>IF(AND('Hàng hóa'!B89&lt;&gt;"",'Hàng hóa'!C89="Topping",'Hàng hóa'!I89="Có"),'Hàng hóa'!B89,"")</f>
        <v/>
      </c>
      <c r="S77" s="18"/>
      <c r="T77" s="18"/>
      <c r="U77" s="2"/>
      <c r="V77" s="2"/>
      <c r="W77" s="2"/>
    </row>
    <row r="78" ht="15.75" customHeight="1">
      <c r="A78" s="23" t="str">
        <f t="shared" si="5"/>
        <v/>
      </c>
      <c r="B78" s="23"/>
      <c r="C78" s="23"/>
      <c r="D78" s="37" t="str">
        <f t="shared" si="1"/>
        <v/>
      </c>
      <c r="E78" s="55"/>
      <c r="F78" s="19">
        <f t="array" ref="F78">IFERROR(INDEX(Size!$E$4:$E$53,MATCH(C78,Size!$B$4:$B$53,0)),0)</f>
        <v>0</v>
      </c>
      <c r="G78" s="19">
        <f t="array" ref="G78">IFERROR(INDEX(Size!$C$4:$C$53,MATCH(C78,Size!$B$4:$B$53,0)),0)</f>
        <v>0</v>
      </c>
      <c r="H78" s="19" t="str">
        <f>IF(A78="","",G78*'Mẻ sữa'!$U$5)</f>
        <v/>
      </c>
      <c r="I78" s="19">
        <f t="array" ref="I78">IFERROR(E78*INDEX('Hàng hóa'!$H$4:$H$203,MATCH(B78,'Hàng hóa'!$B$4:$B$203,0)),0)</f>
        <v>0</v>
      </c>
      <c r="J78" s="19" t="str">
        <f t="array" ref="J78">IF(A78="","",IFERROR(INDEX('Hàng hóa'!$H$4:$H$203,MATCH(INDEX(Size!$D$4:$D$53,MATCH(C78,Size!$B$4:$B$53,0)),'Hàng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78" s="19" t="str">
        <f>IF(A78="","",(H78+I78+J78)*'Thiết lập'!$B$8)</f>
        <v/>
      </c>
      <c r="L78" s="19" t="str">
        <f t="shared" si="2"/>
        <v/>
      </c>
      <c r="M78" s="19" t="str">
        <f>IF(A78="","",'Thiết lập'!$B$12)</f>
        <v/>
      </c>
      <c r="N78" s="19" t="str">
        <f t="shared" si="3"/>
        <v/>
      </c>
      <c r="O78" s="23"/>
      <c r="P78" s="18" t="str">
        <f t="shared" si="4"/>
        <v/>
      </c>
      <c r="Q78" s="2"/>
      <c r="R78" s="18" t="str">
        <f>IF(AND('Hàng hóa'!B90&lt;&gt;"",'Hàng hóa'!C90="Topping",'Hàng hóa'!I90="Có"),'Hàng hóa'!B90,"")</f>
        <v/>
      </c>
      <c r="S78" s="18"/>
      <c r="T78" s="18"/>
      <c r="U78" s="2"/>
      <c r="V78" s="2"/>
      <c r="W78" s="2"/>
    </row>
    <row r="79" ht="15.75" customHeight="1">
      <c r="A79" s="23" t="str">
        <f t="shared" si="5"/>
        <v/>
      </c>
      <c r="B79" s="23"/>
      <c r="C79" s="23"/>
      <c r="D79" s="37" t="str">
        <f t="shared" si="1"/>
        <v/>
      </c>
      <c r="E79" s="55"/>
      <c r="F79" s="19">
        <f t="array" ref="F79">IFERROR(INDEX(Size!$E$4:$E$53,MATCH(C79,Size!$B$4:$B$53,0)),0)</f>
        <v>0</v>
      </c>
      <c r="G79" s="19">
        <f t="array" ref="G79">IFERROR(INDEX(Size!$C$4:$C$53,MATCH(C79,Size!$B$4:$B$53,0)),0)</f>
        <v>0</v>
      </c>
      <c r="H79" s="19" t="str">
        <f>IF(A79="","",G79*'Mẻ sữa'!$U$5)</f>
        <v/>
      </c>
      <c r="I79" s="19">
        <f t="array" ref="I79">IFERROR(E79*INDEX('Hàng hóa'!$H$4:$H$203,MATCH(B79,'Hàng hóa'!$B$4:$B$203,0)),0)</f>
        <v>0</v>
      </c>
      <c r="J79" s="19" t="str">
        <f t="array" ref="J79">IF(A79="","",IFERROR(INDEX('Hàng hóa'!$H$4:$H$203,MATCH(INDEX(Size!$D$4:$D$53,MATCH(C79,Size!$B$4:$B$53,0)),'Hàng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79" s="19" t="str">
        <f>IF(A79="","",(H79+I79+J79)*'Thiết lập'!$B$8)</f>
        <v/>
      </c>
      <c r="L79" s="19" t="str">
        <f t="shared" si="2"/>
        <v/>
      </c>
      <c r="M79" s="19" t="str">
        <f>IF(A79="","",'Thiết lập'!$B$12)</f>
        <v/>
      </c>
      <c r="N79" s="19" t="str">
        <f t="shared" si="3"/>
        <v/>
      </c>
      <c r="O79" s="23"/>
      <c r="P79" s="18" t="str">
        <f t="shared" si="4"/>
        <v/>
      </c>
      <c r="Q79" s="2"/>
      <c r="R79" s="18" t="str">
        <f>IF(AND('Hàng hóa'!B91&lt;&gt;"",'Hàng hóa'!C91="Topping",'Hàng hóa'!I91="Có"),'Hàng hóa'!B91,"")</f>
        <v/>
      </c>
      <c r="S79" s="18"/>
      <c r="T79" s="18"/>
      <c r="U79" s="2"/>
      <c r="V79" s="2"/>
      <c r="W79" s="2"/>
    </row>
    <row r="80" ht="15.75" customHeight="1">
      <c r="A80" s="23" t="str">
        <f t="shared" si="5"/>
        <v/>
      </c>
      <c r="B80" s="23"/>
      <c r="C80" s="23"/>
      <c r="D80" s="37" t="str">
        <f t="shared" si="1"/>
        <v/>
      </c>
      <c r="E80" s="55"/>
      <c r="F80" s="19">
        <f t="array" ref="F80">IFERROR(INDEX(Size!$E$4:$E$53,MATCH(C80,Size!$B$4:$B$53,0)),0)</f>
        <v>0</v>
      </c>
      <c r="G80" s="19">
        <f t="array" ref="G80">IFERROR(INDEX(Size!$C$4:$C$53,MATCH(C80,Size!$B$4:$B$53,0)),0)</f>
        <v>0</v>
      </c>
      <c r="H80" s="19" t="str">
        <f>IF(A80="","",G80*'Mẻ sữa'!$U$5)</f>
        <v/>
      </c>
      <c r="I80" s="19">
        <f t="array" ref="I80">IFERROR(E80*INDEX('Hàng hóa'!$H$4:$H$203,MATCH(B80,'Hàng hóa'!$B$4:$B$203,0)),0)</f>
        <v>0</v>
      </c>
      <c r="J80" s="19" t="str">
        <f t="array" ref="J80">IF(A80="","",IFERROR(INDEX('Hàng hóa'!$H$4:$H$203,MATCH(INDEX(Size!$D$4:$D$53,MATCH(C80,Size!$B$4:$B$53,0)),'Hàng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80" s="19" t="str">
        <f>IF(A80="","",(H80+I80+J80)*'Thiết lập'!$B$8)</f>
        <v/>
      </c>
      <c r="L80" s="19" t="str">
        <f t="shared" si="2"/>
        <v/>
      </c>
      <c r="M80" s="19" t="str">
        <f>IF(A80="","",'Thiết lập'!$B$12)</f>
        <v/>
      </c>
      <c r="N80" s="19" t="str">
        <f t="shared" si="3"/>
        <v/>
      </c>
      <c r="O80" s="23"/>
      <c r="P80" s="18" t="str">
        <f t="shared" si="4"/>
        <v/>
      </c>
      <c r="Q80" s="2"/>
      <c r="R80" s="18" t="str">
        <f>IF(AND('Hàng hóa'!B92&lt;&gt;"",'Hàng hóa'!C92="Topping",'Hàng hóa'!I92="Có"),'Hàng hóa'!B92,"")</f>
        <v/>
      </c>
      <c r="S80" s="18"/>
      <c r="T80" s="18"/>
      <c r="U80" s="2"/>
      <c r="V80" s="2"/>
      <c r="W80" s="2"/>
    </row>
    <row r="81" ht="15.75" customHeight="1">
      <c r="A81" s="23" t="str">
        <f t="shared" si="5"/>
        <v/>
      </c>
      <c r="B81" s="23"/>
      <c r="C81" s="23"/>
      <c r="D81" s="37" t="str">
        <f t="shared" si="1"/>
        <v/>
      </c>
      <c r="E81" s="55"/>
      <c r="F81" s="19">
        <f t="array" ref="F81">IFERROR(INDEX(Size!$E$4:$E$53,MATCH(C81,Size!$B$4:$B$53,0)),0)</f>
        <v>0</v>
      </c>
      <c r="G81" s="19">
        <f t="array" ref="G81">IFERROR(INDEX(Size!$C$4:$C$53,MATCH(C81,Size!$B$4:$B$53,0)),0)</f>
        <v>0</v>
      </c>
      <c r="H81" s="19" t="str">
        <f>IF(A81="","",G81*'Mẻ sữa'!$U$5)</f>
        <v/>
      </c>
      <c r="I81" s="19">
        <f t="array" ref="I81">IFERROR(E81*INDEX('Hàng hóa'!$H$4:$H$203,MATCH(B81,'Hàng hóa'!$B$4:$B$203,0)),0)</f>
        <v>0</v>
      </c>
      <c r="J81" s="19" t="str">
        <f t="array" ref="J81">IF(A81="","",IFERROR(INDEX('Hàng hóa'!$H$4:$H$203,MATCH(INDEX(Size!$D$4:$D$53,MATCH(C81,Size!$B$4:$B$53,0)),'Hàng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81" s="19" t="str">
        <f>IF(A81="","",(H81+I81+J81)*'Thiết lập'!$B$8)</f>
        <v/>
      </c>
      <c r="L81" s="19" t="str">
        <f t="shared" si="2"/>
        <v/>
      </c>
      <c r="M81" s="19" t="str">
        <f>IF(A81="","",'Thiết lập'!$B$12)</f>
        <v/>
      </c>
      <c r="N81" s="19" t="str">
        <f t="shared" si="3"/>
        <v/>
      </c>
      <c r="O81" s="23"/>
      <c r="P81" s="18" t="str">
        <f t="shared" si="4"/>
        <v/>
      </c>
      <c r="Q81" s="2"/>
      <c r="R81" s="18" t="str">
        <f>IF(AND('Hàng hóa'!B93&lt;&gt;"",'Hàng hóa'!C93="Topping",'Hàng hóa'!I93="Có"),'Hàng hóa'!B93,"")</f>
        <v/>
      </c>
      <c r="S81" s="18"/>
      <c r="T81" s="18"/>
      <c r="U81" s="2"/>
      <c r="V81" s="2"/>
      <c r="W81" s="2"/>
    </row>
    <row r="82" ht="15.75" customHeight="1">
      <c r="A82" s="23" t="str">
        <f t="shared" si="5"/>
        <v/>
      </c>
      <c r="B82" s="23"/>
      <c r="C82" s="23"/>
      <c r="D82" s="37" t="str">
        <f t="shared" si="1"/>
        <v/>
      </c>
      <c r="E82" s="55"/>
      <c r="F82" s="19">
        <f t="array" ref="F82">IFERROR(INDEX(Size!$E$4:$E$53,MATCH(C82,Size!$B$4:$B$53,0)),0)</f>
        <v>0</v>
      </c>
      <c r="G82" s="19">
        <f t="array" ref="G82">IFERROR(INDEX(Size!$C$4:$C$53,MATCH(C82,Size!$B$4:$B$53,0)),0)</f>
        <v>0</v>
      </c>
      <c r="H82" s="19" t="str">
        <f>IF(A82="","",G82*'Mẻ sữa'!$U$5)</f>
        <v/>
      </c>
      <c r="I82" s="19">
        <f t="array" ref="I82">IFERROR(E82*INDEX('Hàng hóa'!$H$4:$H$203,MATCH(B82,'Hàng hóa'!$B$4:$B$203,0)),0)</f>
        <v>0</v>
      </c>
      <c r="J82" s="19" t="str">
        <f t="array" ref="J82">IF(A82="","",IFERROR(INDEX('Hàng hóa'!$H$4:$H$203,MATCH(INDEX(Size!$D$4:$D$53,MATCH(C82,Size!$B$4:$B$53,0)),'Hàng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82" s="19" t="str">
        <f>IF(A82="","",(H82+I82+J82)*'Thiết lập'!$B$8)</f>
        <v/>
      </c>
      <c r="L82" s="19" t="str">
        <f t="shared" si="2"/>
        <v/>
      </c>
      <c r="M82" s="19" t="str">
        <f>IF(A82="","",'Thiết lập'!$B$12)</f>
        <v/>
      </c>
      <c r="N82" s="19" t="str">
        <f t="shared" si="3"/>
        <v/>
      </c>
      <c r="O82" s="23"/>
      <c r="P82" s="18" t="str">
        <f t="shared" si="4"/>
        <v/>
      </c>
      <c r="Q82" s="2"/>
      <c r="R82" s="18" t="str">
        <f>IF(AND('Hàng hóa'!B94&lt;&gt;"",'Hàng hóa'!C94="Topping",'Hàng hóa'!I94="Có"),'Hàng hóa'!B94,"")</f>
        <v/>
      </c>
      <c r="S82" s="18"/>
      <c r="T82" s="18"/>
      <c r="U82" s="2"/>
      <c r="V82" s="2"/>
      <c r="W82" s="2"/>
    </row>
    <row r="83" ht="15.75" customHeight="1">
      <c r="A83" s="23" t="str">
        <f t="shared" si="5"/>
        <v/>
      </c>
      <c r="B83" s="23"/>
      <c r="C83" s="23"/>
      <c r="D83" s="37" t="str">
        <f t="shared" si="1"/>
        <v/>
      </c>
      <c r="E83" s="55"/>
      <c r="F83" s="19">
        <f t="array" ref="F83">IFERROR(INDEX(Size!$E$4:$E$53,MATCH(C83,Size!$B$4:$B$53,0)),0)</f>
        <v>0</v>
      </c>
      <c r="G83" s="19">
        <f t="array" ref="G83">IFERROR(INDEX(Size!$C$4:$C$53,MATCH(C83,Size!$B$4:$B$53,0)),0)</f>
        <v>0</v>
      </c>
      <c r="H83" s="19" t="str">
        <f>IF(A83="","",G83*'Mẻ sữa'!$U$5)</f>
        <v/>
      </c>
      <c r="I83" s="19">
        <f t="array" ref="I83">IFERROR(E83*INDEX('Hàng hóa'!$H$4:$H$203,MATCH(B83,'Hàng hóa'!$B$4:$B$203,0)),0)</f>
        <v>0</v>
      </c>
      <c r="J83" s="19" t="str">
        <f t="array" ref="J83">IF(A83="","",IFERROR(INDEX('Hàng hóa'!$H$4:$H$203,MATCH(INDEX(Size!$D$4:$D$53,MATCH(C83,Size!$B$4:$B$53,0)),'Hàng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83" s="19" t="str">
        <f>IF(A83="","",(H83+I83+J83)*'Thiết lập'!$B$8)</f>
        <v/>
      </c>
      <c r="L83" s="19" t="str">
        <f t="shared" si="2"/>
        <v/>
      </c>
      <c r="M83" s="19" t="str">
        <f>IF(A83="","",'Thiết lập'!$B$12)</f>
        <v/>
      </c>
      <c r="N83" s="19" t="str">
        <f t="shared" si="3"/>
        <v/>
      </c>
      <c r="O83" s="23"/>
      <c r="P83" s="18" t="str">
        <f t="shared" si="4"/>
        <v/>
      </c>
      <c r="Q83" s="2"/>
      <c r="R83" s="18" t="str">
        <f>IF(AND('Hàng hóa'!B95&lt;&gt;"",'Hàng hóa'!C95="Topping",'Hàng hóa'!I95="Có"),'Hàng hóa'!B95,"")</f>
        <v/>
      </c>
      <c r="S83" s="18"/>
      <c r="T83" s="18"/>
      <c r="U83" s="2"/>
      <c r="V83" s="2"/>
      <c r="W83" s="2"/>
    </row>
    <row r="84" ht="15.75" customHeight="1">
      <c r="A84" s="23" t="str">
        <f t="shared" si="5"/>
        <v/>
      </c>
      <c r="B84" s="23"/>
      <c r="C84" s="23"/>
      <c r="D84" s="37" t="str">
        <f t="shared" si="1"/>
        <v/>
      </c>
      <c r="E84" s="55"/>
      <c r="F84" s="19">
        <f t="array" ref="F84">IFERROR(INDEX(Size!$E$4:$E$53,MATCH(C84,Size!$B$4:$B$53,0)),0)</f>
        <v>0</v>
      </c>
      <c r="G84" s="19">
        <f t="array" ref="G84">IFERROR(INDEX(Size!$C$4:$C$53,MATCH(C84,Size!$B$4:$B$53,0)),0)</f>
        <v>0</v>
      </c>
      <c r="H84" s="19" t="str">
        <f>IF(A84="","",G84*'Mẻ sữa'!$U$5)</f>
        <v/>
      </c>
      <c r="I84" s="19">
        <f t="array" ref="I84">IFERROR(E84*INDEX('Hàng hóa'!$H$4:$H$203,MATCH(B84,'Hàng hóa'!$B$4:$B$203,0)),0)</f>
        <v>0</v>
      </c>
      <c r="J84" s="19" t="str">
        <f t="array" ref="J84">IF(A84="","",IFERROR(INDEX('Hàng hóa'!$H$4:$H$203,MATCH(INDEX(Size!$D$4:$D$53,MATCH(C84,Size!$B$4:$B$53,0)),'Hàng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84" s="19" t="str">
        <f>IF(A84="","",(H84+I84+J84)*'Thiết lập'!$B$8)</f>
        <v/>
      </c>
      <c r="L84" s="19" t="str">
        <f t="shared" si="2"/>
        <v/>
      </c>
      <c r="M84" s="19" t="str">
        <f>IF(A84="","",'Thiết lập'!$B$12)</f>
        <v/>
      </c>
      <c r="N84" s="19" t="str">
        <f t="shared" si="3"/>
        <v/>
      </c>
      <c r="O84" s="23"/>
      <c r="P84" s="18" t="str">
        <f t="shared" si="4"/>
        <v/>
      </c>
      <c r="Q84" s="2"/>
      <c r="R84" s="18" t="str">
        <f>IF(AND('Hàng hóa'!B96&lt;&gt;"",'Hàng hóa'!C96="Topping",'Hàng hóa'!I96="Có"),'Hàng hóa'!B96,"")</f>
        <v/>
      </c>
      <c r="S84" s="18"/>
      <c r="T84" s="18"/>
      <c r="U84" s="2"/>
      <c r="V84" s="2"/>
      <c r="W84" s="2"/>
    </row>
    <row r="85" ht="15.75" customHeight="1">
      <c r="A85" s="23" t="str">
        <f t="shared" si="5"/>
        <v/>
      </c>
      <c r="B85" s="23"/>
      <c r="C85" s="23"/>
      <c r="D85" s="37" t="str">
        <f t="shared" si="1"/>
        <v/>
      </c>
      <c r="E85" s="55"/>
      <c r="F85" s="19">
        <f t="array" ref="F85">IFERROR(INDEX(Size!$E$4:$E$53,MATCH(C85,Size!$B$4:$B$53,0)),0)</f>
        <v>0</v>
      </c>
      <c r="G85" s="19">
        <f t="array" ref="G85">IFERROR(INDEX(Size!$C$4:$C$53,MATCH(C85,Size!$B$4:$B$53,0)),0)</f>
        <v>0</v>
      </c>
      <c r="H85" s="19" t="str">
        <f>IF(A85="","",G85*'Mẻ sữa'!$U$5)</f>
        <v/>
      </c>
      <c r="I85" s="19">
        <f t="array" ref="I85">IFERROR(E85*INDEX('Hàng hóa'!$H$4:$H$203,MATCH(B85,'Hàng hóa'!$B$4:$B$203,0)),0)</f>
        <v>0</v>
      </c>
      <c r="J85" s="19" t="str">
        <f t="array" ref="J85">IF(A85="","",IFERROR(INDEX('Hàng hóa'!$H$4:$H$203,MATCH(INDEX(Size!$D$4:$D$53,MATCH(C85,Size!$B$4:$B$53,0)),'Hàng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85" s="19" t="str">
        <f>IF(A85="","",(H85+I85+J85)*'Thiết lập'!$B$8)</f>
        <v/>
      </c>
      <c r="L85" s="19" t="str">
        <f t="shared" si="2"/>
        <v/>
      </c>
      <c r="M85" s="19" t="str">
        <f>IF(A85="","",'Thiết lập'!$B$12)</f>
        <v/>
      </c>
      <c r="N85" s="19" t="str">
        <f t="shared" si="3"/>
        <v/>
      </c>
      <c r="O85" s="23"/>
      <c r="P85" s="18" t="str">
        <f t="shared" si="4"/>
        <v/>
      </c>
      <c r="Q85" s="2"/>
      <c r="R85" s="18" t="str">
        <f>IF(AND('Hàng hóa'!B97&lt;&gt;"",'Hàng hóa'!C97="Topping",'Hàng hóa'!I97="Có"),'Hàng hóa'!B97,"")</f>
        <v/>
      </c>
      <c r="S85" s="18"/>
      <c r="T85" s="18"/>
      <c r="U85" s="2"/>
      <c r="V85" s="2"/>
      <c r="W85" s="2"/>
    </row>
    <row r="86" ht="15.75" customHeight="1">
      <c r="A86" s="23" t="str">
        <f t="shared" si="5"/>
        <v/>
      </c>
      <c r="B86" s="23"/>
      <c r="C86" s="23"/>
      <c r="D86" s="37" t="str">
        <f t="shared" si="1"/>
        <v/>
      </c>
      <c r="E86" s="55"/>
      <c r="F86" s="19">
        <f t="array" ref="F86">IFERROR(INDEX(Size!$E$4:$E$53,MATCH(C86,Size!$B$4:$B$53,0)),0)</f>
        <v>0</v>
      </c>
      <c r="G86" s="19">
        <f t="array" ref="G86">IFERROR(INDEX(Size!$C$4:$C$53,MATCH(C86,Size!$B$4:$B$53,0)),0)</f>
        <v>0</v>
      </c>
      <c r="H86" s="19" t="str">
        <f>IF(A86="","",G86*'Mẻ sữa'!$U$5)</f>
        <v/>
      </c>
      <c r="I86" s="19">
        <f t="array" ref="I86">IFERROR(E86*INDEX('Hàng hóa'!$H$4:$H$203,MATCH(B86,'Hàng hóa'!$B$4:$B$203,0)),0)</f>
        <v>0</v>
      </c>
      <c r="J86" s="19" t="str">
        <f t="array" ref="J86">IF(A86="","",IFERROR(INDEX('Hàng hóa'!$H$4:$H$203,MATCH(INDEX(Size!$D$4:$D$53,MATCH(C86,Size!$B$4:$B$53,0)),'Hàng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86" s="19" t="str">
        <f>IF(A86="","",(H86+I86+J86)*'Thiết lập'!$B$8)</f>
        <v/>
      </c>
      <c r="L86" s="19" t="str">
        <f t="shared" si="2"/>
        <v/>
      </c>
      <c r="M86" s="19" t="str">
        <f>IF(A86="","",'Thiết lập'!$B$12)</f>
        <v/>
      </c>
      <c r="N86" s="19" t="str">
        <f t="shared" si="3"/>
        <v/>
      </c>
      <c r="O86" s="23"/>
      <c r="P86" s="18" t="str">
        <f t="shared" si="4"/>
        <v/>
      </c>
      <c r="Q86" s="2"/>
      <c r="R86" s="18" t="str">
        <f>IF(AND('Hàng hóa'!B98&lt;&gt;"",'Hàng hóa'!C98="Topping",'Hàng hóa'!I98="Có"),'Hàng hóa'!B98,"")</f>
        <v/>
      </c>
      <c r="S86" s="18"/>
      <c r="T86" s="18"/>
      <c r="U86" s="2"/>
      <c r="V86" s="2"/>
      <c r="W86" s="2"/>
    </row>
    <row r="87" ht="15.75" customHeight="1">
      <c r="A87" s="23" t="str">
        <f t="shared" si="5"/>
        <v/>
      </c>
      <c r="B87" s="23"/>
      <c r="C87" s="23"/>
      <c r="D87" s="37" t="str">
        <f t="shared" si="1"/>
        <v/>
      </c>
      <c r="E87" s="55"/>
      <c r="F87" s="19">
        <f t="array" ref="F87">IFERROR(INDEX(Size!$E$4:$E$53,MATCH(C87,Size!$B$4:$B$53,0)),0)</f>
        <v>0</v>
      </c>
      <c r="G87" s="19">
        <f t="array" ref="G87">IFERROR(INDEX(Size!$C$4:$C$53,MATCH(C87,Size!$B$4:$B$53,0)),0)</f>
        <v>0</v>
      </c>
      <c r="H87" s="19" t="str">
        <f>IF(A87="","",G87*'Mẻ sữa'!$U$5)</f>
        <v/>
      </c>
      <c r="I87" s="19">
        <f t="array" ref="I87">IFERROR(E87*INDEX('Hàng hóa'!$H$4:$H$203,MATCH(B87,'Hàng hóa'!$B$4:$B$203,0)),0)</f>
        <v>0</v>
      </c>
      <c r="J87" s="19" t="str">
        <f t="array" ref="J87">IF(A87="","",IFERROR(INDEX('Hàng hóa'!$H$4:$H$203,MATCH(INDEX(Size!$D$4:$D$53,MATCH(C87,Size!$B$4:$B$53,0)),'Hàng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87" s="19" t="str">
        <f>IF(A87="","",(H87+I87+J87)*'Thiết lập'!$B$8)</f>
        <v/>
      </c>
      <c r="L87" s="19" t="str">
        <f t="shared" si="2"/>
        <v/>
      </c>
      <c r="M87" s="19" t="str">
        <f>IF(A87="","",'Thiết lập'!$B$12)</f>
        <v/>
      </c>
      <c r="N87" s="19" t="str">
        <f t="shared" si="3"/>
        <v/>
      </c>
      <c r="O87" s="23"/>
      <c r="P87" s="18" t="str">
        <f t="shared" si="4"/>
        <v/>
      </c>
      <c r="Q87" s="2"/>
      <c r="R87" s="18" t="str">
        <f>IF(AND('Hàng hóa'!B99&lt;&gt;"",'Hàng hóa'!C99="Topping",'Hàng hóa'!I99="Có"),'Hàng hóa'!B99,"")</f>
        <v/>
      </c>
      <c r="S87" s="18"/>
      <c r="T87" s="18"/>
      <c r="U87" s="2"/>
      <c r="V87" s="2"/>
      <c r="W87" s="2"/>
    </row>
    <row r="88" ht="15.75" customHeight="1">
      <c r="A88" s="23" t="str">
        <f t="shared" si="5"/>
        <v/>
      </c>
      <c r="B88" s="23"/>
      <c r="C88" s="23"/>
      <c r="D88" s="37" t="str">
        <f t="shared" si="1"/>
        <v/>
      </c>
      <c r="E88" s="55"/>
      <c r="F88" s="19">
        <f t="array" ref="F88">IFERROR(INDEX(Size!$E$4:$E$53,MATCH(C88,Size!$B$4:$B$53,0)),0)</f>
        <v>0</v>
      </c>
      <c r="G88" s="19">
        <f t="array" ref="G88">IFERROR(INDEX(Size!$C$4:$C$53,MATCH(C88,Size!$B$4:$B$53,0)),0)</f>
        <v>0</v>
      </c>
      <c r="H88" s="19" t="str">
        <f>IF(A88="","",G88*'Mẻ sữa'!$U$5)</f>
        <v/>
      </c>
      <c r="I88" s="19">
        <f t="array" ref="I88">IFERROR(E88*INDEX('Hàng hóa'!$H$4:$H$203,MATCH(B88,'Hàng hóa'!$B$4:$B$203,0)),0)</f>
        <v>0</v>
      </c>
      <c r="J88" s="19" t="str">
        <f t="array" ref="J88">IF(A88="","",IFERROR(INDEX('Hàng hóa'!$H$4:$H$203,MATCH(INDEX(Size!$D$4:$D$53,MATCH(C88,Size!$B$4:$B$53,0)),'Hàng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88" s="19" t="str">
        <f>IF(A88="","",(H88+I88+J88)*'Thiết lập'!$B$8)</f>
        <v/>
      </c>
      <c r="L88" s="19" t="str">
        <f t="shared" si="2"/>
        <v/>
      </c>
      <c r="M88" s="19" t="str">
        <f>IF(A88="","",'Thiết lập'!$B$12)</f>
        <v/>
      </c>
      <c r="N88" s="19" t="str">
        <f t="shared" si="3"/>
        <v/>
      </c>
      <c r="O88" s="23"/>
      <c r="P88" s="18" t="str">
        <f t="shared" si="4"/>
        <v/>
      </c>
      <c r="Q88" s="2"/>
      <c r="R88" s="18" t="str">
        <f>IF(AND('Hàng hóa'!B100&lt;&gt;"",'Hàng hóa'!C100="Topping",'Hàng hóa'!I100="Có"),'Hàng hóa'!B100,"")</f>
        <v/>
      </c>
      <c r="S88" s="18"/>
      <c r="T88" s="18"/>
      <c r="U88" s="2"/>
      <c r="V88" s="2"/>
      <c r="W88" s="2"/>
    </row>
    <row r="89" ht="15.75" customHeight="1">
      <c r="A89" s="23" t="str">
        <f t="shared" si="5"/>
        <v/>
      </c>
      <c r="B89" s="23"/>
      <c r="C89" s="23"/>
      <c r="D89" s="37" t="str">
        <f t="shared" si="1"/>
        <v/>
      </c>
      <c r="E89" s="55"/>
      <c r="F89" s="19">
        <f t="array" ref="F89">IFERROR(INDEX(Size!$E$4:$E$53,MATCH(C89,Size!$B$4:$B$53,0)),0)</f>
        <v>0</v>
      </c>
      <c r="G89" s="19">
        <f t="array" ref="G89">IFERROR(INDEX(Size!$C$4:$C$53,MATCH(C89,Size!$B$4:$B$53,0)),0)</f>
        <v>0</v>
      </c>
      <c r="H89" s="19" t="str">
        <f>IF(A89="","",G89*'Mẻ sữa'!$U$5)</f>
        <v/>
      </c>
      <c r="I89" s="19">
        <f t="array" ref="I89">IFERROR(E89*INDEX('Hàng hóa'!$H$4:$H$203,MATCH(B89,'Hàng hóa'!$B$4:$B$203,0)),0)</f>
        <v>0</v>
      </c>
      <c r="J89" s="19" t="str">
        <f t="array" ref="J89">IF(A89="","",IFERROR(INDEX('Hàng hóa'!$H$4:$H$203,MATCH(INDEX(Size!$D$4:$D$53,MATCH(C89,Size!$B$4:$B$53,0)),'Hàng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89" s="19" t="str">
        <f>IF(A89="","",(H89+I89+J89)*'Thiết lập'!$B$8)</f>
        <v/>
      </c>
      <c r="L89" s="19" t="str">
        <f t="shared" si="2"/>
        <v/>
      </c>
      <c r="M89" s="19" t="str">
        <f>IF(A89="","",'Thiết lập'!$B$12)</f>
        <v/>
      </c>
      <c r="N89" s="19" t="str">
        <f t="shared" si="3"/>
        <v/>
      </c>
      <c r="O89" s="23"/>
      <c r="P89" s="18" t="str">
        <f t="shared" si="4"/>
        <v/>
      </c>
      <c r="Q89" s="2"/>
      <c r="R89" s="18" t="str">
        <f>IF(AND('Hàng hóa'!B101&lt;&gt;"",'Hàng hóa'!C101="Topping",'Hàng hóa'!I101="Có"),'Hàng hóa'!B101,"")</f>
        <v/>
      </c>
      <c r="S89" s="18"/>
      <c r="T89" s="18"/>
      <c r="U89" s="2"/>
      <c r="V89" s="2"/>
      <c r="W89" s="2"/>
    </row>
    <row r="90" ht="15.75" customHeight="1">
      <c r="A90" s="23" t="str">
        <f t="shared" si="5"/>
        <v/>
      </c>
      <c r="B90" s="23"/>
      <c r="C90" s="23"/>
      <c r="D90" s="37" t="str">
        <f t="shared" si="1"/>
        <v/>
      </c>
      <c r="E90" s="55"/>
      <c r="F90" s="19">
        <f t="array" ref="F90">IFERROR(INDEX(Size!$E$4:$E$53,MATCH(C90,Size!$B$4:$B$53,0)),0)</f>
        <v>0</v>
      </c>
      <c r="G90" s="19">
        <f t="array" ref="G90">IFERROR(INDEX(Size!$C$4:$C$53,MATCH(C90,Size!$B$4:$B$53,0)),0)</f>
        <v>0</v>
      </c>
      <c r="H90" s="19" t="str">
        <f>IF(A90="","",G90*'Mẻ sữa'!$U$5)</f>
        <v/>
      </c>
      <c r="I90" s="19">
        <f t="array" ref="I90">IFERROR(E90*INDEX('Hàng hóa'!$H$4:$H$203,MATCH(B90,'Hàng hóa'!$B$4:$B$203,0)),0)</f>
        <v>0</v>
      </c>
      <c r="J90" s="19" t="str">
        <f t="array" ref="J90">IF(A90="","",IFERROR(INDEX('Hàng hóa'!$H$4:$H$203,MATCH(INDEX(Size!$D$4:$D$53,MATCH(C90,Size!$B$4:$B$53,0)),'Hàng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90" s="19" t="str">
        <f>IF(A90="","",(H90+I90+J90)*'Thiết lập'!$B$8)</f>
        <v/>
      </c>
      <c r="L90" s="19" t="str">
        <f t="shared" si="2"/>
        <v/>
      </c>
      <c r="M90" s="19" t="str">
        <f>IF(A90="","",'Thiết lập'!$B$12)</f>
        <v/>
      </c>
      <c r="N90" s="19" t="str">
        <f t="shared" si="3"/>
        <v/>
      </c>
      <c r="O90" s="23"/>
      <c r="P90" s="18" t="str">
        <f t="shared" si="4"/>
        <v/>
      </c>
      <c r="Q90" s="2"/>
      <c r="R90" s="18" t="str">
        <f>IF(AND('Hàng hóa'!B102&lt;&gt;"",'Hàng hóa'!C102="Topping",'Hàng hóa'!I102="Có"),'Hàng hóa'!B102,"")</f>
        <v/>
      </c>
      <c r="S90" s="18"/>
      <c r="T90" s="18"/>
      <c r="U90" s="2"/>
      <c r="V90" s="2"/>
      <c r="W90" s="2"/>
    </row>
    <row r="91" ht="15.75" customHeight="1">
      <c r="A91" s="23" t="str">
        <f t="shared" si="5"/>
        <v/>
      </c>
      <c r="B91" s="23"/>
      <c r="C91" s="23"/>
      <c r="D91" s="37" t="str">
        <f t="shared" si="1"/>
        <v/>
      </c>
      <c r="E91" s="55"/>
      <c r="F91" s="19">
        <f t="array" ref="F91">IFERROR(INDEX(Size!$E$4:$E$53,MATCH(C91,Size!$B$4:$B$53,0)),0)</f>
        <v>0</v>
      </c>
      <c r="G91" s="19">
        <f t="array" ref="G91">IFERROR(INDEX(Size!$C$4:$C$53,MATCH(C91,Size!$B$4:$B$53,0)),0)</f>
        <v>0</v>
      </c>
      <c r="H91" s="19" t="str">
        <f>IF(A91="","",G91*'Mẻ sữa'!$U$5)</f>
        <v/>
      </c>
      <c r="I91" s="19">
        <f t="array" ref="I91">IFERROR(E91*INDEX('Hàng hóa'!$H$4:$H$203,MATCH(B91,'Hàng hóa'!$B$4:$B$203,0)),0)</f>
        <v>0</v>
      </c>
      <c r="J91" s="19" t="str">
        <f t="array" ref="J91">IF(A91="","",IFERROR(INDEX('Hàng hóa'!$H$4:$H$203,MATCH(INDEX(Size!$D$4:$D$53,MATCH(C91,Size!$B$4:$B$53,0)),'Hàng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91" s="19" t="str">
        <f>IF(A91="","",(H91+I91+J91)*'Thiết lập'!$B$8)</f>
        <v/>
      </c>
      <c r="L91" s="19" t="str">
        <f t="shared" si="2"/>
        <v/>
      </c>
      <c r="M91" s="19" t="str">
        <f>IF(A91="","",'Thiết lập'!$B$12)</f>
        <v/>
      </c>
      <c r="N91" s="19" t="str">
        <f t="shared" si="3"/>
        <v/>
      </c>
      <c r="O91" s="23"/>
      <c r="P91" s="18" t="str">
        <f t="shared" si="4"/>
        <v/>
      </c>
      <c r="Q91" s="2"/>
      <c r="R91" s="18" t="str">
        <f>IF(AND('Hàng hóa'!B103&lt;&gt;"",'Hàng hóa'!C103="Topping",'Hàng hóa'!I103="Có"),'Hàng hóa'!B103,"")</f>
        <v/>
      </c>
      <c r="S91" s="18"/>
      <c r="T91" s="18"/>
      <c r="U91" s="2"/>
      <c r="V91" s="2"/>
      <c r="W91" s="2"/>
    </row>
    <row r="92" ht="15.75" customHeight="1">
      <c r="A92" s="23" t="str">
        <f t="shared" si="5"/>
        <v/>
      </c>
      <c r="B92" s="23"/>
      <c r="C92" s="23"/>
      <c r="D92" s="37" t="str">
        <f t="shared" si="1"/>
        <v/>
      </c>
      <c r="E92" s="55"/>
      <c r="F92" s="19">
        <f t="array" ref="F92">IFERROR(INDEX(Size!$E$4:$E$53,MATCH(C92,Size!$B$4:$B$53,0)),0)</f>
        <v>0</v>
      </c>
      <c r="G92" s="19">
        <f t="array" ref="G92">IFERROR(INDEX(Size!$C$4:$C$53,MATCH(C92,Size!$B$4:$B$53,0)),0)</f>
        <v>0</v>
      </c>
      <c r="H92" s="19" t="str">
        <f>IF(A92="","",G92*'Mẻ sữa'!$U$5)</f>
        <v/>
      </c>
      <c r="I92" s="19">
        <f t="array" ref="I92">IFERROR(E92*INDEX('Hàng hóa'!$H$4:$H$203,MATCH(B92,'Hàng hóa'!$B$4:$B$203,0)),0)</f>
        <v>0</v>
      </c>
      <c r="J92" s="19" t="str">
        <f t="array" ref="J92">IF(A92="","",IFERROR(INDEX('Hàng hóa'!$H$4:$H$203,MATCH(INDEX(Size!$D$4:$D$53,MATCH(C92,Size!$B$4:$B$53,0)),'Hàng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92" s="19" t="str">
        <f>IF(A92="","",(H92+I92+J92)*'Thiết lập'!$B$8)</f>
        <v/>
      </c>
      <c r="L92" s="19" t="str">
        <f t="shared" si="2"/>
        <v/>
      </c>
      <c r="M92" s="19" t="str">
        <f>IF(A92="","",'Thiết lập'!$B$12)</f>
        <v/>
      </c>
      <c r="N92" s="19" t="str">
        <f t="shared" si="3"/>
        <v/>
      </c>
      <c r="O92" s="23"/>
      <c r="P92" s="18" t="str">
        <f t="shared" si="4"/>
        <v/>
      </c>
      <c r="Q92" s="2"/>
      <c r="R92" s="18" t="str">
        <f>IF(AND('Hàng hóa'!B104&lt;&gt;"",'Hàng hóa'!C104="Topping",'Hàng hóa'!I104="Có"),'Hàng hóa'!B104,"")</f>
        <v/>
      </c>
      <c r="S92" s="18"/>
      <c r="T92" s="18"/>
      <c r="U92" s="2"/>
      <c r="V92" s="2"/>
      <c r="W92" s="2"/>
    </row>
    <row r="93" ht="15.75" customHeight="1">
      <c r="A93" s="23" t="str">
        <f t="shared" si="5"/>
        <v/>
      </c>
      <c r="B93" s="23"/>
      <c r="C93" s="23"/>
      <c r="D93" s="37" t="str">
        <f t="shared" si="1"/>
        <v/>
      </c>
      <c r="E93" s="55"/>
      <c r="F93" s="19">
        <f t="array" ref="F93">IFERROR(INDEX(Size!$E$4:$E$53,MATCH(C93,Size!$B$4:$B$53,0)),0)</f>
        <v>0</v>
      </c>
      <c r="G93" s="19">
        <f t="array" ref="G93">IFERROR(INDEX(Size!$C$4:$C$53,MATCH(C93,Size!$B$4:$B$53,0)),0)</f>
        <v>0</v>
      </c>
      <c r="H93" s="19" t="str">
        <f>IF(A93="","",G93*'Mẻ sữa'!$U$5)</f>
        <v/>
      </c>
      <c r="I93" s="19">
        <f t="array" ref="I93">IFERROR(E93*INDEX('Hàng hóa'!$H$4:$H$203,MATCH(B93,'Hàng hóa'!$B$4:$B$203,0)),0)</f>
        <v>0</v>
      </c>
      <c r="J93" s="19" t="str">
        <f t="array" ref="J93">IF(A93="","",IFERROR(INDEX('Hàng hóa'!$H$4:$H$203,MATCH(INDEX(Size!$D$4:$D$53,MATCH(C93,Size!$B$4:$B$53,0)),'Hàng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93" s="19" t="str">
        <f>IF(A93="","",(H93+I93+J93)*'Thiết lập'!$B$8)</f>
        <v/>
      </c>
      <c r="L93" s="19" t="str">
        <f t="shared" si="2"/>
        <v/>
      </c>
      <c r="M93" s="19" t="str">
        <f>IF(A93="","",'Thiết lập'!$B$12)</f>
        <v/>
      </c>
      <c r="N93" s="19" t="str">
        <f t="shared" si="3"/>
        <v/>
      </c>
      <c r="O93" s="23"/>
      <c r="P93" s="18" t="str">
        <f t="shared" si="4"/>
        <v/>
      </c>
      <c r="Q93" s="2"/>
      <c r="R93" s="18" t="str">
        <f>IF(AND('Hàng hóa'!B105&lt;&gt;"",'Hàng hóa'!C105="Topping",'Hàng hóa'!I105="Có"),'Hàng hóa'!B105,"")</f>
        <v/>
      </c>
      <c r="S93" s="18"/>
      <c r="T93" s="18"/>
      <c r="U93" s="2"/>
      <c r="V93" s="2"/>
      <c r="W93" s="2"/>
    </row>
    <row r="94" ht="15.75" customHeight="1">
      <c r="A94" s="23" t="str">
        <f t="shared" si="5"/>
        <v/>
      </c>
      <c r="B94" s="23"/>
      <c r="C94" s="23"/>
      <c r="D94" s="37" t="str">
        <f t="shared" si="1"/>
        <v/>
      </c>
      <c r="E94" s="55"/>
      <c r="F94" s="19">
        <f t="array" ref="F94">IFERROR(INDEX(Size!$E$4:$E$53,MATCH(C94,Size!$B$4:$B$53,0)),0)</f>
        <v>0</v>
      </c>
      <c r="G94" s="19">
        <f t="array" ref="G94">IFERROR(INDEX(Size!$C$4:$C$53,MATCH(C94,Size!$B$4:$B$53,0)),0)</f>
        <v>0</v>
      </c>
      <c r="H94" s="19" t="str">
        <f>IF(A94="","",G94*'Mẻ sữa'!$U$5)</f>
        <v/>
      </c>
      <c r="I94" s="19">
        <f t="array" ref="I94">IFERROR(E94*INDEX('Hàng hóa'!$H$4:$H$203,MATCH(B94,'Hàng hóa'!$B$4:$B$203,0)),0)</f>
        <v>0</v>
      </c>
      <c r="J94" s="19" t="str">
        <f t="array" ref="J94">IF(A94="","",IFERROR(INDEX('Hàng hóa'!$H$4:$H$203,MATCH(INDEX(Size!$D$4:$D$53,MATCH(C94,Size!$B$4:$B$53,0)),'Hàng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94" s="19" t="str">
        <f>IF(A94="","",(H94+I94+J94)*'Thiết lập'!$B$8)</f>
        <v/>
      </c>
      <c r="L94" s="19" t="str">
        <f t="shared" si="2"/>
        <v/>
      </c>
      <c r="M94" s="19" t="str">
        <f>IF(A94="","",'Thiết lập'!$B$12)</f>
        <v/>
      </c>
      <c r="N94" s="19" t="str">
        <f t="shared" si="3"/>
        <v/>
      </c>
      <c r="O94" s="23"/>
      <c r="P94" s="18" t="str">
        <f t="shared" si="4"/>
        <v/>
      </c>
      <c r="Q94" s="2"/>
      <c r="R94" s="18" t="str">
        <f>IF(AND('Hàng hóa'!B106&lt;&gt;"",'Hàng hóa'!C106="Topping",'Hàng hóa'!I106="Có"),'Hàng hóa'!B106,"")</f>
        <v/>
      </c>
      <c r="S94" s="18"/>
      <c r="T94" s="18"/>
      <c r="U94" s="2"/>
      <c r="V94" s="2"/>
      <c r="W94" s="2"/>
    </row>
    <row r="95" ht="15.75" customHeight="1">
      <c r="A95" s="23" t="str">
        <f t="shared" si="5"/>
        <v/>
      </c>
      <c r="B95" s="23"/>
      <c r="C95" s="23"/>
      <c r="D95" s="37" t="str">
        <f t="shared" si="1"/>
        <v/>
      </c>
      <c r="E95" s="55"/>
      <c r="F95" s="19">
        <f t="array" ref="F95">IFERROR(INDEX(Size!$E$4:$E$53,MATCH(C95,Size!$B$4:$B$53,0)),0)</f>
        <v>0</v>
      </c>
      <c r="G95" s="19">
        <f t="array" ref="G95">IFERROR(INDEX(Size!$C$4:$C$53,MATCH(C95,Size!$B$4:$B$53,0)),0)</f>
        <v>0</v>
      </c>
      <c r="H95" s="19" t="str">
        <f>IF(A95="","",G95*'Mẻ sữa'!$U$5)</f>
        <v/>
      </c>
      <c r="I95" s="19">
        <f t="array" ref="I95">IFERROR(E95*INDEX('Hàng hóa'!$H$4:$H$203,MATCH(B95,'Hàng hóa'!$B$4:$B$203,0)),0)</f>
        <v>0</v>
      </c>
      <c r="J95" s="19" t="str">
        <f t="array" ref="J95">IF(A95="","",IFERROR(INDEX('Hàng hóa'!$H$4:$H$203,MATCH(INDEX(Size!$D$4:$D$53,MATCH(C95,Size!$B$4:$B$53,0)),'Hàng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95" s="19" t="str">
        <f>IF(A95="","",(H95+I95+J95)*'Thiết lập'!$B$8)</f>
        <v/>
      </c>
      <c r="L95" s="19" t="str">
        <f t="shared" si="2"/>
        <v/>
      </c>
      <c r="M95" s="19" t="str">
        <f>IF(A95="","",'Thiết lập'!$B$12)</f>
        <v/>
      </c>
      <c r="N95" s="19" t="str">
        <f t="shared" si="3"/>
        <v/>
      </c>
      <c r="O95" s="23"/>
      <c r="P95" s="18" t="str">
        <f t="shared" si="4"/>
        <v/>
      </c>
      <c r="Q95" s="2"/>
      <c r="R95" s="18" t="str">
        <f>IF(AND('Hàng hóa'!B107&lt;&gt;"",'Hàng hóa'!C107="Topping",'Hàng hóa'!I107="Có"),'Hàng hóa'!B107,"")</f>
        <v/>
      </c>
      <c r="S95" s="18"/>
      <c r="T95" s="18"/>
      <c r="U95" s="2"/>
      <c r="V95" s="2"/>
      <c r="W95" s="2"/>
    </row>
    <row r="96" ht="15.75" customHeight="1">
      <c r="A96" s="23" t="str">
        <f t="shared" si="5"/>
        <v/>
      </c>
      <c r="B96" s="23"/>
      <c r="C96" s="23"/>
      <c r="D96" s="37" t="str">
        <f t="shared" si="1"/>
        <v/>
      </c>
      <c r="E96" s="55"/>
      <c r="F96" s="19">
        <f t="array" ref="F96">IFERROR(INDEX(Size!$E$4:$E$53,MATCH(C96,Size!$B$4:$B$53,0)),0)</f>
        <v>0</v>
      </c>
      <c r="G96" s="19">
        <f t="array" ref="G96">IFERROR(INDEX(Size!$C$4:$C$53,MATCH(C96,Size!$B$4:$B$53,0)),0)</f>
        <v>0</v>
      </c>
      <c r="H96" s="19" t="str">
        <f>IF(A96="","",G96*'Mẻ sữa'!$U$5)</f>
        <v/>
      </c>
      <c r="I96" s="19">
        <f t="array" ref="I96">IFERROR(E96*INDEX('Hàng hóa'!$H$4:$H$203,MATCH(B96,'Hàng hóa'!$B$4:$B$203,0)),0)</f>
        <v>0</v>
      </c>
      <c r="J96" s="19" t="str">
        <f t="array" ref="J96">IF(A96="","",IFERROR(INDEX('Hàng hóa'!$H$4:$H$203,MATCH(INDEX(Size!$D$4:$D$53,MATCH(C96,Size!$B$4:$B$53,0)),'Hàng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96" s="19" t="str">
        <f>IF(A96="","",(H96+I96+J96)*'Thiết lập'!$B$8)</f>
        <v/>
      </c>
      <c r="L96" s="19" t="str">
        <f t="shared" si="2"/>
        <v/>
      </c>
      <c r="M96" s="19" t="str">
        <f>IF(A96="","",'Thiết lập'!$B$12)</f>
        <v/>
      </c>
      <c r="N96" s="19" t="str">
        <f t="shared" si="3"/>
        <v/>
      </c>
      <c r="O96" s="23"/>
      <c r="P96" s="18" t="str">
        <f t="shared" si="4"/>
        <v/>
      </c>
      <c r="Q96" s="2"/>
      <c r="R96" s="18" t="str">
        <f>IF(AND('Hàng hóa'!B108&lt;&gt;"",'Hàng hóa'!C108="Topping",'Hàng hóa'!I108="Có"),'Hàng hóa'!B108,"")</f>
        <v/>
      </c>
      <c r="S96" s="18"/>
      <c r="T96" s="18"/>
      <c r="U96" s="2"/>
      <c r="V96" s="2"/>
      <c r="W96" s="2"/>
    </row>
    <row r="97" ht="15.75" customHeight="1">
      <c r="A97" s="23" t="str">
        <f t="shared" si="5"/>
        <v/>
      </c>
      <c r="B97" s="23"/>
      <c r="C97" s="23"/>
      <c r="D97" s="37" t="str">
        <f t="shared" si="1"/>
        <v/>
      </c>
      <c r="E97" s="55"/>
      <c r="F97" s="19">
        <f t="array" ref="F97">IFERROR(INDEX(Size!$E$4:$E$53,MATCH(C97,Size!$B$4:$B$53,0)),0)</f>
        <v>0</v>
      </c>
      <c r="G97" s="19">
        <f t="array" ref="G97">IFERROR(INDEX(Size!$C$4:$C$53,MATCH(C97,Size!$B$4:$B$53,0)),0)</f>
        <v>0</v>
      </c>
      <c r="H97" s="19" t="str">
        <f>IF(A97="","",G97*'Mẻ sữa'!$U$5)</f>
        <v/>
      </c>
      <c r="I97" s="19">
        <f t="array" ref="I97">IFERROR(E97*INDEX('Hàng hóa'!$H$4:$H$203,MATCH(B97,'Hàng hóa'!$B$4:$B$203,0)),0)</f>
        <v>0</v>
      </c>
      <c r="J97" s="19" t="str">
        <f t="array" ref="J97">IF(A97="","",IFERROR(INDEX('Hàng hóa'!$H$4:$H$203,MATCH(INDEX(Size!$D$4:$D$53,MATCH(C97,Size!$B$4:$B$53,0)),'Hàng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97" s="19" t="str">
        <f>IF(A97="","",(H97+I97+J97)*'Thiết lập'!$B$8)</f>
        <v/>
      </c>
      <c r="L97" s="19" t="str">
        <f t="shared" si="2"/>
        <v/>
      </c>
      <c r="M97" s="19" t="str">
        <f>IF(A97="","",'Thiết lập'!$B$12)</f>
        <v/>
      </c>
      <c r="N97" s="19" t="str">
        <f t="shared" si="3"/>
        <v/>
      </c>
      <c r="O97" s="23"/>
      <c r="P97" s="18" t="str">
        <f t="shared" si="4"/>
        <v/>
      </c>
      <c r="Q97" s="2"/>
      <c r="R97" s="18" t="str">
        <f>IF(AND('Hàng hóa'!B109&lt;&gt;"",'Hàng hóa'!C109="Topping",'Hàng hóa'!I109="Có"),'Hàng hóa'!B109,"")</f>
        <v/>
      </c>
      <c r="S97" s="18"/>
      <c r="T97" s="18"/>
      <c r="U97" s="2"/>
      <c r="V97" s="2"/>
      <c r="W97" s="2"/>
    </row>
    <row r="98" ht="15.75" customHeight="1">
      <c r="A98" s="23" t="str">
        <f t="shared" si="5"/>
        <v/>
      </c>
      <c r="B98" s="23"/>
      <c r="C98" s="23"/>
      <c r="D98" s="37" t="str">
        <f t="shared" si="1"/>
        <v/>
      </c>
      <c r="E98" s="55"/>
      <c r="F98" s="19">
        <f t="array" ref="F98">IFERROR(INDEX(Size!$E$4:$E$53,MATCH(C98,Size!$B$4:$B$53,0)),0)</f>
        <v>0</v>
      </c>
      <c r="G98" s="19">
        <f t="array" ref="G98">IFERROR(INDEX(Size!$C$4:$C$53,MATCH(C98,Size!$B$4:$B$53,0)),0)</f>
        <v>0</v>
      </c>
      <c r="H98" s="19" t="str">
        <f>IF(A98="","",G98*'Mẻ sữa'!$U$5)</f>
        <v/>
      </c>
      <c r="I98" s="19">
        <f t="array" ref="I98">IFERROR(E98*INDEX('Hàng hóa'!$H$4:$H$203,MATCH(B98,'Hàng hóa'!$B$4:$B$203,0)),0)</f>
        <v>0</v>
      </c>
      <c r="J98" s="19" t="str">
        <f t="array" ref="J98">IF(A98="","",IFERROR(INDEX('Hàng hóa'!$H$4:$H$203,MATCH(INDEX(Size!$D$4:$D$53,MATCH(C98,Size!$B$4:$B$53,0)),'Hàng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98" s="19" t="str">
        <f>IF(A98="","",(H98+I98+J98)*'Thiết lập'!$B$8)</f>
        <v/>
      </c>
      <c r="L98" s="19" t="str">
        <f t="shared" si="2"/>
        <v/>
      </c>
      <c r="M98" s="19" t="str">
        <f>IF(A98="","",'Thiết lập'!$B$12)</f>
        <v/>
      </c>
      <c r="N98" s="19" t="str">
        <f t="shared" si="3"/>
        <v/>
      </c>
      <c r="O98" s="23"/>
      <c r="P98" s="18" t="str">
        <f t="shared" si="4"/>
        <v/>
      </c>
      <c r="Q98" s="2"/>
      <c r="R98" s="18" t="str">
        <f>IF(AND('Hàng hóa'!B110&lt;&gt;"",'Hàng hóa'!C110="Topping",'Hàng hóa'!I110="Có"),'Hàng hóa'!B110,"")</f>
        <v/>
      </c>
      <c r="S98" s="18"/>
      <c r="T98" s="18"/>
      <c r="U98" s="2"/>
      <c r="V98" s="2"/>
      <c r="W98" s="2"/>
    </row>
    <row r="99" ht="15.75" customHeight="1">
      <c r="A99" s="23" t="str">
        <f t="shared" si="5"/>
        <v/>
      </c>
      <c r="B99" s="23"/>
      <c r="C99" s="23"/>
      <c r="D99" s="37" t="str">
        <f t="shared" si="1"/>
        <v/>
      </c>
      <c r="E99" s="55"/>
      <c r="F99" s="19">
        <f t="array" ref="F99">IFERROR(INDEX(Size!$E$4:$E$53,MATCH(C99,Size!$B$4:$B$53,0)),0)</f>
        <v>0</v>
      </c>
      <c r="G99" s="19">
        <f t="array" ref="G99">IFERROR(INDEX(Size!$C$4:$C$53,MATCH(C99,Size!$B$4:$B$53,0)),0)</f>
        <v>0</v>
      </c>
      <c r="H99" s="19" t="str">
        <f>IF(A99="","",G99*'Mẻ sữa'!$U$5)</f>
        <v/>
      </c>
      <c r="I99" s="19">
        <f t="array" ref="I99">IFERROR(E99*INDEX('Hàng hóa'!$H$4:$H$203,MATCH(B99,'Hàng hóa'!$B$4:$B$203,0)),0)</f>
        <v>0</v>
      </c>
      <c r="J99" s="19" t="str">
        <f t="array" ref="J99">IF(A99="","",IFERROR(INDEX('Hàng hóa'!$H$4:$H$203,MATCH(INDEX(Size!$D$4:$D$53,MATCH(C99,Size!$B$4:$B$53,0)),'Hàng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99" s="19" t="str">
        <f>IF(A99="","",(H99+I99+J99)*'Thiết lập'!$B$8)</f>
        <v/>
      </c>
      <c r="L99" s="19" t="str">
        <f t="shared" si="2"/>
        <v/>
      </c>
      <c r="M99" s="19" t="str">
        <f>IF(A99="","",'Thiết lập'!$B$12)</f>
        <v/>
      </c>
      <c r="N99" s="19" t="str">
        <f t="shared" si="3"/>
        <v/>
      </c>
      <c r="O99" s="23"/>
      <c r="P99" s="18" t="str">
        <f t="shared" si="4"/>
        <v/>
      </c>
      <c r="Q99" s="2"/>
      <c r="R99" s="18" t="str">
        <f>IF(AND('Hàng hóa'!B111&lt;&gt;"",'Hàng hóa'!C111="Topping",'Hàng hóa'!I111="Có"),'Hàng hóa'!B111,"")</f>
        <v/>
      </c>
      <c r="S99" s="18"/>
      <c r="T99" s="18"/>
      <c r="U99" s="2"/>
      <c r="V99" s="2"/>
      <c r="W99" s="2"/>
    </row>
    <row r="100" ht="15.75" customHeight="1">
      <c r="A100" s="23" t="str">
        <f t="shared" si="5"/>
        <v/>
      </c>
      <c r="B100" s="23"/>
      <c r="C100" s="23"/>
      <c r="D100" s="37" t="str">
        <f t="shared" si="1"/>
        <v/>
      </c>
      <c r="E100" s="55"/>
      <c r="F100" s="19">
        <f t="array" ref="F100">IFERROR(INDEX(Size!$E$4:$E$53,MATCH(C100,Size!$B$4:$B$53,0)),0)</f>
        <v>0</v>
      </c>
      <c r="G100" s="19">
        <f t="array" ref="G100">IFERROR(INDEX(Size!$C$4:$C$53,MATCH(C100,Size!$B$4:$B$53,0)),0)</f>
        <v>0</v>
      </c>
      <c r="H100" s="19" t="str">
        <f>IF(A100="","",G100*'Mẻ sữa'!$U$5)</f>
        <v/>
      </c>
      <c r="I100" s="19">
        <f t="array" ref="I100">IFERROR(E100*INDEX('Hàng hóa'!$H$4:$H$203,MATCH(B100,'Hàng hóa'!$B$4:$B$203,0)),0)</f>
        <v>0</v>
      </c>
      <c r="J100" s="19" t="str">
        <f t="array" ref="J100">IF(A100="","",IFERROR(INDEX('Hàng hóa'!$H$4:$H$203,MATCH(INDEX(Size!$D$4:$D$53,MATCH(C100,Size!$B$4:$B$53,0)),'Hàng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100" s="19" t="str">
        <f>IF(A100="","",(H100+I100+J100)*'Thiết lập'!$B$8)</f>
        <v/>
      </c>
      <c r="L100" s="19" t="str">
        <f t="shared" si="2"/>
        <v/>
      </c>
      <c r="M100" s="19" t="str">
        <f>IF(A100="","",'Thiết lập'!$B$12)</f>
        <v/>
      </c>
      <c r="N100" s="19" t="str">
        <f t="shared" si="3"/>
        <v/>
      </c>
      <c r="O100" s="23"/>
      <c r="P100" s="18" t="str">
        <f t="shared" si="4"/>
        <v/>
      </c>
      <c r="Q100" s="2"/>
      <c r="R100" s="18" t="str">
        <f>IF(AND('Hàng hóa'!B112&lt;&gt;"",'Hàng hóa'!C112="Topping",'Hàng hóa'!I112="Có"),'Hàng hóa'!B112,"")</f>
        <v/>
      </c>
      <c r="S100" s="18"/>
      <c r="T100" s="18"/>
      <c r="U100" s="2"/>
      <c r="V100" s="2"/>
      <c r="W100" s="2"/>
    </row>
    <row r="101" ht="15.75" customHeight="1">
      <c r="A101" s="23" t="str">
        <f t="shared" si="5"/>
        <v/>
      </c>
      <c r="B101" s="23"/>
      <c r="C101" s="23"/>
      <c r="D101" s="37" t="str">
        <f t="shared" si="1"/>
        <v/>
      </c>
      <c r="E101" s="55"/>
      <c r="F101" s="19">
        <f t="array" ref="F101">IFERROR(INDEX(Size!$E$4:$E$53,MATCH(C101,Size!$B$4:$B$53,0)),0)</f>
        <v>0</v>
      </c>
      <c r="G101" s="19">
        <f t="array" ref="G101">IFERROR(INDEX(Size!$C$4:$C$53,MATCH(C101,Size!$B$4:$B$53,0)),0)</f>
        <v>0</v>
      </c>
      <c r="H101" s="19" t="str">
        <f>IF(A101="","",G101*'Mẻ sữa'!$U$5)</f>
        <v/>
      </c>
      <c r="I101" s="19">
        <f t="array" ref="I101">IFERROR(E101*INDEX('Hàng hóa'!$H$4:$H$203,MATCH(B101,'Hàng hóa'!$B$4:$B$203,0)),0)</f>
        <v>0</v>
      </c>
      <c r="J101" s="19" t="str">
        <f t="array" ref="J101">IF(A101="","",IFERROR(INDEX('Hàng hóa'!$H$4:$H$203,MATCH(INDEX(Size!$D$4:$D$53,MATCH(C101,Size!$B$4:$B$53,0)),'Hàng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101" s="19" t="str">
        <f>IF(A101="","",(H101+I101+J101)*'Thiết lập'!$B$8)</f>
        <v/>
      </c>
      <c r="L101" s="19" t="str">
        <f t="shared" si="2"/>
        <v/>
      </c>
      <c r="M101" s="19" t="str">
        <f>IF(A101="","",'Thiết lập'!$B$12)</f>
        <v/>
      </c>
      <c r="N101" s="19" t="str">
        <f t="shared" si="3"/>
        <v/>
      </c>
      <c r="O101" s="23"/>
      <c r="P101" s="18" t="str">
        <f t="shared" si="4"/>
        <v/>
      </c>
      <c r="Q101" s="2"/>
      <c r="R101" s="18" t="str">
        <f>IF(AND('Hàng hóa'!B113&lt;&gt;"",'Hàng hóa'!C113="Topping",'Hàng hóa'!I113="Có"),'Hàng hóa'!B113,"")</f>
        <v/>
      </c>
      <c r="S101" s="18"/>
      <c r="T101" s="18"/>
      <c r="U101" s="2"/>
      <c r="V101" s="2"/>
      <c r="W101" s="2"/>
    </row>
    <row r="102" ht="15.75" customHeight="1">
      <c r="A102" s="23" t="str">
        <f t="shared" si="5"/>
        <v/>
      </c>
      <c r="B102" s="23"/>
      <c r="C102" s="23"/>
      <c r="D102" s="37" t="str">
        <f t="shared" si="1"/>
        <v/>
      </c>
      <c r="E102" s="55"/>
      <c r="F102" s="19">
        <f t="array" ref="F102">IFERROR(INDEX(Size!$E$4:$E$53,MATCH(C102,Size!$B$4:$B$53,0)),0)</f>
        <v>0</v>
      </c>
      <c r="G102" s="19">
        <f t="array" ref="G102">IFERROR(INDEX(Size!$C$4:$C$53,MATCH(C102,Size!$B$4:$B$53,0)),0)</f>
        <v>0</v>
      </c>
      <c r="H102" s="19" t="str">
        <f>IF(A102="","",G102*'Mẻ sữa'!$U$5)</f>
        <v/>
      </c>
      <c r="I102" s="19">
        <f t="array" ref="I102">IFERROR(E102*INDEX('Hàng hóa'!$H$4:$H$203,MATCH(B102,'Hàng hóa'!$B$4:$B$203,0)),0)</f>
        <v>0</v>
      </c>
      <c r="J102" s="19" t="str">
        <f t="array" ref="J102">IF(A102="","",IFERROR(INDEX('Hàng hóa'!$H$4:$H$203,MATCH(INDEX(Size!$D$4:$D$53,MATCH(C102,Size!$B$4:$B$53,0)),'Hàng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102" s="19" t="str">
        <f>IF(A102="","",(H102+I102+J102)*'Thiết lập'!$B$8)</f>
        <v/>
      </c>
      <c r="L102" s="19" t="str">
        <f t="shared" si="2"/>
        <v/>
      </c>
      <c r="M102" s="19" t="str">
        <f>IF(A102="","",'Thiết lập'!$B$12)</f>
        <v/>
      </c>
      <c r="N102" s="19" t="str">
        <f t="shared" si="3"/>
        <v/>
      </c>
      <c r="O102" s="23"/>
      <c r="P102" s="18" t="str">
        <f t="shared" si="4"/>
        <v/>
      </c>
      <c r="Q102" s="2"/>
      <c r="R102" s="18" t="str">
        <f>IF(AND('Hàng hóa'!B114&lt;&gt;"",'Hàng hóa'!C114="Topping",'Hàng hóa'!I114="Có"),'Hàng hóa'!B114,"")</f>
        <v/>
      </c>
      <c r="S102" s="18"/>
      <c r="T102" s="18"/>
      <c r="U102" s="2"/>
      <c r="V102" s="2"/>
      <c r="W102" s="2"/>
    </row>
    <row r="103" ht="15.75" customHeight="1">
      <c r="A103" s="23" t="str">
        <f t="shared" si="5"/>
        <v/>
      </c>
      <c r="B103" s="23"/>
      <c r="C103" s="23"/>
      <c r="D103" s="37" t="str">
        <f t="shared" si="1"/>
        <v/>
      </c>
      <c r="E103" s="55"/>
      <c r="F103" s="19">
        <f t="array" ref="F103">IFERROR(INDEX(Size!$E$4:$E$53,MATCH(C103,Size!$B$4:$B$53,0)),0)</f>
        <v>0</v>
      </c>
      <c r="G103" s="19">
        <f t="array" ref="G103">IFERROR(INDEX(Size!$C$4:$C$53,MATCH(C103,Size!$B$4:$B$53,0)),0)</f>
        <v>0</v>
      </c>
      <c r="H103" s="19" t="str">
        <f>IF(A103="","",G103*'Mẻ sữa'!$U$5)</f>
        <v/>
      </c>
      <c r="I103" s="19">
        <f t="array" ref="I103">IFERROR(E103*INDEX('Hàng hóa'!$H$4:$H$203,MATCH(B103,'Hàng hóa'!$B$4:$B$203,0)),0)</f>
        <v>0</v>
      </c>
      <c r="J103" s="19" t="str">
        <f t="array" ref="J103">IF(A103="","",IFERROR(INDEX('Hàng hóa'!$H$4:$H$203,MATCH(INDEX(Size!$D$4:$D$53,MATCH(C103,Size!$B$4:$B$53,0)),'Hàng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f>
        <v/>
      </c>
      <c r="K103" s="19" t="str">
        <f>IF(A103="","",(H103+I103+J103)*'Thiết lập'!$B$8)</f>
        <v/>
      </c>
      <c r="L103" s="19" t="str">
        <f t="shared" si="2"/>
        <v/>
      </c>
      <c r="M103" s="19" t="str">
        <f>IF(A103="","",'Thiết lập'!$B$12)</f>
        <v/>
      </c>
      <c r="N103" s="19" t="str">
        <f t="shared" si="3"/>
        <v/>
      </c>
      <c r="O103" s="23"/>
      <c r="P103" s="18" t="str">
        <f t="shared" si="4"/>
        <v/>
      </c>
      <c r="Q103" s="2"/>
      <c r="R103" s="18" t="str">
        <f>IF(AND('Hàng hóa'!B115&lt;&gt;"",'Hàng hóa'!C115="Topping",'Hàng hóa'!I115="Có"),'Hàng hóa'!B115,"")</f>
        <v/>
      </c>
      <c r="S103" s="18"/>
      <c r="T103" s="18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18" t="str">
        <f>IF(AND('Hàng hóa'!B116&lt;&gt;"",'Hàng hóa'!C116="Topping",'Hàng hóa'!I116="Có"),'Hàng hóa'!B116,"")</f>
        <v/>
      </c>
      <c r="S104" s="18"/>
      <c r="T104" s="18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18" t="str">
        <f>IF(AND('Hàng hóa'!B117&lt;&gt;"",'Hàng hóa'!C117="Topping",'Hàng hóa'!I117="Có"),'Hàng hóa'!B117,"")</f>
        <v/>
      </c>
      <c r="S105" s="18"/>
      <c r="T105" s="18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18" t="str">
        <f>IF(AND('Hàng hóa'!B118&lt;&gt;"",'Hàng hóa'!C118="Topping",'Hàng hóa'!I118="Có"),'Hàng hóa'!B118,"")</f>
        <v/>
      </c>
      <c r="S106" s="18"/>
      <c r="T106" s="18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18" t="str">
        <f>IF(AND('Hàng hóa'!B119&lt;&gt;"",'Hàng hóa'!C119="Topping",'Hàng hóa'!I119="Có"),'Hàng hóa'!B119,"")</f>
        <v/>
      </c>
      <c r="S107" s="18"/>
      <c r="T107" s="18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18" t="str">
        <f>IF(AND('Hàng hóa'!B120&lt;&gt;"",'Hàng hóa'!C120="Topping",'Hàng hóa'!I120="Có"),'Hàng hóa'!B120,"")</f>
        <v/>
      </c>
      <c r="S108" s="18"/>
      <c r="T108" s="18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18" t="str">
        <f>IF(AND('Hàng hóa'!B121&lt;&gt;"",'Hàng hóa'!C121="Topping",'Hàng hóa'!I121="Có"),'Hàng hóa'!B121,"")</f>
        <v/>
      </c>
      <c r="S109" s="18"/>
      <c r="T109" s="18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18" t="str">
        <f>IF(AND('Hàng hóa'!B122&lt;&gt;"",'Hàng hóa'!C122="Topping",'Hàng hóa'!I122="Có"),'Hàng hóa'!B122,"")</f>
        <v/>
      </c>
      <c r="S110" s="18"/>
      <c r="T110" s="18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18" t="str">
        <f>IF(AND('Hàng hóa'!B123&lt;&gt;"",'Hàng hóa'!C123="Topping",'Hàng hóa'!I123="Có"),'Hàng hóa'!B123,"")</f>
        <v/>
      </c>
      <c r="S111" s="18"/>
      <c r="T111" s="18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18" t="str">
        <f>IF(AND('Hàng hóa'!B124&lt;&gt;"",'Hàng hóa'!C124="Topping",'Hàng hóa'!I124="Có"),'Hàng hóa'!B124,"")</f>
        <v/>
      </c>
      <c r="S112" s="18"/>
      <c r="T112" s="18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18" t="str">
        <f>IF(AND('Hàng hóa'!B125&lt;&gt;"",'Hàng hóa'!C125="Topping",'Hàng hóa'!I125="Có"),'Hàng hóa'!B125,"")</f>
        <v/>
      </c>
      <c r="S113" s="18"/>
      <c r="T113" s="18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18" t="str">
        <f>IF(AND('Hàng hóa'!B126&lt;&gt;"",'Hàng hóa'!C126="Topping",'Hàng hóa'!I126="Có"),'Hàng hóa'!B126,"")</f>
        <v/>
      </c>
      <c r="S114" s="18"/>
      <c r="T114" s="18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18" t="str">
        <f>IF(AND('Hàng hóa'!B127&lt;&gt;"",'Hàng hóa'!C127="Topping",'Hàng hóa'!I127="Có"),'Hàng hóa'!B127,"")</f>
        <v/>
      </c>
      <c r="S115" s="18"/>
      <c r="T115" s="18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18" t="str">
        <f>IF(AND('Hàng hóa'!B128&lt;&gt;"",'Hàng hóa'!C128="Topping",'Hàng hóa'!I128="Có"),'Hàng hóa'!B128,"")</f>
        <v/>
      </c>
      <c r="S116" s="18"/>
      <c r="T116" s="18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18" t="str">
        <f>IF(AND('Hàng hóa'!B129&lt;&gt;"",'Hàng hóa'!C129="Topping",'Hàng hóa'!I129="Có"),'Hàng hóa'!B129,"")</f>
        <v/>
      </c>
      <c r="S117" s="18"/>
      <c r="T117" s="18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18" t="str">
        <f>IF(AND('Hàng hóa'!B130&lt;&gt;"",'Hàng hóa'!C130="Topping",'Hàng hóa'!I130="Có"),'Hàng hóa'!B130,"")</f>
        <v/>
      </c>
      <c r="S118" s="18"/>
      <c r="T118" s="18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18" t="str">
        <f>IF(AND('Hàng hóa'!B131&lt;&gt;"",'Hàng hóa'!C131="Topping",'Hàng hóa'!I131="Có"),'Hàng hóa'!B131,"")</f>
        <v/>
      </c>
      <c r="S119" s="18"/>
      <c r="T119" s="18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18" t="str">
        <f>IF(AND('Hàng hóa'!B132&lt;&gt;"",'Hàng hóa'!C132="Topping",'Hàng hóa'!I132="Có"),'Hàng hóa'!B132,"")</f>
        <v/>
      </c>
      <c r="S120" s="18"/>
      <c r="T120" s="18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18" t="str">
        <f>IF(AND('Hàng hóa'!B133&lt;&gt;"",'Hàng hóa'!C133="Topping",'Hàng hóa'!I133="Có"),'Hàng hóa'!B133,"")</f>
        <v/>
      </c>
      <c r="S121" s="18"/>
      <c r="T121" s="18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18" t="str">
        <f>IF(AND('Hàng hóa'!B134&lt;&gt;"",'Hàng hóa'!C134="Topping",'Hàng hóa'!I134="Có"),'Hàng hóa'!B134,"")</f>
        <v/>
      </c>
      <c r="S122" s="18"/>
      <c r="T122" s="18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18" t="str">
        <f>IF(AND('Hàng hóa'!B135&lt;&gt;"",'Hàng hóa'!C135="Topping",'Hàng hóa'!I135="Có"),'Hàng hóa'!B135,"")</f>
        <v/>
      </c>
      <c r="S123" s="18"/>
      <c r="T123" s="18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18" t="str">
        <f>IF(AND('Hàng hóa'!B136&lt;&gt;"",'Hàng hóa'!C136="Topping",'Hàng hóa'!I136="Có"),'Hàng hóa'!B136,"")</f>
        <v/>
      </c>
      <c r="S124" s="18"/>
      <c r="T124" s="18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18" t="str">
        <f>IF(AND('Hàng hóa'!B137&lt;&gt;"",'Hàng hóa'!C137="Topping",'Hàng hóa'!I137="Có"),'Hàng hóa'!B137,"")</f>
        <v/>
      </c>
      <c r="S125" s="18"/>
      <c r="T125" s="18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18" t="str">
        <f>IF(AND('Hàng hóa'!B138&lt;&gt;"",'Hàng hóa'!C138="Topping",'Hàng hóa'!I138="Có"),'Hàng hóa'!B138,"")</f>
        <v/>
      </c>
      <c r="S126" s="18"/>
      <c r="T126" s="18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18" t="str">
        <f>IF(AND('Hàng hóa'!B139&lt;&gt;"",'Hàng hóa'!C139="Topping",'Hàng hóa'!I139="Có"),'Hàng hóa'!B139,"")</f>
        <v/>
      </c>
      <c r="S127" s="18"/>
      <c r="T127" s="18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18" t="str">
        <f>IF(AND('Hàng hóa'!B140&lt;&gt;"",'Hàng hóa'!C140="Topping",'Hàng hóa'!I140="Có"),'Hàng hóa'!B140,"")</f>
        <v/>
      </c>
      <c r="S128" s="18"/>
      <c r="T128" s="18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18" t="str">
        <f>IF(AND('Hàng hóa'!B141&lt;&gt;"",'Hàng hóa'!C141="Topping",'Hàng hóa'!I141="Có"),'Hàng hóa'!B141,"")</f>
        <v/>
      </c>
      <c r="S129" s="18"/>
      <c r="T129" s="18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18" t="str">
        <f>IF(AND('Hàng hóa'!B142&lt;&gt;"",'Hàng hóa'!C142="Topping",'Hàng hóa'!I142="Có"),'Hàng hóa'!B142,"")</f>
        <v/>
      </c>
      <c r="S130" s="18"/>
      <c r="T130" s="18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18" t="str">
        <f>IF(AND('Hàng hóa'!B143&lt;&gt;"",'Hàng hóa'!C143="Topping",'Hàng hóa'!I143="Có"),'Hàng hóa'!B143,"")</f>
        <v/>
      </c>
      <c r="S131" s="18"/>
      <c r="T131" s="18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18" t="str">
        <f>IF(AND('Hàng hóa'!B144&lt;&gt;"",'Hàng hóa'!C144="Topping",'Hàng hóa'!I144="Có"),'Hàng hóa'!B144,"")</f>
        <v/>
      </c>
      <c r="S132" s="18"/>
      <c r="T132" s="18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18" t="str">
        <f>IF(AND('Hàng hóa'!B145&lt;&gt;"",'Hàng hóa'!C145="Topping",'Hàng hóa'!I145="Có"),'Hàng hóa'!B145,"")</f>
        <v/>
      </c>
      <c r="S133" s="18"/>
      <c r="T133" s="18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18" t="str">
        <f>IF(AND('Hàng hóa'!B146&lt;&gt;"",'Hàng hóa'!C146="Topping",'Hàng hóa'!I146="Có"),'Hàng hóa'!B146,"")</f>
        <v/>
      </c>
      <c r="S134" s="18"/>
      <c r="T134" s="18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18" t="str">
        <f>IF(AND('Hàng hóa'!B147&lt;&gt;"",'Hàng hóa'!C147="Topping",'Hàng hóa'!I147="Có"),'Hàng hóa'!B147,"")</f>
        <v/>
      </c>
      <c r="S135" s="18"/>
      <c r="T135" s="18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18" t="str">
        <f>IF(AND('Hàng hóa'!B148&lt;&gt;"",'Hàng hóa'!C148="Topping",'Hàng hóa'!I148="Có"),'Hàng hóa'!B148,"")</f>
        <v/>
      </c>
      <c r="S136" s="18"/>
      <c r="T136" s="18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18" t="str">
        <f>IF(AND('Hàng hóa'!B149&lt;&gt;"",'Hàng hóa'!C149="Topping",'Hàng hóa'!I149="Có"),'Hàng hóa'!B149,"")</f>
        <v/>
      </c>
      <c r="S137" s="18"/>
      <c r="T137" s="18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18" t="str">
        <f>IF(AND('Hàng hóa'!B150&lt;&gt;"",'Hàng hóa'!C150="Topping",'Hàng hóa'!I150="Có"),'Hàng hóa'!B150,"")</f>
        <v/>
      </c>
      <c r="S138" s="18"/>
      <c r="T138" s="18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18" t="str">
        <f>IF(AND('Hàng hóa'!B151&lt;&gt;"",'Hàng hóa'!C151="Topping",'Hàng hóa'!I151="Có"),'Hàng hóa'!B151,"")</f>
        <v/>
      </c>
      <c r="S139" s="18"/>
      <c r="T139" s="18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18" t="str">
        <f>IF(AND('Hàng hóa'!B152&lt;&gt;"",'Hàng hóa'!C152="Topping",'Hàng hóa'!I152="Có"),'Hàng hóa'!B152,"")</f>
        <v/>
      </c>
      <c r="S140" s="18"/>
      <c r="T140" s="18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18" t="str">
        <f>IF(AND('Hàng hóa'!B153&lt;&gt;"",'Hàng hóa'!C153="Topping",'Hàng hóa'!I153="Có"),'Hàng hóa'!B153,"")</f>
        <v/>
      </c>
      <c r="S141" s="18"/>
      <c r="T141" s="18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18" t="str">
        <f>IF(AND('Hàng hóa'!B154&lt;&gt;"",'Hàng hóa'!C154="Topping",'Hàng hóa'!I154="Có"),'Hàng hóa'!B154,"")</f>
        <v/>
      </c>
      <c r="S142" s="18"/>
      <c r="T142" s="18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18" t="str">
        <f>IF(AND('Hàng hóa'!B155&lt;&gt;"",'Hàng hóa'!C155="Topping",'Hàng hóa'!I155="Có"),'Hàng hóa'!B155,"")</f>
        <v/>
      </c>
      <c r="S143" s="18"/>
      <c r="T143" s="18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18" t="str">
        <f>IF(AND('Hàng hóa'!B156&lt;&gt;"",'Hàng hóa'!C156="Topping",'Hàng hóa'!I156="Có"),'Hàng hóa'!B156,"")</f>
        <v/>
      </c>
      <c r="S144" s="18"/>
      <c r="T144" s="18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18" t="str">
        <f>IF(AND('Hàng hóa'!B157&lt;&gt;"",'Hàng hóa'!C157="Topping",'Hàng hóa'!I157="Có"),'Hàng hóa'!B157,"")</f>
        <v/>
      </c>
      <c r="S145" s="18"/>
      <c r="T145" s="18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18" t="str">
        <f>IF(AND('Hàng hóa'!B158&lt;&gt;"",'Hàng hóa'!C158="Topping",'Hàng hóa'!I158="Có"),'Hàng hóa'!B158,"")</f>
        <v/>
      </c>
      <c r="S146" s="18"/>
      <c r="T146" s="18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18" t="str">
        <f>IF(AND('Hàng hóa'!B159&lt;&gt;"",'Hàng hóa'!C159="Topping",'Hàng hóa'!I159="Có"),'Hàng hóa'!B159,"")</f>
        <v/>
      </c>
      <c r="S147" s="18"/>
      <c r="T147" s="18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18" t="str">
        <f>IF(AND('Hàng hóa'!B160&lt;&gt;"",'Hàng hóa'!C160="Topping",'Hàng hóa'!I160="Có"),'Hàng hóa'!B160,"")</f>
        <v/>
      </c>
      <c r="S148" s="18"/>
      <c r="T148" s="18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18" t="str">
        <f>IF(AND('Hàng hóa'!B161&lt;&gt;"",'Hàng hóa'!C161="Topping",'Hàng hóa'!I161="Có"),'Hàng hóa'!B161,"")</f>
        <v/>
      </c>
      <c r="S149" s="18"/>
      <c r="T149" s="18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18" t="str">
        <f>IF(AND('Hàng hóa'!B162&lt;&gt;"",'Hàng hóa'!C162="Topping",'Hàng hóa'!I162="Có"),'Hàng hóa'!B162,"")</f>
        <v/>
      </c>
      <c r="S150" s="18"/>
      <c r="T150" s="18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18" t="str">
        <f>IF(AND('Hàng hóa'!B163&lt;&gt;"",'Hàng hóa'!C163="Topping",'Hàng hóa'!I163="Có"),'Hàng hóa'!B163,"")</f>
        <v/>
      </c>
      <c r="S151" s="18"/>
      <c r="T151" s="18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18" t="str">
        <f>IF(AND('Hàng hóa'!B164&lt;&gt;"",'Hàng hóa'!C164="Topping",'Hàng hóa'!I164="Có"),'Hàng hóa'!B164,"")</f>
        <v/>
      </c>
      <c r="S152" s="18"/>
      <c r="T152" s="18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18" t="str">
        <f>IF(AND('Hàng hóa'!B165&lt;&gt;"",'Hàng hóa'!C165="Topping",'Hàng hóa'!I165="Có"),'Hàng hóa'!B165,"")</f>
        <v/>
      </c>
      <c r="S153" s="18"/>
      <c r="T153" s="18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18" t="str">
        <f>IF(AND('Hàng hóa'!B166&lt;&gt;"",'Hàng hóa'!C166="Topping",'Hàng hóa'!I166="Có"),'Hàng hóa'!B166,"")</f>
        <v/>
      </c>
      <c r="S154" s="18"/>
      <c r="T154" s="18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18" t="str">
        <f>IF(AND('Hàng hóa'!B167&lt;&gt;"",'Hàng hóa'!C167="Topping",'Hàng hóa'!I167="Có"),'Hàng hóa'!B167,"")</f>
        <v/>
      </c>
      <c r="S155" s="18"/>
      <c r="T155" s="18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18" t="str">
        <f>IF(AND('Hàng hóa'!B168&lt;&gt;"",'Hàng hóa'!C168="Topping",'Hàng hóa'!I168="Có"),'Hàng hóa'!B168,"")</f>
        <v/>
      </c>
      <c r="S156" s="18"/>
      <c r="T156" s="18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18" t="str">
        <f>IF(AND('Hàng hóa'!B169&lt;&gt;"",'Hàng hóa'!C169="Topping",'Hàng hóa'!I169="Có"),'Hàng hóa'!B169,"")</f>
        <v/>
      </c>
      <c r="S157" s="18"/>
      <c r="T157" s="18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18" t="str">
        <f>IF(AND('Hàng hóa'!B170&lt;&gt;"",'Hàng hóa'!C170="Topping",'Hàng hóa'!I170="Có"),'Hàng hóa'!B170,"")</f>
        <v/>
      </c>
      <c r="S158" s="18"/>
      <c r="T158" s="18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18" t="str">
        <f>IF(AND('Hàng hóa'!B171&lt;&gt;"",'Hàng hóa'!C171="Topping",'Hàng hóa'!I171="Có"),'Hàng hóa'!B171,"")</f>
        <v/>
      </c>
      <c r="S159" s="18"/>
      <c r="T159" s="18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18" t="str">
        <f>IF(AND('Hàng hóa'!B172&lt;&gt;"",'Hàng hóa'!C172="Topping",'Hàng hóa'!I172="Có"),'Hàng hóa'!B172,"")</f>
        <v/>
      </c>
      <c r="S160" s="18"/>
      <c r="T160" s="18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18" t="str">
        <f>IF(AND('Hàng hóa'!B173&lt;&gt;"",'Hàng hóa'!C173="Topping",'Hàng hóa'!I173="Có"),'Hàng hóa'!B173,"")</f>
        <v/>
      </c>
      <c r="S161" s="18"/>
      <c r="T161" s="18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18" t="str">
        <f>IF(AND('Hàng hóa'!B174&lt;&gt;"",'Hàng hóa'!C174="Topping",'Hàng hóa'!I174="Có"),'Hàng hóa'!B174,"")</f>
        <v/>
      </c>
      <c r="S162" s="18"/>
      <c r="T162" s="18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18" t="str">
        <f>IF(AND('Hàng hóa'!B175&lt;&gt;"",'Hàng hóa'!C175="Topping",'Hàng hóa'!I175="Có"),'Hàng hóa'!B175,"")</f>
        <v/>
      </c>
      <c r="S163" s="18"/>
      <c r="T163" s="18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18" t="str">
        <f>IF(AND('Hàng hóa'!B176&lt;&gt;"",'Hàng hóa'!C176="Topping",'Hàng hóa'!I176="Có"),'Hàng hóa'!B176,"")</f>
        <v/>
      </c>
      <c r="S164" s="18"/>
      <c r="T164" s="18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18" t="str">
        <f>IF(AND('Hàng hóa'!B177&lt;&gt;"",'Hàng hóa'!C177="Topping",'Hàng hóa'!I177="Có"),'Hàng hóa'!B177,"")</f>
        <v/>
      </c>
      <c r="S165" s="18"/>
      <c r="T165" s="18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18" t="str">
        <f>IF(AND('Hàng hóa'!B178&lt;&gt;"",'Hàng hóa'!C178="Topping",'Hàng hóa'!I178="Có"),'Hàng hóa'!B178,"")</f>
        <v/>
      </c>
      <c r="S166" s="18"/>
      <c r="T166" s="18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18" t="str">
        <f>IF(AND('Hàng hóa'!B179&lt;&gt;"",'Hàng hóa'!C179="Topping",'Hàng hóa'!I179="Có"),'Hàng hóa'!B179,"")</f>
        <v/>
      </c>
      <c r="S167" s="18"/>
      <c r="T167" s="18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18" t="str">
        <f>IF(AND('Hàng hóa'!B180&lt;&gt;"",'Hàng hóa'!C180="Topping",'Hàng hóa'!I180="Có"),'Hàng hóa'!B180,"")</f>
        <v/>
      </c>
      <c r="S168" s="18"/>
      <c r="T168" s="18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18" t="str">
        <f>IF(AND('Hàng hóa'!B181&lt;&gt;"",'Hàng hóa'!C181="Topping",'Hàng hóa'!I181="Có"),'Hàng hóa'!B181,"")</f>
        <v/>
      </c>
      <c r="S169" s="18"/>
      <c r="T169" s="18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18" t="str">
        <f>IF(AND('Hàng hóa'!B182&lt;&gt;"",'Hàng hóa'!C182="Topping",'Hàng hóa'!I182="Có"),'Hàng hóa'!B182,"")</f>
        <v/>
      </c>
      <c r="S170" s="18"/>
      <c r="T170" s="18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18" t="str">
        <f>IF(AND('Hàng hóa'!B183&lt;&gt;"",'Hàng hóa'!C183="Topping",'Hàng hóa'!I183="Có"),'Hàng hóa'!B183,"")</f>
        <v/>
      </c>
      <c r="S171" s="18"/>
      <c r="T171" s="18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18" t="str">
        <f>IF(AND('Hàng hóa'!B184&lt;&gt;"",'Hàng hóa'!C184="Topping",'Hàng hóa'!I184="Có"),'Hàng hóa'!B184,"")</f>
        <v/>
      </c>
      <c r="S172" s="18"/>
      <c r="T172" s="18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18" t="str">
        <f>IF(AND('Hàng hóa'!B185&lt;&gt;"",'Hàng hóa'!C185="Topping",'Hàng hóa'!I185="Có"),'Hàng hóa'!B185,"")</f>
        <v/>
      </c>
      <c r="S173" s="18"/>
      <c r="T173" s="18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18" t="str">
        <f>IF(AND('Hàng hóa'!B186&lt;&gt;"",'Hàng hóa'!C186="Topping",'Hàng hóa'!I186="Có"),'Hàng hóa'!B186,"")</f>
        <v/>
      </c>
      <c r="S174" s="18"/>
      <c r="T174" s="18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18" t="str">
        <f>IF(AND('Hàng hóa'!B187&lt;&gt;"",'Hàng hóa'!C187="Topping",'Hàng hóa'!I187="Có"),'Hàng hóa'!B187,"")</f>
        <v/>
      </c>
      <c r="S175" s="18"/>
      <c r="T175" s="18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18" t="str">
        <f>IF(AND('Hàng hóa'!B188&lt;&gt;"",'Hàng hóa'!C188="Topping",'Hàng hóa'!I188="Có"),'Hàng hóa'!B188,"")</f>
        <v/>
      </c>
      <c r="S176" s="18"/>
      <c r="T176" s="18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18" t="str">
        <f>IF(AND('Hàng hóa'!B189&lt;&gt;"",'Hàng hóa'!C189="Topping",'Hàng hóa'!I189="Có"),'Hàng hóa'!B189,"")</f>
        <v/>
      </c>
      <c r="S177" s="18"/>
      <c r="T177" s="18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18" t="str">
        <f>IF(AND('Hàng hóa'!B190&lt;&gt;"",'Hàng hóa'!C190="Topping",'Hàng hóa'!I190="Có"),'Hàng hóa'!B190,"")</f>
        <v/>
      </c>
      <c r="S178" s="18"/>
      <c r="T178" s="18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18" t="str">
        <f>IF(AND('Hàng hóa'!B191&lt;&gt;"",'Hàng hóa'!C191="Topping",'Hàng hóa'!I191="Có"),'Hàng hóa'!B191,"")</f>
        <v/>
      </c>
      <c r="S179" s="18"/>
      <c r="T179" s="18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18" t="str">
        <f>IF(AND('Hàng hóa'!B192&lt;&gt;"",'Hàng hóa'!C192="Topping",'Hàng hóa'!I192="Có"),'Hàng hóa'!B192,"")</f>
        <v/>
      </c>
      <c r="S180" s="18"/>
      <c r="T180" s="18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18" t="str">
        <f>IF(AND('Hàng hóa'!B193&lt;&gt;"",'Hàng hóa'!C193="Topping",'Hàng hóa'!I193="Có"),'Hàng hóa'!B193,"")</f>
        <v/>
      </c>
      <c r="S181" s="18"/>
      <c r="T181" s="18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18" t="str">
        <f>IF(AND('Hàng hóa'!B194&lt;&gt;"",'Hàng hóa'!C194="Topping",'Hàng hóa'!I194="Có"),'Hàng hóa'!B194,"")</f>
        <v/>
      </c>
      <c r="S182" s="18"/>
      <c r="T182" s="18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18" t="str">
        <f>IF(AND('Hàng hóa'!B195&lt;&gt;"",'Hàng hóa'!C195="Topping",'Hàng hóa'!I195="Có"),'Hàng hóa'!B195,"")</f>
        <v/>
      </c>
      <c r="S183" s="18"/>
      <c r="T183" s="18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18" t="str">
        <f>IF(AND('Hàng hóa'!B196&lt;&gt;"",'Hàng hóa'!C196="Topping",'Hàng hóa'!I196="Có"),'Hàng hóa'!B196,"")</f>
        <v/>
      </c>
      <c r="S184" s="18"/>
      <c r="T184" s="18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18" t="str">
        <f>IF(AND('Hàng hóa'!B197&lt;&gt;"",'Hàng hóa'!C197="Topping",'Hàng hóa'!I197="Có"),'Hàng hóa'!B197,"")</f>
        <v/>
      </c>
      <c r="S185" s="18"/>
      <c r="T185" s="18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18" t="str">
        <f>IF(AND('Hàng hóa'!B198&lt;&gt;"",'Hàng hóa'!C198="Topping",'Hàng hóa'!I198="Có"),'Hàng hóa'!B198,"")</f>
        <v/>
      </c>
      <c r="S186" s="18"/>
      <c r="T186" s="18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18" t="str">
        <f>IF(AND('Hàng hóa'!B199&lt;&gt;"",'Hàng hóa'!C199="Topping",'Hàng hóa'!I199="Có"),'Hàng hóa'!B199,"")</f>
        <v/>
      </c>
      <c r="S187" s="18"/>
      <c r="T187" s="18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18" t="str">
        <f>IF(AND('Hàng hóa'!B200&lt;&gt;"",'Hàng hóa'!C200="Topping",'Hàng hóa'!I200="Có"),'Hàng hóa'!B200,"")</f>
        <v/>
      </c>
      <c r="S188" s="18"/>
      <c r="T188" s="18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18" t="str">
        <f>IF(AND('Hàng hóa'!B201&lt;&gt;"",'Hàng hóa'!C201="Topping",'Hàng hóa'!I201="Có"),'Hàng hóa'!B201,"")</f>
        <v/>
      </c>
      <c r="S189" s="18"/>
      <c r="T189" s="18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18" t="str">
        <f>IF(AND('Hàng hóa'!B202&lt;&gt;"",'Hàng hóa'!C202="Topping",'Hàng hóa'!I202="Có"),'Hàng hóa'!B202,"")</f>
        <v/>
      </c>
      <c r="S190" s="18"/>
      <c r="T190" s="18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18" t="str">
        <f>IF(AND('Hàng hóa'!B203&lt;&gt;"",'Hàng hóa'!C203="Topping",'Hàng hóa'!I203="Có"),'Hàng hóa'!B203,"")</f>
        <v/>
      </c>
      <c r="S191" s="18"/>
      <c r="T191" s="18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18" t="str">
        <f>IF(AND('Hàng hóa'!B193&lt;&gt;"",'Hàng hóa'!C193="Topping",'Hàng hóa'!I193="Có"),'Hàng hóa'!B193,"")</f>
        <v/>
      </c>
      <c r="S192" s="18"/>
      <c r="T192" s="18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18" t="str">
        <f>IF(AND('Hàng hóa'!B194&lt;&gt;"",'Hàng hóa'!C194="Topping",'Hàng hóa'!I194="Có"),'Hàng hóa'!B194,"")</f>
        <v/>
      </c>
      <c r="S193" s="18"/>
      <c r="T193" s="18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18" t="str">
        <f>IF(AND('Hàng hóa'!B195&lt;&gt;"",'Hàng hóa'!C195="Topping",'Hàng hóa'!I195="Có"),'Hàng hóa'!B195,"")</f>
        <v/>
      </c>
      <c r="S194" s="18"/>
      <c r="T194" s="18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18" t="str">
        <f>IF(AND('Hàng hóa'!B196&lt;&gt;"",'Hàng hóa'!C196="Topping",'Hàng hóa'!I196="Có"),'Hàng hóa'!B196,"")</f>
        <v/>
      </c>
      <c r="S195" s="18"/>
      <c r="T195" s="18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18" t="str">
        <f>IF(AND('Hàng hóa'!B197&lt;&gt;"",'Hàng hóa'!C197="Topping",'Hàng hóa'!I197="Có"),'Hàng hóa'!B197,"")</f>
        <v/>
      </c>
      <c r="S196" s="18"/>
      <c r="T196" s="18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18" t="str">
        <f>IF(AND('Hàng hóa'!B198&lt;&gt;"",'Hàng hóa'!C198="Topping",'Hàng hóa'!I198="Có"),'Hàng hóa'!B198,"")</f>
        <v/>
      </c>
      <c r="S197" s="18"/>
      <c r="T197" s="18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18" t="str">
        <f>IF(AND('Hàng hóa'!B199&lt;&gt;"",'Hàng hóa'!C199="Topping",'Hàng hóa'!I199="Có"),'Hàng hóa'!B199,"")</f>
        <v/>
      </c>
      <c r="S198" s="18"/>
      <c r="T198" s="18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18" t="str">
        <f>IF(AND('Hàng hóa'!B200&lt;&gt;"",'Hàng hóa'!C200="Topping",'Hàng hóa'!I200="Có"),'Hàng hóa'!B200,"")</f>
        <v/>
      </c>
      <c r="S199" s="18"/>
      <c r="T199" s="18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18" t="str">
        <f>IF(AND('Hàng hóa'!B201&lt;&gt;"",'Hàng hóa'!C201="Topping",'Hàng hóa'!I201="Có"),'Hàng hóa'!B201,"")</f>
        <v/>
      </c>
      <c r="S200" s="18"/>
      <c r="T200" s="18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18" t="str">
        <f>IF(AND('Hàng hóa'!B202&lt;&gt;"",'Hàng hóa'!C202="Topping",'Hàng hóa'!I202="Có"),'Hàng hóa'!B202,"")</f>
        <v/>
      </c>
      <c r="S201" s="18"/>
      <c r="T201" s="18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18" t="str">
        <f>IF(AND('Hàng hóa'!B203&lt;&gt;"",'Hàng hóa'!C203="Topping",'Hàng hóa'!I203="Có"),'Hàng hóa'!B203,"")</f>
        <v/>
      </c>
      <c r="S202" s="18"/>
      <c r="T202" s="18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dataValidations>
    <dataValidation type="list" allowBlank="1" sqref="C4:C103">
      <formula1>$S$3:$S$52</formula1>
    </dataValidation>
    <dataValidation type="list" allowBlank="1" sqref="O4:O103">
      <formula1>$T$3:$T$4</formula1>
    </dataValidation>
    <dataValidation type="list" allowBlank="1" sqref="B4:B103">
      <formula1>$R$3:$R$191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5.0"/>
    <col customWidth="1" min="3" max="3" width="15.0"/>
    <col customWidth="1" min="4" max="5" width="14.0"/>
    <col customWidth="1" min="6" max="6" width="17.0"/>
    <col customWidth="1" min="7" max="7" width="20.0"/>
    <col customWidth="1" min="8" max="8" width="21.0"/>
    <col customWidth="1" min="9" max="9" width="12.0"/>
    <col customWidth="1" min="10" max="10" width="30.0"/>
    <col customWidth="1" min="11" max="11" width="22.0"/>
    <col customWidth="1" min="12" max="12" width="8.63"/>
    <col customWidth="1" min="13" max="13" width="17.75"/>
    <col customWidth="1" min="14" max="14" width="14.13"/>
    <col customWidth="1" min="15" max="26" width="8.63"/>
  </cols>
  <sheetData>
    <row r="1">
      <c r="A1" s="34" t="s">
        <v>132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  <c r="Y1" s="36"/>
      <c r="Z1" s="36"/>
    </row>
    <row r="2">
      <c r="A2" s="8" t="s">
        <v>135</v>
      </c>
      <c r="L2" s="35"/>
      <c r="M2" s="9" t="s">
        <v>136</v>
      </c>
      <c r="N2" s="9" t="s">
        <v>20</v>
      </c>
      <c r="O2" s="9" t="s">
        <v>137</v>
      </c>
      <c r="P2" s="35"/>
      <c r="Q2" s="35"/>
      <c r="R2" s="35"/>
      <c r="S2" s="35"/>
      <c r="T2" s="35"/>
      <c r="U2" s="35"/>
      <c r="V2" s="35"/>
      <c r="W2" s="35"/>
      <c r="X2" s="36"/>
      <c r="Y2" s="36"/>
      <c r="Z2" s="36"/>
    </row>
    <row r="3">
      <c r="A3" s="39" t="s">
        <v>33</v>
      </c>
      <c r="B3" s="39" t="s">
        <v>146</v>
      </c>
      <c r="C3" s="39" t="s">
        <v>136</v>
      </c>
      <c r="D3" s="39" t="s">
        <v>147</v>
      </c>
      <c r="E3" s="39" t="s">
        <v>149</v>
      </c>
      <c r="F3" s="39" t="s">
        <v>151</v>
      </c>
      <c r="G3" s="39" t="s">
        <v>153</v>
      </c>
      <c r="H3" s="39" t="s">
        <v>155</v>
      </c>
      <c r="I3" s="39" t="s">
        <v>20</v>
      </c>
      <c r="J3" s="39" t="s">
        <v>32</v>
      </c>
      <c r="K3" s="39" t="s">
        <v>139</v>
      </c>
      <c r="L3" s="35"/>
      <c r="M3" s="9" t="s">
        <v>160</v>
      </c>
      <c r="N3" s="9" t="s">
        <v>38</v>
      </c>
      <c r="O3" s="9" t="s">
        <v>161</v>
      </c>
      <c r="P3" s="35"/>
      <c r="Q3" s="35"/>
      <c r="R3" s="35"/>
      <c r="S3" s="35"/>
      <c r="T3" s="35"/>
      <c r="U3" s="35"/>
      <c r="V3" s="35"/>
      <c r="W3" s="35"/>
      <c r="X3" s="36"/>
      <c r="Y3" s="36"/>
      <c r="Z3" s="36"/>
    </row>
    <row r="4">
      <c r="A4" s="15" t="s">
        <v>163</v>
      </c>
      <c r="B4" s="15" t="s">
        <v>164</v>
      </c>
      <c r="C4" s="15" t="s">
        <v>160</v>
      </c>
      <c r="D4" s="15" t="s">
        <v>167</v>
      </c>
      <c r="E4" s="41">
        <v>1.0</v>
      </c>
      <c r="F4" s="15" t="s">
        <v>161</v>
      </c>
      <c r="G4" s="42">
        <v>25000.0</v>
      </c>
      <c r="H4" s="46">
        <f>IF(B4="","",IFERROR(IF(SUMIFS('Nhập hàng'!$J$4:$J$503,'Nhập hàng'!$C$4:$C$503,A4)&gt;0,SUMIFS('Nhập hàng'!$K$4:$K$503,'Nhập hàng'!$C$4:$C$503,A4)/SUMIFS('Nhập hàng'!$J$4:$J$503,'Nhập hàng'!$C$4:$C$503,A4),G4/E4),0))</f>
        <v>24250</v>
      </c>
      <c r="I4" s="15" t="s">
        <v>38</v>
      </c>
      <c r="J4" s="15" t="s">
        <v>168</v>
      </c>
      <c r="K4" s="9" t="str">
        <f t="shared" ref="K4:K13" si="1">IF(AND(B4&lt;&gt;"",I4="Có"),B4,"")</f>
        <v>Sữa tươi</v>
      </c>
      <c r="L4" s="35"/>
      <c r="M4" s="9" t="s">
        <v>169</v>
      </c>
      <c r="N4" s="9" t="s">
        <v>71</v>
      </c>
      <c r="O4" s="9" t="s">
        <v>171</v>
      </c>
      <c r="P4" s="35"/>
      <c r="Q4" s="35"/>
      <c r="R4" s="35"/>
      <c r="S4" s="35"/>
      <c r="T4" s="35"/>
      <c r="U4" s="35"/>
      <c r="V4" s="35"/>
      <c r="W4" s="35"/>
      <c r="X4" s="36"/>
      <c r="Y4" s="36"/>
      <c r="Z4" s="36"/>
    </row>
    <row r="5">
      <c r="A5" s="15" t="s">
        <v>172</v>
      </c>
      <c r="B5" s="15" t="s">
        <v>173</v>
      </c>
      <c r="C5" s="15" t="s">
        <v>160</v>
      </c>
      <c r="D5" s="15" t="s">
        <v>175</v>
      </c>
      <c r="E5" s="41">
        <v>1.0</v>
      </c>
      <c r="F5" s="15" t="s">
        <v>161</v>
      </c>
      <c r="G5" s="48">
        <v>158000.0</v>
      </c>
      <c r="H5" s="46">
        <f>IF(B5="","",IFERROR(IF(SUMIFS('Nhập hàng'!$J$4:$J$503,'Nhập hàng'!$C$4:$C$503,A5)&gt;0,SUMIFS('Nhập hàng'!$K$4:$K$503,'Nhập hàng'!$C$4:$C$503,A5)/SUMIFS('Nhập hàng'!$J$4:$J$503,'Nhập hàng'!$C$4:$C$503,A5),G5/E5),0))</f>
        <v>79000</v>
      </c>
      <c r="I5" s="15" t="s">
        <v>38</v>
      </c>
      <c r="J5" s="15" t="s">
        <v>176</v>
      </c>
      <c r="K5" s="9" t="str">
        <f t="shared" si="1"/>
        <v>Whipping cream</v>
      </c>
      <c r="L5" s="35"/>
      <c r="M5" s="9" t="s">
        <v>177</v>
      </c>
      <c r="N5" s="49"/>
      <c r="O5" s="9" t="s">
        <v>178</v>
      </c>
      <c r="P5" s="35"/>
      <c r="Q5" s="35"/>
      <c r="R5" s="35"/>
      <c r="S5" s="35"/>
      <c r="T5" s="35"/>
      <c r="U5" s="35"/>
      <c r="V5" s="35"/>
      <c r="W5" s="35"/>
      <c r="X5" s="36"/>
      <c r="Y5" s="36"/>
      <c r="Z5" s="36"/>
    </row>
    <row r="6">
      <c r="A6" s="15" t="s">
        <v>179</v>
      </c>
      <c r="B6" s="15" t="s">
        <v>180</v>
      </c>
      <c r="C6" s="15" t="s">
        <v>160</v>
      </c>
      <c r="D6" s="15" t="s">
        <v>167</v>
      </c>
      <c r="E6" s="41">
        <v>1.0</v>
      </c>
      <c r="F6" s="15" t="s">
        <v>178</v>
      </c>
      <c r="G6" s="42">
        <v>22000.0</v>
      </c>
      <c r="H6" s="46">
        <f>IF(B6="","",IFERROR(IF(SUMIFS('Nhập hàng'!$J$4:$J$503,'Nhập hàng'!$C$4:$C$503,A6)&gt;0,SUMIFS('Nhập hàng'!$K$4:$K$503,'Nhập hàng'!$C$4:$C$503,A6)/SUMIFS('Nhập hàng'!$J$4:$J$503,'Nhập hàng'!$C$4:$C$503,A6),G6/E6),0))</f>
        <v>25333.33333</v>
      </c>
      <c r="I6" s="15" t="s">
        <v>38</v>
      </c>
      <c r="J6" s="50"/>
      <c r="K6" s="9" t="str">
        <f t="shared" si="1"/>
        <v>Đường</v>
      </c>
      <c r="L6" s="35"/>
      <c r="M6" s="49"/>
      <c r="N6" s="49"/>
      <c r="O6" s="9" t="s">
        <v>184</v>
      </c>
      <c r="P6" s="35"/>
      <c r="Q6" s="35"/>
      <c r="R6" s="35"/>
      <c r="S6" s="35"/>
      <c r="T6" s="35"/>
      <c r="U6" s="35"/>
      <c r="V6" s="35"/>
      <c r="W6" s="35"/>
      <c r="X6" s="36"/>
      <c r="Y6" s="36"/>
      <c r="Z6" s="36"/>
    </row>
    <row r="7">
      <c r="A7" s="15" t="s">
        <v>186</v>
      </c>
      <c r="B7" s="15" t="s">
        <v>70</v>
      </c>
      <c r="C7" s="15" t="s">
        <v>177</v>
      </c>
      <c r="D7" s="15" t="s">
        <v>187</v>
      </c>
      <c r="E7" s="41">
        <v>50.0</v>
      </c>
      <c r="F7" s="15" t="s">
        <v>188</v>
      </c>
      <c r="G7" s="48">
        <v>15000.0</v>
      </c>
      <c r="H7" s="46">
        <f>IF(B7="","",IFERROR(IF(SUMIFS('Nhập hàng'!$J$4:$J$503,'Nhập hàng'!$C$4:$C$503,A7)&gt;0,SUMIFS('Nhập hàng'!$K$4:$K$503,'Nhập hàng'!$C$4:$C$503,A7)/SUMIFS('Nhập hàng'!$J$4:$J$503,'Nhập hàng'!$C$4:$C$503,A7),G7/E7),0))</f>
        <v>300</v>
      </c>
      <c r="I7" s="15" t="s">
        <v>38</v>
      </c>
      <c r="J7" s="15" t="s">
        <v>191</v>
      </c>
      <c r="K7" s="9" t="str">
        <f t="shared" si="1"/>
        <v>Ly size M</v>
      </c>
      <c r="L7" s="35"/>
      <c r="M7" s="49"/>
      <c r="N7" s="49"/>
      <c r="O7" s="9" t="s">
        <v>188</v>
      </c>
      <c r="P7" s="35"/>
      <c r="Q7" s="35"/>
      <c r="R7" s="35"/>
      <c r="S7" s="35"/>
      <c r="T7" s="35"/>
      <c r="U7" s="35"/>
      <c r="V7" s="35"/>
      <c r="W7" s="35"/>
      <c r="X7" s="36"/>
      <c r="Y7" s="36"/>
      <c r="Z7" s="36"/>
    </row>
    <row r="8">
      <c r="A8" s="15" t="s">
        <v>192</v>
      </c>
      <c r="B8" s="15" t="s">
        <v>97</v>
      </c>
      <c r="C8" s="15" t="s">
        <v>177</v>
      </c>
      <c r="D8" s="15" t="s">
        <v>167</v>
      </c>
      <c r="E8" s="41">
        <v>50.0</v>
      </c>
      <c r="F8" s="15" t="s">
        <v>188</v>
      </c>
      <c r="G8" s="48">
        <v>12000.0</v>
      </c>
      <c r="H8" s="46">
        <f>IF(B8="","",IFERROR(IF(SUMIFS('Nhập hàng'!$J$4:$J$503,'Nhập hàng'!$C$4:$C$503,A8)&gt;0,SUMIFS('Nhập hàng'!$K$4:$K$503,'Nhập hàng'!$C$4:$C$503,A8)/SUMIFS('Nhập hàng'!$J$4:$J$503,'Nhập hàng'!$C$4:$C$503,A8),G8/E8),0))</f>
        <v>240</v>
      </c>
      <c r="I8" s="15" t="s">
        <v>38</v>
      </c>
      <c r="J8" s="15" t="s">
        <v>191</v>
      </c>
      <c r="K8" s="9" t="str">
        <f t="shared" si="1"/>
        <v>Nắp size M</v>
      </c>
      <c r="L8" s="35"/>
      <c r="M8" s="49"/>
      <c r="N8" s="49"/>
      <c r="O8" s="51" t="s">
        <v>193</v>
      </c>
      <c r="P8" s="35"/>
      <c r="Q8" s="35"/>
      <c r="R8" s="35"/>
      <c r="S8" s="35"/>
      <c r="T8" s="35"/>
      <c r="U8" s="35"/>
      <c r="V8" s="35"/>
      <c r="W8" s="35"/>
      <c r="X8" s="36"/>
      <c r="Y8" s="36"/>
      <c r="Z8" s="36"/>
    </row>
    <row r="9">
      <c r="A9" s="15" t="s">
        <v>196</v>
      </c>
      <c r="B9" s="15" t="s">
        <v>102</v>
      </c>
      <c r="C9" s="15" t="s">
        <v>177</v>
      </c>
      <c r="D9" s="15" t="s">
        <v>187</v>
      </c>
      <c r="E9" s="41">
        <v>50.0</v>
      </c>
      <c r="F9" s="15" t="s">
        <v>188</v>
      </c>
      <c r="G9" s="48">
        <v>22000.0</v>
      </c>
      <c r="H9" s="46">
        <f>IF(B9="","",IFERROR(IF(SUMIFS('Nhập hàng'!$J$4:$J$503,'Nhập hàng'!$C$4:$C$503,A9)&gt;0,SUMIFS('Nhập hàng'!$K$4:$K$503,'Nhập hàng'!$C$4:$C$503,A9)/SUMIFS('Nhập hàng'!$J$4:$J$503,'Nhập hàng'!$C$4:$C$503,A9),G9/E9),0))</f>
        <v>300</v>
      </c>
      <c r="I9" s="15" t="s">
        <v>38</v>
      </c>
      <c r="J9" s="15" t="s">
        <v>191</v>
      </c>
      <c r="K9" s="9" t="str">
        <f t="shared" si="1"/>
        <v>Ly size L</v>
      </c>
      <c r="L9" s="35"/>
      <c r="M9" s="35"/>
      <c r="N9" s="35"/>
      <c r="O9" s="9" t="s">
        <v>198</v>
      </c>
      <c r="P9" s="35"/>
      <c r="Q9" s="35"/>
      <c r="R9" s="35"/>
      <c r="S9" s="35"/>
      <c r="T9" s="35"/>
      <c r="U9" s="35"/>
      <c r="V9" s="35"/>
      <c r="W9" s="35"/>
      <c r="X9" s="36"/>
      <c r="Y9" s="36"/>
      <c r="Z9" s="36"/>
    </row>
    <row r="10">
      <c r="A10" s="15" t="s">
        <v>199</v>
      </c>
      <c r="B10" s="15" t="s">
        <v>104</v>
      </c>
      <c r="C10" s="15" t="s">
        <v>177</v>
      </c>
      <c r="D10" s="15" t="s">
        <v>167</v>
      </c>
      <c r="E10" s="41">
        <v>50.0</v>
      </c>
      <c r="F10" s="15" t="s">
        <v>188</v>
      </c>
      <c r="G10" s="48">
        <v>12000.0</v>
      </c>
      <c r="H10" s="46">
        <f>IF(B10="","",IFERROR(IF(SUMIFS('Nhập hàng'!$J$4:$J$503,'Nhập hàng'!$C$4:$C$503,A10)&gt;0,SUMIFS('Nhập hàng'!$K$4:$K$503,'Nhập hàng'!$C$4:$C$503,A10)/SUMIFS('Nhập hàng'!$J$4:$J$503,'Nhập hàng'!$C$4:$C$503,A10),G10/E10),0))</f>
        <v>240</v>
      </c>
      <c r="I10" s="15" t="s">
        <v>38</v>
      </c>
      <c r="J10" s="15" t="s">
        <v>191</v>
      </c>
      <c r="K10" s="9" t="str">
        <f t="shared" si="1"/>
        <v>Nắp size L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6"/>
      <c r="Y10" s="36"/>
      <c r="Z10" s="36"/>
    </row>
    <row r="11">
      <c r="A11" s="15" t="s">
        <v>202</v>
      </c>
      <c r="B11" s="15" t="s">
        <v>105</v>
      </c>
      <c r="C11" s="15" t="s">
        <v>177</v>
      </c>
      <c r="D11" s="15" t="s">
        <v>167</v>
      </c>
      <c r="E11" s="41">
        <v>100.0</v>
      </c>
      <c r="F11" s="15" t="s">
        <v>188</v>
      </c>
      <c r="G11" s="42">
        <v>25000.0</v>
      </c>
      <c r="H11" s="46">
        <f>IF(B11="","",IFERROR(IF(SUMIFS('Nhập hàng'!$J$4:$J$503,'Nhập hàng'!$C$4:$C$503,A11)&gt;0,SUMIFS('Nhập hàng'!$K$4:$K$503,'Nhập hàng'!$C$4:$C$503,A11)/SUMIFS('Nhập hàng'!$J$4:$J$503,'Nhập hàng'!$C$4:$C$503,A11),G11/E11),0))</f>
        <v>250</v>
      </c>
      <c r="I11" s="15" t="s">
        <v>38</v>
      </c>
      <c r="J11" s="15" t="s">
        <v>204</v>
      </c>
      <c r="K11" s="9" t="str">
        <f t="shared" si="1"/>
        <v>Ống hút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6"/>
      <c r="Y11" s="36"/>
      <c r="Z11" s="36"/>
    </row>
    <row r="12">
      <c r="A12" s="15" t="s">
        <v>205</v>
      </c>
      <c r="B12" s="15" t="s">
        <v>106</v>
      </c>
      <c r="C12" s="15" t="s">
        <v>177</v>
      </c>
      <c r="D12" s="15" t="s">
        <v>167</v>
      </c>
      <c r="E12" s="41">
        <v>100.0</v>
      </c>
      <c r="F12" s="15" t="s">
        <v>188</v>
      </c>
      <c r="G12" s="42">
        <v>11000.0</v>
      </c>
      <c r="H12" s="46">
        <f>IF(B12="","",IFERROR(IF(SUMIFS('Nhập hàng'!$J$4:$J$503,'Nhập hàng'!$C$4:$C$503,A12)&gt;0,SUMIFS('Nhập hàng'!$K$4:$K$503,'Nhập hàng'!$C$4:$C$503,A12)/SUMIFS('Nhập hàng'!$J$4:$J$503,'Nhập hàng'!$C$4:$C$503,A12),G12/E12),0))</f>
        <v>110</v>
      </c>
      <c r="I12" s="15" t="s">
        <v>38</v>
      </c>
      <c r="J12" s="15" t="s">
        <v>204</v>
      </c>
      <c r="K12" s="9" t="str">
        <f t="shared" si="1"/>
        <v>Muỗng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6"/>
      <c r="Y12" s="36"/>
      <c r="Z12" s="36"/>
    </row>
    <row r="13">
      <c r="A13" s="15" t="s">
        <v>207</v>
      </c>
      <c r="B13" s="15" t="s">
        <v>107</v>
      </c>
      <c r="C13" s="15" t="s">
        <v>177</v>
      </c>
      <c r="D13" s="15" t="s">
        <v>167</v>
      </c>
      <c r="E13" s="41">
        <v>100.0</v>
      </c>
      <c r="F13" s="15" t="s">
        <v>188</v>
      </c>
      <c r="G13" s="42">
        <v>54000.0</v>
      </c>
      <c r="H13" s="46">
        <f>IF(B13="","",IFERROR(IF(SUMIFS('Nhập hàng'!$J$4:$J$503,'Nhập hàng'!$C$4:$C$503,A13)&gt;0,SUMIFS('Nhập hàng'!$K$4:$K$503,'Nhập hàng'!$C$4:$C$503,A13)/SUMIFS('Nhập hàng'!$J$4:$J$503,'Nhập hàng'!$C$4:$C$503,A13),G13/E13),0))</f>
        <v>540</v>
      </c>
      <c r="I13" s="15" t="s">
        <v>38</v>
      </c>
      <c r="J13" s="15" t="s">
        <v>204</v>
      </c>
      <c r="K13" s="9" t="str">
        <f t="shared" si="1"/>
        <v>Túi mang đi</v>
      </c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6"/>
      <c r="Y13" s="36"/>
      <c r="Z13" s="36"/>
    </row>
    <row r="14">
      <c r="A14" s="15"/>
      <c r="B14" s="15"/>
      <c r="C14" s="15"/>
      <c r="D14" s="15"/>
      <c r="E14" s="41"/>
      <c r="F14" s="15"/>
      <c r="G14" s="42"/>
      <c r="H14" s="46"/>
      <c r="I14" s="15"/>
      <c r="J14" s="15"/>
      <c r="K14" s="9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6"/>
      <c r="Y14" s="36"/>
      <c r="Z14" s="36"/>
    </row>
    <row r="15">
      <c r="A15" s="15" t="s">
        <v>209</v>
      </c>
      <c r="B15" s="15" t="s">
        <v>130</v>
      </c>
      <c r="C15" s="15" t="s">
        <v>169</v>
      </c>
      <c r="D15" s="15" t="s">
        <v>210</v>
      </c>
      <c r="E15" s="41">
        <v>400.0</v>
      </c>
      <c r="F15" s="15" t="s">
        <v>184</v>
      </c>
      <c r="G15" s="42">
        <v>95000.0</v>
      </c>
      <c r="H15" s="46">
        <f>IF(B15="","",IFERROR(IF(SUMIFS('Nhập hàng'!$J$4:$J$503,'Nhập hàng'!$C$4:$C$503,A15)&gt;0,SUMIFS('Nhập hàng'!$K$4:$K$503,'Nhập hàng'!$C$4:$C$503,A15)/SUMIFS('Nhập hàng'!$J$4:$J$503,'Nhập hàng'!$C$4:$C$503,A15),G15/E15),0))</f>
        <v>237.5</v>
      </c>
      <c r="I15" s="15" t="s">
        <v>38</v>
      </c>
      <c r="J15" s="15" t="s">
        <v>211</v>
      </c>
      <c r="K15" s="9" t="str">
        <f t="shared" ref="K15:K203" si="2">IF(AND(B15&lt;&gt;"",I15="Có"),B15,"")</f>
        <v>Oreo</v>
      </c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6"/>
      <c r="Y15" s="36"/>
      <c r="Z15" s="36"/>
    </row>
    <row r="16">
      <c r="A16" s="15" t="s">
        <v>213</v>
      </c>
      <c r="B16" s="15" t="s">
        <v>170</v>
      </c>
      <c r="C16" s="15" t="s">
        <v>169</v>
      </c>
      <c r="D16" s="15" t="s">
        <v>210</v>
      </c>
      <c r="E16" s="52">
        <v>275.0</v>
      </c>
      <c r="F16" s="13" t="s">
        <v>184</v>
      </c>
      <c r="G16" s="42">
        <v>29000.0</v>
      </c>
      <c r="H16" s="46">
        <f>IF(B16="","",IFERROR(IF(SUMIFS('Nhập hàng'!$J$4:$J$503,'Nhập hàng'!$C$4:$C$503,A16)&gt;0,SUMIFS('Nhập hàng'!$K$4:$K$503,'Nhập hàng'!$C$4:$C$503,A16)/SUMIFS('Nhập hàng'!$J$4:$J$503,'Nhập hàng'!$C$4:$C$503,A16),G16/E16),0))</f>
        <v>105.4545455</v>
      </c>
      <c r="I16" s="15" t="s">
        <v>38</v>
      </c>
      <c r="J16" s="15" t="s">
        <v>211</v>
      </c>
      <c r="K16" s="9" t="str">
        <f t="shared" si="2"/>
        <v>Dừa non</v>
      </c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6"/>
      <c r="Y16" s="36"/>
      <c r="Z16" s="36"/>
    </row>
    <row r="17">
      <c r="A17" s="15" t="s">
        <v>214</v>
      </c>
      <c r="B17" s="15" t="s">
        <v>182</v>
      </c>
      <c r="C17" s="15" t="s">
        <v>169</v>
      </c>
      <c r="D17" s="15" t="s">
        <v>210</v>
      </c>
      <c r="E17" s="41">
        <v>1.0</v>
      </c>
      <c r="F17" s="15" t="s">
        <v>178</v>
      </c>
      <c r="G17" s="42">
        <v>556100.0</v>
      </c>
      <c r="H17" s="46">
        <f>IF(B17="","",IFERROR(IF(SUMIFS('Nhập hàng'!$J$4:$J$503,'Nhập hàng'!$C$4:$C$503,A17)&gt;0,SUMIFS('Nhập hàng'!$K$4:$K$503,'Nhập hàng'!$C$4:$C$503,A17)/SUMIFS('Nhập hàng'!$J$4:$J$503,'Nhập hàng'!$C$4:$C$503,A17),G17/E17),0))</f>
        <v>396000</v>
      </c>
      <c r="I17" s="15" t="s">
        <v>38</v>
      </c>
      <c r="J17" s="15" t="s">
        <v>211</v>
      </c>
      <c r="K17" s="9" t="str">
        <f t="shared" si="2"/>
        <v>Dâu giòn</v>
      </c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6"/>
      <c r="Y17" s="36"/>
      <c r="Z17" s="36"/>
    </row>
    <row r="18">
      <c r="A18" s="15" t="s">
        <v>221</v>
      </c>
      <c r="B18" s="15" t="s">
        <v>194</v>
      </c>
      <c r="C18" s="15" t="s">
        <v>169</v>
      </c>
      <c r="D18" s="15" t="s">
        <v>210</v>
      </c>
      <c r="E18" s="41">
        <v>1.0</v>
      </c>
      <c r="F18" s="15" t="s">
        <v>178</v>
      </c>
      <c r="G18" s="42">
        <v>323700.0</v>
      </c>
      <c r="H18" s="46">
        <f>IF(B18="","",IFERROR(IF(SUMIFS('Nhập hàng'!$J$4:$J$503,'Nhập hàng'!$C$4:$C$503,A18)&gt;0,SUMIFS('Nhập hàng'!$K$4:$K$503,'Nhập hàng'!$C$4:$C$503,A18)/SUMIFS('Nhập hàng'!$J$4:$J$503,'Nhập hàng'!$C$4:$C$503,A18),G18/E18),0))</f>
        <v>323700</v>
      </c>
      <c r="I18" s="15" t="s">
        <v>38</v>
      </c>
      <c r="J18" s="15" t="s">
        <v>211</v>
      </c>
      <c r="K18" s="9" t="str">
        <f t="shared" si="2"/>
        <v>Sữa chua sấy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6"/>
      <c r="Y18" s="36"/>
      <c r="Z18" s="36"/>
    </row>
    <row r="19">
      <c r="A19" s="15" t="s">
        <v>222</v>
      </c>
      <c r="B19" s="15" t="s">
        <v>201</v>
      </c>
      <c r="C19" s="15" t="s">
        <v>169</v>
      </c>
      <c r="D19" s="15" t="s">
        <v>210</v>
      </c>
      <c r="E19" s="52">
        <v>0.3</v>
      </c>
      <c r="F19" s="13" t="s">
        <v>178</v>
      </c>
      <c r="G19" s="42">
        <v>107000.0</v>
      </c>
      <c r="H19" s="46">
        <f>IF(B19="","",IFERROR(IF(SUMIFS('Nhập hàng'!$J$4:$J$503,'Nhập hàng'!$C$4:$C$503,A19)&gt;0,SUMIFS('Nhập hàng'!$K$4:$K$503,'Nhập hàng'!$C$4:$C$503,A19)/SUMIFS('Nhập hàng'!$J$4:$J$503,'Nhập hàng'!$C$4:$C$503,A19),G19/E19),0))</f>
        <v>285333.3333</v>
      </c>
      <c r="I19" s="15" t="s">
        <v>38</v>
      </c>
      <c r="J19" s="15" t="s">
        <v>211</v>
      </c>
      <c r="K19" s="9" t="str">
        <f t="shared" si="2"/>
        <v>Choco Ball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6"/>
      <c r="Y19" s="36"/>
      <c r="Z19" s="36"/>
    </row>
    <row r="20">
      <c r="A20" s="23" t="str">
        <f t="shared" ref="A20:A203" si="3">IF(B20="","",IF(C20="Topping","TP-",IF(C20="Bao bì","BB-","NL-"))&amp;TEXT(ROW()-3,"000"))</f>
        <v>BB-017</v>
      </c>
      <c r="B20" s="53" t="s">
        <v>223</v>
      </c>
      <c r="C20" s="53" t="s">
        <v>177</v>
      </c>
      <c r="D20" s="53" t="s">
        <v>225</v>
      </c>
      <c r="E20" s="53">
        <v>1.0</v>
      </c>
      <c r="F20" s="53" t="s">
        <v>193</v>
      </c>
      <c r="G20" s="12">
        <v>19000.0</v>
      </c>
      <c r="H20" s="19">
        <f>IF(B20="","",IFERROR(IF(SUMIFS('Nhập hàng'!$J$4:$J$503,'Nhập hàng'!$C$4:$C$503,A20)&gt;0,SUMIFS('Nhập hàng'!$K$4:$K$503,'Nhập hàng'!$C$4:$C$503,A20)/SUMIFS('Nhập hàng'!$J$4:$J$503,'Nhập hàng'!$C$4:$C$503,A20),G20/E20),0))</f>
        <v>19000</v>
      </c>
      <c r="I20" s="53" t="s">
        <v>38</v>
      </c>
      <c r="J20" s="23"/>
      <c r="K20" s="18" t="str">
        <f t="shared" si="2"/>
        <v>Màng Wrap nhỏ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23" t="str">
        <f t="shared" si="3"/>
        <v/>
      </c>
      <c r="B21" s="23"/>
      <c r="C21" s="23"/>
      <c r="D21" s="23"/>
      <c r="E21" s="23"/>
      <c r="F21" s="23"/>
      <c r="G21" s="7"/>
      <c r="H21" s="19" t="str">
        <f>IF(B21="","",IFERROR(IF(SUMIFS('Nhập hàng'!$J$4:$J$503,'Nhập hàng'!$C$4:$C$503,A21)&gt;0,SUMIFS('Nhập hàng'!$K$4:$K$503,'Nhập hàng'!$C$4:$C$503,A21)/SUMIFS('Nhập hàng'!$J$4:$J$503,'Nhập hàng'!$C$4:$C$503,A21),G21/E21),0))</f>
        <v/>
      </c>
      <c r="I21" s="23"/>
      <c r="J21" s="23"/>
      <c r="K21" s="18" t="str">
        <f t="shared" si="2"/>
        <v/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3" t="str">
        <f t="shared" si="3"/>
        <v/>
      </c>
      <c r="B22" s="23"/>
      <c r="C22" s="23"/>
      <c r="D22" s="23"/>
      <c r="E22" s="23"/>
      <c r="F22" s="23"/>
      <c r="G22" s="7"/>
      <c r="H22" s="19" t="str">
        <f>IF(B22="","",IFERROR(IF(SUMIFS('Nhập hàng'!$J$4:$J$503,'Nhập hàng'!$C$4:$C$503,A22)&gt;0,SUMIFS('Nhập hàng'!$K$4:$K$503,'Nhập hàng'!$C$4:$C$503,A22)/SUMIFS('Nhập hàng'!$J$4:$J$503,'Nhập hàng'!$C$4:$C$503,A22),G22/E22),0))</f>
        <v/>
      </c>
      <c r="I22" s="23"/>
      <c r="J22" s="23"/>
      <c r="K22" s="18" t="str">
        <f t="shared" si="2"/>
        <v/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3" t="str">
        <f t="shared" si="3"/>
        <v/>
      </c>
      <c r="B23" s="23"/>
      <c r="C23" s="23"/>
      <c r="D23" s="23"/>
      <c r="E23" s="23"/>
      <c r="F23" s="23"/>
      <c r="G23" s="7"/>
      <c r="H23" s="19" t="str">
        <f>IF(B23="","",IFERROR(IF(SUMIFS('Nhập hàng'!$J$4:$J$503,'Nhập hàng'!$C$4:$C$503,A23)&gt;0,SUMIFS('Nhập hàng'!$K$4:$K$503,'Nhập hàng'!$C$4:$C$503,A23)/SUMIFS('Nhập hàng'!$J$4:$J$503,'Nhập hàng'!$C$4:$C$503,A23),G23/E23),0))</f>
        <v/>
      </c>
      <c r="I23" s="23"/>
      <c r="J23" s="23"/>
      <c r="K23" s="18" t="str">
        <f t="shared" si="2"/>
        <v/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3" t="str">
        <f t="shared" si="3"/>
        <v/>
      </c>
      <c r="B24" s="23"/>
      <c r="C24" s="23"/>
      <c r="D24" s="23"/>
      <c r="E24" s="23"/>
      <c r="F24" s="23"/>
      <c r="G24" s="7"/>
      <c r="H24" s="19" t="str">
        <f>IF(B24="","",IFERROR(IF(SUMIFS('Nhập hàng'!$J$4:$J$503,'Nhập hàng'!$C$4:$C$503,A24)&gt;0,SUMIFS('Nhập hàng'!$K$4:$K$503,'Nhập hàng'!$C$4:$C$503,A24)/SUMIFS('Nhập hàng'!$J$4:$J$503,'Nhập hàng'!$C$4:$C$503,A24),G24/E24),0))</f>
        <v/>
      </c>
      <c r="I24" s="23"/>
      <c r="J24" s="23"/>
      <c r="K24" s="18" t="str">
        <f t="shared" si="2"/>
        <v/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3" t="str">
        <f t="shared" si="3"/>
        <v/>
      </c>
      <c r="B25" s="23"/>
      <c r="C25" s="23"/>
      <c r="D25" s="23"/>
      <c r="E25" s="23"/>
      <c r="F25" s="23"/>
      <c r="G25" s="7"/>
      <c r="H25" s="19" t="str">
        <f>IF(B25="","",IFERROR(IF(SUMIFS('Nhập hàng'!$J$4:$J$503,'Nhập hàng'!$C$4:$C$503,A25)&gt;0,SUMIFS('Nhập hàng'!$K$4:$K$503,'Nhập hàng'!$C$4:$C$503,A25)/SUMIFS('Nhập hàng'!$J$4:$J$503,'Nhập hàng'!$C$4:$C$503,A25),G25/E25),0))</f>
        <v/>
      </c>
      <c r="I25" s="23"/>
      <c r="J25" s="23"/>
      <c r="K25" s="18" t="str">
        <f t="shared" si="2"/>
        <v/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23" t="str">
        <f t="shared" si="3"/>
        <v/>
      </c>
      <c r="B26" s="23"/>
      <c r="C26" s="23"/>
      <c r="D26" s="23"/>
      <c r="E26" s="23"/>
      <c r="F26" s="23"/>
      <c r="G26" s="7"/>
      <c r="H26" s="19" t="str">
        <f>IF(B26="","",IFERROR(IF(SUMIFS('Nhập hàng'!$J$4:$J$503,'Nhập hàng'!$C$4:$C$503,A26)&gt;0,SUMIFS('Nhập hàng'!$K$4:$K$503,'Nhập hàng'!$C$4:$C$503,A26)/SUMIFS('Nhập hàng'!$J$4:$J$503,'Nhập hàng'!$C$4:$C$503,A26),G26/E26),0))</f>
        <v/>
      </c>
      <c r="I26" s="23"/>
      <c r="J26" s="23"/>
      <c r="K26" s="18" t="str">
        <f t="shared" si="2"/>
        <v/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3" t="str">
        <f t="shared" si="3"/>
        <v/>
      </c>
      <c r="B27" s="23"/>
      <c r="C27" s="23"/>
      <c r="D27" s="23"/>
      <c r="E27" s="23"/>
      <c r="F27" s="23"/>
      <c r="G27" s="7"/>
      <c r="H27" s="19" t="str">
        <f>IF(B27="","",IFERROR(IF(SUMIFS('Nhập hàng'!$J$4:$J$503,'Nhập hàng'!$C$4:$C$503,A27)&gt;0,SUMIFS('Nhập hàng'!$K$4:$K$503,'Nhập hàng'!$C$4:$C$503,A27)/SUMIFS('Nhập hàng'!$J$4:$J$503,'Nhập hàng'!$C$4:$C$503,A27),G27/E27),0))</f>
        <v/>
      </c>
      <c r="I27" s="23"/>
      <c r="J27" s="23"/>
      <c r="K27" s="18" t="str">
        <f t="shared" si="2"/>
        <v/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3" t="str">
        <f t="shared" si="3"/>
        <v/>
      </c>
      <c r="B28" s="23"/>
      <c r="C28" s="23"/>
      <c r="D28" s="23"/>
      <c r="E28" s="23"/>
      <c r="F28" s="23"/>
      <c r="G28" s="7"/>
      <c r="H28" s="19" t="str">
        <f>IF(B28="","",IFERROR(IF(SUMIFS('Nhập hàng'!$J$4:$J$503,'Nhập hàng'!$C$4:$C$503,A28)&gt;0,SUMIFS('Nhập hàng'!$K$4:$K$503,'Nhập hàng'!$C$4:$C$503,A28)/SUMIFS('Nhập hàng'!$J$4:$J$503,'Nhập hàng'!$C$4:$C$503,A28),G28/E28),0))</f>
        <v/>
      </c>
      <c r="I28" s="23"/>
      <c r="J28" s="23"/>
      <c r="K28" s="18" t="str">
        <f t="shared" si="2"/>
        <v/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3" t="str">
        <f t="shared" si="3"/>
        <v/>
      </c>
      <c r="B29" s="23"/>
      <c r="C29" s="23"/>
      <c r="D29" s="23"/>
      <c r="E29" s="23"/>
      <c r="F29" s="23"/>
      <c r="G29" s="7"/>
      <c r="H29" s="19" t="str">
        <f>IF(B29="","",IFERROR(IF(SUMIFS('Nhập hàng'!$J$4:$J$503,'Nhập hàng'!$C$4:$C$503,A29)&gt;0,SUMIFS('Nhập hàng'!$K$4:$K$503,'Nhập hàng'!$C$4:$C$503,A29)/SUMIFS('Nhập hàng'!$J$4:$J$503,'Nhập hàng'!$C$4:$C$503,A29),G29/E29),0))</f>
        <v/>
      </c>
      <c r="I29" s="23"/>
      <c r="J29" s="23"/>
      <c r="K29" s="18" t="str">
        <f t="shared" si="2"/>
        <v/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3" t="str">
        <f t="shared" si="3"/>
        <v/>
      </c>
      <c r="B30" s="23"/>
      <c r="C30" s="23"/>
      <c r="D30" s="23"/>
      <c r="E30" s="23"/>
      <c r="F30" s="23"/>
      <c r="G30" s="7"/>
      <c r="H30" s="19" t="str">
        <f>IF(B30="","",IFERROR(IF(SUMIFS('Nhập hàng'!$J$4:$J$503,'Nhập hàng'!$C$4:$C$503,A30)&gt;0,SUMIFS('Nhập hàng'!$K$4:$K$503,'Nhập hàng'!$C$4:$C$503,A30)/SUMIFS('Nhập hàng'!$J$4:$J$503,'Nhập hàng'!$C$4:$C$503,A30),G30/E30),0))</f>
        <v/>
      </c>
      <c r="I30" s="23"/>
      <c r="J30" s="23"/>
      <c r="K30" s="18" t="str">
        <f t="shared" si="2"/>
        <v/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23" t="str">
        <f t="shared" si="3"/>
        <v/>
      </c>
      <c r="B31" s="23"/>
      <c r="C31" s="23"/>
      <c r="D31" s="23"/>
      <c r="E31" s="23"/>
      <c r="F31" s="23"/>
      <c r="G31" s="7"/>
      <c r="H31" s="19" t="str">
        <f>IF(B31="","",IFERROR(IF(SUMIFS('Nhập hàng'!$J$4:$J$503,'Nhập hàng'!$C$4:$C$503,A31)&gt;0,SUMIFS('Nhập hàng'!$K$4:$K$503,'Nhập hàng'!$C$4:$C$503,A31)/SUMIFS('Nhập hàng'!$J$4:$J$503,'Nhập hàng'!$C$4:$C$503,A31),G31/E31),0))</f>
        <v/>
      </c>
      <c r="I31" s="23"/>
      <c r="J31" s="23"/>
      <c r="K31" s="18" t="str">
        <f t="shared" si="2"/>
        <v/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3" t="str">
        <f t="shared" si="3"/>
        <v/>
      </c>
      <c r="B32" s="23"/>
      <c r="C32" s="23"/>
      <c r="D32" s="23"/>
      <c r="E32" s="23"/>
      <c r="F32" s="23"/>
      <c r="G32" s="7"/>
      <c r="H32" s="19" t="str">
        <f>IF(B32="","",IFERROR(IF(SUMIFS('Nhập hàng'!$J$4:$J$503,'Nhập hàng'!$C$4:$C$503,A32)&gt;0,SUMIFS('Nhập hàng'!$K$4:$K$503,'Nhập hàng'!$C$4:$C$503,A32)/SUMIFS('Nhập hàng'!$J$4:$J$503,'Nhập hàng'!$C$4:$C$503,A32),G32/E32),0))</f>
        <v/>
      </c>
      <c r="I32" s="23"/>
      <c r="J32" s="23"/>
      <c r="K32" s="18" t="str">
        <f t="shared" si="2"/>
        <v/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3" t="str">
        <f t="shared" si="3"/>
        <v/>
      </c>
      <c r="B33" s="23"/>
      <c r="C33" s="23"/>
      <c r="D33" s="23"/>
      <c r="E33" s="23"/>
      <c r="F33" s="23"/>
      <c r="G33" s="7"/>
      <c r="H33" s="19" t="str">
        <f>IF(B33="","",IFERROR(IF(SUMIFS('Nhập hàng'!$J$4:$J$503,'Nhập hàng'!$C$4:$C$503,A33)&gt;0,SUMIFS('Nhập hàng'!$K$4:$K$503,'Nhập hàng'!$C$4:$C$503,A33)/SUMIFS('Nhập hàng'!$J$4:$J$503,'Nhập hàng'!$C$4:$C$503,A33),G33/E33),0))</f>
        <v/>
      </c>
      <c r="I33" s="23"/>
      <c r="J33" s="23"/>
      <c r="K33" s="18" t="str">
        <f t="shared" si="2"/>
        <v/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3" t="str">
        <f t="shared" si="3"/>
        <v/>
      </c>
      <c r="B34" s="23"/>
      <c r="C34" s="23"/>
      <c r="D34" s="23"/>
      <c r="E34" s="23"/>
      <c r="F34" s="23"/>
      <c r="G34" s="7"/>
      <c r="H34" s="19" t="str">
        <f>IF(B34="","",IFERROR(IF(SUMIFS('Nhập hàng'!$J$4:$J$503,'Nhập hàng'!$C$4:$C$503,A34)&gt;0,SUMIFS('Nhập hàng'!$K$4:$K$503,'Nhập hàng'!$C$4:$C$503,A34)/SUMIFS('Nhập hàng'!$J$4:$J$503,'Nhập hàng'!$C$4:$C$503,A34),G34/E34),0))</f>
        <v/>
      </c>
      <c r="I34" s="23"/>
      <c r="J34" s="23"/>
      <c r="K34" s="18" t="str">
        <f t="shared" si="2"/>
        <v/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3" t="str">
        <f t="shared" si="3"/>
        <v/>
      </c>
      <c r="B35" s="23"/>
      <c r="C35" s="23"/>
      <c r="D35" s="23"/>
      <c r="E35" s="23"/>
      <c r="F35" s="23"/>
      <c r="G35" s="7"/>
      <c r="H35" s="19" t="str">
        <f>IF(B35="","",IFERROR(IF(SUMIFS('Nhập hàng'!$J$4:$J$503,'Nhập hàng'!$C$4:$C$503,A35)&gt;0,SUMIFS('Nhập hàng'!$K$4:$K$503,'Nhập hàng'!$C$4:$C$503,A35)/SUMIFS('Nhập hàng'!$J$4:$J$503,'Nhập hàng'!$C$4:$C$503,A35),G35/E35),0))</f>
        <v/>
      </c>
      <c r="I35" s="23"/>
      <c r="J35" s="23"/>
      <c r="K35" s="18" t="str">
        <f t="shared" si="2"/>
        <v/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3" t="str">
        <f t="shared" si="3"/>
        <v/>
      </c>
      <c r="B36" s="23"/>
      <c r="C36" s="23"/>
      <c r="D36" s="23"/>
      <c r="E36" s="23"/>
      <c r="F36" s="23"/>
      <c r="G36" s="7"/>
      <c r="H36" s="19" t="str">
        <f>IF(B36="","",IFERROR(IF(SUMIFS('Nhập hàng'!$J$4:$J$503,'Nhập hàng'!$C$4:$C$503,A36)&gt;0,SUMIFS('Nhập hàng'!$K$4:$K$503,'Nhập hàng'!$C$4:$C$503,A36)/SUMIFS('Nhập hàng'!$J$4:$J$503,'Nhập hàng'!$C$4:$C$503,A36),G36/E36),0))</f>
        <v/>
      </c>
      <c r="I36" s="23"/>
      <c r="J36" s="23"/>
      <c r="K36" s="18" t="str">
        <f t="shared" si="2"/>
        <v/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3" t="str">
        <f t="shared" si="3"/>
        <v/>
      </c>
      <c r="B37" s="23"/>
      <c r="C37" s="23"/>
      <c r="D37" s="23"/>
      <c r="E37" s="23"/>
      <c r="F37" s="23"/>
      <c r="G37" s="7"/>
      <c r="H37" s="19" t="str">
        <f>IF(B37="","",IFERROR(IF(SUMIFS('Nhập hàng'!$J$4:$J$503,'Nhập hàng'!$C$4:$C$503,A37)&gt;0,SUMIFS('Nhập hàng'!$K$4:$K$503,'Nhập hàng'!$C$4:$C$503,A37)/SUMIFS('Nhập hàng'!$J$4:$J$503,'Nhập hàng'!$C$4:$C$503,A37),G37/E37),0))</f>
        <v/>
      </c>
      <c r="I37" s="23"/>
      <c r="J37" s="23"/>
      <c r="K37" s="18" t="str">
        <f t="shared" si="2"/>
        <v/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3" t="str">
        <f t="shared" si="3"/>
        <v/>
      </c>
      <c r="B38" s="23"/>
      <c r="C38" s="23"/>
      <c r="D38" s="23"/>
      <c r="E38" s="23"/>
      <c r="F38" s="23"/>
      <c r="G38" s="7"/>
      <c r="H38" s="19" t="str">
        <f>IF(B38="","",IFERROR(IF(SUMIFS('Nhập hàng'!$J$4:$J$503,'Nhập hàng'!$C$4:$C$503,A38)&gt;0,SUMIFS('Nhập hàng'!$K$4:$K$503,'Nhập hàng'!$C$4:$C$503,A38)/SUMIFS('Nhập hàng'!$J$4:$J$503,'Nhập hàng'!$C$4:$C$503,A38),G38/E38),0))</f>
        <v/>
      </c>
      <c r="I38" s="23"/>
      <c r="J38" s="23"/>
      <c r="K38" s="18" t="str">
        <f t="shared" si="2"/>
        <v/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3" t="str">
        <f t="shared" si="3"/>
        <v/>
      </c>
      <c r="B39" s="23"/>
      <c r="C39" s="23"/>
      <c r="D39" s="23"/>
      <c r="E39" s="23"/>
      <c r="F39" s="23"/>
      <c r="G39" s="7"/>
      <c r="H39" s="19" t="str">
        <f>IF(B39="","",IFERROR(IF(SUMIFS('Nhập hàng'!$J$4:$J$503,'Nhập hàng'!$C$4:$C$503,A39)&gt;0,SUMIFS('Nhập hàng'!$K$4:$K$503,'Nhập hàng'!$C$4:$C$503,A39)/SUMIFS('Nhập hàng'!$J$4:$J$503,'Nhập hàng'!$C$4:$C$503,A39),G39/E39),0))</f>
        <v/>
      </c>
      <c r="I39" s="23"/>
      <c r="J39" s="23"/>
      <c r="K39" s="18" t="str">
        <f t="shared" si="2"/>
        <v/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23" t="str">
        <f t="shared" si="3"/>
        <v/>
      </c>
      <c r="B40" s="23"/>
      <c r="C40" s="23"/>
      <c r="D40" s="23"/>
      <c r="E40" s="23"/>
      <c r="F40" s="23"/>
      <c r="G40" s="7"/>
      <c r="H40" s="19" t="str">
        <f>IF(B40="","",IFERROR(IF(SUMIFS('Nhập hàng'!$J$4:$J$503,'Nhập hàng'!$C$4:$C$503,A40)&gt;0,SUMIFS('Nhập hàng'!$K$4:$K$503,'Nhập hàng'!$C$4:$C$503,A40)/SUMIFS('Nhập hàng'!$J$4:$J$503,'Nhập hàng'!$C$4:$C$503,A40),G40/E40),0))</f>
        <v/>
      </c>
      <c r="I40" s="23"/>
      <c r="J40" s="23"/>
      <c r="K40" s="18" t="str">
        <f t="shared" si="2"/>
        <v/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3" t="str">
        <f t="shared" si="3"/>
        <v/>
      </c>
      <c r="B41" s="23"/>
      <c r="C41" s="23"/>
      <c r="D41" s="23"/>
      <c r="E41" s="23"/>
      <c r="F41" s="23"/>
      <c r="G41" s="7"/>
      <c r="H41" s="19" t="str">
        <f>IF(B41="","",IFERROR(IF(SUMIFS('Nhập hàng'!$J$4:$J$503,'Nhập hàng'!$C$4:$C$503,A41)&gt;0,SUMIFS('Nhập hàng'!$K$4:$K$503,'Nhập hàng'!$C$4:$C$503,A41)/SUMIFS('Nhập hàng'!$J$4:$J$503,'Nhập hàng'!$C$4:$C$503,A41),G41/E41),0))</f>
        <v/>
      </c>
      <c r="I41" s="23"/>
      <c r="J41" s="23"/>
      <c r="K41" s="18" t="str">
        <f t="shared" si="2"/>
        <v/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23" t="str">
        <f t="shared" si="3"/>
        <v/>
      </c>
      <c r="B42" s="23"/>
      <c r="C42" s="23"/>
      <c r="D42" s="23"/>
      <c r="E42" s="23"/>
      <c r="F42" s="23"/>
      <c r="G42" s="7"/>
      <c r="H42" s="19" t="str">
        <f>IF(B42="","",IFERROR(IF(SUMIFS('Nhập hàng'!$J$4:$J$503,'Nhập hàng'!$C$4:$C$503,A42)&gt;0,SUMIFS('Nhập hàng'!$K$4:$K$503,'Nhập hàng'!$C$4:$C$503,A42)/SUMIFS('Nhập hàng'!$J$4:$J$503,'Nhập hàng'!$C$4:$C$503,A42),G42/E42),0))</f>
        <v/>
      </c>
      <c r="I42" s="23"/>
      <c r="J42" s="23"/>
      <c r="K42" s="18" t="str">
        <f t="shared" si="2"/>
        <v/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3" t="str">
        <f t="shared" si="3"/>
        <v/>
      </c>
      <c r="B43" s="23"/>
      <c r="C43" s="23"/>
      <c r="D43" s="23"/>
      <c r="E43" s="23"/>
      <c r="F43" s="23"/>
      <c r="G43" s="7"/>
      <c r="H43" s="19" t="str">
        <f>IF(B43="","",IFERROR(IF(SUMIFS('Nhập hàng'!$J$4:$J$503,'Nhập hàng'!$C$4:$C$503,A43)&gt;0,SUMIFS('Nhập hàng'!$K$4:$K$503,'Nhập hàng'!$C$4:$C$503,A43)/SUMIFS('Nhập hàng'!$J$4:$J$503,'Nhập hàng'!$C$4:$C$503,A43),G43/E43),0))</f>
        <v/>
      </c>
      <c r="I43" s="23"/>
      <c r="J43" s="23"/>
      <c r="K43" s="18" t="str">
        <f t="shared" si="2"/>
        <v/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23" t="str">
        <f t="shared" si="3"/>
        <v/>
      </c>
      <c r="B44" s="23"/>
      <c r="C44" s="23"/>
      <c r="D44" s="23"/>
      <c r="E44" s="23"/>
      <c r="F44" s="23"/>
      <c r="G44" s="7"/>
      <c r="H44" s="19" t="str">
        <f>IF(B44="","",IFERROR(IF(SUMIFS('Nhập hàng'!$J$4:$J$503,'Nhập hàng'!$C$4:$C$503,A44)&gt;0,SUMIFS('Nhập hàng'!$K$4:$K$503,'Nhập hàng'!$C$4:$C$503,A44)/SUMIFS('Nhập hàng'!$J$4:$J$503,'Nhập hàng'!$C$4:$C$503,A44),G44/E44),0))</f>
        <v/>
      </c>
      <c r="I44" s="23"/>
      <c r="J44" s="23"/>
      <c r="K44" s="18" t="str">
        <f t="shared" si="2"/>
        <v/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3" t="str">
        <f t="shared" si="3"/>
        <v/>
      </c>
      <c r="B45" s="23"/>
      <c r="C45" s="23"/>
      <c r="D45" s="23"/>
      <c r="E45" s="23"/>
      <c r="F45" s="23"/>
      <c r="G45" s="7"/>
      <c r="H45" s="19" t="str">
        <f>IF(B45="","",IFERROR(IF(SUMIFS('Nhập hàng'!$J$4:$J$503,'Nhập hàng'!$C$4:$C$503,A45)&gt;0,SUMIFS('Nhập hàng'!$K$4:$K$503,'Nhập hàng'!$C$4:$C$503,A45)/SUMIFS('Nhập hàng'!$J$4:$J$503,'Nhập hàng'!$C$4:$C$503,A45),G45/E45),0))</f>
        <v/>
      </c>
      <c r="I45" s="23"/>
      <c r="J45" s="23"/>
      <c r="K45" s="18" t="str">
        <f t="shared" si="2"/>
        <v/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3" t="str">
        <f t="shared" si="3"/>
        <v/>
      </c>
      <c r="B46" s="23"/>
      <c r="C46" s="23"/>
      <c r="D46" s="23"/>
      <c r="E46" s="23"/>
      <c r="F46" s="23"/>
      <c r="G46" s="7"/>
      <c r="H46" s="19" t="str">
        <f>IF(B46="","",IFERROR(IF(SUMIFS('Nhập hàng'!$J$4:$J$503,'Nhập hàng'!$C$4:$C$503,A46)&gt;0,SUMIFS('Nhập hàng'!$K$4:$K$503,'Nhập hàng'!$C$4:$C$503,A46)/SUMIFS('Nhập hàng'!$J$4:$J$503,'Nhập hàng'!$C$4:$C$503,A46),G46/E46),0))</f>
        <v/>
      </c>
      <c r="I46" s="23"/>
      <c r="J46" s="23"/>
      <c r="K46" s="18" t="str">
        <f t="shared" si="2"/>
        <v/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3" t="str">
        <f t="shared" si="3"/>
        <v/>
      </c>
      <c r="B47" s="23"/>
      <c r="C47" s="23"/>
      <c r="D47" s="23"/>
      <c r="E47" s="23"/>
      <c r="F47" s="23"/>
      <c r="G47" s="7"/>
      <c r="H47" s="19" t="str">
        <f>IF(B47="","",IFERROR(IF(SUMIFS('Nhập hàng'!$J$4:$J$503,'Nhập hàng'!$C$4:$C$503,A47)&gt;0,SUMIFS('Nhập hàng'!$K$4:$K$503,'Nhập hàng'!$C$4:$C$503,A47)/SUMIFS('Nhập hàng'!$J$4:$J$503,'Nhập hàng'!$C$4:$C$503,A47),G47/E47),0))</f>
        <v/>
      </c>
      <c r="I47" s="23"/>
      <c r="J47" s="23"/>
      <c r="K47" s="18" t="str">
        <f t="shared" si="2"/>
        <v/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3" t="str">
        <f t="shared" si="3"/>
        <v/>
      </c>
      <c r="B48" s="23"/>
      <c r="C48" s="23"/>
      <c r="D48" s="23"/>
      <c r="E48" s="23"/>
      <c r="F48" s="23"/>
      <c r="G48" s="7"/>
      <c r="H48" s="19" t="str">
        <f>IF(B48="","",IFERROR(IF(SUMIFS('Nhập hàng'!$J$4:$J$503,'Nhập hàng'!$C$4:$C$503,A48)&gt;0,SUMIFS('Nhập hàng'!$K$4:$K$503,'Nhập hàng'!$C$4:$C$503,A48)/SUMIFS('Nhập hàng'!$J$4:$J$503,'Nhập hàng'!$C$4:$C$503,A48),G48/E48),0))</f>
        <v/>
      </c>
      <c r="I48" s="23"/>
      <c r="J48" s="23"/>
      <c r="K48" s="18" t="str">
        <f t="shared" si="2"/>
        <v/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23" t="str">
        <f t="shared" si="3"/>
        <v/>
      </c>
      <c r="B49" s="23"/>
      <c r="C49" s="23"/>
      <c r="D49" s="23"/>
      <c r="E49" s="23"/>
      <c r="F49" s="23"/>
      <c r="G49" s="7"/>
      <c r="H49" s="19" t="str">
        <f>IF(B49="","",IFERROR(IF(SUMIFS('Nhập hàng'!$J$4:$J$503,'Nhập hàng'!$C$4:$C$503,A49)&gt;0,SUMIFS('Nhập hàng'!$K$4:$K$503,'Nhập hàng'!$C$4:$C$503,A49)/SUMIFS('Nhập hàng'!$J$4:$J$503,'Nhập hàng'!$C$4:$C$503,A49),G49/E49),0))</f>
        <v/>
      </c>
      <c r="I49" s="23"/>
      <c r="J49" s="23"/>
      <c r="K49" s="18" t="str">
        <f t="shared" si="2"/>
        <v/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3" t="str">
        <f t="shared" si="3"/>
        <v/>
      </c>
      <c r="B50" s="23"/>
      <c r="C50" s="23"/>
      <c r="D50" s="23"/>
      <c r="E50" s="23"/>
      <c r="F50" s="23"/>
      <c r="G50" s="7"/>
      <c r="H50" s="19" t="str">
        <f>IF(B50="","",IFERROR(IF(SUMIFS('Nhập hàng'!$J$4:$J$503,'Nhập hàng'!$C$4:$C$503,A50)&gt;0,SUMIFS('Nhập hàng'!$K$4:$K$503,'Nhập hàng'!$C$4:$C$503,A50)/SUMIFS('Nhập hàng'!$J$4:$J$503,'Nhập hàng'!$C$4:$C$503,A50),G50/E50),0))</f>
        <v/>
      </c>
      <c r="I50" s="23"/>
      <c r="J50" s="23"/>
      <c r="K50" s="18" t="str">
        <f t="shared" si="2"/>
        <v/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23" t="str">
        <f t="shared" si="3"/>
        <v/>
      </c>
      <c r="B51" s="23"/>
      <c r="C51" s="23"/>
      <c r="D51" s="23"/>
      <c r="E51" s="23"/>
      <c r="F51" s="23"/>
      <c r="G51" s="7"/>
      <c r="H51" s="19" t="str">
        <f>IF(B51="","",IFERROR(IF(SUMIFS('Nhập hàng'!$J$4:$J$503,'Nhập hàng'!$C$4:$C$503,A51)&gt;0,SUMIFS('Nhập hàng'!$K$4:$K$503,'Nhập hàng'!$C$4:$C$503,A51)/SUMIFS('Nhập hàng'!$J$4:$J$503,'Nhập hàng'!$C$4:$C$503,A51),G51/E51),0))</f>
        <v/>
      </c>
      <c r="I51" s="23"/>
      <c r="J51" s="23"/>
      <c r="K51" s="18" t="str">
        <f t="shared" si="2"/>
        <v/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3" t="str">
        <f t="shared" si="3"/>
        <v/>
      </c>
      <c r="B52" s="23"/>
      <c r="C52" s="23"/>
      <c r="D52" s="23"/>
      <c r="E52" s="23"/>
      <c r="F52" s="23"/>
      <c r="G52" s="7"/>
      <c r="H52" s="19" t="str">
        <f>IF(B52="","",IFERROR(IF(SUMIFS('Nhập hàng'!$J$4:$J$503,'Nhập hàng'!$C$4:$C$503,A52)&gt;0,SUMIFS('Nhập hàng'!$K$4:$K$503,'Nhập hàng'!$C$4:$C$503,A52)/SUMIFS('Nhập hàng'!$J$4:$J$503,'Nhập hàng'!$C$4:$C$503,A52),G52/E52),0))</f>
        <v/>
      </c>
      <c r="I52" s="23"/>
      <c r="J52" s="23"/>
      <c r="K52" s="18" t="str">
        <f t="shared" si="2"/>
        <v/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23" t="str">
        <f t="shared" si="3"/>
        <v/>
      </c>
      <c r="B53" s="23"/>
      <c r="C53" s="23"/>
      <c r="D53" s="23"/>
      <c r="E53" s="23"/>
      <c r="F53" s="23"/>
      <c r="G53" s="7"/>
      <c r="H53" s="19" t="str">
        <f>IF(B53="","",IFERROR(IF(SUMIFS('Nhập hàng'!$J$4:$J$503,'Nhập hàng'!$C$4:$C$503,A53)&gt;0,SUMIFS('Nhập hàng'!$K$4:$K$503,'Nhập hàng'!$C$4:$C$503,A53)/SUMIFS('Nhập hàng'!$J$4:$J$503,'Nhập hàng'!$C$4:$C$503,A53),G53/E53),0))</f>
        <v/>
      </c>
      <c r="I53" s="23"/>
      <c r="J53" s="23"/>
      <c r="K53" s="18" t="str">
        <f t="shared" si="2"/>
        <v/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3" t="str">
        <f t="shared" si="3"/>
        <v/>
      </c>
      <c r="B54" s="23"/>
      <c r="C54" s="23"/>
      <c r="D54" s="23"/>
      <c r="E54" s="23"/>
      <c r="F54" s="23"/>
      <c r="G54" s="7"/>
      <c r="H54" s="19" t="str">
        <f>IF(B54="","",IFERROR(IF(SUMIFS('Nhập hàng'!$J$4:$J$503,'Nhập hàng'!$C$4:$C$503,A54)&gt;0,SUMIFS('Nhập hàng'!$K$4:$K$503,'Nhập hàng'!$C$4:$C$503,A54)/SUMIFS('Nhập hàng'!$J$4:$J$503,'Nhập hàng'!$C$4:$C$503,A54),G54/E54),0))</f>
        <v/>
      </c>
      <c r="I54" s="23"/>
      <c r="J54" s="23"/>
      <c r="K54" s="18" t="str">
        <f t="shared" si="2"/>
        <v/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3" t="str">
        <f t="shared" si="3"/>
        <v/>
      </c>
      <c r="B55" s="23"/>
      <c r="C55" s="23"/>
      <c r="D55" s="23"/>
      <c r="E55" s="23"/>
      <c r="F55" s="23"/>
      <c r="G55" s="7"/>
      <c r="H55" s="19" t="str">
        <f>IF(B55="","",IFERROR(IF(SUMIFS('Nhập hàng'!$J$4:$J$503,'Nhập hàng'!$C$4:$C$503,A55)&gt;0,SUMIFS('Nhập hàng'!$K$4:$K$503,'Nhập hàng'!$C$4:$C$503,A55)/SUMIFS('Nhập hàng'!$J$4:$J$503,'Nhập hàng'!$C$4:$C$503,A55),G55/E55),0))</f>
        <v/>
      </c>
      <c r="I55" s="23"/>
      <c r="J55" s="23"/>
      <c r="K55" s="18" t="str">
        <f t="shared" si="2"/>
        <v/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3" t="str">
        <f t="shared" si="3"/>
        <v/>
      </c>
      <c r="B56" s="23"/>
      <c r="C56" s="23"/>
      <c r="D56" s="23"/>
      <c r="E56" s="23"/>
      <c r="F56" s="23"/>
      <c r="G56" s="7"/>
      <c r="H56" s="19" t="str">
        <f>IF(B56="","",IFERROR(IF(SUMIFS('Nhập hàng'!$J$4:$J$503,'Nhập hàng'!$C$4:$C$503,A56)&gt;0,SUMIFS('Nhập hàng'!$K$4:$K$503,'Nhập hàng'!$C$4:$C$503,A56)/SUMIFS('Nhập hàng'!$J$4:$J$503,'Nhập hàng'!$C$4:$C$503,A56),G56/E56),0))</f>
        <v/>
      </c>
      <c r="I56" s="23"/>
      <c r="J56" s="23"/>
      <c r="K56" s="18" t="str">
        <f t="shared" si="2"/>
        <v/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3" t="str">
        <f t="shared" si="3"/>
        <v/>
      </c>
      <c r="B57" s="23"/>
      <c r="C57" s="23"/>
      <c r="D57" s="23"/>
      <c r="E57" s="23"/>
      <c r="F57" s="23"/>
      <c r="G57" s="7"/>
      <c r="H57" s="19" t="str">
        <f>IF(B57="","",IFERROR(IF(SUMIFS('Nhập hàng'!$J$4:$J$503,'Nhập hàng'!$C$4:$C$503,A57)&gt;0,SUMIFS('Nhập hàng'!$K$4:$K$503,'Nhập hàng'!$C$4:$C$503,A57)/SUMIFS('Nhập hàng'!$J$4:$J$503,'Nhập hàng'!$C$4:$C$503,A57),G57/E57),0))</f>
        <v/>
      </c>
      <c r="I57" s="23"/>
      <c r="J57" s="23"/>
      <c r="K57" s="18" t="str">
        <f t="shared" si="2"/>
        <v/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3" t="str">
        <f t="shared" si="3"/>
        <v/>
      </c>
      <c r="B58" s="23"/>
      <c r="C58" s="23"/>
      <c r="D58" s="23"/>
      <c r="E58" s="23"/>
      <c r="F58" s="23"/>
      <c r="G58" s="7"/>
      <c r="H58" s="19" t="str">
        <f>IF(B58="","",IFERROR(IF(SUMIFS('Nhập hàng'!$J$4:$J$503,'Nhập hàng'!$C$4:$C$503,A58)&gt;0,SUMIFS('Nhập hàng'!$K$4:$K$503,'Nhập hàng'!$C$4:$C$503,A58)/SUMIFS('Nhập hàng'!$J$4:$J$503,'Nhập hàng'!$C$4:$C$503,A58),G58/E58),0))</f>
        <v/>
      </c>
      <c r="I58" s="23"/>
      <c r="J58" s="23"/>
      <c r="K58" s="18" t="str">
        <f t="shared" si="2"/>
        <v/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3" t="str">
        <f t="shared" si="3"/>
        <v/>
      </c>
      <c r="B59" s="23"/>
      <c r="C59" s="23"/>
      <c r="D59" s="23"/>
      <c r="E59" s="23"/>
      <c r="F59" s="23"/>
      <c r="G59" s="7"/>
      <c r="H59" s="19" t="str">
        <f>IF(B59="","",IFERROR(IF(SUMIFS('Nhập hàng'!$J$4:$J$503,'Nhập hàng'!$C$4:$C$503,A59)&gt;0,SUMIFS('Nhập hàng'!$K$4:$K$503,'Nhập hàng'!$C$4:$C$503,A59)/SUMIFS('Nhập hàng'!$J$4:$J$503,'Nhập hàng'!$C$4:$C$503,A59),G59/E59),0))</f>
        <v/>
      </c>
      <c r="I59" s="23"/>
      <c r="J59" s="23"/>
      <c r="K59" s="18" t="str">
        <f t="shared" si="2"/>
        <v/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3" t="str">
        <f t="shared" si="3"/>
        <v/>
      </c>
      <c r="B60" s="23"/>
      <c r="C60" s="23"/>
      <c r="D60" s="23"/>
      <c r="E60" s="23"/>
      <c r="F60" s="23"/>
      <c r="G60" s="7"/>
      <c r="H60" s="19" t="str">
        <f>IF(B60="","",IFERROR(IF(SUMIFS('Nhập hàng'!$J$4:$J$503,'Nhập hàng'!$C$4:$C$503,A60)&gt;0,SUMIFS('Nhập hàng'!$K$4:$K$503,'Nhập hàng'!$C$4:$C$503,A60)/SUMIFS('Nhập hàng'!$J$4:$J$503,'Nhập hàng'!$C$4:$C$503,A60),G60/E60),0))</f>
        <v/>
      </c>
      <c r="I60" s="23"/>
      <c r="J60" s="23"/>
      <c r="K60" s="18" t="str">
        <f t="shared" si="2"/>
        <v/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23" t="str">
        <f t="shared" si="3"/>
        <v/>
      </c>
      <c r="B61" s="23"/>
      <c r="C61" s="23"/>
      <c r="D61" s="23"/>
      <c r="E61" s="23"/>
      <c r="F61" s="23"/>
      <c r="G61" s="7"/>
      <c r="H61" s="19" t="str">
        <f>IF(B61="","",IFERROR(IF(SUMIFS('Nhập hàng'!$J$4:$J$503,'Nhập hàng'!$C$4:$C$503,A61)&gt;0,SUMIFS('Nhập hàng'!$K$4:$K$503,'Nhập hàng'!$C$4:$C$503,A61)/SUMIFS('Nhập hàng'!$J$4:$J$503,'Nhập hàng'!$C$4:$C$503,A61),G61/E61),0))</f>
        <v/>
      </c>
      <c r="I61" s="23"/>
      <c r="J61" s="23"/>
      <c r="K61" s="18" t="str">
        <f t="shared" si="2"/>
        <v/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3" t="str">
        <f t="shared" si="3"/>
        <v/>
      </c>
      <c r="B62" s="23"/>
      <c r="C62" s="23"/>
      <c r="D62" s="23"/>
      <c r="E62" s="23"/>
      <c r="F62" s="23"/>
      <c r="G62" s="7"/>
      <c r="H62" s="19" t="str">
        <f>IF(B62="","",IFERROR(IF(SUMIFS('Nhập hàng'!$J$4:$J$503,'Nhập hàng'!$C$4:$C$503,A62)&gt;0,SUMIFS('Nhập hàng'!$K$4:$K$503,'Nhập hàng'!$C$4:$C$503,A62)/SUMIFS('Nhập hàng'!$J$4:$J$503,'Nhập hàng'!$C$4:$C$503,A62),G62/E62),0))</f>
        <v/>
      </c>
      <c r="I62" s="23"/>
      <c r="J62" s="23"/>
      <c r="K62" s="18" t="str">
        <f t="shared" si="2"/>
        <v/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23" t="str">
        <f t="shared" si="3"/>
        <v/>
      </c>
      <c r="B63" s="23"/>
      <c r="C63" s="23"/>
      <c r="D63" s="23"/>
      <c r="E63" s="23"/>
      <c r="F63" s="23"/>
      <c r="G63" s="7"/>
      <c r="H63" s="19" t="str">
        <f>IF(B63="","",IFERROR(IF(SUMIFS('Nhập hàng'!$J$4:$J$503,'Nhập hàng'!$C$4:$C$503,A63)&gt;0,SUMIFS('Nhập hàng'!$K$4:$K$503,'Nhập hàng'!$C$4:$C$503,A63)/SUMIFS('Nhập hàng'!$J$4:$J$503,'Nhập hàng'!$C$4:$C$503,A63),G63/E63),0))</f>
        <v/>
      </c>
      <c r="I63" s="23"/>
      <c r="J63" s="23"/>
      <c r="K63" s="18" t="str">
        <f t="shared" si="2"/>
        <v/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3" t="str">
        <f t="shared" si="3"/>
        <v/>
      </c>
      <c r="B64" s="23"/>
      <c r="C64" s="23"/>
      <c r="D64" s="23"/>
      <c r="E64" s="23"/>
      <c r="F64" s="23"/>
      <c r="G64" s="7"/>
      <c r="H64" s="19" t="str">
        <f>IF(B64="","",IFERROR(IF(SUMIFS('Nhập hàng'!$J$4:$J$503,'Nhập hàng'!$C$4:$C$503,A64)&gt;0,SUMIFS('Nhập hàng'!$K$4:$K$503,'Nhập hàng'!$C$4:$C$503,A64)/SUMIFS('Nhập hàng'!$J$4:$J$503,'Nhập hàng'!$C$4:$C$503,A64),G64/E64),0))</f>
        <v/>
      </c>
      <c r="I64" s="23"/>
      <c r="J64" s="23"/>
      <c r="K64" s="18" t="str">
        <f t="shared" si="2"/>
        <v/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3" t="str">
        <f t="shared" si="3"/>
        <v/>
      </c>
      <c r="B65" s="23"/>
      <c r="C65" s="23"/>
      <c r="D65" s="23"/>
      <c r="E65" s="23"/>
      <c r="F65" s="23"/>
      <c r="G65" s="7"/>
      <c r="H65" s="19" t="str">
        <f>IF(B65="","",IFERROR(IF(SUMIFS('Nhập hàng'!$J$4:$J$503,'Nhập hàng'!$C$4:$C$503,A65)&gt;0,SUMIFS('Nhập hàng'!$K$4:$K$503,'Nhập hàng'!$C$4:$C$503,A65)/SUMIFS('Nhập hàng'!$J$4:$J$503,'Nhập hàng'!$C$4:$C$503,A65),G65/E65),0))</f>
        <v/>
      </c>
      <c r="I65" s="23"/>
      <c r="J65" s="23"/>
      <c r="K65" s="18" t="str">
        <f t="shared" si="2"/>
        <v/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3" t="str">
        <f t="shared" si="3"/>
        <v/>
      </c>
      <c r="B66" s="23"/>
      <c r="C66" s="23"/>
      <c r="D66" s="23"/>
      <c r="E66" s="23"/>
      <c r="F66" s="23"/>
      <c r="G66" s="7"/>
      <c r="H66" s="19" t="str">
        <f>IF(B66="","",IFERROR(IF(SUMIFS('Nhập hàng'!$J$4:$J$503,'Nhập hàng'!$C$4:$C$503,A66)&gt;0,SUMIFS('Nhập hàng'!$K$4:$K$503,'Nhập hàng'!$C$4:$C$503,A66)/SUMIFS('Nhập hàng'!$J$4:$J$503,'Nhập hàng'!$C$4:$C$503,A66),G66/E66),0))</f>
        <v/>
      </c>
      <c r="I66" s="23"/>
      <c r="J66" s="23"/>
      <c r="K66" s="18" t="str">
        <f t="shared" si="2"/>
        <v/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3" t="str">
        <f t="shared" si="3"/>
        <v/>
      </c>
      <c r="B67" s="23"/>
      <c r="C67" s="23"/>
      <c r="D67" s="23"/>
      <c r="E67" s="23"/>
      <c r="F67" s="23"/>
      <c r="G67" s="7"/>
      <c r="H67" s="19" t="str">
        <f>IF(B67="","",IFERROR(IF(SUMIFS('Nhập hàng'!$J$4:$J$503,'Nhập hàng'!$C$4:$C$503,A67)&gt;0,SUMIFS('Nhập hàng'!$K$4:$K$503,'Nhập hàng'!$C$4:$C$503,A67)/SUMIFS('Nhập hàng'!$J$4:$J$503,'Nhập hàng'!$C$4:$C$503,A67),G67/E67),0))</f>
        <v/>
      </c>
      <c r="I67" s="23"/>
      <c r="J67" s="23"/>
      <c r="K67" s="18" t="str">
        <f t="shared" si="2"/>
        <v/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3" t="str">
        <f t="shared" si="3"/>
        <v/>
      </c>
      <c r="B68" s="23"/>
      <c r="C68" s="23"/>
      <c r="D68" s="23"/>
      <c r="E68" s="23"/>
      <c r="F68" s="23"/>
      <c r="G68" s="7"/>
      <c r="H68" s="19" t="str">
        <f>IF(B68="","",IFERROR(IF(SUMIFS('Nhập hàng'!$J$4:$J$503,'Nhập hàng'!$C$4:$C$503,A68)&gt;0,SUMIFS('Nhập hàng'!$K$4:$K$503,'Nhập hàng'!$C$4:$C$503,A68)/SUMIFS('Nhập hàng'!$J$4:$J$503,'Nhập hàng'!$C$4:$C$503,A68),G68/E68),0))</f>
        <v/>
      </c>
      <c r="I68" s="23"/>
      <c r="J68" s="23"/>
      <c r="K68" s="18" t="str">
        <f t="shared" si="2"/>
        <v/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3" t="str">
        <f t="shared" si="3"/>
        <v/>
      </c>
      <c r="B69" s="23"/>
      <c r="C69" s="23"/>
      <c r="D69" s="23"/>
      <c r="E69" s="23"/>
      <c r="F69" s="23"/>
      <c r="G69" s="7"/>
      <c r="H69" s="19" t="str">
        <f>IF(B69="","",IFERROR(IF(SUMIFS('Nhập hàng'!$J$4:$J$503,'Nhập hàng'!$C$4:$C$503,A69)&gt;0,SUMIFS('Nhập hàng'!$K$4:$K$503,'Nhập hàng'!$C$4:$C$503,A69)/SUMIFS('Nhập hàng'!$J$4:$J$503,'Nhập hàng'!$C$4:$C$503,A69),G69/E69),0))</f>
        <v/>
      </c>
      <c r="I69" s="23"/>
      <c r="J69" s="23"/>
      <c r="K69" s="18" t="str">
        <f t="shared" si="2"/>
        <v/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3" t="str">
        <f t="shared" si="3"/>
        <v/>
      </c>
      <c r="B70" s="23"/>
      <c r="C70" s="23"/>
      <c r="D70" s="23"/>
      <c r="E70" s="23"/>
      <c r="F70" s="23"/>
      <c r="G70" s="7"/>
      <c r="H70" s="19" t="str">
        <f>IF(B70="","",IFERROR(IF(SUMIFS('Nhập hàng'!$J$4:$J$503,'Nhập hàng'!$C$4:$C$503,A70)&gt;0,SUMIFS('Nhập hàng'!$K$4:$K$503,'Nhập hàng'!$C$4:$C$503,A70)/SUMIFS('Nhập hàng'!$J$4:$J$503,'Nhập hàng'!$C$4:$C$503,A70),G70/E70),0))</f>
        <v/>
      </c>
      <c r="I70" s="23"/>
      <c r="J70" s="23"/>
      <c r="K70" s="18" t="str">
        <f t="shared" si="2"/>
        <v/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23" t="str">
        <f t="shared" si="3"/>
        <v/>
      </c>
      <c r="B71" s="23"/>
      <c r="C71" s="23"/>
      <c r="D71" s="23"/>
      <c r="E71" s="23"/>
      <c r="F71" s="23"/>
      <c r="G71" s="7"/>
      <c r="H71" s="19" t="str">
        <f>IF(B71="","",IFERROR(IF(SUMIFS('Nhập hàng'!$J$4:$J$503,'Nhập hàng'!$C$4:$C$503,A71)&gt;0,SUMIFS('Nhập hàng'!$K$4:$K$503,'Nhập hàng'!$C$4:$C$503,A71)/SUMIFS('Nhập hàng'!$J$4:$J$503,'Nhập hàng'!$C$4:$C$503,A71),G71/E71),0))</f>
        <v/>
      </c>
      <c r="I71" s="23"/>
      <c r="J71" s="23"/>
      <c r="K71" s="18" t="str">
        <f t="shared" si="2"/>
        <v/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3" t="str">
        <f t="shared" si="3"/>
        <v/>
      </c>
      <c r="B72" s="23"/>
      <c r="C72" s="23"/>
      <c r="D72" s="23"/>
      <c r="E72" s="23"/>
      <c r="F72" s="23"/>
      <c r="G72" s="7"/>
      <c r="H72" s="19" t="str">
        <f>IF(B72="","",IFERROR(IF(SUMIFS('Nhập hàng'!$J$4:$J$503,'Nhập hàng'!$C$4:$C$503,A72)&gt;0,SUMIFS('Nhập hàng'!$K$4:$K$503,'Nhập hàng'!$C$4:$C$503,A72)/SUMIFS('Nhập hàng'!$J$4:$J$503,'Nhập hàng'!$C$4:$C$503,A72),G72/E72),0))</f>
        <v/>
      </c>
      <c r="I72" s="23"/>
      <c r="J72" s="23"/>
      <c r="K72" s="18" t="str">
        <f t="shared" si="2"/>
        <v/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3" t="str">
        <f t="shared" si="3"/>
        <v/>
      </c>
      <c r="B73" s="23"/>
      <c r="C73" s="23"/>
      <c r="D73" s="23"/>
      <c r="E73" s="23"/>
      <c r="F73" s="23"/>
      <c r="G73" s="7"/>
      <c r="H73" s="19" t="str">
        <f>IF(B73="","",IFERROR(IF(SUMIFS('Nhập hàng'!$J$4:$J$503,'Nhập hàng'!$C$4:$C$503,A73)&gt;0,SUMIFS('Nhập hàng'!$K$4:$K$503,'Nhập hàng'!$C$4:$C$503,A73)/SUMIFS('Nhập hàng'!$J$4:$J$503,'Nhập hàng'!$C$4:$C$503,A73),G73/E73),0))</f>
        <v/>
      </c>
      <c r="I73" s="23"/>
      <c r="J73" s="23"/>
      <c r="K73" s="18" t="str">
        <f t="shared" si="2"/>
        <v/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23" t="str">
        <f t="shared" si="3"/>
        <v/>
      </c>
      <c r="B74" s="23"/>
      <c r="C74" s="23"/>
      <c r="D74" s="23"/>
      <c r="E74" s="23"/>
      <c r="F74" s="23"/>
      <c r="G74" s="7"/>
      <c r="H74" s="19" t="str">
        <f>IF(B74="","",IFERROR(IF(SUMIFS('Nhập hàng'!$J$4:$J$503,'Nhập hàng'!$C$4:$C$503,A74)&gt;0,SUMIFS('Nhập hàng'!$K$4:$K$503,'Nhập hàng'!$C$4:$C$503,A74)/SUMIFS('Nhập hàng'!$J$4:$J$503,'Nhập hàng'!$C$4:$C$503,A74),G74/E74),0))</f>
        <v/>
      </c>
      <c r="I74" s="23"/>
      <c r="J74" s="23"/>
      <c r="K74" s="18" t="str">
        <f t="shared" si="2"/>
        <v/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3" t="str">
        <f t="shared" si="3"/>
        <v/>
      </c>
      <c r="B75" s="23"/>
      <c r="C75" s="23"/>
      <c r="D75" s="23"/>
      <c r="E75" s="23"/>
      <c r="F75" s="23"/>
      <c r="G75" s="7"/>
      <c r="H75" s="19" t="str">
        <f>IF(B75="","",IFERROR(IF(SUMIFS('Nhập hàng'!$J$4:$J$503,'Nhập hàng'!$C$4:$C$503,A75)&gt;0,SUMIFS('Nhập hàng'!$K$4:$K$503,'Nhập hàng'!$C$4:$C$503,A75)/SUMIFS('Nhập hàng'!$J$4:$J$503,'Nhập hàng'!$C$4:$C$503,A75),G75/E75),0))</f>
        <v/>
      </c>
      <c r="I75" s="23"/>
      <c r="J75" s="23"/>
      <c r="K75" s="18" t="str">
        <f t="shared" si="2"/>
        <v/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23" t="str">
        <f t="shared" si="3"/>
        <v/>
      </c>
      <c r="B76" s="23"/>
      <c r="C76" s="23"/>
      <c r="D76" s="23"/>
      <c r="E76" s="23"/>
      <c r="F76" s="23"/>
      <c r="G76" s="7"/>
      <c r="H76" s="19" t="str">
        <f>IF(B76="","",IFERROR(IF(SUMIFS('Nhập hàng'!$J$4:$J$503,'Nhập hàng'!$C$4:$C$503,A76)&gt;0,SUMIFS('Nhập hàng'!$K$4:$K$503,'Nhập hàng'!$C$4:$C$503,A76)/SUMIFS('Nhập hàng'!$J$4:$J$503,'Nhập hàng'!$C$4:$C$503,A76),G76/E76),0))</f>
        <v/>
      </c>
      <c r="I76" s="23"/>
      <c r="J76" s="23"/>
      <c r="K76" s="18" t="str">
        <f t="shared" si="2"/>
        <v/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3" t="str">
        <f t="shared" si="3"/>
        <v/>
      </c>
      <c r="B77" s="23"/>
      <c r="C77" s="23"/>
      <c r="D77" s="23"/>
      <c r="E77" s="23"/>
      <c r="F77" s="23"/>
      <c r="G77" s="7"/>
      <c r="H77" s="19" t="str">
        <f>IF(B77="","",IFERROR(IF(SUMIFS('Nhập hàng'!$J$4:$J$503,'Nhập hàng'!$C$4:$C$503,A77)&gt;0,SUMIFS('Nhập hàng'!$K$4:$K$503,'Nhập hàng'!$C$4:$C$503,A77)/SUMIFS('Nhập hàng'!$J$4:$J$503,'Nhập hàng'!$C$4:$C$503,A77),G77/E77),0))</f>
        <v/>
      </c>
      <c r="I77" s="23"/>
      <c r="J77" s="23"/>
      <c r="K77" s="18" t="str">
        <f t="shared" si="2"/>
        <v/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3" t="str">
        <f t="shared" si="3"/>
        <v/>
      </c>
      <c r="B78" s="23"/>
      <c r="C78" s="23"/>
      <c r="D78" s="23"/>
      <c r="E78" s="23"/>
      <c r="F78" s="23"/>
      <c r="G78" s="7"/>
      <c r="H78" s="19" t="str">
        <f>IF(B78="","",IFERROR(IF(SUMIFS('Nhập hàng'!$J$4:$J$503,'Nhập hàng'!$C$4:$C$503,A78)&gt;0,SUMIFS('Nhập hàng'!$K$4:$K$503,'Nhập hàng'!$C$4:$C$503,A78)/SUMIFS('Nhập hàng'!$J$4:$J$503,'Nhập hàng'!$C$4:$C$503,A78),G78/E78),0))</f>
        <v/>
      </c>
      <c r="I78" s="23"/>
      <c r="J78" s="23"/>
      <c r="K78" s="18" t="str">
        <f t="shared" si="2"/>
        <v/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3" t="str">
        <f t="shared" si="3"/>
        <v/>
      </c>
      <c r="B79" s="23"/>
      <c r="C79" s="23"/>
      <c r="D79" s="23"/>
      <c r="E79" s="23"/>
      <c r="F79" s="23"/>
      <c r="G79" s="7"/>
      <c r="H79" s="19" t="str">
        <f>IF(B79="","",IFERROR(IF(SUMIFS('Nhập hàng'!$J$4:$J$503,'Nhập hàng'!$C$4:$C$503,A79)&gt;0,SUMIFS('Nhập hàng'!$K$4:$K$503,'Nhập hàng'!$C$4:$C$503,A79)/SUMIFS('Nhập hàng'!$J$4:$J$503,'Nhập hàng'!$C$4:$C$503,A79),G79/E79),0))</f>
        <v/>
      </c>
      <c r="I79" s="23"/>
      <c r="J79" s="23"/>
      <c r="K79" s="18" t="str">
        <f t="shared" si="2"/>
        <v/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3" t="str">
        <f t="shared" si="3"/>
        <v/>
      </c>
      <c r="B80" s="23"/>
      <c r="C80" s="23"/>
      <c r="D80" s="23"/>
      <c r="E80" s="23"/>
      <c r="F80" s="23"/>
      <c r="G80" s="7"/>
      <c r="H80" s="19" t="str">
        <f>IF(B80="","",IFERROR(IF(SUMIFS('Nhập hàng'!$J$4:$J$503,'Nhập hàng'!$C$4:$C$503,A80)&gt;0,SUMIFS('Nhập hàng'!$K$4:$K$503,'Nhập hàng'!$C$4:$C$503,A80)/SUMIFS('Nhập hàng'!$J$4:$J$503,'Nhập hàng'!$C$4:$C$503,A80),G80/E80),0))</f>
        <v/>
      </c>
      <c r="I80" s="23"/>
      <c r="J80" s="23"/>
      <c r="K80" s="18" t="str">
        <f t="shared" si="2"/>
        <v/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3" t="str">
        <f t="shared" si="3"/>
        <v/>
      </c>
      <c r="B81" s="23"/>
      <c r="C81" s="23"/>
      <c r="D81" s="23"/>
      <c r="E81" s="23"/>
      <c r="F81" s="23"/>
      <c r="G81" s="7"/>
      <c r="H81" s="19" t="str">
        <f>IF(B81="","",IFERROR(IF(SUMIFS('Nhập hàng'!$J$4:$J$503,'Nhập hàng'!$C$4:$C$503,A81)&gt;0,SUMIFS('Nhập hàng'!$K$4:$K$503,'Nhập hàng'!$C$4:$C$503,A81)/SUMIFS('Nhập hàng'!$J$4:$J$503,'Nhập hàng'!$C$4:$C$503,A81),G81/E81),0))</f>
        <v/>
      </c>
      <c r="I81" s="23"/>
      <c r="J81" s="23"/>
      <c r="K81" s="18" t="str">
        <f t="shared" si="2"/>
        <v/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23" t="str">
        <f t="shared" si="3"/>
        <v/>
      </c>
      <c r="B82" s="23"/>
      <c r="C82" s="23"/>
      <c r="D82" s="23"/>
      <c r="E82" s="23"/>
      <c r="F82" s="23"/>
      <c r="G82" s="7"/>
      <c r="H82" s="19" t="str">
        <f>IF(B82="","",IFERROR(IF(SUMIFS('Nhập hàng'!$J$4:$J$503,'Nhập hàng'!$C$4:$C$503,A82)&gt;0,SUMIFS('Nhập hàng'!$K$4:$K$503,'Nhập hàng'!$C$4:$C$503,A82)/SUMIFS('Nhập hàng'!$J$4:$J$503,'Nhập hàng'!$C$4:$C$503,A82),G82/E82),0))</f>
        <v/>
      </c>
      <c r="I82" s="23"/>
      <c r="J82" s="23"/>
      <c r="K82" s="18" t="str">
        <f t="shared" si="2"/>
        <v/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3" t="str">
        <f t="shared" si="3"/>
        <v/>
      </c>
      <c r="B83" s="23"/>
      <c r="C83" s="23"/>
      <c r="D83" s="23"/>
      <c r="E83" s="23"/>
      <c r="F83" s="23"/>
      <c r="G83" s="7"/>
      <c r="H83" s="19" t="str">
        <f>IF(B83="","",IFERROR(IF(SUMIFS('Nhập hàng'!$J$4:$J$503,'Nhập hàng'!$C$4:$C$503,A83)&gt;0,SUMIFS('Nhập hàng'!$K$4:$K$503,'Nhập hàng'!$C$4:$C$503,A83)/SUMIFS('Nhập hàng'!$J$4:$J$503,'Nhập hàng'!$C$4:$C$503,A83),G83/E83),0))</f>
        <v/>
      </c>
      <c r="I83" s="23"/>
      <c r="J83" s="23"/>
      <c r="K83" s="18" t="str">
        <f t="shared" si="2"/>
        <v/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23" t="str">
        <f t="shared" si="3"/>
        <v/>
      </c>
      <c r="B84" s="23"/>
      <c r="C84" s="23"/>
      <c r="D84" s="23"/>
      <c r="E84" s="23"/>
      <c r="F84" s="23"/>
      <c r="G84" s="7"/>
      <c r="H84" s="19" t="str">
        <f>IF(B84="","",IFERROR(IF(SUMIFS('Nhập hàng'!$J$4:$J$503,'Nhập hàng'!$C$4:$C$503,A84)&gt;0,SUMIFS('Nhập hàng'!$K$4:$K$503,'Nhập hàng'!$C$4:$C$503,A84)/SUMIFS('Nhập hàng'!$J$4:$J$503,'Nhập hàng'!$C$4:$C$503,A84),G84/E84),0))</f>
        <v/>
      </c>
      <c r="I84" s="23"/>
      <c r="J84" s="23"/>
      <c r="K84" s="18" t="str">
        <f t="shared" si="2"/>
        <v/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3" t="str">
        <f t="shared" si="3"/>
        <v/>
      </c>
      <c r="B85" s="23"/>
      <c r="C85" s="23"/>
      <c r="D85" s="23"/>
      <c r="E85" s="23"/>
      <c r="F85" s="23"/>
      <c r="G85" s="7"/>
      <c r="H85" s="19" t="str">
        <f>IF(B85="","",IFERROR(IF(SUMIFS('Nhập hàng'!$J$4:$J$503,'Nhập hàng'!$C$4:$C$503,A85)&gt;0,SUMIFS('Nhập hàng'!$K$4:$K$503,'Nhập hàng'!$C$4:$C$503,A85)/SUMIFS('Nhập hàng'!$J$4:$J$503,'Nhập hàng'!$C$4:$C$503,A85),G85/E85),0))</f>
        <v/>
      </c>
      <c r="I85" s="23"/>
      <c r="J85" s="23"/>
      <c r="K85" s="18" t="str">
        <f t="shared" si="2"/>
        <v/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23" t="str">
        <f t="shared" si="3"/>
        <v/>
      </c>
      <c r="B86" s="23"/>
      <c r="C86" s="23"/>
      <c r="D86" s="23"/>
      <c r="E86" s="23"/>
      <c r="F86" s="23"/>
      <c r="G86" s="7"/>
      <c r="H86" s="19" t="str">
        <f>IF(B86="","",IFERROR(IF(SUMIFS('Nhập hàng'!$J$4:$J$503,'Nhập hàng'!$C$4:$C$503,A86)&gt;0,SUMIFS('Nhập hàng'!$K$4:$K$503,'Nhập hàng'!$C$4:$C$503,A86)/SUMIFS('Nhập hàng'!$J$4:$J$503,'Nhập hàng'!$C$4:$C$503,A86),G86/E86),0))</f>
        <v/>
      </c>
      <c r="I86" s="23"/>
      <c r="J86" s="23"/>
      <c r="K86" s="18" t="str">
        <f t="shared" si="2"/>
        <v/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3" t="str">
        <f t="shared" si="3"/>
        <v/>
      </c>
      <c r="B87" s="23"/>
      <c r="C87" s="23"/>
      <c r="D87" s="23"/>
      <c r="E87" s="23"/>
      <c r="F87" s="23"/>
      <c r="G87" s="7"/>
      <c r="H87" s="19" t="str">
        <f>IF(B87="","",IFERROR(IF(SUMIFS('Nhập hàng'!$J$4:$J$503,'Nhập hàng'!$C$4:$C$503,A87)&gt;0,SUMIFS('Nhập hàng'!$K$4:$K$503,'Nhập hàng'!$C$4:$C$503,A87)/SUMIFS('Nhập hàng'!$J$4:$J$503,'Nhập hàng'!$C$4:$C$503,A87),G87/E87),0))</f>
        <v/>
      </c>
      <c r="I87" s="23"/>
      <c r="J87" s="23"/>
      <c r="K87" s="18" t="str">
        <f t="shared" si="2"/>
        <v/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3" t="str">
        <f t="shared" si="3"/>
        <v/>
      </c>
      <c r="B88" s="23"/>
      <c r="C88" s="23"/>
      <c r="D88" s="23"/>
      <c r="E88" s="23"/>
      <c r="F88" s="23"/>
      <c r="G88" s="7"/>
      <c r="H88" s="19" t="str">
        <f>IF(B88="","",IFERROR(IF(SUMIFS('Nhập hàng'!$J$4:$J$503,'Nhập hàng'!$C$4:$C$503,A88)&gt;0,SUMIFS('Nhập hàng'!$K$4:$K$503,'Nhập hàng'!$C$4:$C$503,A88)/SUMIFS('Nhập hàng'!$J$4:$J$503,'Nhập hàng'!$C$4:$C$503,A88),G88/E88),0))</f>
        <v/>
      </c>
      <c r="I88" s="23"/>
      <c r="J88" s="23"/>
      <c r="K88" s="18" t="str">
        <f t="shared" si="2"/>
        <v/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3" t="str">
        <f t="shared" si="3"/>
        <v/>
      </c>
      <c r="B89" s="23"/>
      <c r="C89" s="23"/>
      <c r="D89" s="23"/>
      <c r="E89" s="23"/>
      <c r="F89" s="23"/>
      <c r="G89" s="7"/>
      <c r="H89" s="19" t="str">
        <f>IF(B89="","",IFERROR(IF(SUMIFS('Nhập hàng'!$J$4:$J$503,'Nhập hàng'!$C$4:$C$503,A89)&gt;0,SUMIFS('Nhập hàng'!$K$4:$K$503,'Nhập hàng'!$C$4:$C$503,A89)/SUMIFS('Nhập hàng'!$J$4:$J$503,'Nhập hàng'!$C$4:$C$503,A89),G89/E89),0))</f>
        <v/>
      </c>
      <c r="I89" s="23"/>
      <c r="J89" s="23"/>
      <c r="K89" s="18" t="str">
        <f t="shared" si="2"/>
        <v/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3" t="str">
        <f t="shared" si="3"/>
        <v/>
      </c>
      <c r="B90" s="23"/>
      <c r="C90" s="23"/>
      <c r="D90" s="23"/>
      <c r="E90" s="23"/>
      <c r="F90" s="23"/>
      <c r="G90" s="7"/>
      <c r="H90" s="19" t="str">
        <f>IF(B90="","",IFERROR(IF(SUMIFS('Nhập hàng'!$J$4:$J$503,'Nhập hàng'!$C$4:$C$503,A90)&gt;0,SUMIFS('Nhập hàng'!$K$4:$K$503,'Nhập hàng'!$C$4:$C$503,A90)/SUMIFS('Nhập hàng'!$J$4:$J$503,'Nhập hàng'!$C$4:$C$503,A90),G90/E90),0))</f>
        <v/>
      </c>
      <c r="I90" s="23"/>
      <c r="J90" s="23"/>
      <c r="K90" s="18" t="str">
        <f t="shared" si="2"/>
        <v/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3" t="str">
        <f t="shared" si="3"/>
        <v/>
      </c>
      <c r="B91" s="23"/>
      <c r="C91" s="23"/>
      <c r="D91" s="23"/>
      <c r="E91" s="23"/>
      <c r="F91" s="23"/>
      <c r="G91" s="7"/>
      <c r="H91" s="19" t="str">
        <f>IF(B91="","",IFERROR(IF(SUMIFS('Nhập hàng'!$J$4:$J$503,'Nhập hàng'!$C$4:$C$503,A91)&gt;0,SUMIFS('Nhập hàng'!$K$4:$K$503,'Nhập hàng'!$C$4:$C$503,A91)/SUMIFS('Nhập hàng'!$J$4:$J$503,'Nhập hàng'!$C$4:$C$503,A91),G91/E91),0))</f>
        <v/>
      </c>
      <c r="I91" s="23"/>
      <c r="J91" s="23"/>
      <c r="K91" s="18" t="str">
        <f t="shared" si="2"/>
        <v/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23" t="str">
        <f t="shared" si="3"/>
        <v/>
      </c>
      <c r="B92" s="23"/>
      <c r="C92" s="23"/>
      <c r="D92" s="23"/>
      <c r="E92" s="23"/>
      <c r="F92" s="23"/>
      <c r="G92" s="7"/>
      <c r="H92" s="19" t="str">
        <f>IF(B92="","",IFERROR(IF(SUMIFS('Nhập hàng'!$J$4:$J$503,'Nhập hàng'!$C$4:$C$503,A92)&gt;0,SUMIFS('Nhập hàng'!$K$4:$K$503,'Nhập hàng'!$C$4:$C$503,A92)/SUMIFS('Nhập hàng'!$J$4:$J$503,'Nhập hàng'!$C$4:$C$503,A92),G92/E92),0))</f>
        <v/>
      </c>
      <c r="I92" s="23"/>
      <c r="J92" s="23"/>
      <c r="K92" s="18" t="str">
        <f t="shared" si="2"/>
        <v/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3" t="str">
        <f t="shared" si="3"/>
        <v/>
      </c>
      <c r="B93" s="23"/>
      <c r="C93" s="23"/>
      <c r="D93" s="23"/>
      <c r="E93" s="23"/>
      <c r="F93" s="23"/>
      <c r="G93" s="7"/>
      <c r="H93" s="19" t="str">
        <f>IF(B93="","",IFERROR(IF(SUMIFS('Nhập hàng'!$J$4:$J$503,'Nhập hàng'!$C$4:$C$503,A93)&gt;0,SUMIFS('Nhập hàng'!$K$4:$K$503,'Nhập hàng'!$C$4:$C$503,A93)/SUMIFS('Nhập hàng'!$J$4:$J$503,'Nhập hàng'!$C$4:$C$503,A93),G93/E93),0))</f>
        <v/>
      </c>
      <c r="I93" s="23"/>
      <c r="J93" s="23"/>
      <c r="K93" s="18" t="str">
        <f t="shared" si="2"/>
        <v/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3" t="str">
        <f t="shared" si="3"/>
        <v/>
      </c>
      <c r="B94" s="23"/>
      <c r="C94" s="23"/>
      <c r="D94" s="23"/>
      <c r="E94" s="23"/>
      <c r="F94" s="23"/>
      <c r="G94" s="7"/>
      <c r="H94" s="19" t="str">
        <f>IF(B94="","",IFERROR(IF(SUMIFS('Nhập hàng'!$J$4:$J$503,'Nhập hàng'!$C$4:$C$503,A94)&gt;0,SUMIFS('Nhập hàng'!$K$4:$K$503,'Nhập hàng'!$C$4:$C$503,A94)/SUMIFS('Nhập hàng'!$J$4:$J$503,'Nhập hàng'!$C$4:$C$503,A94),G94/E94),0))</f>
        <v/>
      </c>
      <c r="I94" s="23"/>
      <c r="J94" s="23"/>
      <c r="K94" s="18" t="str">
        <f t="shared" si="2"/>
        <v/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3" t="str">
        <f t="shared" si="3"/>
        <v/>
      </c>
      <c r="B95" s="23"/>
      <c r="C95" s="23"/>
      <c r="D95" s="23"/>
      <c r="E95" s="23"/>
      <c r="F95" s="23"/>
      <c r="G95" s="7"/>
      <c r="H95" s="19" t="str">
        <f>IF(B95="","",IFERROR(IF(SUMIFS('Nhập hàng'!$J$4:$J$503,'Nhập hàng'!$C$4:$C$503,A95)&gt;0,SUMIFS('Nhập hàng'!$K$4:$K$503,'Nhập hàng'!$C$4:$C$503,A95)/SUMIFS('Nhập hàng'!$J$4:$J$503,'Nhập hàng'!$C$4:$C$503,A95),G95/E95),0))</f>
        <v/>
      </c>
      <c r="I95" s="23"/>
      <c r="J95" s="23"/>
      <c r="K95" s="18" t="str">
        <f t="shared" si="2"/>
        <v/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3" t="str">
        <f t="shared" si="3"/>
        <v/>
      </c>
      <c r="B96" s="23"/>
      <c r="C96" s="23"/>
      <c r="D96" s="23"/>
      <c r="E96" s="23"/>
      <c r="F96" s="23"/>
      <c r="G96" s="7"/>
      <c r="H96" s="19" t="str">
        <f>IF(B96="","",IFERROR(IF(SUMIFS('Nhập hàng'!$J$4:$J$503,'Nhập hàng'!$C$4:$C$503,A96)&gt;0,SUMIFS('Nhập hàng'!$K$4:$K$503,'Nhập hàng'!$C$4:$C$503,A96)/SUMIFS('Nhập hàng'!$J$4:$J$503,'Nhập hàng'!$C$4:$C$503,A96),G96/E96),0))</f>
        <v/>
      </c>
      <c r="I96" s="23"/>
      <c r="J96" s="23"/>
      <c r="K96" s="18" t="str">
        <f t="shared" si="2"/>
        <v/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3" t="str">
        <f t="shared" si="3"/>
        <v/>
      </c>
      <c r="B97" s="23"/>
      <c r="C97" s="23"/>
      <c r="D97" s="23"/>
      <c r="E97" s="23"/>
      <c r="F97" s="23"/>
      <c r="G97" s="7"/>
      <c r="H97" s="19" t="str">
        <f>IF(B97="","",IFERROR(IF(SUMIFS('Nhập hàng'!$J$4:$J$503,'Nhập hàng'!$C$4:$C$503,A97)&gt;0,SUMIFS('Nhập hàng'!$K$4:$K$503,'Nhập hàng'!$C$4:$C$503,A97)/SUMIFS('Nhập hàng'!$J$4:$J$503,'Nhập hàng'!$C$4:$C$503,A97),G97/E97),0))</f>
        <v/>
      </c>
      <c r="I97" s="23"/>
      <c r="J97" s="23"/>
      <c r="K97" s="18" t="str">
        <f t="shared" si="2"/>
        <v/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3" t="str">
        <f t="shared" si="3"/>
        <v/>
      </c>
      <c r="B98" s="23"/>
      <c r="C98" s="23"/>
      <c r="D98" s="23"/>
      <c r="E98" s="23"/>
      <c r="F98" s="23"/>
      <c r="G98" s="7"/>
      <c r="H98" s="19" t="str">
        <f>IF(B98="","",IFERROR(IF(SUMIFS('Nhập hàng'!$J$4:$J$503,'Nhập hàng'!$C$4:$C$503,A98)&gt;0,SUMIFS('Nhập hàng'!$K$4:$K$503,'Nhập hàng'!$C$4:$C$503,A98)/SUMIFS('Nhập hàng'!$J$4:$J$503,'Nhập hàng'!$C$4:$C$503,A98),G98/E98),0))</f>
        <v/>
      </c>
      <c r="I98" s="23"/>
      <c r="J98" s="23"/>
      <c r="K98" s="18" t="str">
        <f t="shared" si="2"/>
        <v/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3" t="str">
        <f t="shared" si="3"/>
        <v/>
      </c>
      <c r="B99" s="23"/>
      <c r="C99" s="23"/>
      <c r="D99" s="23"/>
      <c r="E99" s="23"/>
      <c r="F99" s="23"/>
      <c r="G99" s="7"/>
      <c r="H99" s="19" t="str">
        <f>IF(B99="","",IFERROR(IF(SUMIFS('Nhập hàng'!$J$4:$J$503,'Nhập hàng'!$C$4:$C$503,A99)&gt;0,SUMIFS('Nhập hàng'!$K$4:$K$503,'Nhập hàng'!$C$4:$C$503,A99)/SUMIFS('Nhập hàng'!$J$4:$J$503,'Nhập hàng'!$C$4:$C$503,A99),G99/E99),0))</f>
        <v/>
      </c>
      <c r="I99" s="23"/>
      <c r="J99" s="23"/>
      <c r="K99" s="18" t="str">
        <f t="shared" si="2"/>
        <v/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3" t="str">
        <f t="shared" si="3"/>
        <v/>
      </c>
      <c r="B100" s="23"/>
      <c r="C100" s="23"/>
      <c r="D100" s="23"/>
      <c r="E100" s="23"/>
      <c r="F100" s="23"/>
      <c r="G100" s="7"/>
      <c r="H100" s="19" t="str">
        <f>IF(B100="","",IFERROR(IF(SUMIFS('Nhập hàng'!$J$4:$J$503,'Nhập hàng'!$C$4:$C$503,A100)&gt;0,SUMIFS('Nhập hàng'!$K$4:$K$503,'Nhập hàng'!$C$4:$C$503,A100)/SUMIFS('Nhập hàng'!$J$4:$J$503,'Nhập hàng'!$C$4:$C$503,A100),G100/E100),0))</f>
        <v/>
      </c>
      <c r="I100" s="23"/>
      <c r="J100" s="23"/>
      <c r="K100" s="18" t="str">
        <f t="shared" si="2"/>
        <v/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3" t="str">
        <f t="shared" si="3"/>
        <v/>
      </c>
      <c r="B101" s="23"/>
      <c r="C101" s="23"/>
      <c r="D101" s="23"/>
      <c r="E101" s="23"/>
      <c r="F101" s="23"/>
      <c r="G101" s="7"/>
      <c r="H101" s="19" t="str">
        <f>IF(B101="","",IFERROR(IF(SUMIFS('Nhập hàng'!$J$4:$J$503,'Nhập hàng'!$C$4:$C$503,A101)&gt;0,SUMIFS('Nhập hàng'!$K$4:$K$503,'Nhập hàng'!$C$4:$C$503,A101)/SUMIFS('Nhập hàng'!$J$4:$J$503,'Nhập hàng'!$C$4:$C$503,A101),G101/E101),0))</f>
        <v/>
      </c>
      <c r="I101" s="23"/>
      <c r="J101" s="23"/>
      <c r="K101" s="18" t="str">
        <f t="shared" si="2"/>
        <v/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3" t="str">
        <f t="shared" si="3"/>
        <v/>
      </c>
      <c r="B102" s="23"/>
      <c r="C102" s="23"/>
      <c r="D102" s="23"/>
      <c r="E102" s="23"/>
      <c r="F102" s="23"/>
      <c r="G102" s="7"/>
      <c r="H102" s="19" t="str">
        <f>IF(B102="","",IFERROR(IF(SUMIFS('Nhập hàng'!$J$4:$J$503,'Nhập hàng'!$C$4:$C$503,A102)&gt;0,SUMIFS('Nhập hàng'!$K$4:$K$503,'Nhập hàng'!$C$4:$C$503,A102)/SUMIFS('Nhập hàng'!$J$4:$J$503,'Nhập hàng'!$C$4:$C$503,A102),G102/E102),0))</f>
        <v/>
      </c>
      <c r="I102" s="23"/>
      <c r="J102" s="23"/>
      <c r="K102" s="18" t="str">
        <f t="shared" si="2"/>
        <v/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3" t="str">
        <f t="shared" si="3"/>
        <v/>
      </c>
      <c r="B103" s="23"/>
      <c r="C103" s="23"/>
      <c r="D103" s="23"/>
      <c r="E103" s="23"/>
      <c r="F103" s="23"/>
      <c r="G103" s="7"/>
      <c r="H103" s="19" t="str">
        <f>IF(B103="","",IFERROR(IF(SUMIFS('Nhập hàng'!$J$4:$J$503,'Nhập hàng'!$C$4:$C$503,A103)&gt;0,SUMIFS('Nhập hàng'!$K$4:$K$503,'Nhập hàng'!$C$4:$C$503,A103)/SUMIFS('Nhập hàng'!$J$4:$J$503,'Nhập hàng'!$C$4:$C$503,A103),G103/E103),0))</f>
        <v/>
      </c>
      <c r="I103" s="23"/>
      <c r="J103" s="23"/>
      <c r="K103" s="18" t="str">
        <f t="shared" si="2"/>
        <v/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3" t="str">
        <f t="shared" si="3"/>
        <v/>
      </c>
      <c r="B104" s="23"/>
      <c r="C104" s="23"/>
      <c r="D104" s="23"/>
      <c r="E104" s="23"/>
      <c r="F104" s="23"/>
      <c r="G104" s="7"/>
      <c r="H104" s="19" t="str">
        <f>IF(B104="","",IFERROR(IF(SUMIFS('Nhập hàng'!$J$4:$J$503,'Nhập hàng'!$C$4:$C$503,A104)&gt;0,SUMIFS('Nhập hàng'!$K$4:$K$503,'Nhập hàng'!$C$4:$C$503,A104)/SUMIFS('Nhập hàng'!$J$4:$J$503,'Nhập hàng'!$C$4:$C$503,A104),G104/E104),0))</f>
        <v/>
      </c>
      <c r="I104" s="23"/>
      <c r="J104" s="23"/>
      <c r="K104" s="18" t="str">
        <f t="shared" si="2"/>
        <v/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3" t="str">
        <f t="shared" si="3"/>
        <v/>
      </c>
      <c r="B105" s="23"/>
      <c r="C105" s="23"/>
      <c r="D105" s="23"/>
      <c r="E105" s="23"/>
      <c r="F105" s="23"/>
      <c r="G105" s="7"/>
      <c r="H105" s="19" t="str">
        <f>IF(B105="","",IFERROR(IF(SUMIFS('Nhập hàng'!$J$4:$J$503,'Nhập hàng'!$C$4:$C$503,A105)&gt;0,SUMIFS('Nhập hàng'!$K$4:$K$503,'Nhập hàng'!$C$4:$C$503,A105)/SUMIFS('Nhập hàng'!$J$4:$J$503,'Nhập hàng'!$C$4:$C$503,A105),G105/E105),0))</f>
        <v/>
      </c>
      <c r="I105" s="23"/>
      <c r="J105" s="23"/>
      <c r="K105" s="18" t="str">
        <f t="shared" si="2"/>
        <v/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3" t="str">
        <f t="shared" si="3"/>
        <v/>
      </c>
      <c r="B106" s="23"/>
      <c r="C106" s="23"/>
      <c r="D106" s="23"/>
      <c r="E106" s="23"/>
      <c r="F106" s="23"/>
      <c r="G106" s="7"/>
      <c r="H106" s="19" t="str">
        <f>IF(B106="","",IFERROR(IF(SUMIFS('Nhập hàng'!$J$4:$J$503,'Nhập hàng'!$C$4:$C$503,A106)&gt;0,SUMIFS('Nhập hàng'!$K$4:$K$503,'Nhập hàng'!$C$4:$C$503,A106)/SUMIFS('Nhập hàng'!$J$4:$J$503,'Nhập hàng'!$C$4:$C$503,A106),G106/E106),0))</f>
        <v/>
      </c>
      <c r="I106" s="23"/>
      <c r="J106" s="23"/>
      <c r="K106" s="18" t="str">
        <f t="shared" si="2"/>
        <v/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3" t="str">
        <f t="shared" si="3"/>
        <v/>
      </c>
      <c r="B107" s="23"/>
      <c r="C107" s="23"/>
      <c r="D107" s="23"/>
      <c r="E107" s="23"/>
      <c r="F107" s="23"/>
      <c r="G107" s="7"/>
      <c r="H107" s="19" t="str">
        <f>IF(B107="","",IFERROR(IF(SUMIFS('Nhập hàng'!$J$4:$J$503,'Nhập hàng'!$C$4:$C$503,A107)&gt;0,SUMIFS('Nhập hàng'!$K$4:$K$503,'Nhập hàng'!$C$4:$C$503,A107)/SUMIFS('Nhập hàng'!$J$4:$J$503,'Nhập hàng'!$C$4:$C$503,A107),G107/E107),0))</f>
        <v/>
      </c>
      <c r="I107" s="23"/>
      <c r="J107" s="23"/>
      <c r="K107" s="18" t="str">
        <f t="shared" si="2"/>
        <v/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3" t="str">
        <f t="shared" si="3"/>
        <v/>
      </c>
      <c r="B108" s="23"/>
      <c r="C108" s="23"/>
      <c r="D108" s="23"/>
      <c r="E108" s="23"/>
      <c r="F108" s="23"/>
      <c r="G108" s="7"/>
      <c r="H108" s="19" t="str">
        <f>IF(B108="","",IFERROR(IF(SUMIFS('Nhập hàng'!$J$4:$J$503,'Nhập hàng'!$C$4:$C$503,A108)&gt;0,SUMIFS('Nhập hàng'!$K$4:$K$503,'Nhập hàng'!$C$4:$C$503,A108)/SUMIFS('Nhập hàng'!$J$4:$J$503,'Nhập hàng'!$C$4:$C$503,A108),G108/E108),0))</f>
        <v/>
      </c>
      <c r="I108" s="23"/>
      <c r="J108" s="23"/>
      <c r="K108" s="18" t="str">
        <f t="shared" si="2"/>
        <v/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3" t="str">
        <f t="shared" si="3"/>
        <v/>
      </c>
      <c r="B109" s="23"/>
      <c r="C109" s="23"/>
      <c r="D109" s="23"/>
      <c r="E109" s="23"/>
      <c r="F109" s="23"/>
      <c r="G109" s="7"/>
      <c r="H109" s="19" t="str">
        <f>IF(B109="","",IFERROR(IF(SUMIFS('Nhập hàng'!$J$4:$J$503,'Nhập hàng'!$C$4:$C$503,A109)&gt;0,SUMIFS('Nhập hàng'!$K$4:$K$503,'Nhập hàng'!$C$4:$C$503,A109)/SUMIFS('Nhập hàng'!$J$4:$J$503,'Nhập hàng'!$C$4:$C$503,A109),G109/E109),0))</f>
        <v/>
      </c>
      <c r="I109" s="23"/>
      <c r="J109" s="23"/>
      <c r="K109" s="18" t="str">
        <f t="shared" si="2"/>
        <v/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3" t="str">
        <f t="shared" si="3"/>
        <v/>
      </c>
      <c r="B110" s="23"/>
      <c r="C110" s="23"/>
      <c r="D110" s="23"/>
      <c r="E110" s="23"/>
      <c r="F110" s="23"/>
      <c r="G110" s="7"/>
      <c r="H110" s="19" t="str">
        <f>IF(B110="","",IFERROR(IF(SUMIFS('Nhập hàng'!$J$4:$J$503,'Nhập hàng'!$C$4:$C$503,A110)&gt;0,SUMIFS('Nhập hàng'!$K$4:$K$503,'Nhập hàng'!$C$4:$C$503,A110)/SUMIFS('Nhập hàng'!$J$4:$J$503,'Nhập hàng'!$C$4:$C$503,A110),G110/E110),0))</f>
        <v/>
      </c>
      <c r="I110" s="23"/>
      <c r="J110" s="23"/>
      <c r="K110" s="18" t="str">
        <f t="shared" si="2"/>
        <v/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3" t="str">
        <f t="shared" si="3"/>
        <v/>
      </c>
      <c r="B111" s="23"/>
      <c r="C111" s="23"/>
      <c r="D111" s="23"/>
      <c r="E111" s="23"/>
      <c r="F111" s="23"/>
      <c r="G111" s="7"/>
      <c r="H111" s="19" t="str">
        <f>IF(B111="","",IFERROR(IF(SUMIFS('Nhập hàng'!$J$4:$J$503,'Nhập hàng'!$C$4:$C$503,A111)&gt;0,SUMIFS('Nhập hàng'!$K$4:$K$503,'Nhập hàng'!$C$4:$C$503,A111)/SUMIFS('Nhập hàng'!$J$4:$J$503,'Nhập hàng'!$C$4:$C$503,A111),G111/E111),0))</f>
        <v/>
      </c>
      <c r="I111" s="23"/>
      <c r="J111" s="23"/>
      <c r="K111" s="18" t="str">
        <f t="shared" si="2"/>
        <v/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3" t="str">
        <f t="shared" si="3"/>
        <v/>
      </c>
      <c r="B112" s="23"/>
      <c r="C112" s="23"/>
      <c r="D112" s="23"/>
      <c r="E112" s="23"/>
      <c r="F112" s="23"/>
      <c r="G112" s="7"/>
      <c r="H112" s="19" t="str">
        <f>IF(B112="","",IFERROR(IF(SUMIFS('Nhập hàng'!$J$4:$J$503,'Nhập hàng'!$C$4:$C$503,A112)&gt;0,SUMIFS('Nhập hàng'!$K$4:$K$503,'Nhập hàng'!$C$4:$C$503,A112)/SUMIFS('Nhập hàng'!$J$4:$J$503,'Nhập hàng'!$C$4:$C$503,A112),G112/E112),0))</f>
        <v/>
      </c>
      <c r="I112" s="23"/>
      <c r="J112" s="23"/>
      <c r="K112" s="18" t="str">
        <f t="shared" si="2"/>
        <v/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3" t="str">
        <f t="shared" si="3"/>
        <v/>
      </c>
      <c r="B113" s="23"/>
      <c r="C113" s="23"/>
      <c r="D113" s="23"/>
      <c r="E113" s="23"/>
      <c r="F113" s="23"/>
      <c r="G113" s="7"/>
      <c r="H113" s="19" t="str">
        <f>IF(B113="","",IFERROR(IF(SUMIFS('Nhập hàng'!$J$4:$J$503,'Nhập hàng'!$C$4:$C$503,A113)&gt;0,SUMIFS('Nhập hàng'!$K$4:$K$503,'Nhập hàng'!$C$4:$C$503,A113)/SUMIFS('Nhập hàng'!$J$4:$J$503,'Nhập hàng'!$C$4:$C$503,A113),G113/E113),0))</f>
        <v/>
      </c>
      <c r="I113" s="23"/>
      <c r="J113" s="23"/>
      <c r="K113" s="18" t="str">
        <f t="shared" si="2"/>
        <v/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3" t="str">
        <f t="shared" si="3"/>
        <v/>
      </c>
      <c r="B114" s="23"/>
      <c r="C114" s="23"/>
      <c r="D114" s="23"/>
      <c r="E114" s="23"/>
      <c r="F114" s="23"/>
      <c r="G114" s="7"/>
      <c r="H114" s="19" t="str">
        <f>IF(B114="","",IFERROR(IF(SUMIFS('Nhập hàng'!$J$4:$J$503,'Nhập hàng'!$C$4:$C$503,A114)&gt;0,SUMIFS('Nhập hàng'!$K$4:$K$503,'Nhập hàng'!$C$4:$C$503,A114)/SUMIFS('Nhập hàng'!$J$4:$J$503,'Nhập hàng'!$C$4:$C$503,A114),G114/E114),0))</f>
        <v/>
      </c>
      <c r="I114" s="23"/>
      <c r="J114" s="23"/>
      <c r="K114" s="18" t="str">
        <f t="shared" si="2"/>
        <v/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3" t="str">
        <f t="shared" si="3"/>
        <v/>
      </c>
      <c r="B115" s="23"/>
      <c r="C115" s="23"/>
      <c r="D115" s="23"/>
      <c r="E115" s="23"/>
      <c r="F115" s="23"/>
      <c r="G115" s="7"/>
      <c r="H115" s="19" t="str">
        <f>IF(B115="","",IFERROR(IF(SUMIFS('Nhập hàng'!$J$4:$J$503,'Nhập hàng'!$C$4:$C$503,A115)&gt;0,SUMIFS('Nhập hàng'!$K$4:$K$503,'Nhập hàng'!$C$4:$C$503,A115)/SUMIFS('Nhập hàng'!$J$4:$J$503,'Nhập hàng'!$C$4:$C$503,A115),G115/E115),0))</f>
        <v/>
      </c>
      <c r="I115" s="23"/>
      <c r="J115" s="23"/>
      <c r="K115" s="18" t="str">
        <f t="shared" si="2"/>
        <v/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3" t="str">
        <f t="shared" si="3"/>
        <v/>
      </c>
      <c r="B116" s="23"/>
      <c r="C116" s="23"/>
      <c r="D116" s="23"/>
      <c r="E116" s="23"/>
      <c r="F116" s="23"/>
      <c r="G116" s="7"/>
      <c r="H116" s="19" t="str">
        <f>IF(B116="","",IFERROR(IF(SUMIFS('Nhập hàng'!$J$4:$J$503,'Nhập hàng'!$C$4:$C$503,A116)&gt;0,SUMIFS('Nhập hàng'!$K$4:$K$503,'Nhập hàng'!$C$4:$C$503,A116)/SUMIFS('Nhập hàng'!$J$4:$J$503,'Nhập hàng'!$C$4:$C$503,A116),G116/E116),0))</f>
        <v/>
      </c>
      <c r="I116" s="23"/>
      <c r="J116" s="23"/>
      <c r="K116" s="18" t="str">
        <f t="shared" si="2"/>
        <v/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3" t="str">
        <f t="shared" si="3"/>
        <v/>
      </c>
      <c r="B117" s="23"/>
      <c r="C117" s="23"/>
      <c r="D117" s="23"/>
      <c r="E117" s="23"/>
      <c r="F117" s="23"/>
      <c r="G117" s="7"/>
      <c r="H117" s="19" t="str">
        <f>IF(B117="","",IFERROR(IF(SUMIFS('Nhập hàng'!$J$4:$J$503,'Nhập hàng'!$C$4:$C$503,A117)&gt;0,SUMIFS('Nhập hàng'!$K$4:$K$503,'Nhập hàng'!$C$4:$C$503,A117)/SUMIFS('Nhập hàng'!$J$4:$J$503,'Nhập hàng'!$C$4:$C$503,A117),G117/E117),0))</f>
        <v/>
      </c>
      <c r="I117" s="23"/>
      <c r="J117" s="23"/>
      <c r="K117" s="18" t="str">
        <f t="shared" si="2"/>
        <v/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3" t="str">
        <f t="shared" si="3"/>
        <v/>
      </c>
      <c r="B118" s="23"/>
      <c r="C118" s="23"/>
      <c r="D118" s="23"/>
      <c r="E118" s="23"/>
      <c r="F118" s="23"/>
      <c r="G118" s="7"/>
      <c r="H118" s="19" t="str">
        <f>IF(B118="","",IFERROR(IF(SUMIFS('Nhập hàng'!$J$4:$J$503,'Nhập hàng'!$C$4:$C$503,A118)&gt;0,SUMIFS('Nhập hàng'!$K$4:$K$503,'Nhập hàng'!$C$4:$C$503,A118)/SUMIFS('Nhập hàng'!$J$4:$J$503,'Nhập hàng'!$C$4:$C$503,A118),G118/E118),0))</f>
        <v/>
      </c>
      <c r="I118" s="23"/>
      <c r="J118" s="23"/>
      <c r="K118" s="18" t="str">
        <f t="shared" si="2"/>
        <v/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3" t="str">
        <f t="shared" si="3"/>
        <v/>
      </c>
      <c r="B119" s="23"/>
      <c r="C119" s="23"/>
      <c r="D119" s="23"/>
      <c r="E119" s="23"/>
      <c r="F119" s="23"/>
      <c r="G119" s="7"/>
      <c r="H119" s="19" t="str">
        <f>IF(B119="","",IFERROR(IF(SUMIFS('Nhập hàng'!$J$4:$J$503,'Nhập hàng'!$C$4:$C$503,A119)&gt;0,SUMIFS('Nhập hàng'!$K$4:$K$503,'Nhập hàng'!$C$4:$C$503,A119)/SUMIFS('Nhập hàng'!$J$4:$J$503,'Nhập hàng'!$C$4:$C$503,A119),G119/E119),0))</f>
        <v/>
      </c>
      <c r="I119" s="23"/>
      <c r="J119" s="23"/>
      <c r="K119" s="18" t="str">
        <f t="shared" si="2"/>
        <v/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3" t="str">
        <f t="shared" si="3"/>
        <v/>
      </c>
      <c r="B120" s="23"/>
      <c r="C120" s="23"/>
      <c r="D120" s="23"/>
      <c r="E120" s="23"/>
      <c r="F120" s="23"/>
      <c r="G120" s="7"/>
      <c r="H120" s="19" t="str">
        <f>IF(B120="","",IFERROR(IF(SUMIFS('Nhập hàng'!$J$4:$J$503,'Nhập hàng'!$C$4:$C$503,A120)&gt;0,SUMIFS('Nhập hàng'!$K$4:$K$503,'Nhập hàng'!$C$4:$C$503,A120)/SUMIFS('Nhập hàng'!$J$4:$J$503,'Nhập hàng'!$C$4:$C$503,A120),G120/E120),0))</f>
        <v/>
      </c>
      <c r="I120" s="23"/>
      <c r="J120" s="23"/>
      <c r="K120" s="18" t="str">
        <f t="shared" si="2"/>
        <v/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3" t="str">
        <f t="shared" si="3"/>
        <v/>
      </c>
      <c r="B121" s="23"/>
      <c r="C121" s="23"/>
      <c r="D121" s="23"/>
      <c r="E121" s="23"/>
      <c r="F121" s="23"/>
      <c r="G121" s="7"/>
      <c r="H121" s="19" t="str">
        <f>IF(B121="","",IFERROR(IF(SUMIFS('Nhập hàng'!$J$4:$J$503,'Nhập hàng'!$C$4:$C$503,A121)&gt;0,SUMIFS('Nhập hàng'!$K$4:$K$503,'Nhập hàng'!$C$4:$C$503,A121)/SUMIFS('Nhập hàng'!$J$4:$J$503,'Nhập hàng'!$C$4:$C$503,A121),G121/E121),0))</f>
        <v/>
      </c>
      <c r="I121" s="23"/>
      <c r="J121" s="23"/>
      <c r="K121" s="18" t="str">
        <f t="shared" si="2"/>
        <v/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3" t="str">
        <f t="shared" si="3"/>
        <v/>
      </c>
      <c r="B122" s="23"/>
      <c r="C122" s="23"/>
      <c r="D122" s="23"/>
      <c r="E122" s="23"/>
      <c r="F122" s="23"/>
      <c r="G122" s="7"/>
      <c r="H122" s="19" t="str">
        <f>IF(B122="","",IFERROR(IF(SUMIFS('Nhập hàng'!$J$4:$J$503,'Nhập hàng'!$C$4:$C$503,A122)&gt;0,SUMIFS('Nhập hàng'!$K$4:$K$503,'Nhập hàng'!$C$4:$C$503,A122)/SUMIFS('Nhập hàng'!$J$4:$J$503,'Nhập hàng'!$C$4:$C$503,A122),G122/E122),0))</f>
        <v/>
      </c>
      <c r="I122" s="23"/>
      <c r="J122" s="23"/>
      <c r="K122" s="18" t="str">
        <f t="shared" si="2"/>
        <v/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3" t="str">
        <f t="shared" si="3"/>
        <v/>
      </c>
      <c r="B123" s="23"/>
      <c r="C123" s="23"/>
      <c r="D123" s="23"/>
      <c r="E123" s="23"/>
      <c r="F123" s="23"/>
      <c r="G123" s="7"/>
      <c r="H123" s="19" t="str">
        <f>IF(B123="","",IFERROR(IF(SUMIFS('Nhập hàng'!$J$4:$J$503,'Nhập hàng'!$C$4:$C$503,A123)&gt;0,SUMIFS('Nhập hàng'!$K$4:$K$503,'Nhập hàng'!$C$4:$C$503,A123)/SUMIFS('Nhập hàng'!$J$4:$J$503,'Nhập hàng'!$C$4:$C$503,A123),G123/E123),0))</f>
        <v/>
      </c>
      <c r="I123" s="23"/>
      <c r="J123" s="23"/>
      <c r="K123" s="18" t="str">
        <f t="shared" si="2"/>
        <v/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3" t="str">
        <f t="shared" si="3"/>
        <v/>
      </c>
      <c r="B124" s="23"/>
      <c r="C124" s="23"/>
      <c r="D124" s="23"/>
      <c r="E124" s="23"/>
      <c r="F124" s="23"/>
      <c r="G124" s="7"/>
      <c r="H124" s="19" t="str">
        <f>IF(B124="","",IFERROR(IF(SUMIFS('Nhập hàng'!$J$4:$J$503,'Nhập hàng'!$C$4:$C$503,A124)&gt;0,SUMIFS('Nhập hàng'!$K$4:$K$503,'Nhập hàng'!$C$4:$C$503,A124)/SUMIFS('Nhập hàng'!$J$4:$J$503,'Nhập hàng'!$C$4:$C$503,A124),G124/E124),0))</f>
        <v/>
      </c>
      <c r="I124" s="23"/>
      <c r="J124" s="23"/>
      <c r="K124" s="18" t="str">
        <f t="shared" si="2"/>
        <v/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3" t="str">
        <f t="shared" si="3"/>
        <v/>
      </c>
      <c r="B125" s="23"/>
      <c r="C125" s="23"/>
      <c r="D125" s="23"/>
      <c r="E125" s="23"/>
      <c r="F125" s="23"/>
      <c r="G125" s="7"/>
      <c r="H125" s="19" t="str">
        <f>IF(B125="","",IFERROR(IF(SUMIFS('Nhập hàng'!$J$4:$J$503,'Nhập hàng'!$C$4:$C$503,A125)&gt;0,SUMIFS('Nhập hàng'!$K$4:$K$503,'Nhập hàng'!$C$4:$C$503,A125)/SUMIFS('Nhập hàng'!$J$4:$J$503,'Nhập hàng'!$C$4:$C$503,A125),G125/E125),0))</f>
        <v/>
      </c>
      <c r="I125" s="23"/>
      <c r="J125" s="23"/>
      <c r="K125" s="18" t="str">
        <f t="shared" si="2"/>
        <v/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3" t="str">
        <f t="shared" si="3"/>
        <v/>
      </c>
      <c r="B126" s="23"/>
      <c r="C126" s="23"/>
      <c r="D126" s="23"/>
      <c r="E126" s="23"/>
      <c r="F126" s="23"/>
      <c r="G126" s="7"/>
      <c r="H126" s="19" t="str">
        <f>IF(B126="","",IFERROR(IF(SUMIFS('Nhập hàng'!$J$4:$J$503,'Nhập hàng'!$C$4:$C$503,A126)&gt;0,SUMIFS('Nhập hàng'!$K$4:$K$503,'Nhập hàng'!$C$4:$C$503,A126)/SUMIFS('Nhập hàng'!$J$4:$J$503,'Nhập hàng'!$C$4:$C$503,A126),G126/E126),0))</f>
        <v/>
      </c>
      <c r="I126" s="23"/>
      <c r="J126" s="23"/>
      <c r="K126" s="18" t="str">
        <f t="shared" si="2"/>
        <v/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3" t="str">
        <f t="shared" si="3"/>
        <v/>
      </c>
      <c r="B127" s="23"/>
      <c r="C127" s="23"/>
      <c r="D127" s="23"/>
      <c r="E127" s="23"/>
      <c r="F127" s="23"/>
      <c r="G127" s="7"/>
      <c r="H127" s="19" t="str">
        <f>IF(B127="","",IFERROR(IF(SUMIFS('Nhập hàng'!$J$4:$J$503,'Nhập hàng'!$C$4:$C$503,A127)&gt;0,SUMIFS('Nhập hàng'!$K$4:$K$503,'Nhập hàng'!$C$4:$C$503,A127)/SUMIFS('Nhập hàng'!$J$4:$J$503,'Nhập hàng'!$C$4:$C$503,A127),G127/E127),0))</f>
        <v/>
      </c>
      <c r="I127" s="23"/>
      <c r="J127" s="23"/>
      <c r="K127" s="18" t="str">
        <f t="shared" si="2"/>
        <v/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3" t="str">
        <f t="shared" si="3"/>
        <v/>
      </c>
      <c r="B128" s="23"/>
      <c r="C128" s="23"/>
      <c r="D128" s="23"/>
      <c r="E128" s="23"/>
      <c r="F128" s="23"/>
      <c r="G128" s="7"/>
      <c r="H128" s="19" t="str">
        <f>IF(B128="","",IFERROR(IF(SUMIFS('Nhập hàng'!$J$4:$J$503,'Nhập hàng'!$C$4:$C$503,A128)&gt;0,SUMIFS('Nhập hàng'!$K$4:$K$503,'Nhập hàng'!$C$4:$C$503,A128)/SUMIFS('Nhập hàng'!$J$4:$J$503,'Nhập hàng'!$C$4:$C$503,A128),G128/E128),0))</f>
        <v/>
      </c>
      <c r="I128" s="23"/>
      <c r="J128" s="23"/>
      <c r="K128" s="18" t="str">
        <f t="shared" si="2"/>
        <v/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3" t="str">
        <f t="shared" si="3"/>
        <v/>
      </c>
      <c r="B129" s="23"/>
      <c r="C129" s="23"/>
      <c r="D129" s="23"/>
      <c r="E129" s="23"/>
      <c r="F129" s="23"/>
      <c r="G129" s="7"/>
      <c r="H129" s="19" t="str">
        <f>IF(B129="","",IFERROR(IF(SUMIFS('Nhập hàng'!$J$4:$J$503,'Nhập hàng'!$C$4:$C$503,A129)&gt;0,SUMIFS('Nhập hàng'!$K$4:$K$503,'Nhập hàng'!$C$4:$C$503,A129)/SUMIFS('Nhập hàng'!$J$4:$J$503,'Nhập hàng'!$C$4:$C$503,A129),G129/E129),0))</f>
        <v/>
      </c>
      <c r="I129" s="23"/>
      <c r="J129" s="23"/>
      <c r="K129" s="18" t="str">
        <f t="shared" si="2"/>
        <v/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3" t="str">
        <f t="shared" si="3"/>
        <v/>
      </c>
      <c r="B130" s="23"/>
      <c r="C130" s="23"/>
      <c r="D130" s="23"/>
      <c r="E130" s="23"/>
      <c r="F130" s="23"/>
      <c r="G130" s="7"/>
      <c r="H130" s="19" t="str">
        <f>IF(B130="","",IFERROR(IF(SUMIFS('Nhập hàng'!$J$4:$J$503,'Nhập hàng'!$C$4:$C$503,A130)&gt;0,SUMIFS('Nhập hàng'!$K$4:$K$503,'Nhập hàng'!$C$4:$C$503,A130)/SUMIFS('Nhập hàng'!$J$4:$J$503,'Nhập hàng'!$C$4:$C$503,A130),G130/E130),0))</f>
        <v/>
      </c>
      <c r="I130" s="23"/>
      <c r="J130" s="23"/>
      <c r="K130" s="18" t="str">
        <f t="shared" si="2"/>
        <v/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3" t="str">
        <f t="shared" si="3"/>
        <v/>
      </c>
      <c r="B131" s="23"/>
      <c r="C131" s="23"/>
      <c r="D131" s="23"/>
      <c r="E131" s="23"/>
      <c r="F131" s="23"/>
      <c r="G131" s="7"/>
      <c r="H131" s="19" t="str">
        <f>IF(B131="","",IFERROR(IF(SUMIFS('Nhập hàng'!$J$4:$J$503,'Nhập hàng'!$C$4:$C$503,A131)&gt;0,SUMIFS('Nhập hàng'!$K$4:$K$503,'Nhập hàng'!$C$4:$C$503,A131)/SUMIFS('Nhập hàng'!$J$4:$J$503,'Nhập hàng'!$C$4:$C$503,A131),G131/E131),0))</f>
        <v/>
      </c>
      <c r="I131" s="23"/>
      <c r="J131" s="23"/>
      <c r="K131" s="18" t="str">
        <f t="shared" si="2"/>
        <v/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3" t="str">
        <f t="shared" si="3"/>
        <v/>
      </c>
      <c r="B132" s="23"/>
      <c r="C132" s="23"/>
      <c r="D132" s="23"/>
      <c r="E132" s="23"/>
      <c r="F132" s="23"/>
      <c r="G132" s="7"/>
      <c r="H132" s="19" t="str">
        <f>IF(B132="","",IFERROR(IF(SUMIFS('Nhập hàng'!$J$4:$J$503,'Nhập hàng'!$C$4:$C$503,A132)&gt;0,SUMIFS('Nhập hàng'!$K$4:$K$503,'Nhập hàng'!$C$4:$C$503,A132)/SUMIFS('Nhập hàng'!$J$4:$J$503,'Nhập hàng'!$C$4:$C$503,A132),G132/E132),0))</f>
        <v/>
      </c>
      <c r="I132" s="23"/>
      <c r="J132" s="23"/>
      <c r="K132" s="18" t="str">
        <f t="shared" si="2"/>
        <v/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3" t="str">
        <f t="shared" si="3"/>
        <v/>
      </c>
      <c r="B133" s="23"/>
      <c r="C133" s="23"/>
      <c r="D133" s="23"/>
      <c r="E133" s="23"/>
      <c r="F133" s="23"/>
      <c r="G133" s="7"/>
      <c r="H133" s="19" t="str">
        <f>IF(B133="","",IFERROR(IF(SUMIFS('Nhập hàng'!$J$4:$J$503,'Nhập hàng'!$C$4:$C$503,A133)&gt;0,SUMIFS('Nhập hàng'!$K$4:$K$503,'Nhập hàng'!$C$4:$C$503,A133)/SUMIFS('Nhập hàng'!$J$4:$J$503,'Nhập hàng'!$C$4:$C$503,A133),G133/E133),0))</f>
        <v/>
      </c>
      <c r="I133" s="23"/>
      <c r="J133" s="23"/>
      <c r="K133" s="18" t="str">
        <f t="shared" si="2"/>
        <v/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3" t="str">
        <f t="shared" si="3"/>
        <v/>
      </c>
      <c r="B134" s="23"/>
      <c r="C134" s="23"/>
      <c r="D134" s="23"/>
      <c r="E134" s="23"/>
      <c r="F134" s="23"/>
      <c r="G134" s="7"/>
      <c r="H134" s="19" t="str">
        <f>IF(B134="","",IFERROR(IF(SUMIFS('Nhập hàng'!$J$4:$J$503,'Nhập hàng'!$C$4:$C$503,A134)&gt;0,SUMIFS('Nhập hàng'!$K$4:$K$503,'Nhập hàng'!$C$4:$C$503,A134)/SUMIFS('Nhập hàng'!$J$4:$J$503,'Nhập hàng'!$C$4:$C$503,A134),G134/E134),0))</f>
        <v/>
      </c>
      <c r="I134" s="23"/>
      <c r="J134" s="23"/>
      <c r="K134" s="18" t="str">
        <f t="shared" si="2"/>
        <v/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3" t="str">
        <f t="shared" si="3"/>
        <v/>
      </c>
      <c r="B135" s="23"/>
      <c r="C135" s="23"/>
      <c r="D135" s="23"/>
      <c r="E135" s="23"/>
      <c r="F135" s="23"/>
      <c r="G135" s="7"/>
      <c r="H135" s="19" t="str">
        <f>IF(B135="","",IFERROR(IF(SUMIFS('Nhập hàng'!$J$4:$J$503,'Nhập hàng'!$C$4:$C$503,A135)&gt;0,SUMIFS('Nhập hàng'!$K$4:$K$503,'Nhập hàng'!$C$4:$C$503,A135)/SUMIFS('Nhập hàng'!$J$4:$J$503,'Nhập hàng'!$C$4:$C$503,A135),G135/E135),0))</f>
        <v/>
      </c>
      <c r="I135" s="23"/>
      <c r="J135" s="23"/>
      <c r="K135" s="18" t="str">
        <f t="shared" si="2"/>
        <v/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3" t="str">
        <f t="shared" si="3"/>
        <v/>
      </c>
      <c r="B136" s="23"/>
      <c r="C136" s="23"/>
      <c r="D136" s="23"/>
      <c r="E136" s="23"/>
      <c r="F136" s="23"/>
      <c r="G136" s="7"/>
      <c r="H136" s="19" t="str">
        <f>IF(B136="","",IFERROR(IF(SUMIFS('Nhập hàng'!$J$4:$J$503,'Nhập hàng'!$C$4:$C$503,A136)&gt;0,SUMIFS('Nhập hàng'!$K$4:$K$503,'Nhập hàng'!$C$4:$C$503,A136)/SUMIFS('Nhập hàng'!$J$4:$J$503,'Nhập hàng'!$C$4:$C$503,A136),G136/E136),0))</f>
        <v/>
      </c>
      <c r="I136" s="23"/>
      <c r="J136" s="23"/>
      <c r="K136" s="18" t="str">
        <f t="shared" si="2"/>
        <v/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3" t="str">
        <f t="shared" si="3"/>
        <v/>
      </c>
      <c r="B137" s="23"/>
      <c r="C137" s="23"/>
      <c r="D137" s="23"/>
      <c r="E137" s="23"/>
      <c r="F137" s="23"/>
      <c r="G137" s="7"/>
      <c r="H137" s="19" t="str">
        <f>IF(B137="","",IFERROR(IF(SUMIFS('Nhập hàng'!$J$4:$J$503,'Nhập hàng'!$C$4:$C$503,A137)&gt;0,SUMIFS('Nhập hàng'!$K$4:$K$503,'Nhập hàng'!$C$4:$C$503,A137)/SUMIFS('Nhập hàng'!$J$4:$J$503,'Nhập hàng'!$C$4:$C$503,A137),G137/E137),0))</f>
        <v/>
      </c>
      <c r="I137" s="23"/>
      <c r="J137" s="23"/>
      <c r="K137" s="18" t="str">
        <f t="shared" si="2"/>
        <v/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3" t="str">
        <f t="shared" si="3"/>
        <v/>
      </c>
      <c r="B138" s="23"/>
      <c r="C138" s="23"/>
      <c r="D138" s="23"/>
      <c r="E138" s="23"/>
      <c r="F138" s="23"/>
      <c r="G138" s="7"/>
      <c r="H138" s="19" t="str">
        <f>IF(B138="","",IFERROR(IF(SUMIFS('Nhập hàng'!$J$4:$J$503,'Nhập hàng'!$C$4:$C$503,A138)&gt;0,SUMIFS('Nhập hàng'!$K$4:$K$503,'Nhập hàng'!$C$4:$C$503,A138)/SUMIFS('Nhập hàng'!$J$4:$J$503,'Nhập hàng'!$C$4:$C$503,A138),G138/E138),0))</f>
        <v/>
      </c>
      <c r="I138" s="23"/>
      <c r="J138" s="23"/>
      <c r="K138" s="18" t="str">
        <f t="shared" si="2"/>
        <v/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3" t="str">
        <f t="shared" si="3"/>
        <v/>
      </c>
      <c r="B139" s="23"/>
      <c r="C139" s="23"/>
      <c r="D139" s="23"/>
      <c r="E139" s="23"/>
      <c r="F139" s="23"/>
      <c r="G139" s="7"/>
      <c r="H139" s="19" t="str">
        <f>IF(B139="","",IFERROR(IF(SUMIFS('Nhập hàng'!$J$4:$J$503,'Nhập hàng'!$C$4:$C$503,A139)&gt;0,SUMIFS('Nhập hàng'!$K$4:$K$503,'Nhập hàng'!$C$4:$C$503,A139)/SUMIFS('Nhập hàng'!$J$4:$J$503,'Nhập hàng'!$C$4:$C$503,A139),G139/E139),0))</f>
        <v/>
      </c>
      <c r="I139" s="23"/>
      <c r="J139" s="23"/>
      <c r="K139" s="18" t="str">
        <f t="shared" si="2"/>
        <v/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3" t="str">
        <f t="shared" si="3"/>
        <v/>
      </c>
      <c r="B140" s="23"/>
      <c r="C140" s="23"/>
      <c r="D140" s="23"/>
      <c r="E140" s="23"/>
      <c r="F140" s="23"/>
      <c r="G140" s="7"/>
      <c r="H140" s="19" t="str">
        <f>IF(B140="","",IFERROR(IF(SUMIFS('Nhập hàng'!$J$4:$J$503,'Nhập hàng'!$C$4:$C$503,A140)&gt;0,SUMIFS('Nhập hàng'!$K$4:$K$503,'Nhập hàng'!$C$4:$C$503,A140)/SUMIFS('Nhập hàng'!$J$4:$J$503,'Nhập hàng'!$C$4:$C$503,A140),G140/E140),0))</f>
        <v/>
      </c>
      <c r="I140" s="23"/>
      <c r="J140" s="23"/>
      <c r="K140" s="18" t="str">
        <f t="shared" si="2"/>
        <v/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3" t="str">
        <f t="shared" si="3"/>
        <v/>
      </c>
      <c r="B141" s="23"/>
      <c r="C141" s="23"/>
      <c r="D141" s="23"/>
      <c r="E141" s="23"/>
      <c r="F141" s="23"/>
      <c r="G141" s="7"/>
      <c r="H141" s="19" t="str">
        <f>IF(B141="","",IFERROR(IF(SUMIFS('Nhập hàng'!$J$4:$J$503,'Nhập hàng'!$C$4:$C$503,A141)&gt;0,SUMIFS('Nhập hàng'!$K$4:$K$503,'Nhập hàng'!$C$4:$C$503,A141)/SUMIFS('Nhập hàng'!$J$4:$J$503,'Nhập hàng'!$C$4:$C$503,A141),G141/E141),0))</f>
        <v/>
      </c>
      <c r="I141" s="23"/>
      <c r="J141" s="23"/>
      <c r="K141" s="18" t="str">
        <f t="shared" si="2"/>
        <v/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3" t="str">
        <f t="shared" si="3"/>
        <v/>
      </c>
      <c r="B142" s="23"/>
      <c r="C142" s="23"/>
      <c r="D142" s="23"/>
      <c r="E142" s="23"/>
      <c r="F142" s="23"/>
      <c r="G142" s="7"/>
      <c r="H142" s="19" t="str">
        <f>IF(B142="","",IFERROR(IF(SUMIFS('Nhập hàng'!$J$4:$J$503,'Nhập hàng'!$C$4:$C$503,A142)&gt;0,SUMIFS('Nhập hàng'!$K$4:$K$503,'Nhập hàng'!$C$4:$C$503,A142)/SUMIFS('Nhập hàng'!$J$4:$J$503,'Nhập hàng'!$C$4:$C$503,A142),G142/E142),0))</f>
        <v/>
      </c>
      <c r="I142" s="23"/>
      <c r="J142" s="23"/>
      <c r="K142" s="18" t="str">
        <f t="shared" si="2"/>
        <v/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3" t="str">
        <f t="shared" si="3"/>
        <v/>
      </c>
      <c r="B143" s="23"/>
      <c r="C143" s="23"/>
      <c r="D143" s="23"/>
      <c r="E143" s="23"/>
      <c r="F143" s="23"/>
      <c r="G143" s="7"/>
      <c r="H143" s="19" t="str">
        <f>IF(B143="","",IFERROR(IF(SUMIFS('Nhập hàng'!$J$4:$J$503,'Nhập hàng'!$C$4:$C$503,A143)&gt;0,SUMIFS('Nhập hàng'!$K$4:$K$503,'Nhập hàng'!$C$4:$C$503,A143)/SUMIFS('Nhập hàng'!$J$4:$J$503,'Nhập hàng'!$C$4:$C$503,A143),G143/E143),0))</f>
        <v/>
      </c>
      <c r="I143" s="23"/>
      <c r="J143" s="23"/>
      <c r="K143" s="18" t="str">
        <f t="shared" si="2"/>
        <v/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3" t="str">
        <f t="shared" si="3"/>
        <v/>
      </c>
      <c r="B144" s="23"/>
      <c r="C144" s="23"/>
      <c r="D144" s="23"/>
      <c r="E144" s="23"/>
      <c r="F144" s="23"/>
      <c r="G144" s="7"/>
      <c r="H144" s="19" t="str">
        <f>IF(B144="","",IFERROR(IF(SUMIFS('Nhập hàng'!$J$4:$J$503,'Nhập hàng'!$C$4:$C$503,A144)&gt;0,SUMIFS('Nhập hàng'!$K$4:$K$503,'Nhập hàng'!$C$4:$C$503,A144)/SUMIFS('Nhập hàng'!$J$4:$J$503,'Nhập hàng'!$C$4:$C$503,A144),G144/E144),0))</f>
        <v/>
      </c>
      <c r="I144" s="23"/>
      <c r="J144" s="23"/>
      <c r="K144" s="18" t="str">
        <f t="shared" si="2"/>
        <v/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3" t="str">
        <f t="shared" si="3"/>
        <v/>
      </c>
      <c r="B145" s="23"/>
      <c r="C145" s="23"/>
      <c r="D145" s="23"/>
      <c r="E145" s="23"/>
      <c r="F145" s="23"/>
      <c r="G145" s="7"/>
      <c r="H145" s="19" t="str">
        <f>IF(B145="","",IFERROR(IF(SUMIFS('Nhập hàng'!$J$4:$J$503,'Nhập hàng'!$C$4:$C$503,A145)&gt;0,SUMIFS('Nhập hàng'!$K$4:$K$503,'Nhập hàng'!$C$4:$C$503,A145)/SUMIFS('Nhập hàng'!$J$4:$J$503,'Nhập hàng'!$C$4:$C$503,A145),G145/E145),0))</f>
        <v/>
      </c>
      <c r="I145" s="23"/>
      <c r="J145" s="23"/>
      <c r="K145" s="18" t="str">
        <f t="shared" si="2"/>
        <v/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3" t="str">
        <f t="shared" si="3"/>
        <v/>
      </c>
      <c r="B146" s="23"/>
      <c r="C146" s="23"/>
      <c r="D146" s="23"/>
      <c r="E146" s="23"/>
      <c r="F146" s="23"/>
      <c r="G146" s="7"/>
      <c r="H146" s="19" t="str">
        <f>IF(B146="","",IFERROR(IF(SUMIFS('Nhập hàng'!$J$4:$J$503,'Nhập hàng'!$C$4:$C$503,A146)&gt;0,SUMIFS('Nhập hàng'!$K$4:$K$503,'Nhập hàng'!$C$4:$C$503,A146)/SUMIFS('Nhập hàng'!$J$4:$J$503,'Nhập hàng'!$C$4:$C$503,A146),G146/E146),0))</f>
        <v/>
      </c>
      <c r="I146" s="23"/>
      <c r="J146" s="23"/>
      <c r="K146" s="18" t="str">
        <f t="shared" si="2"/>
        <v/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3" t="str">
        <f t="shared" si="3"/>
        <v/>
      </c>
      <c r="B147" s="23"/>
      <c r="C147" s="23"/>
      <c r="D147" s="23"/>
      <c r="E147" s="23"/>
      <c r="F147" s="23"/>
      <c r="G147" s="7"/>
      <c r="H147" s="19" t="str">
        <f>IF(B147="","",IFERROR(IF(SUMIFS('Nhập hàng'!$J$4:$J$503,'Nhập hàng'!$C$4:$C$503,A147)&gt;0,SUMIFS('Nhập hàng'!$K$4:$K$503,'Nhập hàng'!$C$4:$C$503,A147)/SUMIFS('Nhập hàng'!$J$4:$J$503,'Nhập hàng'!$C$4:$C$503,A147),G147/E147),0))</f>
        <v/>
      </c>
      <c r="I147" s="23"/>
      <c r="J147" s="23"/>
      <c r="K147" s="18" t="str">
        <f t="shared" si="2"/>
        <v/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3" t="str">
        <f t="shared" si="3"/>
        <v/>
      </c>
      <c r="B148" s="23"/>
      <c r="C148" s="23"/>
      <c r="D148" s="23"/>
      <c r="E148" s="23"/>
      <c r="F148" s="23"/>
      <c r="G148" s="7"/>
      <c r="H148" s="19" t="str">
        <f>IF(B148="","",IFERROR(IF(SUMIFS('Nhập hàng'!$J$4:$J$503,'Nhập hàng'!$C$4:$C$503,A148)&gt;0,SUMIFS('Nhập hàng'!$K$4:$K$503,'Nhập hàng'!$C$4:$C$503,A148)/SUMIFS('Nhập hàng'!$J$4:$J$503,'Nhập hàng'!$C$4:$C$503,A148),G148/E148),0))</f>
        <v/>
      </c>
      <c r="I148" s="23"/>
      <c r="J148" s="23"/>
      <c r="K148" s="18" t="str">
        <f t="shared" si="2"/>
        <v/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3" t="str">
        <f t="shared" si="3"/>
        <v/>
      </c>
      <c r="B149" s="23"/>
      <c r="C149" s="23"/>
      <c r="D149" s="23"/>
      <c r="E149" s="23"/>
      <c r="F149" s="23"/>
      <c r="G149" s="7"/>
      <c r="H149" s="19" t="str">
        <f>IF(B149="","",IFERROR(IF(SUMIFS('Nhập hàng'!$J$4:$J$503,'Nhập hàng'!$C$4:$C$503,A149)&gt;0,SUMIFS('Nhập hàng'!$K$4:$K$503,'Nhập hàng'!$C$4:$C$503,A149)/SUMIFS('Nhập hàng'!$J$4:$J$503,'Nhập hàng'!$C$4:$C$503,A149),G149/E149),0))</f>
        <v/>
      </c>
      <c r="I149" s="23"/>
      <c r="J149" s="23"/>
      <c r="K149" s="18" t="str">
        <f t="shared" si="2"/>
        <v/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3" t="str">
        <f t="shared" si="3"/>
        <v/>
      </c>
      <c r="B150" s="23"/>
      <c r="C150" s="23"/>
      <c r="D150" s="23"/>
      <c r="E150" s="23"/>
      <c r="F150" s="23"/>
      <c r="G150" s="7"/>
      <c r="H150" s="19" t="str">
        <f>IF(B150="","",IFERROR(IF(SUMIFS('Nhập hàng'!$J$4:$J$503,'Nhập hàng'!$C$4:$C$503,A150)&gt;0,SUMIFS('Nhập hàng'!$K$4:$K$503,'Nhập hàng'!$C$4:$C$503,A150)/SUMIFS('Nhập hàng'!$J$4:$J$503,'Nhập hàng'!$C$4:$C$503,A150),G150/E150),0))</f>
        <v/>
      </c>
      <c r="I150" s="23"/>
      <c r="J150" s="23"/>
      <c r="K150" s="18" t="str">
        <f t="shared" si="2"/>
        <v/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3" t="str">
        <f t="shared" si="3"/>
        <v/>
      </c>
      <c r="B151" s="23"/>
      <c r="C151" s="23"/>
      <c r="D151" s="23"/>
      <c r="E151" s="23"/>
      <c r="F151" s="23"/>
      <c r="G151" s="7"/>
      <c r="H151" s="19" t="str">
        <f>IF(B151="","",IFERROR(IF(SUMIFS('Nhập hàng'!$J$4:$J$503,'Nhập hàng'!$C$4:$C$503,A151)&gt;0,SUMIFS('Nhập hàng'!$K$4:$K$503,'Nhập hàng'!$C$4:$C$503,A151)/SUMIFS('Nhập hàng'!$J$4:$J$503,'Nhập hàng'!$C$4:$C$503,A151),G151/E151),0))</f>
        <v/>
      </c>
      <c r="I151" s="23"/>
      <c r="J151" s="23"/>
      <c r="K151" s="18" t="str">
        <f t="shared" si="2"/>
        <v/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3" t="str">
        <f t="shared" si="3"/>
        <v/>
      </c>
      <c r="B152" s="23"/>
      <c r="C152" s="23"/>
      <c r="D152" s="23"/>
      <c r="E152" s="23"/>
      <c r="F152" s="23"/>
      <c r="G152" s="7"/>
      <c r="H152" s="19" t="str">
        <f>IF(B152="","",IFERROR(IF(SUMIFS('Nhập hàng'!$J$4:$J$503,'Nhập hàng'!$C$4:$C$503,A152)&gt;0,SUMIFS('Nhập hàng'!$K$4:$K$503,'Nhập hàng'!$C$4:$C$503,A152)/SUMIFS('Nhập hàng'!$J$4:$J$503,'Nhập hàng'!$C$4:$C$503,A152),G152/E152),0))</f>
        <v/>
      </c>
      <c r="I152" s="23"/>
      <c r="J152" s="23"/>
      <c r="K152" s="18" t="str">
        <f t="shared" si="2"/>
        <v/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3" t="str">
        <f t="shared" si="3"/>
        <v/>
      </c>
      <c r="B153" s="23"/>
      <c r="C153" s="23"/>
      <c r="D153" s="23"/>
      <c r="E153" s="23"/>
      <c r="F153" s="23"/>
      <c r="G153" s="7"/>
      <c r="H153" s="19" t="str">
        <f>IF(B153="","",IFERROR(IF(SUMIFS('Nhập hàng'!$J$4:$J$503,'Nhập hàng'!$C$4:$C$503,A153)&gt;0,SUMIFS('Nhập hàng'!$K$4:$K$503,'Nhập hàng'!$C$4:$C$503,A153)/SUMIFS('Nhập hàng'!$J$4:$J$503,'Nhập hàng'!$C$4:$C$503,A153),G153/E153),0))</f>
        <v/>
      </c>
      <c r="I153" s="23"/>
      <c r="J153" s="23"/>
      <c r="K153" s="18" t="str">
        <f t="shared" si="2"/>
        <v/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3" t="str">
        <f t="shared" si="3"/>
        <v/>
      </c>
      <c r="B154" s="23"/>
      <c r="C154" s="23"/>
      <c r="D154" s="23"/>
      <c r="E154" s="23"/>
      <c r="F154" s="23"/>
      <c r="G154" s="7"/>
      <c r="H154" s="19" t="str">
        <f>IF(B154="","",IFERROR(IF(SUMIFS('Nhập hàng'!$J$4:$J$503,'Nhập hàng'!$C$4:$C$503,A154)&gt;0,SUMIFS('Nhập hàng'!$K$4:$K$503,'Nhập hàng'!$C$4:$C$503,A154)/SUMIFS('Nhập hàng'!$J$4:$J$503,'Nhập hàng'!$C$4:$C$503,A154),G154/E154),0))</f>
        <v/>
      </c>
      <c r="I154" s="23"/>
      <c r="J154" s="23"/>
      <c r="K154" s="18" t="str">
        <f t="shared" si="2"/>
        <v/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3" t="str">
        <f t="shared" si="3"/>
        <v/>
      </c>
      <c r="B155" s="23"/>
      <c r="C155" s="23"/>
      <c r="D155" s="23"/>
      <c r="E155" s="23"/>
      <c r="F155" s="23"/>
      <c r="G155" s="7"/>
      <c r="H155" s="19" t="str">
        <f>IF(B155="","",IFERROR(IF(SUMIFS('Nhập hàng'!$J$4:$J$503,'Nhập hàng'!$C$4:$C$503,A155)&gt;0,SUMIFS('Nhập hàng'!$K$4:$K$503,'Nhập hàng'!$C$4:$C$503,A155)/SUMIFS('Nhập hàng'!$J$4:$J$503,'Nhập hàng'!$C$4:$C$503,A155),G155/E155),0))</f>
        <v/>
      </c>
      <c r="I155" s="23"/>
      <c r="J155" s="23"/>
      <c r="K155" s="18" t="str">
        <f t="shared" si="2"/>
        <v/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3" t="str">
        <f t="shared" si="3"/>
        <v/>
      </c>
      <c r="B156" s="23"/>
      <c r="C156" s="23"/>
      <c r="D156" s="23"/>
      <c r="E156" s="23"/>
      <c r="F156" s="23"/>
      <c r="G156" s="7"/>
      <c r="H156" s="19" t="str">
        <f>IF(B156="","",IFERROR(IF(SUMIFS('Nhập hàng'!$J$4:$J$503,'Nhập hàng'!$C$4:$C$503,A156)&gt;0,SUMIFS('Nhập hàng'!$K$4:$K$503,'Nhập hàng'!$C$4:$C$503,A156)/SUMIFS('Nhập hàng'!$J$4:$J$503,'Nhập hàng'!$C$4:$C$503,A156),G156/E156),0))</f>
        <v/>
      </c>
      <c r="I156" s="23"/>
      <c r="J156" s="23"/>
      <c r="K156" s="18" t="str">
        <f t="shared" si="2"/>
        <v/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3" t="str">
        <f t="shared" si="3"/>
        <v/>
      </c>
      <c r="B157" s="23"/>
      <c r="C157" s="23"/>
      <c r="D157" s="23"/>
      <c r="E157" s="23"/>
      <c r="F157" s="23"/>
      <c r="G157" s="7"/>
      <c r="H157" s="19" t="str">
        <f>IF(B157="","",IFERROR(IF(SUMIFS('Nhập hàng'!$J$4:$J$503,'Nhập hàng'!$C$4:$C$503,A157)&gt;0,SUMIFS('Nhập hàng'!$K$4:$K$503,'Nhập hàng'!$C$4:$C$503,A157)/SUMIFS('Nhập hàng'!$J$4:$J$503,'Nhập hàng'!$C$4:$C$503,A157),G157/E157),0))</f>
        <v/>
      </c>
      <c r="I157" s="23"/>
      <c r="J157" s="23"/>
      <c r="K157" s="18" t="str">
        <f t="shared" si="2"/>
        <v/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3" t="str">
        <f t="shared" si="3"/>
        <v/>
      </c>
      <c r="B158" s="23"/>
      <c r="C158" s="23"/>
      <c r="D158" s="23"/>
      <c r="E158" s="23"/>
      <c r="F158" s="23"/>
      <c r="G158" s="7"/>
      <c r="H158" s="19" t="str">
        <f>IF(B158="","",IFERROR(IF(SUMIFS('Nhập hàng'!$J$4:$J$503,'Nhập hàng'!$C$4:$C$503,A158)&gt;0,SUMIFS('Nhập hàng'!$K$4:$K$503,'Nhập hàng'!$C$4:$C$503,A158)/SUMIFS('Nhập hàng'!$J$4:$J$503,'Nhập hàng'!$C$4:$C$503,A158),G158/E158),0))</f>
        <v/>
      </c>
      <c r="I158" s="23"/>
      <c r="J158" s="23"/>
      <c r="K158" s="18" t="str">
        <f t="shared" si="2"/>
        <v/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3" t="str">
        <f t="shared" si="3"/>
        <v/>
      </c>
      <c r="B159" s="23"/>
      <c r="C159" s="23"/>
      <c r="D159" s="23"/>
      <c r="E159" s="23"/>
      <c r="F159" s="23"/>
      <c r="G159" s="7"/>
      <c r="H159" s="19" t="str">
        <f>IF(B159="","",IFERROR(IF(SUMIFS('Nhập hàng'!$J$4:$J$503,'Nhập hàng'!$C$4:$C$503,A159)&gt;0,SUMIFS('Nhập hàng'!$K$4:$K$503,'Nhập hàng'!$C$4:$C$503,A159)/SUMIFS('Nhập hàng'!$J$4:$J$503,'Nhập hàng'!$C$4:$C$503,A159),G159/E159),0))</f>
        <v/>
      </c>
      <c r="I159" s="23"/>
      <c r="J159" s="23"/>
      <c r="K159" s="18" t="str">
        <f t="shared" si="2"/>
        <v/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3" t="str">
        <f t="shared" si="3"/>
        <v/>
      </c>
      <c r="B160" s="23"/>
      <c r="C160" s="23"/>
      <c r="D160" s="23"/>
      <c r="E160" s="23"/>
      <c r="F160" s="23"/>
      <c r="G160" s="7"/>
      <c r="H160" s="19" t="str">
        <f>IF(B160="","",IFERROR(IF(SUMIFS('Nhập hàng'!$J$4:$J$503,'Nhập hàng'!$C$4:$C$503,A160)&gt;0,SUMIFS('Nhập hàng'!$K$4:$K$503,'Nhập hàng'!$C$4:$C$503,A160)/SUMIFS('Nhập hàng'!$J$4:$J$503,'Nhập hàng'!$C$4:$C$503,A160),G160/E160),0))</f>
        <v/>
      </c>
      <c r="I160" s="23"/>
      <c r="J160" s="23"/>
      <c r="K160" s="18" t="str">
        <f t="shared" si="2"/>
        <v/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3" t="str">
        <f t="shared" si="3"/>
        <v/>
      </c>
      <c r="B161" s="23"/>
      <c r="C161" s="23"/>
      <c r="D161" s="23"/>
      <c r="E161" s="23"/>
      <c r="F161" s="23"/>
      <c r="G161" s="7"/>
      <c r="H161" s="19" t="str">
        <f>IF(B161="","",IFERROR(IF(SUMIFS('Nhập hàng'!$J$4:$J$503,'Nhập hàng'!$C$4:$C$503,A161)&gt;0,SUMIFS('Nhập hàng'!$K$4:$K$503,'Nhập hàng'!$C$4:$C$503,A161)/SUMIFS('Nhập hàng'!$J$4:$J$503,'Nhập hàng'!$C$4:$C$503,A161),G161/E161),0))</f>
        <v/>
      </c>
      <c r="I161" s="23"/>
      <c r="J161" s="23"/>
      <c r="K161" s="18" t="str">
        <f t="shared" si="2"/>
        <v/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3" t="str">
        <f t="shared" si="3"/>
        <v/>
      </c>
      <c r="B162" s="23"/>
      <c r="C162" s="23"/>
      <c r="D162" s="23"/>
      <c r="E162" s="23"/>
      <c r="F162" s="23"/>
      <c r="G162" s="7"/>
      <c r="H162" s="19" t="str">
        <f>IF(B162="","",IFERROR(IF(SUMIFS('Nhập hàng'!$J$4:$J$503,'Nhập hàng'!$C$4:$C$503,A162)&gt;0,SUMIFS('Nhập hàng'!$K$4:$K$503,'Nhập hàng'!$C$4:$C$503,A162)/SUMIFS('Nhập hàng'!$J$4:$J$503,'Nhập hàng'!$C$4:$C$503,A162),G162/E162),0))</f>
        <v/>
      </c>
      <c r="I162" s="23"/>
      <c r="J162" s="23"/>
      <c r="K162" s="18" t="str">
        <f t="shared" si="2"/>
        <v/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3" t="str">
        <f t="shared" si="3"/>
        <v/>
      </c>
      <c r="B163" s="23"/>
      <c r="C163" s="23"/>
      <c r="D163" s="23"/>
      <c r="E163" s="23"/>
      <c r="F163" s="23"/>
      <c r="G163" s="7"/>
      <c r="H163" s="19" t="str">
        <f>IF(B163="","",IFERROR(IF(SUMIFS('Nhập hàng'!$J$4:$J$503,'Nhập hàng'!$C$4:$C$503,A163)&gt;0,SUMIFS('Nhập hàng'!$K$4:$K$503,'Nhập hàng'!$C$4:$C$503,A163)/SUMIFS('Nhập hàng'!$J$4:$J$503,'Nhập hàng'!$C$4:$C$503,A163),G163/E163),0))</f>
        <v/>
      </c>
      <c r="I163" s="23"/>
      <c r="J163" s="23"/>
      <c r="K163" s="18" t="str">
        <f t="shared" si="2"/>
        <v/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3" t="str">
        <f t="shared" si="3"/>
        <v/>
      </c>
      <c r="B164" s="23"/>
      <c r="C164" s="23"/>
      <c r="D164" s="23"/>
      <c r="E164" s="23"/>
      <c r="F164" s="23"/>
      <c r="G164" s="7"/>
      <c r="H164" s="19" t="str">
        <f>IF(B164="","",IFERROR(IF(SUMIFS('Nhập hàng'!$J$4:$J$503,'Nhập hàng'!$C$4:$C$503,A164)&gt;0,SUMIFS('Nhập hàng'!$K$4:$K$503,'Nhập hàng'!$C$4:$C$503,A164)/SUMIFS('Nhập hàng'!$J$4:$J$503,'Nhập hàng'!$C$4:$C$503,A164),G164/E164),0))</f>
        <v/>
      </c>
      <c r="I164" s="23"/>
      <c r="J164" s="23"/>
      <c r="K164" s="18" t="str">
        <f t="shared" si="2"/>
        <v/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3" t="str">
        <f t="shared" si="3"/>
        <v/>
      </c>
      <c r="B165" s="23"/>
      <c r="C165" s="23"/>
      <c r="D165" s="23"/>
      <c r="E165" s="23"/>
      <c r="F165" s="23"/>
      <c r="G165" s="7"/>
      <c r="H165" s="19" t="str">
        <f>IF(B165="","",IFERROR(IF(SUMIFS('Nhập hàng'!$J$4:$J$503,'Nhập hàng'!$C$4:$C$503,A165)&gt;0,SUMIFS('Nhập hàng'!$K$4:$K$503,'Nhập hàng'!$C$4:$C$503,A165)/SUMIFS('Nhập hàng'!$J$4:$J$503,'Nhập hàng'!$C$4:$C$503,A165),G165/E165),0))</f>
        <v/>
      </c>
      <c r="I165" s="23"/>
      <c r="J165" s="23"/>
      <c r="K165" s="18" t="str">
        <f t="shared" si="2"/>
        <v/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3" t="str">
        <f t="shared" si="3"/>
        <v/>
      </c>
      <c r="B166" s="23"/>
      <c r="C166" s="23"/>
      <c r="D166" s="23"/>
      <c r="E166" s="23"/>
      <c r="F166" s="23"/>
      <c r="G166" s="7"/>
      <c r="H166" s="19" t="str">
        <f>IF(B166="","",IFERROR(IF(SUMIFS('Nhập hàng'!$J$4:$J$503,'Nhập hàng'!$C$4:$C$503,A166)&gt;0,SUMIFS('Nhập hàng'!$K$4:$K$503,'Nhập hàng'!$C$4:$C$503,A166)/SUMIFS('Nhập hàng'!$J$4:$J$503,'Nhập hàng'!$C$4:$C$503,A166),G166/E166),0))</f>
        <v/>
      </c>
      <c r="I166" s="23"/>
      <c r="J166" s="23"/>
      <c r="K166" s="18" t="str">
        <f t="shared" si="2"/>
        <v/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3" t="str">
        <f t="shared" si="3"/>
        <v/>
      </c>
      <c r="B167" s="23"/>
      <c r="C167" s="23"/>
      <c r="D167" s="23"/>
      <c r="E167" s="23"/>
      <c r="F167" s="23"/>
      <c r="G167" s="7"/>
      <c r="H167" s="19" t="str">
        <f>IF(B167="","",IFERROR(IF(SUMIFS('Nhập hàng'!$J$4:$J$503,'Nhập hàng'!$C$4:$C$503,A167)&gt;0,SUMIFS('Nhập hàng'!$K$4:$K$503,'Nhập hàng'!$C$4:$C$503,A167)/SUMIFS('Nhập hàng'!$J$4:$J$503,'Nhập hàng'!$C$4:$C$503,A167),G167/E167),0))</f>
        <v/>
      </c>
      <c r="I167" s="23"/>
      <c r="J167" s="23"/>
      <c r="K167" s="18" t="str">
        <f t="shared" si="2"/>
        <v/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3" t="str">
        <f t="shared" si="3"/>
        <v/>
      </c>
      <c r="B168" s="23"/>
      <c r="C168" s="23"/>
      <c r="D168" s="23"/>
      <c r="E168" s="23"/>
      <c r="F168" s="23"/>
      <c r="G168" s="7"/>
      <c r="H168" s="19" t="str">
        <f>IF(B168="","",IFERROR(IF(SUMIFS('Nhập hàng'!$J$4:$J$503,'Nhập hàng'!$C$4:$C$503,A168)&gt;0,SUMIFS('Nhập hàng'!$K$4:$K$503,'Nhập hàng'!$C$4:$C$503,A168)/SUMIFS('Nhập hàng'!$J$4:$J$503,'Nhập hàng'!$C$4:$C$503,A168),G168/E168),0))</f>
        <v/>
      </c>
      <c r="I168" s="23"/>
      <c r="J168" s="23"/>
      <c r="K168" s="18" t="str">
        <f t="shared" si="2"/>
        <v/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3" t="str">
        <f t="shared" si="3"/>
        <v/>
      </c>
      <c r="B169" s="23"/>
      <c r="C169" s="23"/>
      <c r="D169" s="23"/>
      <c r="E169" s="23"/>
      <c r="F169" s="23"/>
      <c r="G169" s="7"/>
      <c r="H169" s="19" t="str">
        <f>IF(B169="","",IFERROR(IF(SUMIFS('Nhập hàng'!$J$4:$J$503,'Nhập hàng'!$C$4:$C$503,A169)&gt;0,SUMIFS('Nhập hàng'!$K$4:$K$503,'Nhập hàng'!$C$4:$C$503,A169)/SUMIFS('Nhập hàng'!$J$4:$J$503,'Nhập hàng'!$C$4:$C$503,A169),G169/E169),0))</f>
        <v/>
      </c>
      <c r="I169" s="23"/>
      <c r="J169" s="23"/>
      <c r="K169" s="18" t="str">
        <f t="shared" si="2"/>
        <v/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3" t="str">
        <f t="shared" si="3"/>
        <v/>
      </c>
      <c r="B170" s="23"/>
      <c r="C170" s="23"/>
      <c r="D170" s="23"/>
      <c r="E170" s="23"/>
      <c r="F170" s="23"/>
      <c r="G170" s="7"/>
      <c r="H170" s="19" t="str">
        <f>IF(B170="","",IFERROR(IF(SUMIFS('Nhập hàng'!$J$4:$J$503,'Nhập hàng'!$C$4:$C$503,A170)&gt;0,SUMIFS('Nhập hàng'!$K$4:$K$503,'Nhập hàng'!$C$4:$C$503,A170)/SUMIFS('Nhập hàng'!$J$4:$J$503,'Nhập hàng'!$C$4:$C$503,A170),G170/E170),0))</f>
        <v/>
      </c>
      <c r="I170" s="23"/>
      <c r="J170" s="23"/>
      <c r="K170" s="18" t="str">
        <f t="shared" si="2"/>
        <v/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3" t="str">
        <f t="shared" si="3"/>
        <v/>
      </c>
      <c r="B171" s="23"/>
      <c r="C171" s="23"/>
      <c r="D171" s="23"/>
      <c r="E171" s="23"/>
      <c r="F171" s="23"/>
      <c r="G171" s="7"/>
      <c r="H171" s="19" t="str">
        <f>IF(B171="","",IFERROR(IF(SUMIFS('Nhập hàng'!$J$4:$J$503,'Nhập hàng'!$C$4:$C$503,A171)&gt;0,SUMIFS('Nhập hàng'!$K$4:$K$503,'Nhập hàng'!$C$4:$C$503,A171)/SUMIFS('Nhập hàng'!$J$4:$J$503,'Nhập hàng'!$C$4:$C$503,A171),G171/E171),0))</f>
        <v/>
      </c>
      <c r="I171" s="23"/>
      <c r="J171" s="23"/>
      <c r="K171" s="18" t="str">
        <f t="shared" si="2"/>
        <v/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3" t="str">
        <f t="shared" si="3"/>
        <v/>
      </c>
      <c r="B172" s="23"/>
      <c r="C172" s="23"/>
      <c r="D172" s="23"/>
      <c r="E172" s="23"/>
      <c r="F172" s="23"/>
      <c r="G172" s="7"/>
      <c r="H172" s="19" t="str">
        <f>IF(B172="","",IFERROR(IF(SUMIFS('Nhập hàng'!$J$4:$J$503,'Nhập hàng'!$C$4:$C$503,A172)&gt;0,SUMIFS('Nhập hàng'!$K$4:$K$503,'Nhập hàng'!$C$4:$C$503,A172)/SUMIFS('Nhập hàng'!$J$4:$J$503,'Nhập hàng'!$C$4:$C$503,A172),G172/E172),0))</f>
        <v/>
      </c>
      <c r="I172" s="23"/>
      <c r="J172" s="23"/>
      <c r="K172" s="18" t="str">
        <f t="shared" si="2"/>
        <v/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3" t="str">
        <f t="shared" si="3"/>
        <v/>
      </c>
      <c r="B173" s="23"/>
      <c r="C173" s="23"/>
      <c r="D173" s="23"/>
      <c r="E173" s="23"/>
      <c r="F173" s="23"/>
      <c r="G173" s="7"/>
      <c r="H173" s="19" t="str">
        <f>IF(B173="","",IFERROR(IF(SUMIFS('Nhập hàng'!$J$4:$J$503,'Nhập hàng'!$C$4:$C$503,A173)&gt;0,SUMIFS('Nhập hàng'!$K$4:$K$503,'Nhập hàng'!$C$4:$C$503,A173)/SUMIFS('Nhập hàng'!$J$4:$J$503,'Nhập hàng'!$C$4:$C$503,A173),G173/E173),0))</f>
        <v/>
      </c>
      <c r="I173" s="23"/>
      <c r="J173" s="23"/>
      <c r="K173" s="18" t="str">
        <f t="shared" si="2"/>
        <v/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3" t="str">
        <f t="shared" si="3"/>
        <v/>
      </c>
      <c r="B174" s="23"/>
      <c r="C174" s="23"/>
      <c r="D174" s="23"/>
      <c r="E174" s="23"/>
      <c r="F174" s="23"/>
      <c r="G174" s="7"/>
      <c r="H174" s="19" t="str">
        <f>IF(B174="","",IFERROR(IF(SUMIFS('Nhập hàng'!$J$4:$J$503,'Nhập hàng'!$C$4:$C$503,A174)&gt;0,SUMIFS('Nhập hàng'!$K$4:$K$503,'Nhập hàng'!$C$4:$C$503,A174)/SUMIFS('Nhập hàng'!$J$4:$J$503,'Nhập hàng'!$C$4:$C$503,A174),G174/E174),0))</f>
        <v/>
      </c>
      <c r="I174" s="23"/>
      <c r="J174" s="23"/>
      <c r="K174" s="18" t="str">
        <f t="shared" si="2"/>
        <v/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3" t="str">
        <f t="shared" si="3"/>
        <v/>
      </c>
      <c r="B175" s="23"/>
      <c r="C175" s="23"/>
      <c r="D175" s="23"/>
      <c r="E175" s="23"/>
      <c r="F175" s="23"/>
      <c r="G175" s="7"/>
      <c r="H175" s="19" t="str">
        <f>IF(B175="","",IFERROR(IF(SUMIFS('Nhập hàng'!$J$4:$J$503,'Nhập hàng'!$C$4:$C$503,A175)&gt;0,SUMIFS('Nhập hàng'!$K$4:$K$503,'Nhập hàng'!$C$4:$C$503,A175)/SUMIFS('Nhập hàng'!$J$4:$J$503,'Nhập hàng'!$C$4:$C$503,A175),G175/E175),0))</f>
        <v/>
      </c>
      <c r="I175" s="23"/>
      <c r="J175" s="23"/>
      <c r="K175" s="18" t="str">
        <f t="shared" si="2"/>
        <v/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3" t="str">
        <f t="shared" si="3"/>
        <v/>
      </c>
      <c r="B176" s="23"/>
      <c r="C176" s="23"/>
      <c r="D176" s="23"/>
      <c r="E176" s="23"/>
      <c r="F176" s="23"/>
      <c r="G176" s="7"/>
      <c r="H176" s="19" t="str">
        <f>IF(B176="","",IFERROR(IF(SUMIFS('Nhập hàng'!$J$4:$J$503,'Nhập hàng'!$C$4:$C$503,A176)&gt;0,SUMIFS('Nhập hàng'!$K$4:$K$503,'Nhập hàng'!$C$4:$C$503,A176)/SUMIFS('Nhập hàng'!$J$4:$J$503,'Nhập hàng'!$C$4:$C$503,A176),G176/E176),0))</f>
        <v/>
      </c>
      <c r="I176" s="23"/>
      <c r="J176" s="23"/>
      <c r="K176" s="18" t="str">
        <f t="shared" si="2"/>
        <v/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3" t="str">
        <f t="shared" si="3"/>
        <v/>
      </c>
      <c r="B177" s="23"/>
      <c r="C177" s="23"/>
      <c r="D177" s="23"/>
      <c r="E177" s="23"/>
      <c r="F177" s="23"/>
      <c r="G177" s="7"/>
      <c r="H177" s="19" t="str">
        <f>IF(B177="","",IFERROR(IF(SUMIFS('Nhập hàng'!$J$4:$J$503,'Nhập hàng'!$C$4:$C$503,A177)&gt;0,SUMIFS('Nhập hàng'!$K$4:$K$503,'Nhập hàng'!$C$4:$C$503,A177)/SUMIFS('Nhập hàng'!$J$4:$J$503,'Nhập hàng'!$C$4:$C$503,A177),G177/E177),0))</f>
        <v/>
      </c>
      <c r="I177" s="23"/>
      <c r="J177" s="23"/>
      <c r="K177" s="18" t="str">
        <f t="shared" si="2"/>
        <v/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3" t="str">
        <f t="shared" si="3"/>
        <v/>
      </c>
      <c r="B178" s="23"/>
      <c r="C178" s="23"/>
      <c r="D178" s="23"/>
      <c r="E178" s="23"/>
      <c r="F178" s="23"/>
      <c r="G178" s="7"/>
      <c r="H178" s="19" t="str">
        <f>IF(B178="","",IFERROR(IF(SUMIFS('Nhập hàng'!$J$4:$J$503,'Nhập hàng'!$C$4:$C$503,A178)&gt;0,SUMIFS('Nhập hàng'!$K$4:$K$503,'Nhập hàng'!$C$4:$C$503,A178)/SUMIFS('Nhập hàng'!$J$4:$J$503,'Nhập hàng'!$C$4:$C$503,A178),G178/E178),0))</f>
        <v/>
      </c>
      <c r="I178" s="23"/>
      <c r="J178" s="23"/>
      <c r="K178" s="18" t="str">
        <f t="shared" si="2"/>
        <v/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3" t="str">
        <f t="shared" si="3"/>
        <v/>
      </c>
      <c r="B179" s="23"/>
      <c r="C179" s="23"/>
      <c r="D179" s="23"/>
      <c r="E179" s="23"/>
      <c r="F179" s="23"/>
      <c r="G179" s="7"/>
      <c r="H179" s="19" t="str">
        <f>IF(B179="","",IFERROR(IF(SUMIFS('Nhập hàng'!$J$4:$J$503,'Nhập hàng'!$C$4:$C$503,A179)&gt;0,SUMIFS('Nhập hàng'!$K$4:$K$503,'Nhập hàng'!$C$4:$C$503,A179)/SUMIFS('Nhập hàng'!$J$4:$J$503,'Nhập hàng'!$C$4:$C$503,A179),G179/E179),0))</f>
        <v/>
      </c>
      <c r="I179" s="23"/>
      <c r="J179" s="23"/>
      <c r="K179" s="18" t="str">
        <f t="shared" si="2"/>
        <v/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3" t="str">
        <f t="shared" si="3"/>
        <v/>
      </c>
      <c r="B180" s="23"/>
      <c r="C180" s="23"/>
      <c r="D180" s="23"/>
      <c r="E180" s="23"/>
      <c r="F180" s="23"/>
      <c r="G180" s="7"/>
      <c r="H180" s="19" t="str">
        <f>IF(B180="","",IFERROR(IF(SUMIFS('Nhập hàng'!$J$4:$J$503,'Nhập hàng'!$C$4:$C$503,A180)&gt;0,SUMIFS('Nhập hàng'!$K$4:$K$503,'Nhập hàng'!$C$4:$C$503,A180)/SUMIFS('Nhập hàng'!$J$4:$J$503,'Nhập hàng'!$C$4:$C$503,A180),G180/E180),0))</f>
        <v/>
      </c>
      <c r="I180" s="23"/>
      <c r="J180" s="23"/>
      <c r="K180" s="18" t="str">
        <f t="shared" si="2"/>
        <v/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3" t="str">
        <f t="shared" si="3"/>
        <v/>
      </c>
      <c r="B181" s="23"/>
      <c r="C181" s="23"/>
      <c r="D181" s="23"/>
      <c r="E181" s="23"/>
      <c r="F181" s="23"/>
      <c r="G181" s="7"/>
      <c r="H181" s="19" t="str">
        <f>IF(B181="","",IFERROR(IF(SUMIFS('Nhập hàng'!$J$4:$J$503,'Nhập hàng'!$C$4:$C$503,A181)&gt;0,SUMIFS('Nhập hàng'!$K$4:$K$503,'Nhập hàng'!$C$4:$C$503,A181)/SUMIFS('Nhập hàng'!$J$4:$J$503,'Nhập hàng'!$C$4:$C$503,A181),G181/E181),0))</f>
        <v/>
      </c>
      <c r="I181" s="23"/>
      <c r="J181" s="23"/>
      <c r="K181" s="18" t="str">
        <f t="shared" si="2"/>
        <v/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3" t="str">
        <f t="shared" si="3"/>
        <v/>
      </c>
      <c r="B182" s="23"/>
      <c r="C182" s="23"/>
      <c r="D182" s="23"/>
      <c r="E182" s="23"/>
      <c r="F182" s="23"/>
      <c r="G182" s="7"/>
      <c r="H182" s="19" t="str">
        <f>IF(B182="","",IFERROR(IF(SUMIFS('Nhập hàng'!$J$4:$J$503,'Nhập hàng'!$C$4:$C$503,A182)&gt;0,SUMIFS('Nhập hàng'!$K$4:$K$503,'Nhập hàng'!$C$4:$C$503,A182)/SUMIFS('Nhập hàng'!$J$4:$J$503,'Nhập hàng'!$C$4:$C$503,A182),G182/E182),0))</f>
        <v/>
      </c>
      <c r="I182" s="23"/>
      <c r="J182" s="23"/>
      <c r="K182" s="18" t="str">
        <f t="shared" si="2"/>
        <v/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3" t="str">
        <f t="shared" si="3"/>
        <v/>
      </c>
      <c r="B183" s="23"/>
      <c r="C183" s="23"/>
      <c r="D183" s="23"/>
      <c r="E183" s="23"/>
      <c r="F183" s="23"/>
      <c r="G183" s="7"/>
      <c r="H183" s="19" t="str">
        <f>IF(B183="","",IFERROR(IF(SUMIFS('Nhập hàng'!$J$4:$J$503,'Nhập hàng'!$C$4:$C$503,A183)&gt;0,SUMIFS('Nhập hàng'!$K$4:$K$503,'Nhập hàng'!$C$4:$C$503,A183)/SUMIFS('Nhập hàng'!$J$4:$J$503,'Nhập hàng'!$C$4:$C$503,A183),G183/E183),0))</f>
        <v/>
      </c>
      <c r="I183" s="23"/>
      <c r="J183" s="23"/>
      <c r="K183" s="18" t="str">
        <f t="shared" si="2"/>
        <v/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3" t="str">
        <f t="shared" si="3"/>
        <v/>
      </c>
      <c r="B184" s="23"/>
      <c r="C184" s="23"/>
      <c r="D184" s="23"/>
      <c r="E184" s="23"/>
      <c r="F184" s="23"/>
      <c r="G184" s="7"/>
      <c r="H184" s="19" t="str">
        <f>IF(B184="","",IFERROR(IF(SUMIFS('Nhập hàng'!$J$4:$J$503,'Nhập hàng'!$C$4:$C$503,A184)&gt;0,SUMIFS('Nhập hàng'!$K$4:$K$503,'Nhập hàng'!$C$4:$C$503,A184)/SUMIFS('Nhập hàng'!$J$4:$J$503,'Nhập hàng'!$C$4:$C$503,A184),G184/E184),0))</f>
        <v/>
      </c>
      <c r="I184" s="23"/>
      <c r="J184" s="23"/>
      <c r="K184" s="18" t="str">
        <f t="shared" si="2"/>
        <v/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3" t="str">
        <f t="shared" si="3"/>
        <v/>
      </c>
      <c r="B185" s="23"/>
      <c r="C185" s="23"/>
      <c r="D185" s="23"/>
      <c r="E185" s="23"/>
      <c r="F185" s="23"/>
      <c r="G185" s="7"/>
      <c r="H185" s="19" t="str">
        <f>IF(B185="","",IFERROR(IF(SUMIFS('Nhập hàng'!$J$4:$J$503,'Nhập hàng'!$C$4:$C$503,A185)&gt;0,SUMIFS('Nhập hàng'!$K$4:$K$503,'Nhập hàng'!$C$4:$C$503,A185)/SUMIFS('Nhập hàng'!$J$4:$J$503,'Nhập hàng'!$C$4:$C$503,A185),G185/E185),0))</f>
        <v/>
      </c>
      <c r="I185" s="23"/>
      <c r="J185" s="23"/>
      <c r="K185" s="18" t="str">
        <f t="shared" si="2"/>
        <v/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3" t="str">
        <f t="shared" si="3"/>
        <v/>
      </c>
      <c r="B186" s="23"/>
      <c r="C186" s="23"/>
      <c r="D186" s="23"/>
      <c r="E186" s="23"/>
      <c r="F186" s="23"/>
      <c r="G186" s="7"/>
      <c r="H186" s="19" t="str">
        <f>IF(B186="","",IFERROR(IF(SUMIFS('Nhập hàng'!$J$4:$J$503,'Nhập hàng'!$C$4:$C$503,A186)&gt;0,SUMIFS('Nhập hàng'!$K$4:$K$503,'Nhập hàng'!$C$4:$C$503,A186)/SUMIFS('Nhập hàng'!$J$4:$J$503,'Nhập hàng'!$C$4:$C$503,A186),G186/E186),0))</f>
        <v/>
      </c>
      <c r="I186" s="23"/>
      <c r="J186" s="23"/>
      <c r="K186" s="18" t="str">
        <f t="shared" si="2"/>
        <v/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3" t="str">
        <f t="shared" si="3"/>
        <v/>
      </c>
      <c r="B187" s="23"/>
      <c r="C187" s="23"/>
      <c r="D187" s="23"/>
      <c r="E187" s="23"/>
      <c r="F187" s="23"/>
      <c r="G187" s="7"/>
      <c r="H187" s="19" t="str">
        <f>IF(B187="","",IFERROR(IF(SUMIFS('Nhập hàng'!$J$4:$J$503,'Nhập hàng'!$C$4:$C$503,A187)&gt;0,SUMIFS('Nhập hàng'!$K$4:$K$503,'Nhập hàng'!$C$4:$C$503,A187)/SUMIFS('Nhập hàng'!$J$4:$J$503,'Nhập hàng'!$C$4:$C$503,A187),G187/E187),0))</f>
        <v/>
      </c>
      <c r="I187" s="23"/>
      <c r="J187" s="23"/>
      <c r="K187" s="18" t="str">
        <f t="shared" si="2"/>
        <v/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3" t="str">
        <f t="shared" si="3"/>
        <v/>
      </c>
      <c r="B188" s="23"/>
      <c r="C188" s="23"/>
      <c r="D188" s="23"/>
      <c r="E188" s="23"/>
      <c r="F188" s="23"/>
      <c r="G188" s="7"/>
      <c r="H188" s="19" t="str">
        <f>IF(B188="","",IFERROR(IF(SUMIFS('Nhập hàng'!$J$4:$J$503,'Nhập hàng'!$C$4:$C$503,A188)&gt;0,SUMIFS('Nhập hàng'!$K$4:$K$503,'Nhập hàng'!$C$4:$C$503,A188)/SUMIFS('Nhập hàng'!$J$4:$J$503,'Nhập hàng'!$C$4:$C$503,A188),G188/E188),0))</f>
        <v/>
      </c>
      <c r="I188" s="23"/>
      <c r="J188" s="23"/>
      <c r="K188" s="18" t="str">
        <f t="shared" si="2"/>
        <v/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3" t="str">
        <f t="shared" si="3"/>
        <v/>
      </c>
      <c r="B189" s="23"/>
      <c r="C189" s="23"/>
      <c r="D189" s="23"/>
      <c r="E189" s="23"/>
      <c r="F189" s="23"/>
      <c r="G189" s="7"/>
      <c r="H189" s="19" t="str">
        <f>IF(B189="","",IFERROR(IF(SUMIFS('Nhập hàng'!$J$4:$J$503,'Nhập hàng'!$C$4:$C$503,A189)&gt;0,SUMIFS('Nhập hàng'!$K$4:$K$503,'Nhập hàng'!$C$4:$C$503,A189)/SUMIFS('Nhập hàng'!$J$4:$J$503,'Nhập hàng'!$C$4:$C$503,A189),G189/E189),0))</f>
        <v/>
      </c>
      <c r="I189" s="23"/>
      <c r="J189" s="23"/>
      <c r="K189" s="18" t="str">
        <f t="shared" si="2"/>
        <v/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3" t="str">
        <f t="shared" si="3"/>
        <v/>
      </c>
      <c r="B190" s="23"/>
      <c r="C190" s="23"/>
      <c r="D190" s="23"/>
      <c r="E190" s="23"/>
      <c r="F190" s="23"/>
      <c r="G190" s="7"/>
      <c r="H190" s="19" t="str">
        <f>IF(B190="","",IFERROR(IF(SUMIFS('Nhập hàng'!$J$4:$J$503,'Nhập hàng'!$C$4:$C$503,A190)&gt;0,SUMIFS('Nhập hàng'!$K$4:$K$503,'Nhập hàng'!$C$4:$C$503,A190)/SUMIFS('Nhập hàng'!$J$4:$J$503,'Nhập hàng'!$C$4:$C$503,A190),G190/E190),0))</f>
        <v/>
      </c>
      <c r="I190" s="23"/>
      <c r="J190" s="23"/>
      <c r="K190" s="18" t="str">
        <f t="shared" si="2"/>
        <v/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3" t="str">
        <f t="shared" si="3"/>
        <v/>
      </c>
      <c r="B191" s="23"/>
      <c r="C191" s="23"/>
      <c r="D191" s="23"/>
      <c r="E191" s="23"/>
      <c r="F191" s="23"/>
      <c r="G191" s="7"/>
      <c r="H191" s="19" t="str">
        <f>IF(B191="","",IFERROR(IF(SUMIFS('Nhập hàng'!$J$4:$J$503,'Nhập hàng'!$C$4:$C$503,A191)&gt;0,SUMIFS('Nhập hàng'!$K$4:$K$503,'Nhập hàng'!$C$4:$C$503,A191)/SUMIFS('Nhập hàng'!$J$4:$J$503,'Nhập hàng'!$C$4:$C$503,A191),G191/E191),0))</f>
        <v/>
      </c>
      <c r="I191" s="23"/>
      <c r="J191" s="23"/>
      <c r="K191" s="18" t="str">
        <f t="shared" si="2"/>
        <v/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3" t="str">
        <f t="shared" si="3"/>
        <v/>
      </c>
      <c r="B192" s="23"/>
      <c r="C192" s="23"/>
      <c r="D192" s="23"/>
      <c r="E192" s="23"/>
      <c r="F192" s="23"/>
      <c r="G192" s="7"/>
      <c r="H192" s="19" t="str">
        <f>IF(B192="","",IFERROR(IF(SUMIFS('Nhập hàng'!$J$4:$J$503,'Nhập hàng'!$C$4:$C$503,A192)&gt;0,SUMIFS('Nhập hàng'!$K$4:$K$503,'Nhập hàng'!$C$4:$C$503,A192)/SUMIFS('Nhập hàng'!$J$4:$J$503,'Nhập hàng'!$C$4:$C$503,A192),G192/E192),0))</f>
        <v/>
      </c>
      <c r="I192" s="23"/>
      <c r="J192" s="23"/>
      <c r="K192" s="18" t="str">
        <f t="shared" si="2"/>
        <v/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3" t="str">
        <f t="shared" si="3"/>
        <v/>
      </c>
      <c r="B193" s="23"/>
      <c r="C193" s="23"/>
      <c r="D193" s="23"/>
      <c r="E193" s="23"/>
      <c r="F193" s="23"/>
      <c r="G193" s="7"/>
      <c r="H193" s="19" t="str">
        <f>IF(B193="","",IFERROR(IF(SUMIFS('Nhập hàng'!$J$4:$J$503,'Nhập hàng'!$C$4:$C$503,A193)&gt;0,SUMIFS('Nhập hàng'!$K$4:$K$503,'Nhập hàng'!$C$4:$C$503,A193)/SUMIFS('Nhập hàng'!$J$4:$J$503,'Nhập hàng'!$C$4:$C$503,A193),G193/E193),0))</f>
        <v/>
      </c>
      <c r="I193" s="23"/>
      <c r="J193" s="23"/>
      <c r="K193" s="18" t="str">
        <f t="shared" si="2"/>
        <v/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3" t="str">
        <f t="shared" si="3"/>
        <v/>
      </c>
      <c r="B194" s="23"/>
      <c r="C194" s="23"/>
      <c r="D194" s="23"/>
      <c r="E194" s="23"/>
      <c r="F194" s="23"/>
      <c r="G194" s="7"/>
      <c r="H194" s="19" t="str">
        <f>IF(B194="","",IFERROR(IF(SUMIFS('Nhập hàng'!$J$4:$J$503,'Nhập hàng'!$C$4:$C$503,A194)&gt;0,SUMIFS('Nhập hàng'!$K$4:$K$503,'Nhập hàng'!$C$4:$C$503,A194)/SUMIFS('Nhập hàng'!$J$4:$J$503,'Nhập hàng'!$C$4:$C$503,A194),G194/E194),0))</f>
        <v/>
      </c>
      <c r="I194" s="23"/>
      <c r="J194" s="23"/>
      <c r="K194" s="18" t="str">
        <f t="shared" si="2"/>
        <v/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3" t="str">
        <f t="shared" si="3"/>
        <v/>
      </c>
      <c r="B195" s="23"/>
      <c r="C195" s="23"/>
      <c r="D195" s="23"/>
      <c r="E195" s="23"/>
      <c r="F195" s="23"/>
      <c r="G195" s="7"/>
      <c r="H195" s="19" t="str">
        <f>IF(B195="","",IFERROR(IF(SUMIFS('Nhập hàng'!$J$4:$J$503,'Nhập hàng'!$C$4:$C$503,A195)&gt;0,SUMIFS('Nhập hàng'!$K$4:$K$503,'Nhập hàng'!$C$4:$C$503,A195)/SUMIFS('Nhập hàng'!$J$4:$J$503,'Nhập hàng'!$C$4:$C$503,A195),G195/E195),0))</f>
        <v/>
      </c>
      <c r="I195" s="23"/>
      <c r="J195" s="23"/>
      <c r="K195" s="18" t="str">
        <f t="shared" si="2"/>
        <v/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3" t="str">
        <f t="shared" si="3"/>
        <v/>
      </c>
      <c r="B196" s="23"/>
      <c r="C196" s="23"/>
      <c r="D196" s="23"/>
      <c r="E196" s="23"/>
      <c r="F196" s="23"/>
      <c r="G196" s="7"/>
      <c r="H196" s="19" t="str">
        <f>IF(B196="","",IFERROR(IF(SUMIFS('Nhập hàng'!$J$4:$J$503,'Nhập hàng'!$C$4:$C$503,A196)&gt;0,SUMIFS('Nhập hàng'!$K$4:$K$503,'Nhập hàng'!$C$4:$C$503,A196)/SUMIFS('Nhập hàng'!$J$4:$J$503,'Nhập hàng'!$C$4:$C$503,A196),G196/E196),0))</f>
        <v/>
      </c>
      <c r="I196" s="23"/>
      <c r="J196" s="23"/>
      <c r="K196" s="18" t="str">
        <f t="shared" si="2"/>
        <v/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3" t="str">
        <f t="shared" si="3"/>
        <v/>
      </c>
      <c r="B197" s="23"/>
      <c r="C197" s="23"/>
      <c r="D197" s="23"/>
      <c r="E197" s="23"/>
      <c r="F197" s="23"/>
      <c r="G197" s="7"/>
      <c r="H197" s="19" t="str">
        <f>IF(B197="","",IFERROR(IF(SUMIFS('Nhập hàng'!$J$4:$J$503,'Nhập hàng'!$C$4:$C$503,A197)&gt;0,SUMIFS('Nhập hàng'!$K$4:$K$503,'Nhập hàng'!$C$4:$C$503,A197)/SUMIFS('Nhập hàng'!$J$4:$J$503,'Nhập hàng'!$C$4:$C$503,A197),G197/E197),0))</f>
        <v/>
      </c>
      <c r="I197" s="23"/>
      <c r="J197" s="23"/>
      <c r="K197" s="18" t="str">
        <f t="shared" si="2"/>
        <v/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3" t="str">
        <f t="shared" si="3"/>
        <v/>
      </c>
      <c r="B198" s="23"/>
      <c r="C198" s="23"/>
      <c r="D198" s="23"/>
      <c r="E198" s="23"/>
      <c r="F198" s="23"/>
      <c r="G198" s="7"/>
      <c r="H198" s="19" t="str">
        <f>IF(B198="","",IFERROR(IF(SUMIFS('Nhập hàng'!$J$4:$J$503,'Nhập hàng'!$C$4:$C$503,A198)&gt;0,SUMIFS('Nhập hàng'!$K$4:$K$503,'Nhập hàng'!$C$4:$C$503,A198)/SUMIFS('Nhập hàng'!$J$4:$J$503,'Nhập hàng'!$C$4:$C$503,A198),G198/E198),0))</f>
        <v/>
      </c>
      <c r="I198" s="23"/>
      <c r="J198" s="23"/>
      <c r="K198" s="18" t="str">
        <f t="shared" si="2"/>
        <v/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3" t="str">
        <f t="shared" si="3"/>
        <v/>
      </c>
      <c r="B199" s="23"/>
      <c r="C199" s="23"/>
      <c r="D199" s="23"/>
      <c r="E199" s="23"/>
      <c r="F199" s="23"/>
      <c r="G199" s="7"/>
      <c r="H199" s="19" t="str">
        <f>IF(B199="","",IFERROR(IF(SUMIFS('Nhập hàng'!$J$4:$J$503,'Nhập hàng'!$C$4:$C$503,A199)&gt;0,SUMIFS('Nhập hàng'!$K$4:$K$503,'Nhập hàng'!$C$4:$C$503,A199)/SUMIFS('Nhập hàng'!$J$4:$J$503,'Nhập hàng'!$C$4:$C$503,A199),G199/E199),0))</f>
        <v/>
      </c>
      <c r="I199" s="23"/>
      <c r="J199" s="23"/>
      <c r="K199" s="18" t="str">
        <f t="shared" si="2"/>
        <v/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3" t="str">
        <f t="shared" si="3"/>
        <v/>
      </c>
      <c r="B200" s="23"/>
      <c r="C200" s="23"/>
      <c r="D200" s="23"/>
      <c r="E200" s="23"/>
      <c r="F200" s="23"/>
      <c r="G200" s="7"/>
      <c r="H200" s="19" t="str">
        <f>IF(B200="","",IFERROR(IF(SUMIFS('Nhập hàng'!$J$4:$J$503,'Nhập hàng'!$C$4:$C$503,A200)&gt;0,SUMIFS('Nhập hàng'!$K$4:$K$503,'Nhập hàng'!$C$4:$C$503,A200)/SUMIFS('Nhập hàng'!$J$4:$J$503,'Nhập hàng'!$C$4:$C$503,A200),G200/E200),0))</f>
        <v/>
      </c>
      <c r="I200" s="23"/>
      <c r="J200" s="23"/>
      <c r="K200" s="18" t="str">
        <f t="shared" si="2"/>
        <v/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3" t="str">
        <f t="shared" si="3"/>
        <v/>
      </c>
      <c r="B201" s="23"/>
      <c r="C201" s="23"/>
      <c r="D201" s="23"/>
      <c r="E201" s="23"/>
      <c r="F201" s="23"/>
      <c r="G201" s="7"/>
      <c r="H201" s="19" t="str">
        <f>IF(B201="","",IFERROR(IF(SUMIFS('Nhập hàng'!$J$4:$J$503,'Nhập hàng'!$C$4:$C$503,A201)&gt;0,SUMIFS('Nhập hàng'!$K$4:$K$503,'Nhập hàng'!$C$4:$C$503,A201)/SUMIFS('Nhập hàng'!$J$4:$J$503,'Nhập hàng'!$C$4:$C$503,A201),G201/E201),0))</f>
        <v/>
      </c>
      <c r="I201" s="23"/>
      <c r="J201" s="23"/>
      <c r="K201" s="18" t="str">
        <f t="shared" si="2"/>
        <v/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3" t="str">
        <f t="shared" si="3"/>
        <v/>
      </c>
      <c r="B202" s="23"/>
      <c r="C202" s="23"/>
      <c r="D202" s="23"/>
      <c r="E202" s="23"/>
      <c r="F202" s="23"/>
      <c r="G202" s="7"/>
      <c r="H202" s="19" t="str">
        <f>IF(B202="","",IFERROR(IF(SUMIFS('Nhập hàng'!$J$4:$J$503,'Nhập hàng'!$C$4:$C$503,A202)&gt;0,SUMIFS('Nhập hàng'!$K$4:$K$503,'Nhập hàng'!$C$4:$C$503,A202)/SUMIFS('Nhập hàng'!$J$4:$J$503,'Nhập hàng'!$C$4:$C$503,A202),G202/E202),0))</f>
        <v/>
      </c>
      <c r="I202" s="23"/>
      <c r="J202" s="23"/>
      <c r="K202" s="18" t="str">
        <f t="shared" si="2"/>
        <v/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3" t="str">
        <f t="shared" si="3"/>
        <v/>
      </c>
      <c r="B203" s="23"/>
      <c r="C203" s="23"/>
      <c r="D203" s="23"/>
      <c r="E203" s="23"/>
      <c r="F203" s="23"/>
      <c r="G203" s="7"/>
      <c r="H203" s="19" t="str">
        <f>IF(B203="","",IFERROR(IF(SUMIFS('Nhập hàng'!$J$4:$J$503,'Nhập hàng'!$C$4:$C$503,A203)&gt;0,SUMIFS('Nhập hàng'!$K$4:$K$503,'Nhập hàng'!$C$4:$C$503,A203)/SUMIFS('Nhập hàng'!$J$4:$J$503,'Nhập hàng'!$C$4:$C$503,A203),G203/E203),0))</f>
        <v/>
      </c>
      <c r="I203" s="23"/>
      <c r="J203" s="23"/>
      <c r="K203" s="18" t="str">
        <f t="shared" si="2"/>
        <v/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I4:I203">
      <formula1>$N$3:$N$4</formula1>
    </dataValidation>
    <dataValidation type="list" allowBlank="1" sqref="C4:C203">
      <formula1>$M$3:$M$5</formula1>
    </dataValidation>
    <dataValidation type="list" allowBlank="1" sqref="F4:F203">
      <formula1>$O$3:$O$9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0"/>
    <col customWidth="1" min="3" max="3" width="25.0"/>
    <col customWidth="1" min="4" max="4" width="19.0"/>
    <col customWidth="1" min="5" max="7" width="18.0"/>
    <col customWidth="1" min="8" max="8" width="15.0"/>
    <col customWidth="1" min="9" max="9" width="16.0"/>
    <col customWidth="1" min="10" max="10" width="19.0"/>
    <col customWidth="1" min="11" max="11" width="16.0"/>
    <col customWidth="1" min="12" max="12" width="18.0"/>
    <col customWidth="1" min="13" max="13" width="16.0"/>
    <col customWidth="1" min="14" max="14" width="14.0"/>
    <col customWidth="1" min="15" max="16" width="17.0"/>
    <col customWidth="1" min="17" max="17" width="41.88"/>
    <col customWidth="1" min="18" max="18" width="25.0"/>
    <col customWidth="1" min="19" max="19" width="13.0"/>
    <col customWidth="1" min="20" max="20" width="22.0"/>
    <col customWidth="1" min="21" max="21" width="16.0"/>
    <col customWidth="1" min="22" max="22" width="13.0"/>
    <col customWidth="1" min="23" max="23" width="19.0"/>
    <col customWidth="1" min="24" max="24" width="18.0"/>
    <col customWidth="1" min="25" max="25" width="28.0"/>
    <col customWidth="1" min="26" max="26" width="12.13"/>
    <col customWidth="1" min="27" max="28" width="25.13"/>
  </cols>
  <sheetData>
    <row r="1">
      <c r="A1" s="1" t="s">
        <v>133</v>
      </c>
      <c r="R1" s="2"/>
      <c r="S1" s="2"/>
      <c r="T1" s="2"/>
      <c r="U1" s="2"/>
      <c r="V1" s="2"/>
      <c r="W1" s="2"/>
    </row>
    <row r="2">
      <c r="A2" s="14" t="s">
        <v>134</v>
      </c>
      <c r="R2" s="2"/>
      <c r="S2" s="2"/>
      <c r="T2" s="2"/>
      <c r="U2" s="2"/>
      <c r="V2" s="2"/>
      <c r="W2" s="2"/>
      <c r="AA2" s="9" t="s">
        <v>138</v>
      </c>
      <c r="AB2" s="9" t="s">
        <v>139</v>
      </c>
    </row>
    <row r="3">
      <c r="A3" s="4" t="s">
        <v>140</v>
      </c>
      <c r="B3" s="4" t="s">
        <v>141</v>
      </c>
      <c r="C3" s="4" t="s">
        <v>142</v>
      </c>
      <c r="D3" s="4" t="s">
        <v>143</v>
      </c>
      <c r="E3" s="4" t="s">
        <v>144</v>
      </c>
      <c r="F3" s="4" t="s">
        <v>145</v>
      </c>
      <c r="G3" s="4" t="s">
        <v>11</v>
      </c>
      <c r="H3" s="4" t="s">
        <v>148</v>
      </c>
      <c r="I3" s="4" t="s">
        <v>150</v>
      </c>
      <c r="J3" s="4" t="s">
        <v>152</v>
      </c>
      <c r="K3" s="4" t="s">
        <v>154</v>
      </c>
      <c r="L3" s="4" t="s">
        <v>156</v>
      </c>
      <c r="M3" s="4" t="s">
        <v>157</v>
      </c>
      <c r="N3" s="4" t="s">
        <v>158</v>
      </c>
      <c r="O3" s="40" t="s">
        <v>159</v>
      </c>
      <c r="P3" s="40" t="s">
        <v>162</v>
      </c>
      <c r="Q3" s="4" t="s">
        <v>32</v>
      </c>
      <c r="R3" s="2"/>
      <c r="S3" s="2"/>
      <c r="T3" s="4" t="s">
        <v>165</v>
      </c>
      <c r="U3" s="23" t="s">
        <v>166</v>
      </c>
      <c r="V3" s="2"/>
      <c r="W3" s="2"/>
      <c r="AA3" s="9" t="str">
        <f t="shared" ref="AA3:AA202" si="1">IF(C4&lt;&gt;"",C4,"")</f>
        <v>Mẻ test 15L</v>
      </c>
      <c r="AB3" s="9" t="str">
        <f>IF('Hàng hóa'!K4&lt;&gt;"",'Hàng hóa'!K4,"")</f>
        <v>Sữa tươi</v>
      </c>
    </row>
    <row r="4">
      <c r="A4" s="43"/>
      <c r="B4" s="37" t="str">
        <f t="shared" ref="B4:B203" si="2">IF(C4="","","ME-"&amp;TEXT(ROW()-3,"000"))</f>
        <v>ME-001</v>
      </c>
      <c r="C4" s="44" t="s">
        <v>166</v>
      </c>
      <c r="D4" s="45">
        <v>16.0</v>
      </c>
      <c r="E4" s="45">
        <v>1.5</v>
      </c>
      <c r="F4" s="47">
        <f>IF(C4="","",'Thiết lập'!$B$4)</f>
        <v>2</v>
      </c>
      <c r="G4" s="19">
        <f>IF(C4="","",'Thiết lập'!$B$5)</f>
        <v>3000</v>
      </c>
      <c r="H4" s="19">
        <f>IF(C4="","",'Thiết lập'!$B$6)</f>
        <v>0</v>
      </c>
      <c r="I4" s="19">
        <f>IF(C4="","",'Thiết lập'!$B$7)</f>
        <v>5000</v>
      </c>
      <c r="J4" s="19">
        <f t="shared" ref="J4:J203" si="3">IF(C4="",0,SUMIFS($X$11:$X$510,$R$11:$R$510,C4))</f>
        <v>460483.3333</v>
      </c>
      <c r="K4" s="19">
        <f t="shared" ref="K4:K203" si="4">IF(C4="",0,E4*F4*G4+H4)</f>
        <v>9000</v>
      </c>
      <c r="L4" s="19">
        <f t="shared" ref="L4:L203" si="5">IF(C4="",0,J4+K4+I4)</f>
        <v>474483.3333</v>
      </c>
      <c r="M4" s="19">
        <f t="shared" ref="M4:M203" si="6">IFERROR(L4/D4,0)</f>
        <v>29655.20833</v>
      </c>
      <c r="N4" s="19">
        <f t="shared" ref="N4:N203" si="7">IFERROR(L4/(D4*1000),0)</f>
        <v>29.65520833</v>
      </c>
      <c r="O4" s="19">
        <f t="shared" ref="O4:O19" si="8">N4*400</f>
        <v>11862.08333</v>
      </c>
      <c r="P4" s="19">
        <f t="shared" ref="P4:P20" si="9">N4*550</f>
        <v>16310.36458</v>
      </c>
      <c r="Q4" s="23" t="s">
        <v>181</v>
      </c>
      <c r="R4" s="2"/>
      <c r="S4" s="2"/>
      <c r="T4" s="4" t="s">
        <v>141</v>
      </c>
      <c r="U4" s="37" t="str">
        <f t="array" ref="U4">IFERROR(INDEX($B$4:$B$203,MATCH(U3,$C$4:$C$203,0)),"")</f>
        <v>ME-001</v>
      </c>
      <c r="V4" s="2"/>
      <c r="W4" s="2"/>
      <c r="AA4" s="9" t="str">
        <f t="shared" si="1"/>
        <v>Mẻ test 6L</v>
      </c>
      <c r="AB4" s="9" t="str">
        <f>IF('Hàng hóa'!K5&lt;&gt;"",'Hàng hóa'!K5,"")</f>
        <v>Whipping cream</v>
      </c>
    </row>
    <row r="5">
      <c r="A5" s="43"/>
      <c r="B5" s="37" t="str">
        <f t="shared" si="2"/>
        <v>ME-002</v>
      </c>
      <c r="C5" s="44" t="s">
        <v>183</v>
      </c>
      <c r="D5" s="45">
        <v>6.2</v>
      </c>
      <c r="E5" s="45">
        <v>1.5</v>
      </c>
      <c r="F5" s="47">
        <f>IF(C5="","",'Thiết lập'!$B$4)</f>
        <v>2</v>
      </c>
      <c r="G5" s="19">
        <f>IF(C5="","",'Thiết lập'!$B$5)</f>
        <v>3000</v>
      </c>
      <c r="H5" s="19">
        <f>IF(C5="","",'Thiết lập'!$B$6)</f>
        <v>0</v>
      </c>
      <c r="I5" s="19">
        <f>IF(C5="","",'Thiết lập'!$B$7)</f>
        <v>5000</v>
      </c>
      <c r="J5" s="19">
        <f t="shared" si="3"/>
        <v>15955633.33</v>
      </c>
      <c r="K5" s="19">
        <f t="shared" si="4"/>
        <v>9000</v>
      </c>
      <c r="L5" s="19">
        <f t="shared" si="5"/>
        <v>15969633.33</v>
      </c>
      <c r="M5" s="19">
        <f t="shared" si="6"/>
        <v>2575747.312</v>
      </c>
      <c r="N5" s="19">
        <f t="shared" si="7"/>
        <v>2575.747312</v>
      </c>
      <c r="O5" s="19">
        <f t="shared" si="8"/>
        <v>1030298.925</v>
      </c>
      <c r="P5" s="19">
        <f t="shared" si="9"/>
        <v>1416661.022</v>
      </c>
      <c r="Q5" s="23" t="s">
        <v>189</v>
      </c>
      <c r="R5" s="2"/>
      <c r="S5" s="2"/>
      <c r="T5" s="4" t="s">
        <v>190</v>
      </c>
      <c r="U5" s="19">
        <f t="array" ref="U5">IFERROR(INDEX($N$4:$N$203,MATCH(U3,$C$4:$C$203,0)),0)</f>
        <v>29.65520833</v>
      </c>
      <c r="V5" s="2"/>
      <c r="W5" s="2"/>
      <c r="AA5" s="9" t="str">
        <f t="shared" si="1"/>
        <v/>
      </c>
      <c r="AB5" s="9" t="str">
        <f>IF('Hàng hóa'!K6&lt;&gt;"",'Hàng hóa'!K6,"")</f>
        <v>Đường</v>
      </c>
    </row>
    <row r="6">
      <c r="A6" s="43"/>
      <c r="B6" s="37" t="str">
        <f t="shared" si="2"/>
        <v/>
      </c>
      <c r="C6" s="44"/>
      <c r="D6" s="45"/>
      <c r="E6" s="45"/>
      <c r="F6" s="47" t="str">
        <f>IF(C6="","",'Thiết lập'!$B$4)</f>
        <v/>
      </c>
      <c r="G6" s="19" t="str">
        <f>IF(C6="","",'Thiết lập'!$B$5)</f>
        <v/>
      </c>
      <c r="H6" s="19" t="str">
        <f>IF(C6="","",'Thiết lập'!$B$6)</f>
        <v/>
      </c>
      <c r="I6" s="19" t="str">
        <f>IF(C6="","",'Thiết lập'!$B$7)</f>
        <v/>
      </c>
      <c r="J6" s="19">
        <f t="shared" si="3"/>
        <v>0</v>
      </c>
      <c r="K6" s="19">
        <f t="shared" si="4"/>
        <v>0</v>
      </c>
      <c r="L6" s="19">
        <f t="shared" si="5"/>
        <v>0</v>
      </c>
      <c r="M6" s="19">
        <f t="shared" si="6"/>
        <v>0</v>
      </c>
      <c r="N6" s="19">
        <f t="shared" si="7"/>
        <v>0</v>
      </c>
      <c r="O6" s="19">
        <f t="shared" si="8"/>
        <v>0</v>
      </c>
      <c r="P6" s="19">
        <f t="shared" si="9"/>
        <v>0</v>
      </c>
      <c r="Q6" s="23"/>
      <c r="R6" s="2"/>
      <c r="S6" s="2"/>
      <c r="T6" s="4" t="s">
        <v>197</v>
      </c>
      <c r="U6" s="19">
        <f>U5*500</f>
        <v>14827.60417</v>
      </c>
      <c r="V6" s="2"/>
      <c r="W6" s="2"/>
      <c r="AA6" s="9" t="str">
        <f t="shared" si="1"/>
        <v/>
      </c>
      <c r="AB6" s="9" t="str">
        <f>IF('Hàng hóa'!K7&lt;&gt;"",'Hàng hóa'!K7,"")</f>
        <v>Ly size M</v>
      </c>
    </row>
    <row r="7">
      <c r="A7" s="43"/>
      <c r="B7" s="37" t="str">
        <f t="shared" si="2"/>
        <v/>
      </c>
      <c r="C7" s="44"/>
      <c r="D7" s="45"/>
      <c r="E7" s="45"/>
      <c r="F7" s="47" t="str">
        <f>IF(C7="","",'Thiết lập'!$B$4)</f>
        <v/>
      </c>
      <c r="G7" s="19" t="str">
        <f>IF(C7="","",'Thiết lập'!$B$5)</f>
        <v/>
      </c>
      <c r="H7" s="19" t="str">
        <f>IF(C7="","",'Thiết lập'!$B$6)</f>
        <v/>
      </c>
      <c r="I7" s="19" t="str">
        <f>IF(C7="","",'Thiết lập'!$B$7)</f>
        <v/>
      </c>
      <c r="J7" s="19">
        <f t="shared" si="3"/>
        <v>0</v>
      </c>
      <c r="K7" s="19">
        <f t="shared" si="4"/>
        <v>0</v>
      </c>
      <c r="L7" s="19">
        <f t="shared" si="5"/>
        <v>0</v>
      </c>
      <c r="M7" s="19">
        <f t="shared" si="6"/>
        <v>0</v>
      </c>
      <c r="N7" s="19">
        <f t="shared" si="7"/>
        <v>0</v>
      </c>
      <c r="O7" s="19">
        <f t="shared" si="8"/>
        <v>0</v>
      </c>
      <c r="P7" s="19">
        <f t="shared" si="9"/>
        <v>0</v>
      </c>
      <c r="Q7" s="23"/>
      <c r="R7" s="2"/>
      <c r="S7" s="2"/>
      <c r="T7" s="4" t="s">
        <v>200</v>
      </c>
      <c r="U7" s="19">
        <f>U5*650</f>
        <v>19275.88542</v>
      </c>
      <c r="V7" s="2"/>
      <c r="W7" s="2"/>
      <c r="AA7" s="9" t="str">
        <f t="shared" si="1"/>
        <v/>
      </c>
      <c r="AB7" s="9" t="str">
        <f>IF('Hàng hóa'!K8&lt;&gt;"",'Hàng hóa'!K8,"")</f>
        <v>Nắp size M</v>
      </c>
    </row>
    <row r="8">
      <c r="A8" s="43"/>
      <c r="B8" s="37" t="str">
        <f t="shared" si="2"/>
        <v/>
      </c>
      <c r="C8" s="44"/>
      <c r="D8" s="45"/>
      <c r="E8" s="45"/>
      <c r="F8" s="47" t="str">
        <f>IF(C8="","",'Thiết lập'!$B$4)</f>
        <v/>
      </c>
      <c r="G8" s="19" t="str">
        <f>IF(C8="","",'Thiết lập'!$B$5)</f>
        <v/>
      </c>
      <c r="H8" s="19" t="str">
        <f>IF(C8="","",'Thiết lập'!$B$6)</f>
        <v/>
      </c>
      <c r="I8" s="19" t="str">
        <f>IF(C8="","",'Thiết lập'!$B$7)</f>
        <v/>
      </c>
      <c r="J8" s="19">
        <f t="shared" si="3"/>
        <v>0</v>
      </c>
      <c r="K8" s="19">
        <f t="shared" si="4"/>
        <v>0</v>
      </c>
      <c r="L8" s="19">
        <f t="shared" si="5"/>
        <v>0</v>
      </c>
      <c r="M8" s="19">
        <f t="shared" si="6"/>
        <v>0</v>
      </c>
      <c r="N8" s="19">
        <f t="shared" si="7"/>
        <v>0</v>
      </c>
      <c r="O8" s="19">
        <f t="shared" si="8"/>
        <v>0</v>
      </c>
      <c r="P8" s="19">
        <f t="shared" si="9"/>
        <v>0</v>
      </c>
      <c r="Q8" s="23"/>
      <c r="R8" s="2"/>
      <c r="S8" s="2"/>
      <c r="T8" s="4" t="s">
        <v>206</v>
      </c>
      <c r="U8" s="19">
        <f>IFERROR(SUM($L$4:$L$203)/(SUM($D$4:$D$203)*1000),0)</f>
        <v>740.725976</v>
      </c>
      <c r="V8" s="2"/>
      <c r="W8" s="2"/>
      <c r="AA8" s="9" t="str">
        <f t="shared" si="1"/>
        <v/>
      </c>
      <c r="AB8" s="9" t="str">
        <f>IF('Hàng hóa'!K9&lt;&gt;"",'Hàng hóa'!K9,"")</f>
        <v>Ly size L</v>
      </c>
    </row>
    <row r="9">
      <c r="A9" s="43"/>
      <c r="B9" s="37" t="str">
        <f t="shared" si="2"/>
        <v/>
      </c>
      <c r="C9" s="44"/>
      <c r="D9" s="45"/>
      <c r="E9" s="45"/>
      <c r="F9" s="47" t="str">
        <f>IF(C9="","",'Thiết lập'!$B$4)</f>
        <v/>
      </c>
      <c r="G9" s="19" t="str">
        <f>IF(C9="","",'Thiết lập'!$B$5)</f>
        <v/>
      </c>
      <c r="H9" s="19" t="str">
        <f>IF(C9="","",'Thiết lập'!$B$6)</f>
        <v/>
      </c>
      <c r="I9" s="19" t="str">
        <f>IF(C9="","",'Thiết lập'!$B$7)</f>
        <v/>
      </c>
      <c r="J9" s="19">
        <f t="shared" si="3"/>
        <v>0</v>
      </c>
      <c r="K9" s="19">
        <f t="shared" si="4"/>
        <v>0</v>
      </c>
      <c r="L9" s="19">
        <f t="shared" si="5"/>
        <v>0</v>
      </c>
      <c r="M9" s="19">
        <f t="shared" si="6"/>
        <v>0</v>
      </c>
      <c r="N9" s="19">
        <f t="shared" si="7"/>
        <v>0</v>
      </c>
      <c r="O9" s="19">
        <f t="shared" si="8"/>
        <v>0</v>
      </c>
      <c r="P9" s="19">
        <f t="shared" si="9"/>
        <v>0</v>
      </c>
      <c r="Q9" s="23"/>
      <c r="R9" s="2"/>
      <c r="S9" s="2"/>
      <c r="T9" s="2"/>
      <c r="U9" s="2"/>
      <c r="V9" s="2"/>
      <c r="W9" s="2"/>
      <c r="AA9" s="9" t="str">
        <f t="shared" si="1"/>
        <v/>
      </c>
      <c r="AB9" s="9" t="str">
        <f>IF('Hàng hóa'!K10&lt;&gt;"",'Hàng hóa'!K10,"")</f>
        <v>Nắp size L</v>
      </c>
    </row>
    <row r="10">
      <c r="A10" s="43"/>
      <c r="B10" s="37" t="str">
        <f t="shared" si="2"/>
        <v/>
      </c>
      <c r="C10" s="44"/>
      <c r="D10" s="45"/>
      <c r="E10" s="45"/>
      <c r="F10" s="47" t="str">
        <f>IF(C10="","",'Thiết lập'!$B$4)</f>
        <v/>
      </c>
      <c r="G10" s="19" t="str">
        <f>IF(C10="","",'Thiết lập'!$B$5)</f>
        <v/>
      </c>
      <c r="H10" s="19" t="str">
        <f>IF(C10="","",'Thiết lập'!$B$6)</f>
        <v/>
      </c>
      <c r="I10" s="19" t="str">
        <f>IF(C10="","",'Thiết lập'!$B$7)</f>
        <v/>
      </c>
      <c r="J10" s="19">
        <f t="shared" si="3"/>
        <v>0</v>
      </c>
      <c r="K10" s="19">
        <f t="shared" si="4"/>
        <v>0</v>
      </c>
      <c r="L10" s="19">
        <f t="shared" si="5"/>
        <v>0</v>
      </c>
      <c r="M10" s="19">
        <f t="shared" si="6"/>
        <v>0</v>
      </c>
      <c r="N10" s="19">
        <f t="shared" si="7"/>
        <v>0</v>
      </c>
      <c r="O10" s="19">
        <f t="shared" si="8"/>
        <v>0</v>
      </c>
      <c r="P10" s="19">
        <f t="shared" si="9"/>
        <v>0</v>
      </c>
      <c r="Q10" s="23"/>
      <c r="R10" s="3" t="s">
        <v>212</v>
      </c>
      <c r="AA10" s="9" t="str">
        <f t="shared" si="1"/>
        <v/>
      </c>
      <c r="AB10" s="9" t="str">
        <f>IF('Hàng hóa'!K11&lt;&gt;"",'Hàng hóa'!K11,"")</f>
        <v>Ống hút</v>
      </c>
    </row>
    <row r="11">
      <c r="A11" s="43"/>
      <c r="B11" s="37" t="str">
        <f t="shared" si="2"/>
        <v/>
      </c>
      <c r="C11" s="44"/>
      <c r="D11" s="45"/>
      <c r="E11" s="45"/>
      <c r="F11" s="47" t="str">
        <f>IF(C11="","",'Thiết lập'!$B$4)</f>
        <v/>
      </c>
      <c r="G11" s="19" t="str">
        <f>IF(C11="","",'Thiết lập'!$B$5)</f>
        <v/>
      </c>
      <c r="H11" s="19" t="str">
        <f>IF(C11="","",'Thiết lập'!$B$6)</f>
        <v/>
      </c>
      <c r="I11" s="19" t="str">
        <f>IF(C11="","",'Thiết lập'!$B$7)</f>
        <v/>
      </c>
      <c r="J11" s="19">
        <f t="shared" si="3"/>
        <v>0</v>
      </c>
      <c r="K11" s="19">
        <f t="shared" si="4"/>
        <v>0</v>
      </c>
      <c r="L11" s="19">
        <f t="shared" si="5"/>
        <v>0</v>
      </c>
      <c r="M11" s="19">
        <f t="shared" si="6"/>
        <v>0</v>
      </c>
      <c r="N11" s="19">
        <f t="shared" si="7"/>
        <v>0</v>
      </c>
      <c r="O11" s="19">
        <f t="shared" si="8"/>
        <v>0</v>
      </c>
      <c r="P11" s="19">
        <f t="shared" si="9"/>
        <v>0</v>
      </c>
      <c r="Q11" s="23"/>
      <c r="R11" s="4" t="s">
        <v>215</v>
      </c>
      <c r="S11" s="4" t="s">
        <v>141</v>
      </c>
      <c r="T11" s="4" t="s">
        <v>216</v>
      </c>
      <c r="U11" s="4" t="s">
        <v>217</v>
      </c>
      <c r="V11" s="4" t="s">
        <v>137</v>
      </c>
      <c r="W11" s="4" t="s">
        <v>218</v>
      </c>
      <c r="X11" s="4" t="s">
        <v>219</v>
      </c>
      <c r="Y11" s="4" t="s">
        <v>32</v>
      </c>
      <c r="AA11" s="9" t="str">
        <f t="shared" si="1"/>
        <v/>
      </c>
      <c r="AB11" s="9" t="str">
        <f>IF('Hàng hóa'!K12&lt;&gt;"",'Hàng hóa'!K12,"")</f>
        <v>Muỗng</v>
      </c>
    </row>
    <row r="12">
      <c r="A12" s="43"/>
      <c r="B12" s="37" t="str">
        <f t="shared" si="2"/>
        <v/>
      </c>
      <c r="C12" s="44"/>
      <c r="D12" s="45"/>
      <c r="E12" s="45"/>
      <c r="F12" s="47" t="str">
        <f>IF(C12="","",'Thiết lập'!$B$4)</f>
        <v/>
      </c>
      <c r="G12" s="19" t="str">
        <f>IF(C12="","",'Thiết lập'!$B$5)</f>
        <v/>
      </c>
      <c r="H12" s="19" t="str">
        <f>IF(C12="","",'Thiết lập'!$B$6)</f>
        <v/>
      </c>
      <c r="I12" s="19" t="str">
        <f>IF(C12="","",'Thiết lập'!$B$7)</f>
        <v/>
      </c>
      <c r="J12" s="19">
        <f t="shared" si="3"/>
        <v>0</v>
      </c>
      <c r="K12" s="19">
        <f t="shared" si="4"/>
        <v>0</v>
      </c>
      <c r="L12" s="19">
        <f t="shared" si="5"/>
        <v>0</v>
      </c>
      <c r="M12" s="19">
        <f t="shared" si="6"/>
        <v>0</v>
      </c>
      <c r="N12" s="19">
        <f t="shared" si="7"/>
        <v>0</v>
      </c>
      <c r="O12" s="19">
        <f t="shared" si="8"/>
        <v>0</v>
      </c>
      <c r="P12" s="19">
        <f t="shared" si="9"/>
        <v>0</v>
      </c>
      <c r="Q12" s="23"/>
      <c r="R12" s="23" t="s">
        <v>166</v>
      </c>
      <c r="S12" s="37"/>
      <c r="T12" s="44" t="s">
        <v>164</v>
      </c>
      <c r="U12" s="45">
        <v>15.0</v>
      </c>
      <c r="V12" s="37" t="str">
        <f t="array" ref="V12">IFERROR(INDEX('Hàng hóa'!$F$4:$F$203,MATCH(T12,'Hàng hóa'!$B$4:$B$203,0)),"")</f>
        <v>lít</v>
      </c>
      <c r="W12" s="19">
        <f t="array" ref="W12">IFERROR(INDEX('Hàng hóa'!$H$4:$H$203,MATCH(T12,'Hàng hóa'!$B$4:$B$203,0)),0)</f>
        <v>24250</v>
      </c>
      <c r="X12" s="20">
        <f t="shared" ref="X12:X510" si="10">IF(OR(R12="",T12="",U12=""),0,U12*W12)</f>
        <v>363750</v>
      </c>
      <c r="Y12" s="15"/>
      <c r="AA12" s="9" t="str">
        <f t="shared" si="1"/>
        <v/>
      </c>
      <c r="AB12" s="9" t="str">
        <f>IF('Hàng hóa'!K13&lt;&gt;"",'Hàng hóa'!K13,"")</f>
        <v>Túi mang đi</v>
      </c>
    </row>
    <row r="13">
      <c r="A13" s="43"/>
      <c r="B13" s="37" t="str">
        <f t="shared" si="2"/>
        <v/>
      </c>
      <c r="C13" s="44"/>
      <c r="D13" s="45"/>
      <c r="E13" s="45"/>
      <c r="F13" s="47" t="str">
        <f>IF(C13="","",'Thiết lập'!$B$4)</f>
        <v/>
      </c>
      <c r="G13" s="19" t="str">
        <f>IF(C13="","",'Thiết lập'!$B$5)</f>
        <v/>
      </c>
      <c r="H13" s="19" t="str">
        <f>IF(C13="","",'Thiết lập'!$B$6)</f>
        <v/>
      </c>
      <c r="I13" s="19" t="str">
        <f>IF(C13="","",'Thiết lập'!$B$7)</f>
        <v/>
      </c>
      <c r="J13" s="19">
        <f t="shared" si="3"/>
        <v>0</v>
      </c>
      <c r="K13" s="19">
        <f t="shared" si="4"/>
        <v>0</v>
      </c>
      <c r="L13" s="19">
        <f t="shared" si="5"/>
        <v>0</v>
      </c>
      <c r="M13" s="19">
        <f t="shared" si="6"/>
        <v>0</v>
      </c>
      <c r="N13" s="19">
        <f t="shared" si="7"/>
        <v>0</v>
      </c>
      <c r="O13" s="19">
        <f t="shared" si="8"/>
        <v>0</v>
      </c>
      <c r="P13" s="19">
        <f t="shared" si="9"/>
        <v>0</v>
      </c>
      <c r="Q13" s="23"/>
      <c r="R13" s="23" t="s">
        <v>166</v>
      </c>
      <c r="S13" s="37"/>
      <c r="T13" s="44" t="s">
        <v>173</v>
      </c>
      <c r="U13" s="54">
        <v>1.0</v>
      </c>
      <c r="V13" s="37" t="str">
        <f t="array" ref="V13">IFERROR(INDEX('Hàng hóa'!$F$4:$F$203,MATCH(T13,'Hàng hóa'!$B$4:$B$203,0)),"")</f>
        <v>lít</v>
      </c>
      <c r="W13" s="19">
        <f t="array" ref="W13">IFERROR(INDEX('Hàng hóa'!$H$4:$H$203,MATCH(T13,'Hàng hóa'!$B$4:$B$203,0)),0)</f>
        <v>79000</v>
      </c>
      <c r="X13" s="20">
        <f t="shared" si="10"/>
        <v>79000</v>
      </c>
      <c r="Y13" s="15"/>
      <c r="AA13" s="9" t="str">
        <f t="shared" si="1"/>
        <v/>
      </c>
      <c r="AB13" s="9" t="str">
        <f>IF('Hàng hóa'!K14&lt;&gt;"",'Hàng hóa'!K14,"")</f>
        <v/>
      </c>
    </row>
    <row r="14">
      <c r="A14" s="43"/>
      <c r="B14" s="37" t="str">
        <f t="shared" si="2"/>
        <v/>
      </c>
      <c r="C14" s="44"/>
      <c r="D14" s="45"/>
      <c r="E14" s="45"/>
      <c r="F14" s="47" t="str">
        <f>IF(C14="","",'Thiết lập'!$B$4)</f>
        <v/>
      </c>
      <c r="G14" s="19" t="str">
        <f>IF(C14="","",'Thiết lập'!$B$5)</f>
        <v/>
      </c>
      <c r="H14" s="19" t="str">
        <f>IF(C14="","",'Thiết lập'!$B$6)</f>
        <v/>
      </c>
      <c r="I14" s="19" t="str">
        <f>IF(C14="","",'Thiết lập'!$B$7)</f>
        <v/>
      </c>
      <c r="J14" s="19">
        <f t="shared" si="3"/>
        <v>0</v>
      </c>
      <c r="K14" s="19">
        <f t="shared" si="4"/>
        <v>0</v>
      </c>
      <c r="L14" s="19">
        <f t="shared" si="5"/>
        <v>0</v>
      </c>
      <c r="M14" s="19">
        <f t="shared" si="6"/>
        <v>0</v>
      </c>
      <c r="N14" s="19">
        <f t="shared" si="7"/>
        <v>0</v>
      </c>
      <c r="O14" s="19">
        <f t="shared" si="8"/>
        <v>0</v>
      </c>
      <c r="P14" s="19">
        <f t="shared" si="9"/>
        <v>0</v>
      </c>
      <c r="Q14" s="23"/>
      <c r="R14" s="23" t="s">
        <v>166</v>
      </c>
      <c r="S14" s="37"/>
      <c r="T14" s="44" t="s">
        <v>180</v>
      </c>
      <c r="U14" s="45">
        <v>0.7</v>
      </c>
      <c r="V14" s="37" t="str">
        <f t="array" ref="V14">IFERROR(INDEX('Hàng hóa'!$F$4:$F$203,MATCH(T14,'Hàng hóa'!$B$4:$B$203,0)),"")</f>
        <v>kg</v>
      </c>
      <c r="W14" s="19">
        <f t="array" ref="W14">IFERROR(INDEX('Hàng hóa'!$H$4:$H$203,MATCH(T14,'Hàng hóa'!$B$4:$B$203,0)),0)</f>
        <v>25333.33333</v>
      </c>
      <c r="X14" s="20">
        <f t="shared" si="10"/>
        <v>17733.33333</v>
      </c>
      <c r="Y14" s="15"/>
      <c r="AA14" s="9" t="str">
        <f t="shared" si="1"/>
        <v/>
      </c>
      <c r="AB14" s="9" t="str">
        <f>IF('Hàng hóa'!K15&lt;&gt;"",'Hàng hóa'!K15,"")</f>
        <v>Oreo</v>
      </c>
    </row>
    <row r="15">
      <c r="A15" s="43"/>
      <c r="B15" s="37" t="str">
        <f t="shared" si="2"/>
        <v/>
      </c>
      <c r="C15" s="44"/>
      <c r="D15" s="45"/>
      <c r="E15" s="45"/>
      <c r="F15" s="47" t="str">
        <f>IF(C15="","",'Thiết lập'!$B$4)</f>
        <v/>
      </c>
      <c r="G15" s="19" t="str">
        <f>IF(C15="","",'Thiết lập'!$B$5)</f>
        <v/>
      </c>
      <c r="H15" s="19" t="str">
        <f>IF(C15="","",'Thiết lập'!$B$6)</f>
        <v/>
      </c>
      <c r="I15" s="19" t="str">
        <f>IF(C15="","",'Thiết lập'!$B$7)</f>
        <v/>
      </c>
      <c r="J15" s="19">
        <f t="shared" si="3"/>
        <v>0</v>
      </c>
      <c r="K15" s="19">
        <f t="shared" si="4"/>
        <v>0</v>
      </c>
      <c r="L15" s="19">
        <f t="shared" si="5"/>
        <v>0</v>
      </c>
      <c r="M15" s="19">
        <f t="shared" si="6"/>
        <v>0</v>
      </c>
      <c r="N15" s="19">
        <f t="shared" si="7"/>
        <v>0</v>
      </c>
      <c r="O15" s="19">
        <f t="shared" si="8"/>
        <v>0</v>
      </c>
      <c r="P15" s="19">
        <f t="shared" si="9"/>
        <v>0</v>
      </c>
      <c r="Q15" s="23"/>
      <c r="R15" s="23" t="s">
        <v>183</v>
      </c>
      <c r="S15" s="37"/>
      <c r="T15" s="44" t="s">
        <v>164</v>
      </c>
      <c r="U15" s="45">
        <v>6.0</v>
      </c>
      <c r="V15" s="37" t="str">
        <f t="array" ref="V15">IFERROR(INDEX('Hàng hóa'!$F$4:$F$203,MATCH(T15,'Hàng hóa'!$B$4:$B$203,0)),"")</f>
        <v>lít</v>
      </c>
      <c r="W15" s="19">
        <f t="array" ref="W15">IFERROR(INDEX('Hàng hóa'!$H$4:$H$203,MATCH(T15,'Hàng hóa'!$B$4:$B$203,0)),0)</f>
        <v>24250</v>
      </c>
      <c r="X15" s="20">
        <f t="shared" si="10"/>
        <v>145500</v>
      </c>
      <c r="Y15" s="15"/>
      <c r="AA15" s="9" t="str">
        <f t="shared" si="1"/>
        <v/>
      </c>
      <c r="AB15" s="9" t="str">
        <f>IF('Hàng hóa'!K16&lt;&gt;"",'Hàng hóa'!K16,"")</f>
        <v>Dừa non</v>
      </c>
    </row>
    <row r="16">
      <c r="A16" s="43"/>
      <c r="B16" s="37" t="str">
        <f t="shared" si="2"/>
        <v/>
      </c>
      <c r="C16" s="44"/>
      <c r="D16" s="45"/>
      <c r="E16" s="45"/>
      <c r="F16" s="47" t="str">
        <f>IF(C16="","",'Thiết lập'!$B$4)</f>
        <v/>
      </c>
      <c r="G16" s="19" t="str">
        <f>IF(C16="","",'Thiết lập'!$B$5)</f>
        <v/>
      </c>
      <c r="H16" s="19" t="str">
        <f>IF(C16="","",'Thiết lập'!$B$6)</f>
        <v/>
      </c>
      <c r="I16" s="19" t="str">
        <f>IF(C16="","",'Thiết lập'!$B$7)</f>
        <v/>
      </c>
      <c r="J16" s="19">
        <f t="shared" si="3"/>
        <v>0</v>
      </c>
      <c r="K16" s="19">
        <f t="shared" si="4"/>
        <v>0</v>
      </c>
      <c r="L16" s="19">
        <f t="shared" si="5"/>
        <v>0</v>
      </c>
      <c r="M16" s="19">
        <f t="shared" si="6"/>
        <v>0</v>
      </c>
      <c r="N16" s="19">
        <f t="shared" si="7"/>
        <v>0</v>
      </c>
      <c r="O16" s="19">
        <f t="shared" si="8"/>
        <v>0</v>
      </c>
      <c r="P16" s="19">
        <f t="shared" si="9"/>
        <v>0</v>
      </c>
      <c r="Q16" s="23"/>
      <c r="R16" s="23" t="s">
        <v>183</v>
      </c>
      <c r="S16" s="37"/>
      <c r="T16" s="44" t="s">
        <v>173</v>
      </c>
      <c r="U16" s="45">
        <v>200.0</v>
      </c>
      <c r="V16" s="37" t="str">
        <f t="array" ref="V16">IFERROR(INDEX('Hàng hóa'!$F$4:$F$203,MATCH(T16,'Hàng hóa'!$B$4:$B$203,0)),"")</f>
        <v>lít</v>
      </c>
      <c r="W16" s="19">
        <f t="array" ref="W16">IFERROR(INDEX('Hàng hóa'!$H$4:$H$203,MATCH(T16,'Hàng hóa'!$B$4:$B$203,0)),0)</f>
        <v>79000</v>
      </c>
      <c r="X16" s="20">
        <f t="shared" si="10"/>
        <v>15800000</v>
      </c>
      <c r="Y16" s="15"/>
      <c r="AA16" s="9" t="str">
        <f t="shared" si="1"/>
        <v/>
      </c>
      <c r="AB16" s="9" t="str">
        <f>IF('Hàng hóa'!K17&lt;&gt;"",'Hàng hóa'!K17,"")</f>
        <v>Dâu giòn</v>
      </c>
    </row>
    <row r="17">
      <c r="A17" s="43"/>
      <c r="B17" s="37" t="str">
        <f t="shared" si="2"/>
        <v/>
      </c>
      <c r="C17" s="44"/>
      <c r="D17" s="45"/>
      <c r="E17" s="45"/>
      <c r="F17" s="47" t="str">
        <f>IF(C17="","",'Thiết lập'!$B$4)</f>
        <v/>
      </c>
      <c r="G17" s="19" t="str">
        <f>IF(C17="","",'Thiết lập'!$B$5)</f>
        <v/>
      </c>
      <c r="H17" s="19" t="str">
        <f>IF(C17="","",'Thiết lập'!$B$6)</f>
        <v/>
      </c>
      <c r="I17" s="19" t="str">
        <f>IF(C17="","",'Thiết lập'!$B$7)</f>
        <v/>
      </c>
      <c r="J17" s="19">
        <f t="shared" si="3"/>
        <v>0</v>
      </c>
      <c r="K17" s="19">
        <f t="shared" si="4"/>
        <v>0</v>
      </c>
      <c r="L17" s="19">
        <f t="shared" si="5"/>
        <v>0</v>
      </c>
      <c r="M17" s="19">
        <f t="shared" si="6"/>
        <v>0</v>
      </c>
      <c r="N17" s="19">
        <f t="shared" si="7"/>
        <v>0</v>
      </c>
      <c r="O17" s="19">
        <f t="shared" si="8"/>
        <v>0</v>
      </c>
      <c r="P17" s="19">
        <f t="shared" si="9"/>
        <v>0</v>
      </c>
      <c r="Q17" s="23"/>
      <c r="R17" s="23" t="s">
        <v>183</v>
      </c>
      <c r="S17" s="37"/>
      <c r="T17" s="44" t="s">
        <v>180</v>
      </c>
      <c r="U17" s="45">
        <v>0.4</v>
      </c>
      <c r="V17" s="37" t="str">
        <f t="array" ref="V17">IFERROR(INDEX('Hàng hóa'!$F$4:$F$203,MATCH(T17,'Hàng hóa'!$B$4:$B$203,0)),"")</f>
        <v>kg</v>
      </c>
      <c r="W17" s="19">
        <f t="array" ref="W17">IFERROR(INDEX('Hàng hóa'!$H$4:$H$203,MATCH(T17,'Hàng hóa'!$B$4:$B$203,0)),0)</f>
        <v>25333.33333</v>
      </c>
      <c r="X17" s="20">
        <f t="shared" si="10"/>
        <v>10133.33333</v>
      </c>
      <c r="Y17" s="15"/>
      <c r="AA17" s="9" t="str">
        <f t="shared" si="1"/>
        <v/>
      </c>
      <c r="AB17" s="9" t="str">
        <f>IF('Hàng hóa'!K18&lt;&gt;"",'Hàng hóa'!K18,"")</f>
        <v>Sữa chua sấy</v>
      </c>
    </row>
    <row r="18">
      <c r="A18" s="43"/>
      <c r="B18" s="37" t="str">
        <f t="shared" si="2"/>
        <v/>
      </c>
      <c r="C18" s="44"/>
      <c r="D18" s="45"/>
      <c r="E18" s="45"/>
      <c r="F18" s="47" t="str">
        <f>IF(C18="","",'Thiết lập'!$B$4)</f>
        <v/>
      </c>
      <c r="G18" s="19" t="str">
        <f>IF(C18="","",'Thiết lập'!$B$5)</f>
        <v/>
      </c>
      <c r="H18" s="19" t="str">
        <f>IF(C18="","",'Thiết lập'!$B$6)</f>
        <v/>
      </c>
      <c r="I18" s="19" t="str">
        <f>IF(C18="","",'Thiết lập'!$B$7)</f>
        <v/>
      </c>
      <c r="J18" s="19">
        <f t="shared" si="3"/>
        <v>0</v>
      </c>
      <c r="K18" s="19">
        <f t="shared" si="4"/>
        <v>0</v>
      </c>
      <c r="L18" s="19">
        <f t="shared" si="5"/>
        <v>0</v>
      </c>
      <c r="M18" s="19">
        <f t="shared" si="6"/>
        <v>0</v>
      </c>
      <c r="N18" s="19">
        <f t="shared" si="7"/>
        <v>0</v>
      </c>
      <c r="O18" s="19">
        <f t="shared" si="8"/>
        <v>0</v>
      </c>
      <c r="P18" s="19">
        <f t="shared" si="9"/>
        <v>0</v>
      </c>
      <c r="Q18" s="23"/>
      <c r="R18" s="23"/>
      <c r="S18" s="37" t="str">
        <f t="shared" ref="S18:S510" si="11">IFERROR(INDEX($B$4:$B$203,MATCH(R18,$C$4:$C$203,0)),"")</f>
        <v/>
      </c>
      <c r="T18" s="44"/>
      <c r="U18" s="45"/>
      <c r="V18" s="37" t="str">
        <f t="array" ref="V18">IFERROR(INDEX('Hàng hóa'!$F$4:$F$203,MATCH(T18,'Hàng hóa'!$B$4:$B$203,0)),"")</f>
        <v/>
      </c>
      <c r="W18" s="19">
        <f t="array" ref="W18">IFERROR(INDEX('Hàng hóa'!$H$4:$H$203,MATCH(T18,'Hàng hóa'!$B$4:$B$203,0)),0)</f>
        <v>0</v>
      </c>
      <c r="X18" s="20">
        <f t="shared" si="10"/>
        <v>0</v>
      </c>
      <c r="Y18" s="15"/>
      <c r="AA18" s="9" t="str">
        <f t="shared" si="1"/>
        <v/>
      </c>
      <c r="AB18" s="9" t="str">
        <f>IF('Hàng hóa'!K19&lt;&gt;"",'Hàng hóa'!K19,"")</f>
        <v>Choco Ball</v>
      </c>
    </row>
    <row r="19">
      <c r="A19" s="43"/>
      <c r="B19" s="37" t="str">
        <f t="shared" si="2"/>
        <v/>
      </c>
      <c r="C19" s="44"/>
      <c r="D19" s="45"/>
      <c r="E19" s="45"/>
      <c r="F19" s="47" t="str">
        <f>IF(C19="","",'Thiết lập'!$B$4)</f>
        <v/>
      </c>
      <c r="G19" s="19" t="str">
        <f>IF(C19="","",'Thiết lập'!$B$5)</f>
        <v/>
      </c>
      <c r="H19" s="19" t="str">
        <f>IF(C19="","",'Thiết lập'!$B$6)</f>
        <v/>
      </c>
      <c r="I19" s="19" t="str">
        <f>IF(C19="","",'Thiết lập'!$B$7)</f>
        <v/>
      </c>
      <c r="J19" s="19">
        <f t="shared" si="3"/>
        <v>0</v>
      </c>
      <c r="K19" s="19">
        <f t="shared" si="4"/>
        <v>0</v>
      </c>
      <c r="L19" s="19">
        <f t="shared" si="5"/>
        <v>0</v>
      </c>
      <c r="M19" s="19">
        <f t="shared" si="6"/>
        <v>0</v>
      </c>
      <c r="N19" s="19">
        <f t="shared" si="7"/>
        <v>0</v>
      </c>
      <c r="O19" s="19">
        <f t="shared" si="8"/>
        <v>0</v>
      </c>
      <c r="P19" s="19">
        <f t="shared" si="9"/>
        <v>0</v>
      </c>
      <c r="Q19" s="23"/>
      <c r="R19" s="23"/>
      <c r="S19" s="37" t="str">
        <f t="shared" si="11"/>
        <v/>
      </c>
      <c r="T19" s="44"/>
      <c r="U19" s="45"/>
      <c r="V19" s="37" t="str">
        <f t="array" ref="V19">IFERROR(INDEX('Hàng hóa'!$F$4:$F$203,MATCH(T19,'Hàng hóa'!$B$4:$B$203,0)),"")</f>
        <v/>
      </c>
      <c r="W19" s="19">
        <f t="array" ref="W19">IFERROR(INDEX('Hàng hóa'!$H$4:$H$203,MATCH(T19,'Hàng hóa'!$B$4:$B$203,0)),0)</f>
        <v>0</v>
      </c>
      <c r="X19" s="20">
        <f t="shared" si="10"/>
        <v>0</v>
      </c>
      <c r="Y19" s="15"/>
      <c r="AA19" s="9" t="str">
        <f t="shared" si="1"/>
        <v/>
      </c>
      <c r="AB19" s="9" t="str">
        <f>IF('Hàng hóa'!K20&lt;&gt;"",'Hàng hóa'!K20,"")</f>
        <v>Màng Wrap nhỏ</v>
      </c>
    </row>
    <row r="20">
      <c r="A20" s="43"/>
      <c r="B20" s="37" t="str">
        <f t="shared" si="2"/>
        <v/>
      </c>
      <c r="C20" s="44"/>
      <c r="D20" s="45"/>
      <c r="E20" s="45"/>
      <c r="F20" s="47" t="str">
        <f>IF(C20="","",'Thiết lập'!$B$4)</f>
        <v/>
      </c>
      <c r="G20" s="19" t="str">
        <f>IF(C20="","",'Thiết lập'!$B$5)</f>
        <v/>
      </c>
      <c r="H20" s="19" t="str">
        <f>IF(C20="","",'Thiết lập'!$B$6)</f>
        <v/>
      </c>
      <c r="I20" s="19" t="str">
        <f>IF(C20="","",'Thiết lập'!$B$7)</f>
        <v/>
      </c>
      <c r="J20" s="19">
        <f t="shared" si="3"/>
        <v>0</v>
      </c>
      <c r="K20" s="19">
        <f t="shared" si="4"/>
        <v>0</v>
      </c>
      <c r="L20" s="19">
        <f t="shared" si="5"/>
        <v>0</v>
      </c>
      <c r="M20" s="19">
        <f t="shared" si="6"/>
        <v>0</v>
      </c>
      <c r="N20" s="19">
        <f t="shared" si="7"/>
        <v>0</v>
      </c>
      <c r="O20" s="19">
        <f t="shared" ref="O20:O203" si="12">N20*500</f>
        <v>0</v>
      </c>
      <c r="P20" s="19">
        <f t="shared" si="9"/>
        <v>0</v>
      </c>
      <c r="Q20" s="23"/>
      <c r="R20" s="23"/>
      <c r="S20" s="37" t="str">
        <f t="shared" si="11"/>
        <v/>
      </c>
      <c r="T20" s="44"/>
      <c r="U20" s="45"/>
      <c r="V20" s="37" t="str">
        <f t="array" ref="V20">IFERROR(INDEX('Hàng hóa'!$F$4:$F$203,MATCH(T20,'Hàng hóa'!$B$4:$B$203,0)),"")</f>
        <v/>
      </c>
      <c r="W20" s="19">
        <f t="array" ref="W20">IFERROR(INDEX('Hàng hóa'!$H$4:$H$203,MATCH(T20,'Hàng hóa'!$B$4:$B$203,0)),0)</f>
        <v>0</v>
      </c>
      <c r="X20" s="20">
        <f t="shared" si="10"/>
        <v>0</v>
      </c>
      <c r="Y20" s="15"/>
      <c r="AA20" s="9" t="str">
        <f t="shared" si="1"/>
        <v/>
      </c>
      <c r="AB20" s="9" t="str">
        <f>IF('Hàng hóa'!K21&lt;&gt;"",'Hàng hóa'!K21,"")</f>
        <v/>
      </c>
    </row>
    <row r="21" ht="15.75" customHeight="1">
      <c r="A21" s="43"/>
      <c r="B21" s="37" t="str">
        <f t="shared" si="2"/>
        <v/>
      </c>
      <c r="C21" s="44"/>
      <c r="D21" s="45"/>
      <c r="E21" s="45"/>
      <c r="F21" s="47" t="str">
        <f>IF(C21="","",'Thiết lập'!$B$4)</f>
        <v/>
      </c>
      <c r="G21" s="19" t="str">
        <f>IF(C21="","",'Thiết lập'!$B$5)</f>
        <v/>
      </c>
      <c r="H21" s="19" t="str">
        <f>IF(C21="","",'Thiết lập'!$B$6)</f>
        <v/>
      </c>
      <c r="I21" s="19" t="str">
        <f>IF(C21="","",'Thiết lập'!$B$7)</f>
        <v/>
      </c>
      <c r="J21" s="19">
        <f t="shared" si="3"/>
        <v>0</v>
      </c>
      <c r="K21" s="19">
        <f t="shared" si="4"/>
        <v>0</v>
      </c>
      <c r="L21" s="19">
        <f t="shared" si="5"/>
        <v>0</v>
      </c>
      <c r="M21" s="19">
        <f t="shared" si="6"/>
        <v>0</v>
      </c>
      <c r="N21" s="19">
        <f t="shared" si="7"/>
        <v>0</v>
      </c>
      <c r="O21" s="19">
        <f t="shared" si="12"/>
        <v>0</v>
      </c>
      <c r="P21" s="19">
        <f t="shared" ref="P21:P203" si="13">N21*650</f>
        <v>0</v>
      </c>
      <c r="Q21" s="23"/>
      <c r="R21" s="23"/>
      <c r="S21" s="37" t="str">
        <f t="shared" si="11"/>
        <v/>
      </c>
      <c r="T21" s="44"/>
      <c r="U21" s="45"/>
      <c r="V21" s="37" t="str">
        <f t="array" ref="V21">IFERROR(INDEX('Hàng hóa'!$F$4:$F$203,MATCH(T21,'Hàng hóa'!$B$4:$B$203,0)),"")</f>
        <v/>
      </c>
      <c r="W21" s="19">
        <f t="array" ref="W21">IFERROR(INDEX('Hàng hóa'!$H$4:$H$203,MATCH(T21,'Hàng hóa'!$B$4:$B$203,0)),0)</f>
        <v>0</v>
      </c>
      <c r="X21" s="20">
        <f t="shared" si="10"/>
        <v>0</v>
      </c>
      <c r="Y21" s="15"/>
      <c r="AA21" s="9" t="str">
        <f t="shared" si="1"/>
        <v/>
      </c>
      <c r="AB21" s="9" t="str">
        <f>IF('Hàng hóa'!K22&lt;&gt;"",'Hàng hóa'!K22,"")</f>
        <v/>
      </c>
    </row>
    <row r="22" ht="15.75" customHeight="1">
      <c r="A22" s="43"/>
      <c r="B22" s="37" t="str">
        <f t="shared" si="2"/>
        <v/>
      </c>
      <c r="C22" s="44"/>
      <c r="D22" s="45"/>
      <c r="E22" s="45"/>
      <c r="F22" s="47" t="str">
        <f>IF(C22="","",'Thiết lập'!$B$4)</f>
        <v/>
      </c>
      <c r="G22" s="19" t="str">
        <f>IF(C22="","",'Thiết lập'!$B$5)</f>
        <v/>
      </c>
      <c r="H22" s="19" t="str">
        <f>IF(C22="","",'Thiết lập'!$B$6)</f>
        <v/>
      </c>
      <c r="I22" s="19" t="str">
        <f>IF(C22="","",'Thiết lập'!$B$7)</f>
        <v/>
      </c>
      <c r="J22" s="19">
        <f t="shared" si="3"/>
        <v>0</v>
      </c>
      <c r="K22" s="19">
        <f t="shared" si="4"/>
        <v>0</v>
      </c>
      <c r="L22" s="19">
        <f t="shared" si="5"/>
        <v>0</v>
      </c>
      <c r="M22" s="19">
        <f t="shared" si="6"/>
        <v>0</v>
      </c>
      <c r="N22" s="19">
        <f t="shared" si="7"/>
        <v>0</v>
      </c>
      <c r="O22" s="19">
        <f t="shared" si="12"/>
        <v>0</v>
      </c>
      <c r="P22" s="19">
        <f t="shared" si="13"/>
        <v>0</v>
      </c>
      <c r="Q22" s="23"/>
      <c r="R22" s="23"/>
      <c r="S22" s="37" t="str">
        <f t="shared" si="11"/>
        <v/>
      </c>
      <c r="T22" s="44"/>
      <c r="U22" s="45"/>
      <c r="V22" s="37" t="str">
        <f t="array" ref="V22">IFERROR(INDEX('Hàng hóa'!$F$4:$F$203,MATCH(T22,'Hàng hóa'!$B$4:$B$203,0)),"")</f>
        <v/>
      </c>
      <c r="W22" s="19">
        <f t="array" ref="W22">IFERROR(INDEX('Hàng hóa'!$H$4:$H$203,MATCH(T22,'Hàng hóa'!$B$4:$B$203,0)),0)</f>
        <v>0</v>
      </c>
      <c r="X22" s="20">
        <f t="shared" si="10"/>
        <v>0</v>
      </c>
      <c r="Y22" s="15"/>
      <c r="AA22" s="9" t="str">
        <f t="shared" si="1"/>
        <v/>
      </c>
      <c r="AB22" s="9" t="str">
        <f>IF('Hàng hóa'!K23&lt;&gt;"",'Hàng hóa'!K23,"")</f>
        <v/>
      </c>
    </row>
    <row r="23" ht="15.75" customHeight="1">
      <c r="A23" s="43"/>
      <c r="B23" s="37" t="str">
        <f t="shared" si="2"/>
        <v/>
      </c>
      <c r="C23" s="44"/>
      <c r="D23" s="45"/>
      <c r="E23" s="45"/>
      <c r="F23" s="47" t="str">
        <f>IF(C23="","",'Thiết lập'!$B$4)</f>
        <v/>
      </c>
      <c r="G23" s="19" t="str">
        <f>IF(C23="","",'Thiết lập'!$B$5)</f>
        <v/>
      </c>
      <c r="H23" s="19" t="str">
        <f>IF(C23="","",'Thiết lập'!$B$6)</f>
        <v/>
      </c>
      <c r="I23" s="19" t="str">
        <f>IF(C23="","",'Thiết lập'!$B$7)</f>
        <v/>
      </c>
      <c r="J23" s="19">
        <f t="shared" si="3"/>
        <v>0</v>
      </c>
      <c r="K23" s="19">
        <f t="shared" si="4"/>
        <v>0</v>
      </c>
      <c r="L23" s="19">
        <f t="shared" si="5"/>
        <v>0</v>
      </c>
      <c r="M23" s="19">
        <f t="shared" si="6"/>
        <v>0</v>
      </c>
      <c r="N23" s="19">
        <f t="shared" si="7"/>
        <v>0</v>
      </c>
      <c r="O23" s="19">
        <f t="shared" si="12"/>
        <v>0</v>
      </c>
      <c r="P23" s="19">
        <f t="shared" si="13"/>
        <v>0</v>
      </c>
      <c r="Q23" s="23"/>
      <c r="R23" s="23"/>
      <c r="S23" s="37" t="str">
        <f t="shared" si="11"/>
        <v/>
      </c>
      <c r="T23" s="44"/>
      <c r="U23" s="45"/>
      <c r="V23" s="37" t="str">
        <f t="array" ref="V23">IFERROR(INDEX('Hàng hóa'!$F$4:$F$203,MATCH(T23,'Hàng hóa'!$B$4:$B$203,0)),"")</f>
        <v/>
      </c>
      <c r="W23" s="19">
        <f t="array" ref="W23">IFERROR(INDEX('Hàng hóa'!$H$4:$H$203,MATCH(T23,'Hàng hóa'!$B$4:$B$203,0)),0)</f>
        <v>0</v>
      </c>
      <c r="X23" s="20">
        <f t="shared" si="10"/>
        <v>0</v>
      </c>
      <c r="Y23" s="15"/>
      <c r="AA23" s="9" t="str">
        <f t="shared" si="1"/>
        <v/>
      </c>
      <c r="AB23" s="9" t="str">
        <f>IF('Hàng hóa'!K24&lt;&gt;"",'Hàng hóa'!K24,"")</f>
        <v/>
      </c>
    </row>
    <row r="24" ht="15.75" customHeight="1">
      <c r="A24" s="43"/>
      <c r="B24" s="37" t="str">
        <f t="shared" si="2"/>
        <v/>
      </c>
      <c r="C24" s="44"/>
      <c r="D24" s="45"/>
      <c r="E24" s="45"/>
      <c r="F24" s="47" t="str">
        <f>IF(C24="","",'Thiết lập'!$B$4)</f>
        <v/>
      </c>
      <c r="G24" s="19" t="str">
        <f>IF(C24="","",'Thiết lập'!$B$5)</f>
        <v/>
      </c>
      <c r="H24" s="19" t="str">
        <f>IF(C24="","",'Thiết lập'!$B$6)</f>
        <v/>
      </c>
      <c r="I24" s="19" t="str">
        <f>IF(C24="","",'Thiết lập'!$B$7)</f>
        <v/>
      </c>
      <c r="J24" s="19">
        <f t="shared" si="3"/>
        <v>0</v>
      </c>
      <c r="K24" s="19">
        <f t="shared" si="4"/>
        <v>0</v>
      </c>
      <c r="L24" s="19">
        <f t="shared" si="5"/>
        <v>0</v>
      </c>
      <c r="M24" s="19">
        <f t="shared" si="6"/>
        <v>0</v>
      </c>
      <c r="N24" s="19">
        <f t="shared" si="7"/>
        <v>0</v>
      </c>
      <c r="O24" s="19">
        <f t="shared" si="12"/>
        <v>0</v>
      </c>
      <c r="P24" s="19">
        <f t="shared" si="13"/>
        <v>0</v>
      </c>
      <c r="Q24" s="23"/>
      <c r="R24" s="23"/>
      <c r="S24" s="37" t="str">
        <f t="shared" si="11"/>
        <v/>
      </c>
      <c r="T24" s="44"/>
      <c r="U24" s="45"/>
      <c r="V24" s="37" t="str">
        <f t="array" ref="V24">IFERROR(INDEX('Hàng hóa'!$F$4:$F$203,MATCH(T24,'Hàng hóa'!$B$4:$B$203,0)),"")</f>
        <v/>
      </c>
      <c r="W24" s="19">
        <f t="array" ref="W24">IFERROR(INDEX('Hàng hóa'!$H$4:$H$203,MATCH(T24,'Hàng hóa'!$B$4:$B$203,0)),0)</f>
        <v>0</v>
      </c>
      <c r="X24" s="20">
        <f t="shared" si="10"/>
        <v>0</v>
      </c>
      <c r="Y24" s="15"/>
      <c r="AA24" s="9" t="str">
        <f t="shared" si="1"/>
        <v/>
      </c>
      <c r="AB24" s="9" t="str">
        <f>IF('Hàng hóa'!K25&lt;&gt;"",'Hàng hóa'!K25,"")</f>
        <v/>
      </c>
    </row>
    <row r="25" ht="15.75" customHeight="1">
      <c r="A25" s="43"/>
      <c r="B25" s="37" t="str">
        <f t="shared" si="2"/>
        <v/>
      </c>
      <c r="C25" s="44"/>
      <c r="D25" s="45"/>
      <c r="E25" s="45"/>
      <c r="F25" s="47" t="str">
        <f>IF(C25="","",'Thiết lập'!$B$4)</f>
        <v/>
      </c>
      <c r="G25" s="19" t="str">
        <f>IF(C25="","",'Thiết lập'!$B$5)</f>
        <v/>
      </c>
      <c r="H25" s="19" t="str">
        <f>IF(C25="","",'Thiết lập'!$B$6)</f>
        <v/>
      </c>
      <c r="I25" s="19" t="str">
        <f>IF(C25="","",'Thiết lập'!$B$7)</f>
        <v/>
      </c>
      <c r="J25" s="19">
        <f t="shared" si="3"/>
        <v>0</v>
      </c>
      <c r="K25" s="19">
        <f t="shared" si="4"/>
        <v>0</v>
      </c>
      <c r="L25" s="19">
        <f t="shared" si="5"/>
        <v>0</v>
      </c>
      <c r="M25" s="19">
        <f t="shared" si="6"/>
        <v>0</v>
      </c>
      <c r="N25" s="19">
        <f t="shared" si="7"/>
        <v>0</v>
      </c>
      <c r="O25" s="19">
        <f t="shared" si="12"/>
        <v>0</v>
      </c>
      <c r="P25" s="19">
        <f t="shared" si="13"/>
        <v>0</v>
      </c>
      <c r="Q25" s="23"/>
      <c r="R25" s="23"/>
      <c r="S25" s="37" t="str">
        <f t="shared" si="11"/>
        <v/>
      </c>
      <c r="T25" s="44"/>
      <c r="U25" s="45"/>
      <c r="V25" s="37" t="str">
        <f t="array" ref="V25">IFERROR(INDEX('Hàng hóa'!$F$4:$F$203,MATCH(T25,'Hàng hóa'!$B$4:$B$203,0)),"")</f>
        <v/>
      </c>
      <c r="W25" s="19">
        <f t="array" ref="W25">IFERROR(INDEX('Hàng hóa'!$H$4:$H$203,MATCH(T25,'Hàng hóa'!$B$4:$B$203,0)),0)</f>
        <v>0</v>
      </c>
      <c r="X25" s="20">
        <f t="shared" si="10"/>
        <v>0</v>
      </c>
      <c r="Y25" s="15"/>
      <c r="AA25" s="9" t="str">
        <f t="shared" si="1"/>
        <v/>
      </c>
      <c r="AB25" s="9" t="str">
        <f>IF('Hàng hóa'!K26&lt;&gt;"",'Hàng hóa'!K26,"")</f>
        <v/>
      </c>
    </row>
    <row r="26" ht="15.75" customHeight="1">
      <c r="A26" s="43"/>
      <c r="B26" s="37" t="str">
        <f t="shared" si="2"/>
        <v/>
      </c>
      <c r="C26" s="44"/>
      <c r="D26" s="45"/>
      <c r="E26" s="45"/>
      <c r="F26" s="47" t="str">
        <f>IF(C26="","",'Thiết lập'!$B$4)</f>
        <v/>
      </c>
      <c r="G26" s="19" t="str">
        <f>IF(C26="","",'Thiết lập'!$B$5)</f>
        <v/>
      </c>
      <c r="H26" s="19" t="str">
        <f>IF(C26="","",'Thiết lập'!$B$6)</f>
        <v/>
      </c>
      <c r="I26" s="19" t="str">
        <f>IF(C26="","",'Thiết lập'!$B$7)</f>
        <v/>
      </c>
      <c r="J26" s="19">
        <f t="shared" si="3"/>
        <v>0</v>
      </c>
      <c r="K26" s="19">
        <f t="shared" si="4"/>
        <v>0</v>
      </c>
      <c r="L26" s="19">
        <f t="shared" si="5"/>
        <v>0</v>
      </c>
      <c r="M26" s="19">
        <f t="shared" si="6"/>
        <v>0</v>
      </c>
      <c r="N26" s="19">
        <f t="shared" si="7"/>
        <v>0</v>
      </c>
      <c r="O26" s="19">
        <f t="shared" si="12"/>
        <v>0</v>
      </c>
      <c r="P26" s="19">
        <f t="shared" si="13"/>
        <v>0</v>
      </c>
      <c r="Q26" s="23"/>
      <c r="R26" s="23"/>
      <c r="S26" s="37" t="str">
        <f t="shared" si="11"/>
        <v/>
      </c>
      <c r="T26" s="44"/>
      <c r="U26" s="45"/>
      <c r="V26" s="37" t="str">
        <f t="array" ref="V26">IFERROR(INDEX('Hàng hóa'!$F$4:$F$203,MATCH(T26,'Hàng hóa'!$B$4:$B$203,0)),"")</f>
        <v/>
      </c>
      <c r="W26" s="19">
        <f t="array" ref="W26">IFERROR(INDEX('Hàng hóa'!$H$4:$H$203,MATCH(T26,'Hàng hóa'!$B$4:$B$203,0)),0)</f>
        <v>0</v>
      </c>
      <c r="X26" s="20">
        <f t="shared" si="10"/>
        <v>0</v>
      </c>
      <c r="Y26" s="15"/>
      <c r="AA26" s="9" t="str">
        <f t="shared" si="1"/>
        <v/>
      </c>
      <c r="AB26" s="9" t="str">
        <f>IF('Hàng hóa'!K27&lt;&gt;"",'Hàng hóa'!K27,"")</f>
        <v/>
      </c>
    </row>
    <row r="27" ht="15.75" customHeight="1">
      <c r="A27" s="43"/>
      <c r="B27" s="37" t="str">
        <f t="shared" si="2"/>
        <v/>
      </c>
      <c r="C27" s="44"/>
      <c r="D27" s="45"/>
      <c r="E27" s="45"/>
      <c r="F27" s="47" t="str">
        <f>IF(C27="","",'Thiết lập'!$B$4)</f>
        <v/>
      </c>
      <c r="G27" s="19" t="str">
        <f>IF(C27="","",'Thiết lập'!$B$5)</f>
        <v/>
      </c>
      <c r="H27" s="19" t="str">
        <f>IF(C27="","",'Thiết lập'!$B$6)</f>
        <v/>
      </c>
      <c r="I27" s="19" t="str">
        <f>IF(C27="","",'Thiết lập'!$B$7)</f>
        <v/>
      </c>
      <c r="J27" s="19">
        <f t="shared" si="3"/>
        <v>0</v>
      </c>
      <c r="K27" s="19">
        <f t="shared" si="4"/>
        <v>0</v>
      </c>
      <c r="L27" s="19">
        <f t="shared" si="5"/>
        <v>0</v>
      </c>
      <c r="M27" s="19">
        <f t="shared" si="6"/>
        <v>0</v>
      </c>
      <c r="N27" s="19">
        <f t="shared" si="7"/>
        <v>0</v>
      </c>
      <c r="O27" s="19">
        <f t="shared" si="12"/>
        <v>0</v>
      </c>
      <c r="P27" s="19">
        <f t="shared" si="13"/>
        <v>0</v>
      </c>
      <c r="Q27" s="23"/>
      <c r="R27" s="23"/>
      <c r="S27" s="37" t="str">
        <f t="shared" si="11"/>
        <v/>
      </c>
      <c r="T27" s="44"/>
      <c r="U27" s="45"/>
      <c r="V27" s="37" t="str">
        <f t="array" ref="V27">IFERROR(INDEX('Hàng hóa'!$F$4:$F$203,MATCH(T27,'Hàng hóa'!$B$4:$B$203,0)),"")</f>
        <v/>
      </c>
      <c r="W27" s="19">
        <f t="array" ref="W27">IFERROR(INDEX('Hàng hóa'!$H$4:$H$203,MATCH(T27,'Hàng hóa'!$B$4:$B$203,0)),0)</f>
        <v>0</v>
      </c>
      <c r="X27" s="20">
        <f t="shared" si="10"/>
        <v>0</v>
      </c>
      <c r="Y27" s="15"/>
      <c r="AA27" s="9" t="str">
        <f t="shared" si="1"/>
        <v/>
      </c>
      <c r="AB27" s="9" t="str">
        <f>IF('Hàng hóa'!K28&lt;&gt;"",'Hàng hóa'!K28,"")</f>
        <v/>
      </c>
    </row>
    <row r="28" ht="15.75" customHeight="1">
      <c r="A28" s="43"/>
      <c r="B28" s="37" t="str">
        <f t="shared" si="2"/>
        <v/>
      </c>
      <c r="C28" s="44"/>
      <c r="D28" s="45"/>
      <c r="E28" s="45"/>
      <c r="F28" s="47" t="str">
        <f>IF(C28="","",'Thiết lập'!$B$4)</f>
        <v/>
      </c>
      <c r="G28" s="19" t="str">
        <f>IF(C28="","",'Thiết lập'!$B$5)</f>
        <v/>
      </c>
      <c r="H28" s="19" t="str">
        <f>IF(C28="","",'Thiết lập'!$B$6)</f>
        <v/>
      </c>
      <c r="I28" s="19" t="str">
        <f>IF(C28="","",'Thiết lập'!$B$7)</f>
        <v/>
      </c>
      <c r="J28" s="19">
        <f t="shared" si="3"/>
        <v>0</v>
      </c>
      <c r="K28" s="19">
        <f t="shared" si="4"/>
        <v>0</v>
      </c>
      <c r="L28" s="19">
        <f t="shared" si="5"/>
        <v>0</v>
      </c>
      <c r="M28" s="19">
        <f t="shared" si="6"/>
        <v>0</v>
      </c>
      <c r="N28" s="19">
        <f t="shared" si="7"/>
        <v>0</v>
      </c>
      <c r="O28" s="19">
        <f t="shared" si="12"/>
        <v>0</v>
      </c>
      <c r="P28" s="19">
        <f t="shared" si="13"/>
        <v>0</v>
      </c>
      <c r="Q28" s="23"/>
      <c r="R28" s="23"/>
      <c r="S28" s="37" t="str">
        <f t="shared" si="11"/>
        <v/>
      </c>
      <c r="T28" s="44"/>
      <c r="U28" s="45"/>
      <c r="V28" s="37" t="str">
        <f t="array" ref="V28">IFERROR(INDEX('Hàng hóa'!$F$4:$F$203,MATCH(T28,'Hàng hóa'!$B$4:$B$203,0)),"")</f>
        <v/>
      </c>
      <c r="W28" s="19">
        <f t="array" ref="W28">IFERROR(INDEX('Hàng hóa'!$H$4:$H$203,MATCH(T28,'Hàng hóa'!$B$4:$B$203,0)),0)</f>
        <v>0</v>
      </c>
      <c r="X28" s="20">
        <f t="shared" si="10"/>
        <v>0</v>
      </c>
      <c r="Y28" s="15"/>
      <c r="AA28" s="9" t="str">
        <f t="shared" si="1"/>
        <v/>
      </c>
      <c r="AB28" s="9" t="str">
        <f>IF('Hàng hóa'!K29&lt;&gt;"",'Hàng hóa'!K29,"")</f>
        <v/>
      </c>
    </row>
    <row r="29" ht="15.75" customHeight="1">
      <c r="A29" s="43"/>
      <c r="B29" s="37" t="str">
        <f t="shared" si="2"/>
        <v/>
      </c>
      <c r="C29" s="44"/>
      <c r="D29" s="45"/>
      <c r="E29" s="45"/>
      <c r="F29" s="47" t="str">
        <f>IF(C29="","",'Thiết lập'!$B$4)</f>
        <v/>
      </c>
      <c r="G29" s="19" t="str">
        <f>IF(C29="","",'Thiết lập'!$B$5)</f>
        <v/>
      </c>
      <c r="H29" s="19" t="str">
        <f>IF(C29="","",'Thiết lập'!$B$6)</f>
        <v/>
      </c>
      <c r="I29" s="19" t="str">
        <f>IF(C29="","",'Thiết lập'!$B$7)</f>
        <v/>
      </c>
      <c r="J29" s="19">
        <f t="shared" si="3"/>
        <v>0</v>
      </c>
      <c r="K29" s="19">
        <f t="shared" si="4"/>
        <v>0</v>
      </c>
      <c r="L29" s="19">
        <f t="shared" si="5"/>
        <v>0</v>
      </c>
      <c r="M29" s="19">
        <f t="shared" si="6"/>
        <v>0</v>
      </c>
      <c r="N29" s="19">
        <f t="shared" si="7"/>
        <v>0</v>
      </c>
      <c r="O29" s="19">
        <f t="shared" si="12"/>
        <v>0</v>
      </c>
      <c r="P29" s="19">
        <f t="shared" si="13"/>
        <v>0</v>
      </c>
      <c r="Q29" s="23"/>
      <c r="R29" s="23"/>
      <c r="S29" s="37" t="str">
        <f t="shared" si="11"/>
        <v/>
      </c>
      <c r="T29" s="44"/>
      <c r="U29" s="45"/>
      <c r="V29" s="37" t="str">
        <f t="array" ref="V29">IFERROR(INDEX('Hàng hóa'!$F$4:$F$203,MATCH(T29,'Hàng hóa'!$B$4:$B$203,0)),"")</f>
        <v/>
      </c>
      <c r="W29" s="19">
        <f t="array" ref="W29">IFERROR(INDEX('Hàng hóa'!$H$4:$H$203,MATCH(T29,'Hàng hóa'!$B$4:$B$203,0)),0)</f>
        <v>0</v>
      </c>
      <c r="X29" s="20">
        <f t="shared" si="10"/>
        <v>0</v>
      </c>
      <c r="Y29" s="15"/>
      <c r="AA29" s="9" t="str">
        <f t="shared" si="1"/>
        <v/>
      </c>
      <c r="AB29" s="9" t="str">
        <f>IF('Hàng hóa'!K30&lt;&gt;"",'Hàng hóa'!K30,"")</f>
        <v/>
      </c>
    </row>
    <row r="30" ht="15.75" customHeight="1">
      <c r="A30" s="43"/>
      <c r="B30" s="37" t="str">
        <f t="shared" si="2"/>
        <v/>
      </c>
      <c r="C30" s="44"/>
      <c r="D30" s="45"/>
      <c r="E30" s="45"/>
      <c r="F30" s="47" t="str">
        <f>IF(C30="","",'Thiết lập'!$B$4)</f>
        <v/>
      </c>
      <c r="G30" s="19" t="str">
        <f>IF(C30="","",'Thiết lập'!$B$5)</f>
        <v/>
      </c>
      <c r="H30" s="19" t="str">
        <f>IF(C30="","",'Thiết lập'!$B$6)</f>
        <v/>
      </c>
      <c r="I30" s="19" t="str">
        <f>IF(C30="","",'Thiết lập'!$B$7)</f>
        <v/>
      </c>
      <c r="J30" s="19">
        <f t="shared" si="3"/>
        <v>0</v>
      </c>
      <c r="K30" s="19">
        <f t="shared" si="4"/>
        <v>0</v>
      </c>
      <c r="L30" s="19">
        <f t="shared" si="5"/>
        <v>0</v>
      </c>
      <c r="M30" s="19">
        <f t="shared" si="6"/>
        <v>0</v>
      </c>
      <c r="N30" s="19">
        <f t="shared" si="7"/>
        <v>0</v>
      </c>
      <c r="O30" s="19">
        <f t="shared" si="12"/>
        <v>0</v>
      </c>
      <c r="P30" s="19">
        <f t="shared" si="13"/>
        <v>0</v>
      </c>
      <c r="Q30" s="23"/>
      <c r="R30" s="23"/>
      <c r="S30" s="37" t="str">
        <f t="shared" si="11"/>
        <v/>
      </c>
      <c r="T30" s="44"/>
      <c r="U30" s="45"/>
      <c r="V30" s="37" t="str">
        <f t="array" ref="V30">IFERROR(INDEX('Hàng hóa'!$F$4:$F$203,MATCH(T30,'Hàng hóa'!$B$4:$B$203,0)),"")</f>
        <v/>
      </c>
      <c r="W30" s="19">
        <f t="array" ref="W30">IFERROR(INDEX('Hàng hóa'!$H$4:$H$203,MATCH(T30,'Hàng hóa'!$B$4:$B$203,0)),0)</f>
        <v>0</v>
      </c>
      <c r="X30" s="20">
        <f t="shared" si="10"/>
        <v>0</v>
      </c>
      <c r="Y30" s="15"/>
      <c r="AA30" s="9" t="str">
        <f t="shared" si="1"/>
        <v/>
      </c>
      <c r="AB30" s="9" t="str">
        <f>IF('Hàng hóa'!K31&lt;&gt;"",'Hàng hóa'!K31,"")</f>
        <v/>
      </c>
    </row>
    <row r="31" ht="15.75" customHeight="1">
      <c r="A31" s="43"/>
      <c r="B31" s="37" t="str">
        <f t="shared" si="2"/>
        <v/>
      </c>
      <c r="C31" s="44"/>
      <c r="D31" s="45"/>
      <c r="E31" s="45"/>
      <c r="F31" s="47" t="str">
        <f>IF(C31="","",'Thiết lập'!$B$4)</f>
        <v/>
      </c>
      <c r="G31" s="19" t="str">
        <f>IF(C31="","",'Thiết lập'!$B$5)</f>
        <v/>
      </c>
      <c r="H31" s="19" t="str">
        <f>IF(C31="","",'Thiết lập'!$B$6)</f>
        <v/>
      </c>
      <c r="I31" s="19" t="str">
        <f>IF(C31="","",'Thiết lập'!$B$7)</f>
        <v/>
      </c>
      <c r="J31" s="19">
        <f t="shared" si="3"/>
        <v>0</v>
      </c>
      <c r="K31" s="19">
        <f t="shared" si="4"/>
        <v>0</v>
      </c>
      <c r="L31" s="19">
        <f t="shared" si="5"/>
        <v>0</v>
      </c>
      <c r="M31" s="19">
        <f t="shared" si="6"/>
        <v>0</v>
      </c>
      <c r="N31" s="19">
        <f t="shared" si="7"/>
        <v>0</v>
      </c>
      <c r="O31" s="19">
        <f t="shared" si="12"/>
        <v>0</v>
      </c>
      <c r="P31" s="19">
        <f t="shared" si="13"/>
        <v>0</v>
      </c>
      <c r="Q31" s="23"/>
      <c r="R31" s="23"/>
      <c r="S31" s="37" t="str">
        <f t="shared" si="11"/>
        <v/>
      </c>
      <c r="T31" s="44"/>
      <c r="U31" s="45"/>
      <c r="V31" s="37" t="str">
        <f t="array" ref="V31">IFERROR(INDEX('Hàng hóa'!$F$4:$F$203,MATCH(T31,'Hàng hóa'!$B$4:$B$203,0)),"")</f>
        <v/>
      </c>
      <c r="W31" s="19">
        <f t="array" ref="W31">IFERROR(INDEX('Hàng hóa'!$H$4:$H$203,MATCH(T31,'Hàng hóa'!$B$4:$B$203,0)),0)</f>
        <v>0</v>
      </c>
      <c r="X31" s="20">
        <f t="shared" si="10"/>
        <v>0</v>
      </c>
      <c r="Y31" s="15"/>
      <c r="AA31" s="9" t="str">
        <f t="shared" si="1"/>
        <v/>
      </c>
      <c r="AB31" s="9" t="str">
        <f>IF('Hàng hóa'!K32&lt;&gt;"",'Hàng hóa'!K32,"")</f>
        <v/>
      </c>
    </row>
    <row r="32" ht="15.75" customHeight="1">
      <c r="A32" s="43"/>
      <c r="B32" s="37" t="str">
        <f t="shared" si="2"/>
        <v/>
      </c>
      <c r="C32" s="44"/>
      <c r="D32" s="45"/>
      <c r="E32" s="45"/>
      <c r="F32" s="47" t="str">
        <f>IF(C32="","",'Thiết lập'!$B$4)</f>
        <v/>
      </c>
      <c r="G32" s="19" t="str">
        <f>IF(C32="","",'Thiết lập'!$B$5)</f>
        <v/>
      </c>
      <c r="H32" s="19" t="str">
        <f>IF(C32="","",'Thiết lập'!$B$6)</f>
        <v/>
      </c>
      <c r="I32" s="19" t="str">
        <f>IF(C32="","",'Thiết lập'!$B$7)</f>
        <v/>
      </c>
      <c r="J32" s="19">
        <f t="shared" si="3"/>
        <v>0</v>
      </c>
      <c r="K32" s="19">
        <f t="shared" si="4"/>
        <v>0</v>
      </c>
      <c r="L32" s="19">
        <f t="shared" si="5"/>
        <v>0</v>
      </c>
      <c r="M32" s="19">
        <f t="shared" si="6"/>
        <v>0</v>
      </c>
      <c r="N32" s="19">
        <f t="shared" si="7"/>
        <v>0</v>
      </c>
      <c r="O32" s="19">
        <f t="shared" si="12"/>
        <v>0</v>
      </c>
      <c r="P32" s="19">
        <f t="shared" si="13"/>
        <v>0</v>
      </c>
      <c r="Q32" s="23"/>
      <c r="R32" s="23"/>
      <c r="S32" s="37" t="str">
        <f t="shared" si="11"/>
        <v/>
      </c>
      <c r="T32" s="44"/>
      <c r="U32" s="45"/>
      <c r="V32" s="37" t="str">
        <f t="array" ref="V32">IFERROR(INDEX('Hàng hóa'!$F$4:$F$203,MATCH(T32,'Hàng hóa'!$B$4:$B$203,0)),"")</f>
        <v/>
      </c>
      <c r="W32" s="19">
        <f t="array" ref="W32">IFERROR(INDEX('Hàng hóa'!$H$4:$H$203,MATCH(T32,'Hàng hóa'!$B$4:$B$203,0)),0)</f>
        <v>0</v>
      </c>
      <c r="X32" s="20">
        <f t="shared" si="10"/>
        <v>0</v>
      </c>
      <c r="Y32" s="15"/>
      <c r="AA32" s="9" t="str">
        <f t="shared" si="1"/>
        <v/>
      </c>
      <c r="AB32" s="9" t="str">
        <f>IF('Hàng hóa'!K33&lt;&gt;"",'Hàng hóa'!K33,"")</f>
        <v/>
      </c>
    </row>
    <row r="33" ht="15.75" customHeight="1">
      <c r="A33" s="43"/>
      <c r="B33" s="37" t="str">
        <f t="shared" si="2"/>
        <v/>
      </c>
      <c r="C33" s="44"/>
      <c r="D33" s="45"/>
      <c r="E33" s="45"/>
      <c r="F33" s="47" t="str">
        <f>IF(C33="","",'Thiết lập'!$B$4)</f>
        <v/>
      </c>
      <c r="G33" s="19" t="str">
        <f>IF(C33="","",'Thiết lập'!$B$5)</f>
        <v/>
      </c>
      <c r="H33" s="19" t="str">
        <f>IF(C33="","",'Thiết lập'!$B$6)</f>
        <v/>
      </c>
      <c r="I33" s="19" t="str">
        <f>IF(C33="","",'Thiết lập'!$B$7)</f>
        <v/>
      </c>
      <c r="J33" s="19">
        <f t="shared" si="3"/>
        <v>0</v>
      </c>
      <c r="K33" s="19">
        <f t="shared" si="4"/>
        <v>0</v>
      </c>
      <c r="L33" s="19">
        <f t="shared" si="5"/>
        <v>0</v>
      </c>
      <c r="M33" s="19">
        <f t="shared" si="6"/>
        <v>0</v>
      </c>
      <c r="N33" s="19">
        <f t="shared" si="7"/>
        <v>0</v>
      </c>
      <c r="O33" s="19">
        <f t="shared" si="12"/>
        <v>0</v>
      </c>
      <c r="P33" s="19">
        <f t="shared" si="13"/>
        <v>0</v>
      </c>
      <c r="Q33" s="23"/>
      <c r="R33" s="23"/>
      <c r="S33" s="37" t="str">
        <f t="shared" si="11"/>
        <v/>
      </c>
      <c r="T33" s="44"/>
      <c r="U33" s="45"/>
      <c r="V33" s="37" t="str">
        <f t="array" ref="V33">IFERROR(INDEX('Hàng hóa'!$F$4:$F$203,MATCH(T33,'Hàng hóa'!$B$4:$B$203,0)),"")</f>
        <v/>
      </c>
      <c r="W33" s="19">
        <f t="array" ref="W33">IFERROR(INDEX('Hàng hóa'!$H$4:$H$203,MATCH(T33,'Hàng hóa'!$B$4:$B$203,0)),0)</f>
        <v>0</v>
      </c>
      <c r="X33" s="20">
        <f t="shared" si="10"/>
        <v>0</v>
      </c>
      <c r="Y33" s="15"/>
      <c r="AA33" s="9" t="str">
        <f t="shared" si="1"/>
        <v/>
      </c>
      <c r="AB33" s="9" t="str">
        <f>IF('Hàng hóa'!K34&lt;&gt;"",'Hàng hóa'!K34,"")</f>
        <v/>
      </c>
    </row>
    <row r="34" ht="15.75" customHeight="1">
      <c r="A34" s="43"/>
      <c r="B34" s="37" t="str">
        <f t="shared" si="2"/>
        <v/>
      </c>
      <c r="C34" s="44"/>
      <c r="D34" s="45"/>
      <c r="E34" s="45"/>
      <c r="F34" s="47" t="str">
        <f>IF(C34="","",'Thiết lập'!$B$4)</f>
        <v/>
      </c>
      <c r="G34" s="19" t="str">
        <f>IF(C34="","",'Thiết lập'!$B$5)</f>
        <v/>
      </c>
      <c r="H34" s="19" t="str">
        <f>IF(C34="","",'Thiết lập'!$B$6)</f>
        <v/>
      </c>
      <c r="I34" s="19" t="str">
        <f>IF(C34="","",'Thiết lập'!$B$7)</f>
        <v/>
      </c>
      <c r="J34" s="19">
        <f t="shared" si="3"/>
        <v>0</v>
      </c>
      <c r="K34" s="19">
        <f t="shared" si="4"/>
        <v>0</v>
      </c>
      <c r="L34" s="19">
        <f t="shared" si="5"/>
        <v>0</v>
      </c>
      <c r="M34" s="19">
        <f t="shared" si="6"/>
        <v>0</v>
      </c>
      <c r="N34" s="19">
        <f t="shared" si="7"/>
        <v>0</v>
      </c>
      <c r="O34" s="19">
        <f t="shared" si="12"/>
        <v>0</v>
      </c>
      <c r="P34" s="19">
        <f t="shared" si="13"/>
        <v>0</v>
      </c>
      <c r="Q34" s="23"/>
      <c r="R34" s="23"/>
      <c r="S34" s="37" t="str">
        <f t="shared" si="11"/>
        <v/>
      </c>
      <c r="T34" s="44"/>
      <c r="U34" s="45"/>
      <c r="V34" s="37" t="str">
        <f t="array" ref="V34">IFERROR(INDEX('Hàng hóa'!$F$4:$F$203,MATCH(T34,'Hàng hóa'!$B$4:$B$203,0)),"")</f>
        <v/>
      </c>
      <c r="W34" s="19">
        <f t="array" ref="W34">IFERROR(INDEX('Hàng hóa'!$H$4:$H$203,MATCH(T34,'Hàng hóa'!$B$4:$B$203,0)),0)</f>
        <v>0</v>
      </c>
      <c r="X34" s="20">
        <f t="shared" si="10"/>
        <v>0</v>
      </c>
      <c r="Y34" s="15"/>
      <c r="AA34" s="9" t="str">
        <f t="shared" si="1"/>
        <v/>
      </c>
      <c r="AB34" s="9" t="str">
        <f>IF('Hàng hóa'!K35&lt;&gt;"",'Hàng hóa'!K35,"")</f>
        <v/>
      </c>
    </row>
    <row r="35" ht="15.75" customHeight="1">
      <c r="A35" s="43"/>
      <c r="B35" s="37" t="str">
        <f t="shared" si="2"/>
        <v/>
      </c>
      <c r="C35" s="44"/>
      <c r="D35" s="45"/>
      <c r="E35" s="45"/>
      <c r="F35" s="47" t="str">
        <f>IF(C35="","",'Thiết lập'!$B$4)</f>
        <v/>
      </c>
      <c r="G35" s="19" t="str">
        <f>IF(C35="","",'Thiết lập'!$B$5)</f>
        <v/>
      </c>
      <c r="H35" s="19" t="str">
        <f>IF(C35="","",'Thiết lập'!$B$6)</f>
        <v/>
      </c>
      <c r="I35" s="19" t="str">
        <f>IF(C35="","",'Thiết lập'!$B$7)</f>
        <v/>
      </c>
      <c r="J35" s="19">
        <f t="shared" si="3"/>
        <v>0</v>
      </c>
      <c r="K35" s="19">
        <f t="shared" si="4"/>
        <v>0</v>
      </c>
      <c r="L35" s="19">
        <f t="shared" si="5"/>
        <v>0</v>
      </c>
      <c r="M35" s="19">
        <f t="shared" si="6"/>
        <v>0</v>
      </c>
      <c r="N35" s="19">
        <f t="shared" si="7"/>
        <v>0</v>
      </c>
      <c r="O35" s="19">
        <f t="shared" si="12"/>
        <v>0</v>
      </c>
      <c r="P35" s="19">
        <f t="shared" si="13"/>
        <v>0</v>
      </c>
      <c r="Q35" s="23"/>
      <c r="R35" s="23"/>
      <c r="S35" s="37" t="str">
        <f t="shared" si="11"/>
        <v/>
      </c>
      <c r="T35" s="44"/>
      <c r="U35" s="45"/>
      <c r="V35" s="37" t="str">
        <f t="array" ref="V35">IFERROR(INDEX('Hàng hóa'!$F$4:$F$203,MATCH(T35,'Hàng hóa'!$B$4:$B$203,0)),"")</f>
        <v/>
      </c>
      <c r="W35" s="19">
        <f t="array" ref="W35">IFERROR(INDEX('Hàng hóa'!$H$4:$H$203,MATCH(T35,'Hàng hóa'!$B$4:$B$203,0)),0)</f>
        <v>0</v>
      </c>
      <c r="X35" s="20">
        <f t="shared" si="10"/>
        <v>0</v>
      </c>
      <c r="Y35" s="15"/>
      <c r="AA35" s="9" t="str">
        <f t="shared" si="1"/>
        <v/>
      </c>
      <c r="AB35" s="9" t="str">
        <f>IF('Hàng hóa'!K36&lt;&gt;"",'Hàng hóa'!K36,"")</f>
        <v/>
      </c>
    </row>
    <row r="36" ht="15.75" customHeight="1">
      <c r="A36" s="43"/>
      <c r="B36" s="37" t="str">
        <f t="shared" si="2"/>
        <v/>
      </c>
      <c r="C36" s="44"/>
      <c r="D36" s="45"/>
      <c r="E36" s="45"/>
      <c r="F36" s="47" t="str">
        <f>IF(C36="","",'Thiết lập'!$B$4)</f>
        <v/>
      </c>
      <c r="G36" s="19" t="str">
        <f>IF(C36="","",'Thiết lập'!$B$5)</f>
        <v/>
      </c>
      <c r="H36" s="19" t="str">
        <f>IF(C36="","",'Thiết lập'!$B$6)</f>
        <v/>
      </c>
      <c r="I36" s="19" t="str">
        <f>IF(C36="","",'Thiết lập'!$B$7)</f>
        <v/>
      </c>
      <c r="J36" s="19">
        <f t="shared" si="3"/>
        <v>0</v>
      </c>
      <c r="K36" s="19">
        <f t="shared" si="4"/>
        <v>0</v>
      </c>
      <c r="L36" s="19">
        <f t="shared" si="5"/>
        <v>0</v>
      </c>
      <c r="M36" s="19">
        <f t="shared" si="6"/>
        <v>0</v>
      </c>
      <c r="N36" s="19">
        <f t="shared" si="7"/>
        <v>0</v>
      </c>
      <c r="O36" s="19">
        <f t="shared" si="12"/>
        <v>0</v>
      </c>
      <c r="P36" s="19">
        <f t="shared" si="13"/>
        <v>0</v>
      </c>
      <c r="Q36" s="23"/>
      <c r="R36" s="23"/>
      <c r="S36" s="37" t="str">
        <f t="shared" si="11"/>
        <v/>
      </c>
      <c r="T36" s="44"/>
      <c r="U36" s="45"/>
      <c r="V36" s="37" t="str">
        <f t="array" ref="V36">IFERROR(INDEX('Hàng hóa'!$F$4:$F$203,MATCH(T36,'Hàng hóa'!$B$4:$B$203,0)),"")</f>
        <v/>
      </c>
      <c r="W36" s="19">
        <f t="array" ref="W36">IFERROR(INDEX('Hàng hóa'!$H$4:$H$203,MATCH(T36,'Hàng hóa'!$B$4:$B$203,0)),0)</f>
        <v>0</v>
      </c>
      <c r="X36" s="20">
        <f t="shared" si="10"/>
        <v>0</v>
      </c>
      <c r="Y36" s="15"/>
      <c r="AA36" s="9" t="str">
        <f t="shared" si="1"/>
        <v/>
      </c>
      <c r="AB36" s="9" t="str">
        <f>IF('Hàng hóa'!K37&lt;&gt;"",'Hàng hóa'!K37,"")</f>
        <v/>
      </c>
    </row>
    <row r="37" ht="15.75" customHeight="1">
      <c r="A37" s="43"/>
      <c r="B37" s="37" t="str">
        <f t="shared" si="2"/>
        <v/>
      </c>
      <c r="C37" s="44"/>
      <c r="D37" s="45"/>
      <c r="E37" s="45"/>
      <c r="F37" s="47" t="str">
        <f>IF(C37="","",'Thiết lập'!$B$4)</f>
        <v/>
      </c>
      <c r="G37" s="19" t="str">
        <f>IF(C37="","",'Thiết lập'!$B$5)</f>
        <v/>
      </c>
      <c r="H37" s="19" t="str">
        <f>IF(C37="","",'Thiết lập'!$B$6)</f>
        <v/>
      </c>
      <c r="I37" s="19" t="str">
        <f>IF(C37="","",'Thiết lập'!$B$7)</f>
        <v/>
      </c>
      <c r="J37" s="19">
        <f t="shared" si="3"/>
        <v>0</v>
      </c>
      <c r="K37" s="19">
        <f t="shared" si="4"/>
        <v>0</v>
      </c>
      <c r="L37" s="19">
        <f t="shared" si="5"/>
        <v>0</v>
      </c>
      <c r="M37" s="19">
        <f t="shared" si="6"/>
        <v>0</v>
      </c>
      <c r="N37" s="19">
        <f t="shared" si="7"/>
        <v>0</v>
      </c>
      <c r="O37" s="19">
        <f t="shared" si="12"/>
        <v>0</v>
      </c>
      <c r="P37" s="19">
        <f t="shared" si="13"/>
        <v>0</v>
      </c>
      <c r="Q37" s="23"/>
      <c r="R37" s="23"/>
      <c r="S37" s="37" t="str">
        <f t="shared" si="11"/>
        <v/>
      </c>
      <c r="T37" s="44"/>
      <c r="U37" s="45"/>
      <c r="V37" s="37" t="str">
        <f t="array" ref="V37">IFERROR(INDEX('Hàng hóa'!$F$4:$F$203,MATCH(T37,'Hàng hóa'!$B$4:$B$203,0)),"")</f>
        <v/>
      </c>
      <c r="W37" s="19">
        <f t="array" ref="W37">IFERROR(INDEX('Hàng hóa'!$H$4:$H$203,MATCH(T37,'Hàng hóa'!$B$4:$B$203,0)),0)</f>
        <v>0</v>
      </c>
      <c r="X37" s="20">
        <f t="shared" si="10"/>
        <v>0</v>
      </c>
      <c r="Y37" s="15"/>
      <c r="AA37" s="9" t="str">
        <f t="shared" si="1"/>
        <v/>
      </c>
      <c r="AB37" s="9" t="str">
        <f>IF('Hàng hóa'!K38&lt;&gt;"",'Hàng hóa'!K38,"")</f>
        <v/>
      </c>
    </row>
    <row r="38" ht="15.75" customHeight="1">
      <c r="A38" s="43"/>
      <c r="B38" s="37" t="str">
        <f t="shared" si="2"/>
        <v/>
      </c>
      <c r="C38" s="44"/>
      <c r="D38" s="45"/>
      <c r="E38" s="45"/>
      <c r="F38" s="47" t="str">
        <f>IF(C38="","",'Thiết lập'!$B$4)</f>
        <v/>
      </c>
      <c r="G38" s="19" t="str">
        <f>IF(C38="","",'Thiết lập'!$B$5)</f>
        <v/>
      </c>
      <c r="H38" s="19" t="str">
        <f>IF(C38="","",'Thiết lập'!$B$6)</f>
        <v/>
      </c>
      <c r="I38" s="19" t="str">
        <f>IF(C38="","",'Thiết lập'!$B$7)</f>
        <v/>
      </c>
      <c r="J38" s="19">
        <f t="shared" si="3"/>
        <v>0</v>
      </c>
      <c r="K38" s="19">
        <f t="shared" si="4"/>
        <v>0</v>
      </c>
      <c r="L38" s="19">
        <f t="shared" si="5"/>
        <v>0</v>
      </c>
      <c r="M38" s="19">
        <f t="shared" si="6"/>
        <v>0</v>
      </c>
      <c r="N38" s="19">
        <f t="shared" si="7"/>
        <v>0</v>
      </c>
      <c r="O38" s="19">
        <f t="shared" si="12"/>
        <v>0</v>
      </c>
      <c r="P38" s="19">
        <f t="shared" si="13"/>
        <v>0</v>
      </c>
      <c r="Q38" s="23"/>
      <c r="R38" s="23"/>
      <c r="S38" s="37" t="str">
        <f t="shared" si="11"/>
        <v/>
      </c>
      <c r="T38" s="44"/>
      <c r="U38" s="45"/>
      <c r="V38" s="37" t="str">
        <f t="array" ref="V38">IFERROR(INDEX('Hàng hóa'!$F$4:$F$203,MATCH(T38,'Hàng hóa'!$B$4:$B$203,0)),"")</f>
        <v/>
      </c>
      <c r="W38" s="19">
        <f t="array" ref="W38">IFERROR(INDEX('Hàng hóa'!$H$4:$H$203,MATCH(T38,'Hàng hóa'!$B$4:$B$203,0)),0)</f>
        <v>0</v>
      </c>
      <c r="X38" s="20">
        <f t="shared" si="10"/>
        <v>0</v>
      </c>
      <c r="Y38" s="15"/>
      <c r="AA38" s="9" t="str">
        <f t="shared" si="1"/>
        <v/>
      </c>
      <c r="AB38" s="9" t="str">
        <f>IF('Hàng hóa'!K39&lt;&gt;"",'Hàng hóa'!K39,"")</f>
        <v/>
      </c>
    </row>
    <row r="39" ht="15.75" customHeight="1">
      <c r="A39" s="43"/>
      <c r="B39" s="37" t="str">
        <f t="shared" si="2"/>
        <v/>
      </c>
      <c r="C39" s="44"/>
      <c r="D39" s="45"/>
      <c r="E39" s="45"/>
      <c r="F39" s="47" t="str">
        <f>IF(C39="","",'Thiết lập'!$B$4)</f>
        <v/>
      </c>
      <c r="G39" s="19" t="str">
        <f>IF(C39="","",'Thiết lập'!$B$5)</f>
        <v/>
      </c>
      <c r="H39" s="19" t="str">
        <f>IF(C39="","",'Thiết lập'!$B$6)</f>
        <v/>
      </c>
      <c r="I39" s="19" t="str">
        <f>IF(C39="","",'Thiết lập'!$B$7)</f>
        <v/>
      </c>
      <c r="J39" s="19">
        <f t="shared" si="3"/>
        <v>0</v>
      </c>
      <c r="K39" s="19">
        <f t="shared" si="4"/>
        <v>0</v>
      </c>
      <c r="L39" s="19">
        <f t="shared" si="5"/>
        <v>0</v>
      </c>
      <c r="M39" s="19">
        <f t="shared" si="6"/>
        <v>0</v>
      </c>
      <c r="N39" s="19">
        <f t="shared" si="7"/>
        <v>0</v>
      </c>
      <c r="O39" s="19">
        <f t="shared" si="12"/>
        <v>0</v>
      </c>
      <c r="P39" s="19">
        <f t="shared" si="13"/>
        <v>0</v>
      </c>
      <c r="Q39" s="23"/>
      <c r="R39" s="23"/>
      <c r="S39" s="37" t="str">
        <f t="shared" si="11"/>
        <v/>
      </c>
      <c r="T39" s="44"/>
      <c r="U39" s="45"/>
      <c r="V39" s="37" t="str">
        <f t="array" ref="V39">IFERROR(INDEX('Hàng hóa'!$F$4:$F$203,MATCH(T39,'Hàng hóa'!$B$4:$B$203,0)),"")</f>
        <v/>
      </c>
      <c r="W39" s="19">
        <f t="array" ref="W39">IFERROR(INDEX('Hàng hóa'!$H$4:$H$203,MATCH(T39,'Hàng hóa'!$B$4:$B$203,0)),0)</f>
        <v>0</v>
      </c>
      <c r="X39" s="20">
        <f t="shared" si="10"/>
        <v>0</v>
      </c>
      <c r="Y39" s="15"/>
      <c r="AA39" s="9" t="str">
        <f t="shared" si="1"/>
        <v/>
      </c>
      <c r="AB39" s="9" t="str">
        <f>IF('Hàng hóa'!K40&lt;&gt;"",'Hàng hóa'!K40,"")</f>
        <v/>
      </c>
    </row>
    <row r="40" ht="15.75" customHeight="1">
      <c r="A40" s="43"/>
      <c r="B40" s="37" t="str">
        <f t="shared" si="2"/>
        <v/>
      </c>
      <c r="C40" s="44"/>
      <c r="D40" s="45"/>
      <c r="E40" s="45"/>
      <c r="F40" s="47" t="str">
        <f>IF(C40="","",'Thiết lập'!$B$4)</f>
        <v/>
      </c>
      <c r="G40" s="19" t="str">
        <f>IF(C40="","",'Thiết lập'!$B$5)</f>
        <v/>
      </c>
      <c r="H40" s="19" t="str">
        <f>IF(C40="","",'Thiết lập'!$B$6)</f>
        <v/>
      </c>
      <c r="I40" s="19" t="str">
        <f>IF(C40="","",'Thiết lập'!$B$7)</f>
        <v/>
      </c>
      <c r="J40" s="19">
        <f t="shared" si="3"/>
        <v>0</v>
      </c>
      <c r="K40" s="19">
        <f t="shared" si="4"/>
        <v>0</v>
      </c>
      <c r="L40" s="19">
        <f t="shared" si="5"/>
        <v>0</v>
      </c>
      <c r="M40" s="19">
        <f t="shared" si="6"/>
        <v>0</v>
      </c>
      <c r="N40" s="19">
        <f t="shared" si="7"/>
        <v>0</v>
      </c>
      <c r="O40" s="19">
        <f t="shared" si="12"/>
        <v>0</v>
      </c>
      <c r="P40" s="19">
        <f t="shared" si="13"/>
        <v>0</v>
      </c>
      <c r="Q40" s="23"/>
      <c r="R40" s="23"/>
      <c r="S40" s="37" t="str">
        <f t="shared" si="11"/>
        <v/>
      </c>
      <c r="T40" s="44"/>
      <c r="U40" s="45"/>
      <c r="V40" s="37" t="str">
        <f t="array" ref="V40">IFERROR(INDEX('Hàng hóa'!$F$4:$F$203,MATCH(T40,'Hàng hóa'!$B$4:$B$203,0)),"")</f>
        <v/>
      </c>
      <c r="W40" s="19">
        <f t="array" ref="W40">IFERROR(INDEX('Hàng hóa'!$H$4:$H$203,MATCH(T40,'Hàng hóa'!$B$4:$B$203,0)),0)</f>
        <v>0</v>
      </c>
      <c r="X40" s="20">
        <f t="shared" si="10"/>
        <v>0</v>
      </c>
      <c r="Y40" s="15"/>
      <c r="AA40" s="9" t="str">
        <f t="shared" si="1"/>
        <v/>
      </c>
      <c r="AB40" s="9" t="str">
        <f>IF('Hàng hóa'!K41&lt;&gt;"",'Hàng hóa'!K41,"")</f>
        <v/>
      </c>
    </row>
    <row r="41" ht="15.75" customHeight="1">
      <c r="A41" s="43"/>
      <c r="B41" s="37" t="str">
        <f t="shared" si="2"/>
        <v/>
      </c>
      <c r="C41" s="44"/>
      <c r="D41" s="45"/>
      <c r="E41" s="45"/>
      <c r="F41" s="47" t="str">
        <f>IF(C41="","",'Thiết lập'!$B$4)</f>
        <v/>
      </c>
      <c r="G41" s="19" t="str">
        <f>IF(C41="","",'Thiết lập'!$B$5)</f>
        <v/>
      </c>
      <c r="H41" s="19" t="str">
        <f>IF(C41="","",'Thiết lập'!$B$6)</f>
        <v/>
      </c>
      <c r="I41" s="19" t="str">
        <f>IF(C41="","",'Thiết lập'!$B$7)</f>
        <v/>
      </c>
      <c r="J41" s="19">
        <f t="shared" si="3"/>
        <v>0</v>
      </c>
      <c r="K41" s="19">
        <f t="shared" si="4"/>
        <v>0</v>
      </c>
      <c r="L41" s="19">
        <f t="shared" si="5"/>
        <v>0</v>
      </c>
      <c r="M41" s="19">
        <f t="shared" si="6"/>
        <v>0</v>
      </c>
      <c r="N41" s="19">
        <f t="shared" si="7"/>
        <v>0</v>
      </c>
      <c r="O41" s="19">
        <f t="shared" si="12"/>
        <v>0</v>
      </c>
      <c r="P41" s="19">
        <f t="shared" si="13"/>
        <v>0</v>
      </c>
      <c r="Q41" s="23"/>
      <c r="R41" s="23"/>
      <c r="S41" s="37" t="str">
        <f t="shared" si="11"/>
        <v/>
      </c>
      <c r="T41" s="44"/>
      <c r="U41" s="45"/>
      <c r="V41" s="37" t="str">
        <f t="array" ref="V41">IFERROR(INDEX('Hàng hóa'!$F$4:$F$203,MATCH(T41,'Hàng hóa'!$B$4:$B$203,0)),"")</f>
        <v/>
      </c>
      <c r="W41" s="19">
        <f t="array" ref="W41">IFERROR(INDEX('Hàng hóa'!$H$4:$H$203,MATCH(T41,'Hàng hóa'!$B$4:$B$203,0)),0)</f>
        <v>0</v>
      </c>
      <c r="X41" s="20">
        <f t="shared" si="10"/>
        <v>0</v>
      </c>
      <c r="Y41" s="15"/>
      <c r="AA41" s="9" t="str">
        <f t="shared" si="1"/>
        <v/>
      </c>
      <c r="AB41" s="9" t="str">
        <f>IF('Hàng hóa'!K42&lt;&gt;"",'Hàng hóa'!K42,"")</f>
        <v/>
      </c>
    </row>
    <row r="42" ht="15.75" customHeight="1">
      <c r="A42" s="43"/>
      <c r="B42" s="37" t="str">
        <f t="shared" si="2"/>
        <v/>
      </c>
      <c r="C42" s="44"/>
      <c r="D42" s="45"/>
      <c r="E42" s="45"/>
      <c r="F42" s="47" t="str">
        <f>IF(C42="","",'Thiết lập'!$B$4)</f>
        <v/>
      </c>
      <c r="G42" s="19" t="str">
        <f>IF(C42="","",'Thiết lập'!$B$5)</f>
        <v/>
      </c>
      <c r="H42" s="19" t="str">
        <f>IF(C42="","",'Thiết lập'!$B$6)</f>
        <v/>
      </c>
      <c r="I42" s="19" t="str">
        <f>IF(C42="","",'Thiết lập'!$B$7)</f>
        <v/>
      </c>
      <c r="J42" s="19">
        <f t="shared" si="3"/>
        <v>0</v>
      </c>
      <c r="K42" s="19">
        <f t="shared" si="4"/>
        <v>0</v>
      </c>
      <c r="L42" s="19">
        <f t="shared" si="5"/>
        <v>0</v>
      </c>
      <c r="M42" s="19">
        <f t="shared" si="6"/>
        <v>0</v>
      </c>
      <c r="N42" s="19">
        <f t="shared" si="7"/>
        <v>0</v>
      </c>
      <c r="O42" s="19">
        <f t="shared" si="12"/>
        <v>0</v>
      </c>
      <c r="P42" s="19">
        <f t="shared" si="13"/>
        <v>0</v>
      </c>
      <c r="Q42" s="23"/>
      <c r="R42" s="23"/>
      <c r="S42" s="37" t="str">
        <f t="shared" si="11"/>
        <v/>
      </c>
      <c r="T42" s="44"/>
      <c r="U42" s="45"/>
      <c r="V42" s="37" t="str">
        <f t="array" ref="V42">IFERROR(INDEX('Hàng hóa'!$F$4:$F$203,MATCH(T42,'Hàng hóa'!$B$4:$B$203,0)),"")</f>
        <v/>
      </c>
      <c r="W42" s="19">
        <f t="array" ref="W42">IFERROR(INDEX('Hàng hóa'!$H$4:$H$203,MATCH(T42,'Hàng hóa'!$B$4:$B$203,0)),0)</f>
        <v>0</v>
      </c>
      <c r="X42" s="20">
        <f t="shared" si="10"/>
        <v>0</v>
      </c>
      <c r="Y42" s="15"/>
      <c r="AA42" s="9" t="str">
        <f t="shared" si="1"/>
        <v/>
      </c>
      <c r="AB42" s="9" t="str">
        <f>IF('Hàng hóa'!K43&lt;&gt;"",'Hàng hóa'!K43,"")</f>
        <v/>
      </c>
    </row>
    <row r="43" ht="15.75" customHeight="1">
      <c r="A43" s="43"/>
      <c r="B43" s="37" t="str">
        <f t="shared" si="2"/>
        <v/>
      </c>
      <c r="C43" s="44"/>
      <c r="D43" s="45"/>
      <c r="E43" s="45"/>
      <c r="F43" s="47" t="str">
        <f>IF(C43="","",'Thiết lập'!$B$4)</f>
        <v/>
      </c>
      <c r="G43" s="19" t="str">
        <f>IF(C43="","",'Thiết lập'!$B$5)</f>
        <v/>
      </c>
      <c r="H43" s="19" t="str">
        <f>IF(C43="","",'Thiết lập'!$B$6)</f>
        <v/>
      </c>
      <c r="I43" s="19" t="str">
        <f>IF(C43="","",'Thiết lập'!$B$7)</f>
        <v/>
      </c>
      <c r="J43" s="19">
        <f t="shared" si="3"/>
        <v>0</v>
      </c>
      <c r="K43" s="19">
        <f t="shared" si="4"/>
        <v>0</v>
      </c>
      <c r="L43" s="19">
        <f t="shared" si="5"/>
        <v>0</v>
      </c>
      <c r="M43" s="19">
        <f t="shared" si="6"/>
        <v>0</v>
      </c>
      <c r="N43" s="19">
        <f t="shared" si="7"/>
        <v>0</v>
      </c>
      <c r="O43" s="19">
        <f t="shared" si="12"/>
        <v>0</v>
      </c>
      <c r="P43" s="19">
        <f t="shared" si="13"/>
        <v>0</v>
      </c>
      <c r="Q43" s="23"/>
      <c r="R43" s="23"/>
      <c r="S43" s="37" t="str">
        <f t="shared" si="11"/>
        <v/>
      </c>
      <c r="T43" s="44"/>
      <c r="U43" s="45"/>
      <c r="V43" s="37" t="str">
        <f t="array" ref="V43">IFERROR(INDEX('Hàng hóa'!$F$4:$F$203,MATCH(T43,'Hàng hóa'!$B$4:$B$203,0)),"")</f>
        <v/>
      </c>
      <c r="W43" s="19">
        <f t="array" ref="W43">IFERROR(INDEX('Hàng hóa'!$H$4:$H$203,MATCH(T43,'Hàng hóa'!$B$4:$B$203,0)),0)</f>
        <v>0</v>
      </c>
      <c r="X43" s="20">
        <f t="shared" si="10"/>
        <v>0</v>
      </c>
      <c r="Y43" s="15"/>
      <c r="AA43" s="9" t="str">
        <f t="shared" si="1"/>
        <v/>
      </c>
      <c r="AB43" s="9" t="str">
        <f>IF('Hàng hóa'!K44&lt;&gt;"",'Hàng hóa'!K44,"")</f>
        <v/>
      </c>
    </row>
    <row r="44" ht="15.75" customHeight="1">
      <c r="A44" s="43"/>
      <c r="B44" s="37" t="str">
        <f t="shared" si="2"/>
        <v/>
      </c>
      <c r="C44" s="44"/>
      <c r="D44" s="45"/>
      <c r="E44" s="45"/>
      <c r="F44" s="47" t="str">
        <f>IF(C44="","",'Thiết lập'!$B$4)</f>
        <v/>
      </c>
      <c r="G44" s="19" t="str">
        <f>IF(C44="","",'Thiết lập'!$B$5)</f>
        <v/>
      </c>
      <c r="H44" s="19" t="str">
        <f>IF(C44="","",'Thiết lập'!$B$6)</f>
        <v/>
      </c>
      <c r="I44" s="19" t="str">
        <f>IF(C44="","",'Thiết lập'!$B$7)</f>
        <v/>
      </c>
      <c r="J44" s="19">
        <f t="shared" si="3"/>
        <v>0</v>
      </c>
      <c r="K44" s="19">
        <f t="shared" si="4"/>
        <v>0</v>
      </c>
      <c r="L44" s="19">
        <f t="shared" si="5"/>
        <v>0</v>
      </c>
      <c r="M44" s="19">
        <f t="shared" si="6"/>
        <v>0</v>
      </c>
      <c r="N44" s="19">
        <f t="shared" si="7"/>
        <v>0</v>
      </c>
      <c r="O44" s="19">
        <f t="shared" si="12"/>
        <v>0</v>
      </c>
      <c r="P44" s="19">
        <f t="shared" si="13"/>
        <v>0</v>
      </c>
      <c r="Q44" s="23"/>
      <c r="R44" s="23"/>
      <c r="S44" s="37" t="str">
        <f t="shared" si="11"/>
        <v/>
      </c>
      <c r="T44" s="44"/>
      <c r="U44" s="45"/>
      <c r="V44" s="37" t="str">
        <f t="array" ref="V44">IFERROR(INDEX('Hàng hóa'!$F$4:$F$203,MATCH(T44,'Hàng hóa'!$B$4:$B$203,0)),"")</f>
        <v/>
      </c>
      <c r="W44" s="19">
        <f t="array" ref="W44">IFERROR(INDEX('Hàng hóa'!$H$4:$H$203,MATCH(T44,'Hàng hóa'!$B$4:$B$203,0)),0)</f>
        <v>0</v>
      </c>
      <c r="X44" s="20">
        <f t="shared" si="10"/>
        <v>0</v>
      </c>
      <c r="Y44" s="15"/>
      <c r="AA44" s="9" t="str">
        <f t="shared" si="1"/>
        <v/>
      </c>
      <c r="AB44" s="9" t="str">
        <f>IF('Hàng hóa'!K45&lt;&gt;"",'Hàng hóa'!K45,"")</f>
        <v/>
      </c>
    </row>
    <row r="45" ht="15.75" customHeight="1">
      <c r="A45" s="43"/>
      <c r="B45" s="37" t="str">
        <f t="shared" si="2"/>
        <v/>
      </c>
      <c r="C45" s="44"/>
      <c r="D45" s="45"/>
      <c r="E45" s="45"/>
      <c r="F45" s="47" t="str">
        <f>IF(C45="","",'Thiết lập'!$B$4)</f>
        <v/>
      </c>
      <c r="G45" s="19" t="str">
        <f>IF(C45="","",'Thiết lập'!$B$5)</f>
        <v/>
      </c>
      <c r="H45" s="19" t="str">
        <f>IF(C45="","",'Thiết lập'!$B$6)</f>
        <v/>
      </c>
      <c r="I45" s="19" t="str">
        <f>IF(C45="","",'Thiết lập'!$B$7)</f>
        <v/>
      </c>
      <c r="J45" s="19">
        <f t="shared" si="3"/>
        <v>0</v>
      </c>
      <c r="K45" s="19">
        <f t="shared" si="4"/>
        <v>0</v>
      </c>
      <c r="L45" s="19">
        <f t="shared" si="5"/>
        <v>0</v>
      </c>
      <c r="M45" s="19">
        <f t="shared" si="6"/>
        <v>0</v>
      </c>
      <c r="N45" s="19">
        <f t="shared" si="7"/>
        <v>0</v>
      </c>
      <c r="O45" s="19">
        <f t="shared" si="12"/>
        <v>0</v>
      </c>
      <c r="P45" s="19">
        <f t="shared" si="13"/>
        <v>0</v>
      </c>
      <c r="Q45" s="23"/>
      <c r="R45" s="23"/>
      <c r="S45" s="37" t="str">
        <f t="shared" si="11"/>
        <v/>
      </c>
      <c r="T45" s="44"/>
      <c r="U45" s="45"/>
      <c r="V45" s="37" t="str">
        <f t="array" ref="V45">IFERROR(INDEX('Hàng hóa'!$F$4:$F$203,MATCH(T45,'Hàng hóa'!$B$4:$B$203,0)),"")</f>
        <v/>
      </c>
      <c r="W45" s="19">
        <f t="array" ref="W45">IFERROR(INDEX('Hàng hóa'!$H$4:$H$203,MATCH(T45,'Hàng hóa'!$B$4:$B$203,0)),0)</f>
        <v>0</v>
      </c>
      <c r="X45" s="20">
        <f t="shared" si="10"/>
        <v>0</v>
      </c>
      <c r="Y45" s="15"/>
      <c r="AA45" s="9" t="str">
        <f t="shared" si="1"/>
        <v/>
      </c>
      <c r="AB45" s="9" t="str">
        <f>IF('Hàng hóa'!K46&lt;&gt;"",'Hàng hóa'!K46,"")</f>
        <v/>
      </c>
    </row>
    <row r="46" ht="15.75" customHeight="1">
      <c r="A46" s="43"/>
      <c r="B46" s="37" t="str">
        <f t="shared" si="2"/>
        <v/>
      </c>
      <c r="C46" s="44"/>
      <c r="D46" s="45"/>
      <c r="E46" s="45"/>
      <c r="F46" s="47" t="str">
        <f>IF(C46="","",'Thiết lập'!$B$4)</f>
        <v/>
      </c>
      <c r="G46" s="19" t="str">
        <f>IF(C46="","",'Thiết lập'!$B$5)</f>
        <v/>
      </c>
      <c r="H46" s="19" t="str">
        <f>IF(C46="","",'Thiết lập'!$B$6)</f>
        <v/>
      </c>
      <c r="I46" s="19" t="str">
        <f>IF(C46="","",'Thiết lập'!$B$7)</f>
        <v/>
      </c>
      <c r="J46" s="19">
        <f t="shared" si="3"/>
        <v>0</v>
      </c>
      <c r="K46" s="19">
        <f t="shared" si="4"/>
        <v>0</v>
      </c>
      <c r="L46" s="19">
        <f t="shared" si="5"/>
        <v>0</v>
      </c>
      <c r="M46" s="19">
        <f t="shared" si="6"/>
        <v>0</v>
      </c>
      <c r="N46" s="19">
        <f t="shared" si="7"/>
        <v>0</v>
      </c>
      <c r="O46" s="19">
        <f t="shared" si="12"/>
        <v>0</v>
      </c>
      <c r="P46" s="19">
        <f t="shared" si="13"/>
        <v>0</v>
      </c>
      <c r="Q46" s="23"/>
      <c r="R46" s="23"/>
      <c r="S46" s="37" t="str">
        <f t="shared" si="11"/>
        <v/>
      </c>
      <c r="T46" s="44"/>
      <c r="U46" s="45"/>
      <c r="V46" s="37" t="str">
        <f t="array" ref="V46">IFERROR(INDEX('Hàng hóa'!$F$4:$F$203,MATCH(T46,'Hàng hóa'!$B$4:$B$203,0)),"")</f>
        <v/>
      </c>
      <c r="W46" s="19">
        <f t="array" ref="W46">IFERROR(INDEX('Hàng hóa'!$H$4:$H$203,MATCH(T46,'Hàng hóa'!$B$4:$B$203,0)),0)</f>
        <v>0</v>
      </c>
      <c r="X46" s="20">
        <f t="shared" si="10"/>
        <v>0</v>
      </c>
      <c r="Y46" s="15"/>
      <c r="AA46" s="9" t="str">
        <f t="shared" si="1"/>
        <v/>
      </c>
      <c r="AB46" s="9" t="str">
        <f>IF('Hàng hóa'!K47&lt;&gt;"",'Hàng hóa'!K47,"")</f>
        <v/>
      </c>
    </row>
    <row r="47" ht="15.75" customHeight="1">
      <c r="A47" s="43"/>
      <c r="B47" s="37" t="str">
        <f t="shared" si="2"/>
        <v/>
      </c>
      <c r="C47" s="44"/>
      <c r="D47" s="45"/>
      <c r="E47" s="45"/>
      <c r="F47" s="47" t="str">
        <f>IF(C47="","",'Thiết lập'!$B$4)</f>
        <v/>
      </c>
      <c r="G47" s="19" t="str">
        <f>IF(C47="","",'Thiết lập'!$B$5)</f>
        <v/>
      </c>
      <c r="H47" s="19" t="str">
        <f>IF(C47="","",'Thiết lập'!$B$6)</f>
        <v/>
      </c>
      <c r="I47" s="19" t="str">
        <f>IF(C47="","",'Thiết lập'!$B$7)</f>
        <v/>
      </c>
      <c r="J47" s="19">
        <f t="shared" si="3"/>
        <v>0</v>
      </c>
      <c r="K47" s="19">
        <f t="shared" si="4"/>
        <v>0</v>
      </c>
      <c r="L47" s="19">
        <f t="shared" si="5"/>
        <v>0</v>
      </c>
      <c r="M47" s="19">
        <f t="shared" si="6"/>
        <v>0</v>
      </c>
      <c r="N47" s="19">
        <f t="shared" si="7"/>
        <v>0</v>
      </c>
      <c r="O47" s="19">
        <f t="shared" si="12"/>
        <v>0</v>
      </c>
      <c r="P47" s="19">
        <f t="shared" si="13"/>
        <v>0</v>
      </c>
      <c r="Q47" s="23"/>
      <c r="R47" s="23"/>
      <c r="S47" s="37" t="str">
        <f t="shared" si="11"/>
        <v/>
      </c>
      <c r="T47" s="44"/>
      <c r="U47" s="45"/>
      <c r="V47" s="37" t="str">
        <f t="array" ref="V47">IFERROR(INDEX('Hàng hóa'!$F$4:$F$203,MATCH(T47,'Hàng hóa'!$B$4:$B$203,0)),"")</f>
        <v/>
      </c>
      <c r="W47" s="19">
        <f t="array" ref="W47">IFERROR(INDEX('Hàng hóa'!$H$4:$H$203,MATCH(T47,'Hàng hóa'!$B$4:$B$203,0)),0)</f>
        <v>0</v>
      </c>
      <c r="X47" s="20">
        <f t="shared" si="10"/>
        <v>0</v>
      </c>
      <c r="Y47" s="15"/>
      <c r="AA47" s="9" t="str">
        <f t="shared" si="1"/>
        <v/>
      </c>
      <c r="AB47" s="9" t="str">
        <f>IF('Hàng hóa'!K48&lt;&gt;"",'Hàng hóa'!K48,"")</f>
        <v/>
      </c>
    </row>
    <row r="48" ht="15.75" customHeight="1">
      <c r="A48" s="43"/>
      <c r="B48" s="37" t="str">
        <f t="shared" si="2"/>
        <v/>
      </c>
      <c r="C48" s="44"/>
      <c r="D48" s="45"/>
      <c r="E48" s="45"/>
      <c r="F48" s="47" t="str">
        <f>IF(C48="","",'Thiết lập'!$B$4)</f>
        <v/>
      </c>
      <c r="G48" s="19" t="str">
        <f>IF(C48="","",'Thiết lập'!$B$5)</f>
        <v/>
      </c>
      <c r="H48" s="19" t="str">
        <f>IF(C48="","",'Thiết lập'!$B$6)</f>
        <v/>
      </c>
      <c r="I48" s="19" t="str">
        <f>IF(C48="","",'Thiết lập'!$B$7)</f>
        <v/>
      </c>
      <c r="J48" s="19">
        <f t="shared" si="3"/>
        <v>0</v>
      </c>
      <c r="K48" s="19">
        <f t="shared" si="4"/>
        <v>0</v>
      </c>
      <c r="L48" s="19">
        <f t="shared" si="5"/>
        <v>0</v>
      </c>
      <c r="M48" s="19">
        <f t="shared" si="6"/>
        <v>0</v>
      </c>
      <c r="N48" s="19">
        <f t="shared" si="7"/>
        <v>0</v>
      </c>
      <c r="O48" s="19">
        <f t="shared" si="12"/>
        <v>0</v>
      </c>
      <c r="P48" s="19">
        <f t="shared" si="13"/>
        <v>0</v>
      </c>
      <c r="Q48" s="23"/>
      <c r="R48" s="23"/>
      <c r="S48" s="37" t="str">
        <f t="shared" si="11"/>
        <v/>
      </c>
      <c r="T48" s="44"/>
      <c r="U48" s="45"/>
      <c r="V48" s="37" t="str">
        <f t="array" ref="V48">IFERROR(INDEX('Hàng hóa'!$F$4:$F$203,MATCH(T48,'Hàng hóa'!$B$4:$B$203,0)),"")</f>
        <v/>
      </c>
      <c r="W48" s="19">
        <f t="array" ref="W48">IFERROR(INDEX('Hàng hóa'!$H$4:$H$203,MATCH(T48,'Hàng hóa'!$B$4:$B$203,0)),0)</f>
        <v>0</v>
      </c>
      <c r="X48" s="20">
        <f t="shared" si="10"/>
        <v>0</v>
      </c>
      <c r="Y48" s="15"/>
      <c r="AA48" s="9" t="str">
        <f t="shared" si="1"/>
        <v/>
      </c>
      <c r="AB48" s="9" t="str">
        <f>IF('Hàng hóa'!K49&lt;&gt;"",'Hàng hóa'!K49,"")</f>
        <v/>
      </c>
    </row>
    <row r="49" ht="15.75" customHeight="1">
      <c r="A49" s="43"/>
      <c r="B49" s="37" t="str">
        <f t="shared" si="2"/>
        <v/>
      </c>
      <c r="C49" s="44"/>
      <c r="D49" s="45"/>
      <c r="E49" s="45"/>
      <c r="F49" s="47" t="str">
        <f>IF(C49="","",'Thiết lập'!$B$4)</f>
        <v/>
      </c>
      <c r="G49" s="19" t="str">
        <f>IF(C49="","",'Thiết lập'!$B$5)</f>
        <v/>
      </c>
      <c r="H49" s="19" t="str">
        <f>IF(C49="","",'Thiết lập'!$B$6)</f>
        <v/>
      </c>
      <c r="I49" s="19" t="str">
        <f>IF(C49="","",'Thiết lập'!$B$7)</f>
        <v/>
      </c>
      <c r="J49" s="19">
        <f t="shared" si="3"/>
        <v>0</v>
      </c>
      <c r="K49" s="19">
        <f t="shared" si="4"/>
        <v>0</v>
      </c>
      <c r="L49" s="19">
        <f t="shared" si="5"/>
        <v>0</v>
      </c>
      <c r="M49" s="19">
        <f t="shared" si="6"/>
        <v>0</v>
      </c>
      <c r="N49" s="19">
        <f t="shared" si="7"/>
        <v>0</v>
      </c>
      <c r="O49" s="19">
        <f t="shared" si="12"/>
        <v>0</v>
      </c>
      <c r="P49" s="19">
        <f t="shared" si="13"/>
        <v>0</v>
      </c>
      <c r="Q49" s="23"/>
      <c r="R49" s="23"/>
      <c r="S49" s="37" t="str">
        <f t="shared" si="11"/>
        <v/>
      </c>
      <c r="T49" s="44"/>
      <c r="U49" s="45"/>
      <c r="V49" s="37" t="str">
        <f t="array" ref="V49">IFERROR(INDEX('Hàng hóa'!$F$4:$F$203,MATCH(T49,'Hàng hóa'!$B$4:$B$203,0)),"")</f>
        <v/>
      </c>
      <c r="W49" s="19">
        <f t="array" ref="W49">IFERROR(INDEX('Hàng hóa'!$H$4:$H$203,MATCH(T49,'Hàng hóa'!$B$4:$B$203,0)),0)</f>
        <v>0</v>
      </c>
      <c r="X49" s="20">
        <f t="shared" si="10"/>
        <v>0</v>
      </c>
      <c r="Y49" s="15"/>
      <c r="AA49" s="9" t="str">
        <f t="shared" si="1"/>
        <v/>
      </c>
      <c r="AB49" s="9" t="str">
        <f>IF('Hàng hóa'!K50&lt;&gt;"",'Hàng hóa'!K50,"")</f>
        <v/>
      </c>
    </row>
    <row r="50" ht="15.75" customHeight="1">
      <c r="A50" s="43"/>
      <c r="B50" s="37" t="str">
        <f t="shared" si="2"/>
        <v/>
      </c>
      <c r="C50" s="44"/>
      <c r="D50" s="45"/>
      <c r="E50" s="45"/>
      <c r="F50" s="47" t="str">
        <f>IF(C50="","",'Thiết lập'!$B$4)</f>
        <v/>
      </c>
      <c r="G50" s="19" t="str">
        <f>IF(C50="","",'Thiết lập'!$B$5)</f>
        <v/>
      </c>
      <c r="H50" s="19" t="str">
        <f>IF(C50="","",'Thiết lập'!$B$6)</f>
        <v/>
      </c>
      <c r="I50" s="19" t="str">
        <f>IF(C50="","",'Thiết lập'!$B$7)</f>
        <v/>
      </c>
      <c r="J50" s="19">
        <f t="shared" si="3"/>
        <v>0</v>
      </c>
      <c r="K50" s="19">
        <f t="shared" si="4"/>
        <v>0</v>
      </c>
      <c r="L50" s="19">
        <f t="shared" si="5"/>
        <v>0</v>
      </c>
      <c r="M50" s="19">
        <f t="shared" si="6"/>
        <v>0</v>
      </c>
      <c r="N50" s="19">
        <f t="shared" si="7"/>
        <v>0</v>
      </c>
      <c r="O50" s="19">
        <f t="shared" si="12"/>
        <v>0</v>
      </c>
      <c r="P50" s="19">
        <f t="shared" si="13"/>
        <v>0</v>
      </c>
      <c r="Q50" s="23"/>
      <c r="R50" s="23"/>
      <c r="S50" s="37" t="str">
        <f t="shared" si="11"/>
        <v/>
      </c>
      <c r="T50" s="44"/>
      <c r="U50" s="45"/>
      <c r="V50" s="37" t="str">
        <f t="array" ref="V50">IFERROR(INDEX('Hàng hóa'!$F$4:$F$203,MATCH(T50,'Hàng hóa'!$B$4:$B$203,0)),"")</f>
        <v/>
      </c>
      <c r="W50" s="19">
        <f t="array" ref="W50">IFERROR(INDEX('Hàng hóa'!$H$4:$H$203,MATCH(T50,'Hàng hóa'!$B$4:$B$203,0)),0)</f>
        <v>0</v>
      </c>
      <c r="X50" s="20">
        <f t="shared" si="10"/>
        <v>0</v>
      </c>
      <c r="Y50" s="15"/>
      <c r="AA50" s="9" t="str">
        <f t="shared" si="1"/>
        <v/>
      </c>
      <c r="AB50" s="9" t="str">
        <f>IF('Hàng hóa'!K51&lt;&gt;"",'Hàng hóa'!K51,"")</f>
        <v/>
      </c>
    </row>
    <row r="51" ht="15.75" customHeight="1">
      <c r="A51" s="43"/>
      <c r="B51" s="37" t="str">
        <f t="shared" si="2"/>
        <v/>
      </c>
      <c r="C51" s="44"/>
      <c r="D51" s="45"/>
      <c r="E51" s="45"/>
      <c r="F51" s="47" t="str">
        <f>IF(C51="","",'Thiết lập'!$B$4)</f>
        <v/>
      </c>
      <c r="G51" s="19" t="str">
        <f>IF(C51="","",'Thiết lập'!$B$5)</f>
        <v/>
      </c>
      <c r="H51" s="19" t="str">
        <f>IF(C51="","",'Thiết lập'!$B$6)</f>
        <v/>
      </c>
      <c r="I51" s="19" t="str">
        <f>IF(C51="","",'Thiết lập'!$B$7)</f>
        <v/>
      </c>
      <c r="J51" s="19">
        <f t="shared" si="3"/>
        <v>0</v>
      </c>
      <c r="K51" s="19">
        <f t="shared" si="4"/>
        <v>0</v>
      </c>
      <c r="L51" s="19">
        <f t="shared" si="5"/>
        <v>0</v>
      </c>
      <c r="M51" s="19">
        <f t="shared" si="6"/>
        <v>0</v>
      </c>
      <c r="N51" s="19">
        <f t="shared" si="7"/>
        <v>0</v>
      </c>
      <c r="O51" s="19">
        <f t="shared" si="12"/>
        <v>0</v>
      </c>
      <c r="P51" s="19">
        <f t="shared" si="13"/>
        <v>0</v>
      </c>
      <c r="Q51" s="23"/>
      <c r="R51" s="23"/>
      <c r="S51" s="37" t="str">
        <f t="shared" si="11"/>
        <v/>
      </c>
      <c r="T51" s="44"/>
      <c r="U51" s="45"/>
      <c r="V51" s="37" t="str">
        <f t="array" ref="V51">IFERROR(INDEX('Hàng hóa'!$F$4:$F$203,MATCH(T51,'Hàng hóa'!$B$4:$B$203,0)),"")</f>
        <v/>
      </c>
      <c r="W51" s="19">
        <f t="array" ref="W51">IFERROR(INDEX('Hàng hóa'!$H$4:$H$203,MATCH(T51,'Hàng hóa'!$B$4:$B$203,0)),0)</f>
        <v>0</v>
      </c>
      <c r="X51" s="20">
        <f t="shared" si="10"/>
        <v>0</v>
      </c>
      <c r="Y51" s="15"/>
      <c r="AA51" s="9" t="str">
        <f t="shared" si="1"/>
        <v/>
      </c>
      <c r="AB51" s="9" t="str">
        <f>IF('Hàng hóa'!K52&lt;&gt;"",'Hàng hóa'!K52,"")</f>
        <v/>
      </c>
    </row>
    <row r="52" ht="15.75" customHeight="1">
      <c r="A52" s="43"/>
      <c r="B52" s="37" t="str">
        <f t="shared" si="2"/>
        <v/>
      </c>
      <c r="C52" s="44"/>
      <c r="D52" s="45"/>
      <c r="E52" s="45"/>
      <c r="F52" s="47" t="str">
        <f>IF(C52="","",'Thiết lập'!$B$4)</f>
        <v/>
      </c>
      <c r="G52" s="19" t="str">
        <f>IF(C52="","",'Thiết lập'!$B$5)</f>
        <v/>
      </c>
      <c r="H52" s="19" t="str">
        <f>IF(C52="","",'Thiết lập'!$B$6)</f>
        <v/>
      </c>
      <c r="I52" s="19" t="str">
        <f>IF(C52="","",'Thiết lập'!$B$7)</f>
        <v/>
      </c>
      <c r="J52" s="19">
        <f t="shared" si="3"/>
        <v>0</v>
      </c>
      <c r="K52" s="19">
        <f t="shared" si="4"/>
        <v>0</v>
      </c>
      <c r="L52" s="19">
        <f t="shared" si="5"/>
        <v>0</v>
      </c>
      <c r="M52" s="19">
        <f t="shared" si="6"/>
        <v>0</v>
      </c>
      <c r="N52" s="19">
        <f t="shared" si="7"/>
        <v>0</v>
      </c>
      <c r="O52" s="19">
        <f t="shared" si="12"/>
        <v>0</v>
      </c>
      <c r="P52" s="19">
        <f t="shared" si="13"/>
        <v>0</v>
      </c>
      <c r="Q52" s="23"/>
      <c r="R52" s="23"/>
      <c r="S52" s="37" t="str">
        <f t="shared" si="11"/>
        <v/>
      </c>
      <c r="T52" s="44"/>
      <c r="U52" s="45"/>
      <c r="V52" s="37" t="str">
        <f t="array" ref="V52">IFERROR(INDEX('Hàng hóa'!$F$4:$F$203,MATCH(T52,'Hàng hóa'!$B$4:$B$203,0)),"")</f>
        <v/>
      </c>
      <c r="W52" s="19">
        <f t="array" ref="W52">IFERROR(INDEX('Hàng hóa'!$H$4:$H$203,MATCH(T52,'Hàng hóa'!$B$4:$B$203,0)),0)</f>
        <v>0</v>
      </c>
      <c r="X52" s="20">
        <f t="shared" si="10"/>
        <v>0</v>
      </c>
      <c r="Y52" s="15"/>
      <c r="AA52" s="9" t="str">
        <f t="shared" si="1"/>
        <v/>
      </c>
      <c r="AB52" s="9" t="str">
        <f>IF('Hàng hóa'!K53&lt;&gt;"",'Hàng hóa'!K53,"")</f>
        <v/>
      </c>
    </row>
    <row r="53" ht="15.75" customHeight="1">
      <c r="A53" s="43"/>
      <c r="B53" s="37" t="str">
        <f t="shared" si="2"/>
        <v/>
      </c>
      <c r="C53" s="44"/>
      <c r="D53" s="45"/>
      <c r="E53" s="45"/>
      <c r="F53" s="47" t="str">
        <f>IF(C53="","",'Thiết lập'!$B$4)</f>
        <v/>
      </c>
      <c r="G53" s="19" t="str">
        <f>IF(C53="","",'Thiết lập'!$B$5)</f>
        <v/>
      </c>
      <c r="H53" s="19" t="str">
        <f>IF(C53="","",'Thiết lập'!$B$6)</f>
        <v/>
      </c>
      <c r="I53" s="19" t="str">
        <f>IF(C53="","",'Thiết lập'!$B$7)</f>
        <v/>
      </c>
      <c r="J53" s="19">
        <f t="shared" si="3"/>
        <v>0</v>
      </c>
      <c r="K53" s="19">
        <f t="shared" si="4"/>
        <v>0</v>
      </c>
      <c r="L53" s="19">
        <f t="shared" si="5"/>
        <v>0</v>
      </c>
      <c r="M53" s="19">
        <f t="shared" si="6"/>
        <v>0</v>
      </c>
      <c r="N53" s="19">
        <f t="shared" si="7"/>
        <v>0</v>
      </c>
      <c r="O53" s="19">
        <f t="shared" si="12"/>
        <v>0</v>
      </c>
      <c r="P53" s="19">
        <f t="shared" si="13"/>
        <v>0</v>
      </c>
      <c r="Q53" s="23"/>
      <c r="R53" s="23"/>
      <c r="S53" s="37" t="str">
        <f t="shared" si="11"/>
        <v/>
      </c>
      <c r="T53" s="44"/>
      <c r="U53" s="45"/>
      <c r="V53" s="37" t="str">
        <f t="array" ref="V53">IFERROR(INDEX('Hàng hóa'!$F$4:$F$203,MATCH(T53,'Hàng hóa'!$B$4:$B$203,0)),"")</f>
        <v/>
      </c>
      <c r="W53" s="19">
        <f t="array" ref="W53">IFERROR(INDEX('Hàng hóa'!$H$4:$H$203,MATCH(T53,'Hàng hóa'!$B$4:$B$203,0)),0)</f>
        <v>0</v>
      </c>
      <c r="X53" s="20">
        <f t="shared" si="10"/>
        <v>0</v>
      </c>
      <c r="Y53" s="15"/>
      <c r="AA53" s="9" t="str">
        <f t="shared" si="1"/>
        <v/>
      </c>
      <c r="AB53" s="9" t="str">
        <f>IF('Hàng hóa'!K54&lt;&gt;"",'Hàng hóa'!K54,"")</f>
        <v/>
      </c>
    </row>
    <row r="54" ht="15.75" customHeight="1">
      <c r="A54" s="43"/>
      <c r="B54" s="37" t="str">
        <f t="shared" si="2"/>
        <v/>
      </c>
      <c r="C54" s="44"/>
      <c r="D54" s="45"/>
      <c r="E54" s="45"/>
      <c r="F54" s="47" t="str">
        <f>IF(C54="","",'Thiết lập'!$B$4)</f>
        <v/>
      </c>
      <c r="G54" s="19" t="str">
        <f>IF(C54="","",'Thiết lập'!$B$5)</f>
        <v/>
      </c>
      <c r="H54" s="19" t="str">
        <f>IF(C54="","",'Thiết lập'!$B$6)</f>
        <v/>
      </c>
      <c r="I54" s="19" t="str">
        <f>IF(C54="","",'Thiết lập'!$B$7)</f>
        <v/>
      </c>
      <c r="J54" s="19">
        <f t="shared" si="3"/>
        <v>0</v>
      </c>
      <c r="K54" s="19">
        <f t="shared" si="4"/>
        <v>0</v>
      </c>
      <c r="L54" s="19">
        <f t="shared" si="5"/>
        <v>0</v>
      </c>
      <c r="M54" s="19">
        <f t="shared" si="6"/>
        <v>0</v>
      </c>
      <c r="N54" s="19">
        <f t="shared" si="7"/>
        <v>0</v>
      </c>
      <c r="O54" s="19">
        <f t="shared" si="12"/>
        <v>0</v>
      </c>
      <c r="P54" s="19">
        <f t="shared" si="13"/>
        <v>0</v>
      </c>
      <c r="Q54" s="23"/>
      <c r="R54" s="23"/>
      <c r="S54" s="37" t="str">
        <f t="shared" si="11"/>
        <v/>
      </c>
      <c r="T54" s="44"/>
      <c r="U54" s="45"/>
      <c r="V54" s="37" t="str">
        <f t="array" ref="V54">IFERROR(INDEX('Hàng hóa'!$F$4:$F$203,MATCH(T54,'Hàng hóa'!$B$4:$B$203,0)),"")</f>
        <v/>
      </c>
      <c r="W54" s="19">
        <f t="array" ref="W54">IFERROR(INDEX('Hàng hóa'!$H$4:$H$203,MATCH(T54,'Hàng hóa'!$B$4:$B$203,0)),0)</f>
        <v>0</v>
      </c>
      <c r="X54" s="20">
        <f t="shared" si="10"/>
        <v>0</v>
      </c>
      <c r="Y54" s="15"/>
      <c r="AA54" s="9" t="str">
        <f t="shared" si="1"/>
        <v/>
      </c>
      <c r="AB54" s="9" t="str">
        <f>IF('Hàng hóa'!K55&lt;&gt;"",'Hàng hóa'!K55,"")</f>
        <v/>
      </c>
    </row>
    <row r="55" ht="15.75" customHeight="1">
      <c r="A55" s="43"/>
      <c r="B55" s="37" t="str">
        <f t="shared" si="2"/>
        <v/>
      </c>
      <c r="C55" s="44"/>
      <c r="D55" s="45"/>
      <c r="E55" s="45"/>
      <c r="F55" s="47" t="str">
        <f>IF(C55="","",'Thiết lập'!$B$4)</f>
        <v/>
      </c>
      <c r="G55" s="19" t="str">
        <f>IF(C55="","",'Thiết lập'!$B$5)</f>
        <v/>
      </c>
      <c r="H55" s="19" t="str">
        <f>IF(C55="","",'Thiết lập'!$B$6)</f>
        <v/>
      </c>
      <c r="I55" s="19" t="str">
        <f>IF(C55="","",'Thiết lập'!$B$7)</f>
        <v/>
      </c>
      <c r="J55" s="19">
        <f t="shared" si="3"/>
        <v>0</v>
      </c>
      <c r="K55" s="19">
        <f t="shared" si="4"/>
        <v>0</v>
      </c>
      <c r="L55" s="19">
        <f t="shared" si="5"/>
        <v>0</v>
      </c>
      <c r="M55" s="19">
        <f t="shared" si="6"/>
        <v>0</v>
      </c>
      <c r="N55" s="19">
        <f t="shared" si="7"/>
        <v>0</v>
      </c>
      <c r="O55" s="19">
        <f t="shared" si="12"/>
        <v>0</v>
      </c>
      <c r="P55" s="19">
        <f t="shared" si="13"/>
        <v>0</v>
      </c>
      <c r="Q55" s="23"/>
      <c r="R55" s="23"/>
      <c r="S55" s="37" t="str">
        <f t="shared" si="11"/>
        <v/>
      </c>
      <c r="T55" s="44"/>
      <c r="U55" s="45"/>
      <c r="V55" s="37" t="str">
        <f t="array" ref="V55">IFERROR(INDEX('Hàng hóa'!$F$4:$F$203,MATCH(T55,'Hàng hóa'!$B$4:$B$203,0)),"")</f>
        <v/>
      </c>
      <c r="W55" s="19">
        <f t="array" ref="W55">IFERROR(INDEX('Hàng hóa'!$H$4:$H$203,MATCH(T55,'Hàng hóa'!$B$4:$B$203,0)),0)</f>
        <v>0</v>
      </c>
      <c r="X55" s="20">
        <f t="shared" si="10"/>
        <v>0</v>
      </c>
      <c r="Y55" s="15"/>
      <c r="AA55" s="9" t="str">
        <f t="shared" si="1"/>
        <v/>
      </c>
      <c r="AB55" s="9" t="str">
        <f>IF('Hàng hóa'!K56&lt;&gt;"",'Hàng hóa'!K56,"")</f>
        <v/>
      </c>
    </row>
    <row r="56" ht="15.75" customHeight="1">
      <c r="A56" s="43"/>
      <c r="B56" s="37" t="str">
        <f t="shared" si="2"/>
        <v/>
      </c>
      <c r="C56" s="44"/>
      <c r="D56" s="45"/>
      <c r="E56" s="45"/>
      <c r="F56" s="47" t="str">
        <f>IF(C56="","",'Thiết lập'!$B$4)</f>
        <v/>
      </c>
      <c r="G56" s="19" t="str">
        <f>IF(C56="","",'Thiết lập'!$B$5)</f>
        <v/>
      </c>
      <c r="H56" s="19" t="str">
        <f>IF(C56="","",'Thiết lập'!$B$6)</f>
        <v/>
      </c>
      <c r="I56" s="19" t="str">
        <f>IF(C56="","",'Thiết lập'!$B$7)</f>
        <v/>
      </c>
      <c r="J56" s="19">
        <f t="shared" si="3"/>
        <v>0</v>
      </c>
      <c r="K56" s="19">
        <f t="shared" si="4"/>
        <v>0</v>
      </c>
      <c r="L56" s="19">
        <f t="shared" si="5"/>
        <v>0</v>
      </c>
      <c r="M56" s="19">
        <f t="shared" si="6"/>
        <v>0</v>
      </c>
      <c r="N56" s="19">
        <f t="shared" si="7"/>
        <v>0</v>
      </c>
      <c r="O56" s="19">
        <f t="shared" si="12"/>
        <v>0</v>
      </c>
      <c r="P56" s="19">
        <f t="shared" si="13"/>
        <v>0</v>
      </c>
      <c r="Q56" s="23"/>
      <c r="R56" s="23"/>
      <c r="S56" s="37" t="str">
        <f t="shared" si="11"/>
        <v/>
      </c>
      <c r="T56" s="44"/>
      <c r="U56" s="45"/>
      <c r="V56" s="37" t="str">
        <f t="array" ref="V56">IFERROR(INDEX('Hàng hóa'!$F$4:$F$203,MATCH(T56,'Hàng hóa'!$B$4:$B$203,0)),"")</f>
        <v/>
      </c>
      <c r="W56" s="19">
        <f t="array" ref="W56">IFERROR(INDEX('Hàng hóa'!$H$4:$H$203,MATCH(T56,'Hàng hóa'!$B$4:$B$203,0)),0)</f>
        <v>0</v>
      </c>
      <c r="X56" s="20">
        <f t="shared" si="10"/>
        <v>0</v>
      </c>
      <c r="Y56" s="15"/>
      <c r="AA56" s="9" t="str">
        <f t="shared" si="1"/>
        <v/>
      </c>
      <c r="AB56" s="9" t="str">
        <f>IF('Hàng hóa'!K57&lt;&gt;"",'Hàng hóa'!K57,"")</f>
        <v/>
      </c>
    </row>
    <row r="57" ht="15.75" customHeight="1">
      <c r="A57" s="43"/>
      <c r="B57" s="37" t="str">
        <f t="shared" si="2"/>
        <v/>
      </c>
      <c r="C57" s="44"/>
      <c r="D57" s="45"/>
      <c r="E57" s="45"/>
      <c r="F57" s="47" t="str">
        <f>IF(C57="","",'Thiết lập'!$B$4)</f>
        <v/>
      </c>
      <c r="G57" s="19" t="str">
        <f>IF(C57="","",'Thiết lập'!$B$5)</f>
        <v/>
      </c>
      <c r="H57" s="19" t="str">
        <f>IF(C57="","",'Thiết lập'!$B$6)</f>
        <v/>
      </c>
      <c r="I57" s="19" t="str">
        <f>IF(C57="","",'Thiết lập'!$B$7)</f>
        <v/>
      </c>
      <c r="J57" s="19">
        <f t="shared" si="3"/>
        <v>0</v>
      </c>
      <c r="K57" s="19">
        <f t="shared" si="4"/>
        <v>0</v>
      </c>
      <c r="L57" s="19">
        <f t="shared" si="5"/>
        <v>0</v>
      </c>
      <c r="M57" s="19">
        <f t="shared" si="6"/>
        <v>0</v>
      </c>
      <c r="N57" s="19">
        <f t="shared" si="7"/>
        <v>0</v>
      </c>
      <c r="O57" s="19">
        <f t="shared" si="12"/>
        <v>0</v>
      </c>
      <c r="P57" s="19">
        <f t="shared" si="13"/>
        <v>0</v>
      </c>
      <c r="Q57" s="23"/>
      <c r="R57" s="23"/>
      <c r="S57" s="37" t="str">
        <f t="shared" si="11"/>
        <v/>
      </c>
      <c r="T57" s="44"/>
      <c r="U57" s="45"/>
      <c r="V57" s="37" t="str">
        <f t="array" ref="V57">IFERROR(INDEX('Hàng hóa'!$F$4:$F$203,MATCH(T57,'Hàng hóa'!$B$4:$B$203,0)),"")</f>
        <v/>
      </c>
      <c r="W57" s="19">
        <f t="array" ref="W57">IFERROR(INDEX('Hàng hóa'!$H$4:$H$203,MATCH(T57,'Hàng hóa'!$B$4:$B$203,0)),0)</f>
        <v>0</v>
      </c>
      <c r="X57" s="20">
        <f t="shared" si="10"/>
        <v>0</v>
      </c>
      <c r="Y57" s="15"/>
      <c r="AA57" s="9" t="str">
        <f t="shared" si="1"/>
        <v/>
      </c>
      <c r="AB57" s="9" t="str">
        <f>IF('Hàng hóa'!K58&lt;&gt;"",'Hàng hóa'!K58,"")</f>
        <v/>
      </c>
    </row>
    <row r="58" ht="15.75" customHeight="1">
      <c r="A58" s="43"/>
      <c r="B58" s="37" t="str">
        <f t="shared" si="2"/>
        <v/>
      </c>
      <c r="C58" s="44"/>
      <c r="D58" s="45"/>
      <c r="E58" s="45"/>
      <c r="F58" s="47" t="str">
        <f>IF(C58="","",'Thiết lập'!$B$4)</f>
        <v/>
      </c>
      <c r="G58" s="19" t="str">
        <f>IF(C58="","",'Thiết lập'!$B$5)</f>
        <v/>
      </c>
      <c r="H58" s="19" t="str">
        <f>IF(C58="","",'Thiết lập'!$B$6)</f>
        <v/>
      </c>
      <c r="I58" s="19" t="str">
        <f>IF(C58="","",'Thiết lập'!$B$7)</f>
        <v/>
      </c>
      <c r="J58" s="19">
        <f t="shared" si="3"/>
        <v>0</v>
      </c>
      <c r="K58" s="19">
        <f t="shared" si="4"/>
        <v>0</v>
      </c>
      <c r="L58" s="19">
        <f t="shared" si="5"/>
        <v>0</v>
      </c>
      <c r="M58" s="19">
        <f t="shared" si="6"/>
        <v>0</v>
      </c>
      <c r="N58" s="19">
        <f t="shared" si="7"/>
        <v>0</v>
      </c>
      <c r="O58" s="19">
        <f t="shared" si="12"/>
        <v>0</v>
      </c>
      <c r="P58" s="19">
        <f t="shared" si="13"/>
        <v>0</v>
      </c>
      <c r="Q58" s="23"/>
      <c r="R58" s="23"/>
      <c r="S58" s="37" t="str">
        <f t="shared" si="11"/>
        <v/>
      </c>
      <c r="T58" s="44"/>
      <c r="U58" s="45"/>
      <c r="V58" s="37" t="str">
        <f t="array" ref="V58">IFERROR(INDEX('Hàng hóa'!$F$4:$F$203,MATCH(T58,'Hàng hóa'!$B$4:$B$203,0)),"")</f>
        <v/>
      </c>
      <c r="W58" s="19">
        <f t="array" ref="W58">IFERROR(INDEX('Hàng hóa'!$H$4:$H$203,MATCH(T58,'Hàng hóa'!$B$4:$B$203,0)),0)</f>
        <v>0</v>
      </c>
      <c r="X58" s="20">
        <f t="shared" si="10"/>
        <v>0</v>
      </c>
      <c r="Y58" s="15"/>
      <c r="AA58" s="9" t="str">
        <f t="shared" si="1"/>
        <v/>
      </c>
      <c r="AB58" s="9" t="str">
        <f>IF('Hàng hóa'!K59&lt;&gt;"",'Hàng hóa'!K59,"")</f>
        <v/>
      </c>
    </row>
    <row r="59" ht="15.75" customHeight="1">
      <c r="A59" s="43"/>
      <c r="B59" s="37" t="str">
        <f t="shared" si="2"/>
        <v/>
      </c>
      <c r="C59" s="44"/>
      <c r="D59" s="45"/>
      <c r="E59" s="45"/>
      <c r="F59" s="47" t="str">
        <f>IF(C59="","",'Thiết lập'!$B$4)</f>
        <v/>
      </c>
      <c r="G59" s="19" t="str">
        <f>IF(C59="","",'Thiết lập'!$B$5)</f>
        <v/>
      </c>
      <c r="H59" s="19" t="str">
        <f>IF(C59="","",'Thiết lập'!$B$6)</f>
        <v/>
      </c>
      <c r="I59" s="19" t="str">
        <f>IF(C59="","",'Thiết lập'!$B$7)</f>
        <v/>
      </c>
      <c r="J59" s="19">
        <f t="shared" si="3"/>
        <v>0</v>
      </c>
      <c r="K59" s="19">
        <f t="shared" si="4"/>
        <v>0</v>
      </c>
      <c r="L59" s="19">
        <f t="shared" si="5"/>
        <v>0</v>
      </c>
      <c r="M59" s="19">
        <f t="shared" si="6"/>
        <v>0</v>
      </c>
      <c r="N59" s="19">
        <f t="shared" si="7"/>
        <v>0</v>
      </c>
      <c r="O59" s="19">
        <f t="shared" si="12"/>
        <v>0</v>
      </c>
      <c r="P59" s="19">
        <f t="shared" si="13"/>
        <v>0</v>
      </c>
      <c r="Q59" s="23"/>
      <c r="R59" s="23"/>
      <c r="S59" s="37" t="str">
        <f t="shared" si="11"/>
        <v/>
      </c>
      <c r="T59" s="44"/>
      <c r="U59" s="45"/>
      <c r="V59" s="37" t="str">
        <f t="array" ref="V59">IFERROR(INDEX('Hàng hóa'!$F$4:$F$203,MATCH(T59,'Hàng hóa'!$B$4:$B$203,0)),"")</f>
        <v/>
      </c>
      <c r="W59" s="19">
        <f t="array" ref="W59">IFERROR(INDEX('Hàng hóa'!$H$4:$H$203,MATCH(T59,'Hàng hóa'!$B$4:$B$203,0)),0)</f>
        <v>0</v>
      </c>
      <c r="X59" s="20">
        <f t="shared" si="10"/>
        <v>0</v>
      </c>
      <c r="Y59" s="15"/>
      <c r="AA59" s="9" t="str">
        <f t="shared" si="1"/>
        <v/>
      </c>
      <c r="AB59" s="9" t="str">
        <f>IF('Hàng hóa'!K60&lt;&gt;"",'Hàng hóa'!K60,"")</f>
        <v/>
      </c>
    </row>
    <row r="60" ht="15.75" customHeight="1">
      <c r="A60" s="43"/>
      <c r="B60" s="37" t="str">
        <f t="shared" si="2"/>
        <v/>
      </c>
      <c r="C60" s="44"/>
      <c r="D60" s="45"/>
      <c r="E60" s="45"/>
      <c r="F60" s="47" t="str">
        <f>IF(C60="","",'Thiết lập'!$B$4)</f>
        <v/>
      </c>
      <c r="G60" s="19" t="str">
        <f>IF(C60="","",'Thiết lập'!$B$5)</f>
        <v/>
      </c>
      <c r="H60" s="19" t="str">
        <f>IF(C60="","",'Thiết lập'!$B$6)</f>
        <v/>
      </c>
      <c r="I60" s="19" t="str">
        <f>IF(C60="","",'Thiết lập'!$B$7)</f>
        <v/>
      </c>
      <c r="J60" s="19">
        <f t="shared" si="3"/>
        <v>0</v>
      </c>
      <c r="K60" s="19">
        <f t="shared" si="4"/>
        <v>0</v>
      </c>
      <c r="L60" s="19">
        <f t="shared" si="5"/>
        <v>0</v>
      </c>
      <c r="M60" s="19">
        <f t="shared" si="6"/>
        <v>0</v>
      </c>
      <c r="N60" s="19">
        <f t="shared" si="7"/>
        <v>0</v>
      </c>
      <c r="O60" s="19">
        <f t="shared" si="12"/>
        <v>0</v>
      </c>
      <c r="P60" s="19">
        <f t="shared" si="13"/>
        <v>0</v>
      </c>
      <c r="Q60" s="23"/>
      <c r="R60" s="23"/>
      <c r="S60" s="37" t="str">
        <f t="shared" si="11"/>
        <v/>
      </c>
      <c r="T60" s="44"/>
      <c r="U60" s="45"/>
      <c r="V60" s="37" t="str">
        <f t="array" ref="V60">IFERROR(INDEX('Hàng hóa'!$F$4:$F$203,MATCH(T60,'Hàng hóa'!$B$4:$B$203,0)),"")</f>
        <v/>
      </c>
      <c r="W60" s="19">
        <f t="array" ref="W60">IFERROR(INDEX('Hàng hóa'!$H$4:$H$203,MATCH(T60,'Hàng hóa'!$B$4:$B$203,0)),0)</f>
        <v>0</v>
      </c>
      <c r="X60" s="20">
        <f t="shared" si="10"/>
        <v>0</v>
      </c>
      <c r="Y60" s="15"/>
      <c r="AA60" s="9" t="str">
        <f t="shared" si="1"/>
        <v/>
      </c>
      <c r="AB60" s="9" t="str">
        <f>IF('Hàng hóa'!K61&lt;&gt;"",'Hàng hóa'!K61,"")</f>
        <v/>
      </c>
    </row>
    <row r="61" ht="15.75" customHeight="1">
      <c r="A61" s="43"/>
      <c r="B61" s="37" t="str">
        <f t="shared" si="2"/>
        <v/>
      </c>
      <c r="C61" s="44"/>
      <c r="D61" s="45"/>
      <c r="E61" s="45"/>
      <c r="F61" s="47" t="str">
        <f>IF(C61="","",'Thiết lập'!$B$4)</f>
        <v/>
      </c>
      <c r="G61" s="19" t="str">
        <f>IF(C61="","",'Thiết lập'!$B$5)</f>
        <v/>
      </c>
      <c r="H61" s="19" t="str">
        <f>IF(C61="","",'Thiết lập'!$B$6)</f>
        <v/>
      </c>
      <c r="I61" s="19" t="str">
        <f>IF(C61="","",'Thiết lập'!$B$7)</f>
        <v/>
      </c>
      <c r="J61" s="19">
        <f t="shared" si="3"/>
        <v>0</v>
      </c>
      <c r="K61" s="19">
        <f t="shared" si="4"/>
        <v>0</v>
      </c>
      <c r="L61" s="19">
        <f t="shared" si="5"/>
        <v>0</v>
      </c>
      <c r="M61" s="19">
        <f t="shared" si="6"/>
        <v>0</v>
      </c>
      <c r="N61" s="19">
        <f t="shared" si="7"/>
        <v>0</v>
      </c>
      <c r="O61" s="19">
        <f t="shared" si="12"/>
        <v>0</v>
      </c>
      <c r="P61" s="19">
        <f t="shared" si="13"/>
        <v>0</v>
      </c>
      <c r="Q61" s="23"/>
      <c r="R61" s="23"/>
      <c r="S61" s="37" t="str">
        <f t="shared" si="11"/>
        <v/>
      </c>
      <c r="T61" s="44"/>
      <c r="U61" s="45"/>
      <c r="V61" s="37" t="str">
        <f t="array" ref="V61">IFERROR(INDEX('Hàng hóa'!$F$4:$F$203,MATCH(T61,'Hàng hóa'!$B$4:$B$203,0)),"")</f>
        <v/>
      </c>
      <c r="W61" s="19">
        <f t="array" ref="W61">IFERROR(INDEX('Hàng hóa'!$H$4:$H$203,MATCH(T61,'Hàng hóa'!$B$4:$B$203,0)),0)</f>
        <v>0</v>
      </c>
      <c r="X61" s="20">
        <f t="shared" si="10"/>
        <v>0</v>
      </c>
      <c r="Y61" s="15"/>
      <c r="AA61" s="9" t="str">
        <f t="shared" si="1"/>
        <v/>
      </c>
      <c r="AB61" s="9" t="str">
        <f>IF('Hàng hóa'!K62&lt;&gt;"",'Hàng hóa'!K62,"")</f>
        <v/>
      </c>
    </row>
    <row r="62" ht="15.75" customHeight="1">
      <c r="A62" s="43"/>
      <c r="B62" s="37" t="str">
        <f t="shared" si="2"/>
        <v/>
      </c>
      <c r="C62" s="44"/>
      <c r="D62" s="45"/>
      <c r="E62" s="45"/>
      <c r="F62" s="47" t="str">
        <f>IF(C62="","",'Thiết lập'!$B$4)</f>
        <v/>
      </c>
      <c r="G62" s="19" t="str">
        <f>IF(C62="","",'Thiết lập'!$B$5)</f>
        <v/>
      </c>
      <c r="H62" s="19" t="str">
        <f>IF(C62="","",'Thiết lập'!$B$6)</f>
        <v/>
      </c>
      <c r="I62" s="19" t="str">
        <f>IF(C62="","",'Thiết lập'!$B$7)</f>
        <v/>
      </c>
      <c r="J62" s="19">
        <f t="shared" si="3"/>
        <v>0</v>
      </c>
      <c r="K62" s="19">
        <f t="shared" si="4"/>
        <v>0</v>
      </c>
      <c r="L62" s="19">
        <f t="shared" si="5"/>
        <v>0</v>
      </c>
      <c r="M62" s="19">
        <f t="shared" si="6"/>
        <v>0</v>
      </c>
      <c r="N62" s="19">
        <f t="shared" si="7"/>
        <v>0</v>
      </c>
      <c r="O62" s="19">
        <f t="shared" si="12"/>
        <v>0</v>
      </c>
      <c r="P62" s="19">
        <f t="shared" si="13"/>
        <v>0</v>
      </c>
      <c r="Q62" s="23"/>
      <c r="R62" s="23"/>
      <c r="S62" s="37" t="str">
        <f t="shared" si="11"/>
        <v/>
      </c>
      <c r="T62" s="44"/>
      <c r="U62" s="45"/>
      <c r="V62" s="37" t="str">
        <f t="array" ref="V62">IFERROR(INDEX('Hàng hóa'!$F$4:$F$203,MATCH(T62,'Hàng hóa'!$B$4:$B$203,0)),"")</f>
        <v/>
      </c>
      <c r="W62" s="19">
        <f t="array" ref="W62">IFERROR(INDEX('Hàng hóa'!$H$4:$H$203,MATCH(T62,'Hàng hóa'!$B$4:$B$203,0)),0)</f>
        <v>0</v>
      </c>
      <c r="X62" s="20">
        <f t="shared" si="10"/>
        <v>0</v>
      </c>
      <c r="Y62" s="15"/>
      <c r="AA62" s="9" t="str">
        <f t="shared" si="1"/>
        <v/>
      </c>
      <c r="AB62" s="9" t="str">
        <f>IF('Hàng hóa'!K63&lt;&gt;"",'Hàng hóa'!K63,"")</f>
        <v/>
      </c>
    </row>
    <row r="63" ht="15.75" customHeight="1">
      <c r="A63" s="43"/>
      <c r="B63" s="37" t="str">
        <f t="shared" si="2"/>
        <v/>
      </c>
      <c r="C63" s="44"/>
      <c r="D63" s="45"/>
      <c r="E63" s="45"/>
      <c r="F63" s="47" t="str">
        <f>IF(C63="","",'Thiết lập'!$B$4)</f>
        <v/>
      </c>
      <c r="G63" s="19" t="str">
        <f>IF(C63="","",'Thiết lập'!$B$5)</f>
        <v/>
      </c>
      <c r="H63" s="19" t="str">
        <f>IF(C63="","",'Thiết lập'!$B$6)</f>
        <v/>
      </c>
      <c r="I63" s="19" t="str">
        <f>IF(C63="","",'Thiết lập'!$B$7)</f>
        <v/>
      </c>
      <c r="J63" s="19">
        <f t="shared" si="3"/>
        <v>0</v>
      </c>
      <c r="K63" s="19">
        <f t="shared" si="4"/>
        <v>0</v>
      </c>
      <c r="L63" s="19">
        <f t="shared" si="5"/>
        <v>0</v>
      </c>
      <c r="M63" s="19">
        <f t="shared" si="6"/>
        <v>0</v>
      </c>
      <c r="N63" s="19">
        <f t="shared" si="7"/>
        <v>0</v>
      </c>
      <c r="O63" s="19">
        <f t="shared" si="12"/>
        <v>0</v>
      </c>
      <c r="P63" s="19">
        <f t="shared" si="13"/>
        <v>0</v>
      </c>
      <c r="Q63" s="23"/>
      <c r="R63" s="23"/>
      <c r="S63" s="37" t="str">
        <f t="shared" si="11"/>
        <v/>
      </c>
      <c r="T63" s="44"/>
      <c r="U63" s="45"/>
      <c r="V63" s="37" t="str">
        <f t="array" ref="V63">IFERROR(INDEX('Hàng hóa'!$F$4:$F$203,MATCH(T63,'Hàng hóa'!$B$4:$B$203,0)),"")</f>
        <v/>
      </c>
      <c r="W63" s="19">
        <f t="array" ref="W63">IFERROR(INDEX('Hàng hóa'!$H$4:$H$203,MATCH(T63,'Hàng hóa'!$B$4:$B$203,0)),0)</f>
        <v>0</v>
      </c>
      <c r="X63" s="20">
        <f t="shared" si="10"/>
        <v>0</v>
      </c>
      <c r="Y63" s="15"/>
      <c r="AA63" s="9" t="str">
        <f t="shared" si="1"/>
        <v/>
      </c>
      <c r="AB63" s="9" t="str">
        <f>IF('Hàng hóa'!K64&lt;&gt;"",'Hàng hóa'!K64,"")</f>
        <v/>
      </c>
    </row>
    <row r="64" ht="15.75" customHeight="1">
      <c r="A64" s="43"/>
      <c r="B64" s="37" t="str">
        <f t="shared" si="2"/>
        <v/>
      </c>
      <c r="C64" s="44"/>
      <c r="D64" s="45"/>
      <c r="E64" s="45"/>
      <c r="F64" s="47" t="str">
        <f>IF(C64="","",'Thiết lập'!$B$4)</f>
        <v/>
      </c>
      <c r="G64" s="19" t="str">
        <f>IF(C64="","",'Thiết lập'!$B$5)</f>
        <v/>
      </c>
      <c r="H64" s="19" t="str">
        <f>IF(C64="","",'Thiết lập'!$B$6)</f>
        <v/>
      </c>
      <c r="I64" s="19" t="str">
        <f>IF(C64="","",'Thiết lập'!$B$7)</f>
        <v/>
      </c>
      <c r="J64" s="19">
        <f t="shared" si="3"/>
        <v>0</v>
      </c>
      <c r="K64" s="19">
        <f t="shared" si="4"/>
        <v>0</v>
      </c>
      <c r="L64" s="19">
        <f t="shared" si="5"/>
        <v>0</v>
      </c>
      <c r="M64" s="19">
        <f t="shared" si="6"/>
        <v>0</v>
      </c>
      <c r="N64" s="19">
        <f t="shared" si="7"/>
        <v>0</v>
      </c>
      <c r="O64" s="19">
        <f t="shared" si="12"/>
        <v>0</v>
      </c>
      <c r="P64" s="19">
        <f t="shared" si="13"/>
        <v>0</v>
      </c>
      <c r="Q64" s="23"/>
      <c r="R64" s="23"/>
      <c r="S64" s="37" t="str">
        <f t="shared" si="11"/>
        <v/>
      </c>
      <c r="T64" s="44"/>
      <c r="U64" s="45"/>
      <c r="V64" s="37" t="str">
        <f t="array" ref="V64">IFERROR(INDEX('Hàng hóa'!$F$4:$F$203,MATCH(T64,'Hàng hóa'!$B$4:$B$203,0)),"")</f>
        <v/>
      </c>
      <c r="W64" s="19">
        <f t="array" ref="W64">IFERROR(INDEX('Hàng hóa'!$H$4:$H$203,MATCH(T64,'Hàng hóa'!$B$4:$B$203,0)),0)</f>
        <v>0</v>
      </c>
      <c r="X64" s="20">
        <f t="shared" si="10"/>
        <v>0</v>
      </c>
      <c r="Y64" s="15"/>
      <c r="AA64" s="9" t="str">
        <f t="shared" si="1"/>
        <v/>
      </c>
      <c r="AB64" s="9" t="str">
        <f>IF('Hàng hóa'!K65&lt;&gt;"",'Hàng hóa'!K65,"")</f>
        <v/>
      </c>
    </row>
    <row r="65" ht="15.75" customHeight="1">
      <c r="A65" s="43"/>
      <c r="B65" s="37" t="str">
        <f t="shared" si="2"/>
        <v/>
      </c>
      <c r="C65" s="44"/>
      <c r="D65" s="45"/>
      <c r="E65" s="45"/>
      <c r="F65" s="47" t="str">
        <f>IF(C65="","",'Thiết lập'!$B$4)</f>
        <v/>
      </c>
      <c r="G65" s="19" t="str">
        <f>IF(C65="","",'Thiết lập'!$B$5)</f>
        <v/>
      </c>
      <c r="H65" s="19" t="str">
        <f>IF(C65="","",'Thiết lập'!$B$6)</f>
        <v/>
      </c>
      <c r="I65" s="19" t="str">
        <f>IF(C65="","",'Thiết lập'!$B$7)</f>
        <v/>
      </c>
      <c r="J65" s="19">
        <f t="shared" si="3"/>
        <v>0</v>
      </c>
      <c r="K65" s="19">
        <f t="shared" si="4"/>
        <v>0</v>
      </c>
      <c r="L65" s="19">
        <f t="shared" si="5"/>
        <v>0</v>
      </c>
      <c r="M65" s="19">
        <f t="shared" si="6"/>
        <v>0</v>
      </c>
      <c r="N65" s="19">
        <f t="shared" si="7"/>
        <v>0</v>
      </c>
      <c r="O65" s="19">
        <f t="shared" si="12"/>
        <v>0</v>
      </c>
      <c r="P65" s="19">
        <f t="shared" si="13"/>
        <v>0</v>
      </c>
      <c r="Q65" s="23"/>
      <c r="R65" s="23"/>
      <c r="S65" s="37" t="str">
        <f t="shared" si="11"/>
        <v/>
      </c>
      <c r="T65" s="44"/>
      <c r="U65" s="45"/>
      <c r="V65" s="37" t="str">
        <f t="array" ref="V65">IFERROR(INDEX('Hàng hóa'!$F$4:$F$203,MATCH(T65,'Hàng hóa'!$B$4:$B$203,0)),"")</f>
        <v/>
      </c>
      <c r="W65" s="19">
        <f t="array" ref="W65">IFERROR(INDEX('Hàng hóa'!$H$4:$H$203,MATCH(T65,'Hàng hóa'!$B$4:$B$203,0)),0)</f>
        <v>0</v>
      </c>
      <c r="X65" s="20">
        <f t="shared" si="10"/>
        <v>0</v>
      </c>
      <c r="Y65" s="15"/>
      <c r="AA65" s="9" t="str">
        <f t="shared" si="1"/>
        <v/>
      </c>
      <c r="AB65" s="9" t="str">
        <f>IF('Hàng hóa'!K66&lt;&gt;"",'Hàng hóa'!K66,"")</f>
        <v/>
      </c>
    </row>
    <row r="66" ht="15.75" customHeight="1">
      <c r="A66" s="43"/>
      <c r="B66" s="37" t="str">
        <f t="shared" si="2"/>
        <v/>
      </c>
      <c r="C66" s="44"/>
      <c r="D66" s="45"/>
      <c r="E66" s="45"/>
      <c r="F66" s="47" t="str">
        <f>IF(C66="","",'Thiết lập'!$B$4)</f>
        <v/>
      </c>
      <c r="G66" s="19" t="str">
        <f>IF(C66="","",'Thiết lập'!$B$5)</f>
        <v/>
      </c>
      <c r="H66" s="19" t="str">
        <f>IF(C66="","",'Thiết lập'!$B$6)</f>
        <v/>
      </c>
      <c r="I66" s="19" t="str">
        <f>IF(C66="","",'Thiết lập'!$B$7)</f>
        <v/>
      </c>
      <c r="J66" s="19">
        <f t="shared" si="3"/>
        <v>0</v>
      </c>
      <c r="K66" s="19">
        <f t="shared" si="4"/>
        <v>0</v>
      </c>
      <c r="L66" s="19">
        <f t="shared" si="5"/>
        <v>0</v>
      </c>
      <c r="M66" s="19">
        <f t="shared" si="6"/>
        <v>0</v>
      </c>
      <c r="N66" s="19">
        <f t="shared" si="7"/>
        <v>0</v>
      </c>
      <c r="O66" s="19">
        <f t="shared" si="12"/>
        <v>0</v>
      </c>
      <c r="P66" s="19">
        <f t="shared" si="13"/>
        <v>0</v>
      </c>
      <c r="Q66" s="23"/>
      <c r="R66" s="23"/>
      <c r="S66" s="37" t="str">
        <f t="shared" si="11"/>
        <v/>
      </c>
      <c r="T66" s="44"/>
      <c r="U66" s="45"/>
      <c r="V66" s="37" t="str">
        <f t="array" ref="V66">IFERROR(INDEX('Hàng hóa'!$F$4:$F$203,MATCH(T66,'Hàng hóa'!$B$4:$B$203,0)),"")</f>
        <v/>
      </c>
      <c r="W66" s="19">
        <f t="array" ref="W66">IFERROR(INDEX('Hàng hóa'!$H$4:$H$203,MATCH(T66,'Hàng hóa'!$B$4:$B$203,0)),0)</f>
        <v>0</v>
      </c>
      <c r="X66" s="20">
        <f t="shared" si="10"/>
        <v>0</v>
      </c>
      <c r="Y66" s="15"/>
      <c r="AA66" s="9" t="str">
        <f t="shared" si="1"/>
        <v/>
      </c>
      <c r="AB66" s="9" t="str">
        <f>IF('Hàng hóa'!K67&lt;&gt;"",'Hàng hóa'!K67,"")</f>
        <v/>
      </c>
    </row>
    <row r="67" ht="15.75" customHeight="1">
      <c r="A67" s="43"/>
      <c r="B67" s="37" t="str">
        <f t="shared" si="2"/>
        <v/>
      </c>
      <c r="C67" s="44"/>
      <c r="D67" s="45"/>
      <c r="E67" s="45"/>
      <c r="F67" s="47" t="str">
        <f>IF(C67="","",'Thiết lập'!$B$4)</f>
        <v/>
      </c>
      <c r="G67" s="19" t="str">
        <f>IF(C67="","",'Thiết lập'!$B$5)</f>
        <v/>
      </c>
      <c r="H67" s="19" t="str">
        <f>IF(C67="","",'Thiết lập'!$B$6)</f>
        <v/>
      </c>
      <c r="I67" s="19" t="str">
        <f>IF(C67="","",'Thiết lập'!$B$7)</f>
        <v/>
      </c>
      <c r="J67" s="19">
        <f t="shared" si="3"/>
        <v>0</v>
      </c>
      <c r="K67" s="19">
        <f t="shared" si="4"/>
        <v>0</v>
      </c>
      <c r="L67" s="19">
        <f t="shared" si="5"/>
        <v>0</v>
      </c>
      <c r="M67" s="19">
        <f t="shared" si="6"/>
        <v>0</v>
      </c>
      <c r="N67" s="19">
        <f t="shared" si="7"/>
        <v>0</v>
      </c>
      <c r="O67" s="19">
        <f t="shared" si="12"/>
        <v>0</v>
      </c>
      <c r="P67" s="19">
        <f t="shared" si="13"/>
        <v>0</v>
      </c>
      <c r="Q67" s="23"/>
      <c r="R67" s="23"/>
      <c r="S67" s="37" t="str">
        <f t="shared" si="11"/>
        <v/>
      </c>
      <c r="T67" s="44"/>
      <c r="U67" s="45"/>
      <c r="V67" s="37" t="str">
        <f t="array" ref="V67">IFERROR(INDEX('Hàng hóa'!$F$4:$F$203,MATCH(T67,'Hàng hóa'!$B$4:$B$203,0)),"")</f>
        <v/>
      </c>
      <c r="W67" s="19">
        <f t="array" ref="W67">IFERROR(INDEX('Hàng hóa'!$H$4:$H$203,MATCH(T67,'Hàng hóa'!$B$4:$B$203,0)),0)</f>
        <v>0</v>
      </c>
      <c r="X67" s="20">
        <f t="shared" si="10"/>
        <v>0</v>
      </c>
      <c r="Y67" s="15"/>
      <c r="AA67" s="9" t="str">
        <f t="shared" si="1"/>
        <v/>
      </c>
      <c r="AB67" s="9" t="str">
        <f>IF('Hàng hóa'!K68&lt;&gt;"",'Hàng hóa'!K68,"")</f>
        <v/>
      </c>
    </row>
    <row r="68" ht="15.75" customHeight="1">
      <c r="A68" s="43"/>
      <c r="B68" s="37" t="str">
        <f t="shared" si="2"/>
        <v/>
      </c>
      <c r="C68" s="44"/>
      <c r="D68" s="45"/>
      <c r="E68" s="45"/>
      <c r="F68" s="47" t="str">
        <f>IF(C68="","",'Thiết lập'!$B$4)</f>
        <v/>
      </c>
      <c r="G68" s="19" t="str">
        <f>IF(C68="","",'Thiết lập'!$B$5)</f>
        <v/>
      </c>
      <c r="H68" s="19" t="str">
        <f>IF(C68="","",'Thiết lập'!$B$6)</f>
        <v/>
      </c>
      <c r="I68" s="19" t="str">
        <f>IF(C68="","",'Thiết lập'!$B$7)</f>
        <v/>
      </c>
      <c r="J68" s="19">
        <f t="shared" si="3"/>
        <v>0</v>
      </c>
      <c r="K68" s="19">
        <f t="shared" si="4"/>
        <v>0</v>
      </c>
      <c r="L68" s="19">
        <f t="shared" si="5"/>
        <v>0</v>
      </c>
      <c r="M68" s="19">
        <f t="shared" si="6"/>
        <v>0</v>
      </c>
      <c r="N68" s="19">
        <f t="shared" si="7"/>
        <v>0</v>
      </c>
      <c r="O68" s="19">
        <f t="shared" si="12"/>
        <v>0</v>
      </c>
      <c r="P68" s="19">
        <f t="shared" si="13"/>
        <v>0</v>
      </c>
      <c r="Q68" s="23"/>
      <c r="R68" s="23"/>
      <c r="S68" s="37" t="str">
        <f t="shared" si="11"/>
        <v/>
      </c>
      <c r="T68" s="44"/>
      <c r="U68" s="45"/>
      <c r="V68" s="37" t="str">
        <f t="array" ref="V68">IFERROR(INDEX('Hàng hóa'!$F$4:$F$203,MATCH(T68,'Hàng hóa'!$B$4:$B$203,0)),"")</f>
        <v/>
      </c>
      <c r="W68" s="19">
        <f t="array" ref="W68">IFERROR(INDEX('Hàng hóa'!$H$4:$H$203,MATCH(T68,'Hàng hóa'!$B$4:$B$203,0)),0)</f>
        <v>0</v>
      </c>
      <c r="X68" s="20">
        <f t="shared" si="10"/>
        <v>0</v>
      </c>
      <c r="Y68" s="15"/>
      <c r="AA68" s="9" t="str">
        <f t="shared" si="1"/>
        <v/>
      </c>
      <c r="AB68" s="9" t="str">
        <f>IF('Hàng hóa'!K69&lt;&gt;"",'Hàng hóa'!K69,"")</f>
        <v/>
      </c>
    </row>
    <row r="69" ht="15.75" customHeight="1">
      <c r="A69" s="43"/>
      <c r="B69" s="37" t="str">
        <f t="shared" si="2"/>
        <v/>
      </c>
      <c r="C69" s="44"/>
      <c r="D69" s="45"/>
      <c r="E69" s="45"/>
      <c r="F69" s="47" t="str">
        <f>IF(C69="","",'Thiết lập'!$B$4)</f>
        <v/>
      </c>
      <c r="G69" s="19" t="str">
        <f>IF(C69="","",'Thiết lập'!$B$5)</f>
        <v/>
      </c>
      <c r="H69" s="19" t="str">
        <f>IF(C69="","",'Thiết lập'!$B$6)</f>
        <v/>
      </c>
      <c r="I69" s="19" t="str">
        <f>IF(C69="","",'Thiết lập'!$B$7)</f>
        <v/>
      </c>
      <c r="J69" s="19">
        <f t="shared" si="3"/>
        <v>0</v>
      </c>
      <c r="K69" s="19">
        <f t="shared" si="4"/>
        <v>0</v>
      </c>
      <c r="L69" s="19">
        <f t="shared" si="5"/>
        <v>0</v>
      </c>
      <c r="M69" s="19">
        <f t="shared" si="6"/>
        <v>0</v>
      </c>
      <c r="N69" s="19">
        <f t="shared" si="7"/>
        <v>0</v>
      </c>
      <c r="O69" s="19">
        <f t="shared" si="12"/>
        <v>0</v>
      </c>
      <c r="P69" s="19">
        <f t="shared" si="13"/>
        <v>0</v>
      </c>
      <c r="Q69" s="23"/>
      <c r="R69" s="23"/>
      <c r="S69" s="37" t="str">
        <f t="shared" si="11"/>
        <v/>
      </c>
      <c r="T69" s="44"/>
      <c r="U69" s="45"/>
      <c r="V69" s="37" t="str">
        <f t="array" ref="V69">IFERROR(INDEX('Hàng hóa'!$F$4:$F$203,MATCH(T69,'Hàng hóa'!$B$4:$B$203,0)),"")</f>
        <v/>
      </c>
      <c r="W69" s="19">
        <f t="array" ref="W69">IFERROR(INDEX('Hàng hóa'!$H$4:$H$203,MATCH(T69,'Hàng hóa'!$B$4:$B$203,0)),0)</f>
        <v>0</v>
      </c>
      <c r="X69" s="20">
        <f t="shared" si="10"/>
        <v>0</v>
      </c>
      <c r="Y69" s="15"/>
      <c r="AA69" s="9" t="str">
        <f t="shared" si="1"/>
        <v/>
      </c>
      <c r="AB69" s="9" t="str">
        <f>IF('Hàng hóa'!K70&lt;&gt;"",'Hàng hóa'!K70,"")</f>
        <v/>
      </c>
    </row>
    <row r="70" ht="15.75" customHeight="1">
      <c r="A70" s="43"/>
      <c r="B70" s="37" t="str">
        <f t="shared" si="2"/>
        <v/>
      </c>
      <c r="C70" s="44"/>
      <c r="D70" s="45"/>
      <c r="E70" s="45"/>
      <c r="F70" s="47" t="str">
        <f>IF(C70="","",'Thiết lập'!$B$4)</f>
        <v/>
      </c>
      <c r="G70" s="19" t="str">
        <f>IF(C70="","",'Thiết lập'!$B$5)</f>
        <v/>
      </c>
      <c r="H70" s="19" t="str">
        <f>IF(C70="","",'Thiết lập'!$B$6)</f>
        <v/>
      </c>
      <c r="I70" s="19" t="str">
        <f>IF(C70="","",'Thiết lập'!$B$7)</f>
        <v/>
      </c>
      <c r="J70" s="19">
        <f t="shared" si="3"/>
        <v>0</v>
      </c>
      <c r="K70" s="19">
        <f t="shared" si="4"/>
        <v>0</v>
      </c>
      <c r="L70" s="19">
        <f t="shared" si="5"/>
        <v>0</v>
      </c>
      <c r="M70" s="19">
        <f t="shared" si="6"/>
        <v>0</v>
      </c>
      <c r="N70" s="19">
        <f t="shared" si="7"/>
        <v>0</v>
      </c>
      <c r="O70" s="19">
        <f t="shared" si="12"/>
        <v>0</v>
      </c>
      <c r="P70" s="19">
        <f t="shared" si="13"/>
        <v>0</v>
      </c>
      <c r="Q70" s="23"/>
      <c r="R70" s="23"/>
      <c r="S70" s="37" t="str">
        <f t="shared" si="11"/>
        <v/>
      </c>
      <c r="T70" s="44"/>
      <c r="U70" s="45"/>
      <c r="V70" s="37" t="str">
        <f t="array" ref="V70">IFERROR(INDEX('Hàng hóa'!$F$4:$F$203,MATCH(T70,'Hàng hóa'!$B$4:$B$203,0)),"")</f>
        <v/>
      </c>
      <c r="W70" s="19">
        <f t="array" ref="W70">IFERROR(INDEX('Hàng hóa'!$H$4:$H$203,MATCH(T70,'Hàng hóa'!$B$4:$B$203,0)),0)</f>
        <v>0</v>
      </c>
      <c r="X70" s="20">
        <f t="shared" si="10"/>
        <v>0</v>
      </c>
      <c r="Y70" s="15"/>
      <c r="AA70" s="9" t="str">
        <f t="shared" si="1"/>
        <v/>
      </c>
      <c r="AB70" s="9" t="str">
        <f>IF('Hàng hóa'!K71&lt;&gt;"",'Hàng hóa'!K71,"")</f>
        <v/>
      </c>
    </row>
    <row r="71" ht="15.75" customHeight="1">
      <c r="A71" s="43"/>
      <c r="B71" s="37" t="str">
        <f t="shared" si="2"/>
        <v/>
      </c>
      <c r="C71" s="44"/>
      <c r="D71" s="45"/>
      <c r="E71" s="45"/>
      <c r="F71" s="47" t="str">
        <f>IF(C71="","",'Thiết lập'!$B$4)</f>
        <v/>
      </c>
      <c r="G71" s="19" t="str">
        <f>IF(C71="","",'Thiết lập'!$B$5)</f>
        <v/>
      </c>
      <c r="H71" s="19" t="str">
        <f>IF(C71="","",'Thiết lập'!$B$6)</f>
        <v/>
      </c>
      <c r="I71" s="19" t="str">
        <f>IF(C71="","",'Thiết lập'!$B$7)</f>
        <v/>
      </c>
      <c r="J71" s="19">
        <f t="shared" si="3"/>
        <v>0</v>
      </c>
      <c r="K71" s="19">
        <f t="shared" si="4"/>
        <v>0</v>
      </c>
      <c r="L71" s="19">
        <f t="shared" si="5"/>
        <v>0</v>
      </c>
      <c r="M71" s="19">
        <f t="shared" si="6"/>
        <v>0</v>
      </c>
      <c r="N71" s="19">
        <f t="shared" si="7"/>
        <v>0</v>
      </c>
      <c r="O71" s="19">
        <f t="shared" si="12"/>
        <v>0</v>
      </c>
      <c r="P71" s="19">
        <f t="shared" si="13"/>
        <v>0</v>
      </c>
      <c r="Q71" s="23"/>
      <c r="R71" s="23"/>
      <c r="S71" s="37" t="str">
        <f t="shared" si="11"/>
        <v/>
      </c>
      <c r="T71" s="44"/>
      <c r="U71" s="45"/>
      <c r="V71" s="37" t="str">
        <f t="array" ref="V71">IFERROR(INDEX('Hàng hóa'!$F$4:$F$203,MATCH(T71,'Hàng hóa'!$B$4:$B$203,0)),"")</f>
        <v/>
      </c>
      <c r="W71" s="19">
        <f t="array" ref="W71">IFERROR(INDEX('Hàng hóa'!$H$4:$H$203,MATCH(T71,'Hàng hóa'!$B$4:$B$203,0)),0)</f>
        <v>0</v>
      </c>
      <c r="X71" s="20">
        <f t="shared" si="10"/>
        <v>0</v>
      </c>
      <c r="Y71" s="15"/>
      <c r="AA71" s="9" t="str">
        <f t="shared" si="1"/>
        <v/>
      </c>
      <c r="AB71" s="9" t="str">
        <f>IF('Hàng hóa'!K72&lt;&gt;"",'Hàng hóa'!K72,"")</f>
        <v/>
      </c>
    </row>
    <row r="72" ht="15.75" customHeight="1">
      <c r="A72" s="43"/>
      <c r="B72" s="37" t="str">
        <f t="shared" si="2"/>
        <v/>
      </c>
      <c r="C72" s="44"/>
      <c r="D72" s="45"/>
      <c r="E72" s="45"/>
      <c r="F72" s="47" t="str">
        <f>IF(C72="","",'Thiết lập'!$B$4)</f>
        <v/>
      </c>
      <c r="G72" s="19" t="str">
        <f>IF(C72="","",'Thiết lập'!$B$5)</f>
        <v/>
      </c>
      <c r="H72" s="19" t="str">
        <f>IF(C72="","",'Thiết lập'!$B$6)</f>
        <v/>
      </c>
      <c r="I72" s="19" t="str">
        <f>IF(C72="","",'Thiết lập'!$B$7)</f>
        <v/>
      </c>
      <c r="J72" s="19">
        <f t="shared" si="3"/>
        <v>0</v>
      </c>
      <c r="K72" s="19">
        <f t="shared" si="4"/>
        <v>0</v>
      </c>
      <c r="L72" s="19">
        <f t="shared" si="5"/>
        <v>0</v>
      </c>
      <c r="M72" s="19">
        <f t="shared" si="6"/>
        <v>0</v>
      </c>
      <c r="N72" s="19">
        <f t="shared" si="7"/>
        <v>0</v>
      </c>
      <c r="O72" s="19">
        <f t="shared" si="12"/>
        <v>0</v>
      </c>
      <c r="P72" s="19">
        <f t="shared" si="13"/>
        <v>0</v>
      </c>
      <c r="Q72" s="23"/>
      <c r="R72" s="23"/>
      <c r="S72" s="37" t="str">
        <f t="shared" si="11"/>
        <v/>
      </c>
      <c r="T72" s="44"/>
      <c r="U72" s="45"/>
      <c r="V72" s="37" t="str">
        <f t="array" ref="V72">IFERROR(INDEX('Hàng hóa'!$F$4:$F$203,MATCH(T72,'Hàng hóa'!$B$4:$B$203,0)),"")</f>
        <v/>
      </c>
      <c r="W72" s="19">
        <f t="array" ref="W72">IFERROR(INDEX('Hàng hóa'!$H$4:$H$203,MATCH(T72,'Hàng hóa'!$B$4:$B$203,0)),0)</f>
        <v>0</v>
      </c>
      <c r="X72" s="20">
        <f t="shared" si="10"/>
        <v>0</v>
      </c>
      <c r="Y72" s="15"/>
      <c r="AA72" s="9" t="str">
        <f t="shared" si="1"/>
        <v/>
      </c>
      <c r="AB72" s="9" t="str">
        <f>IF('Hàng hóa'!K73&lt;&gt;"",'Hàng hóa'!K73,"")</f>
        <v/>
      </c>
    </row>
    <row r="73" ht="15.75" customHeight="1">
      <c r="A73" s="43"/>
      <c r="B73" s="37" t="str">
        <f t="shared" si="2"/>
        <v/>
      </c>
      <c r="C73" s="44"/>
      <c r="D73" s="45"/>
      <c r="E73" s="45"/>
      <c r="F73" s="47" t="str">
        <f>IF(C73="","",'Thiết lập'!$B$4)</f>
        <v/>
      </c>
      <c r="G73" s="19" t="str">
        <f>IF(C73="","",'Thiết lập'!$B$5)</f>
        <v/>
      </c>
      <c r="H73" s="19" t="str">
        <f>IF(C73="","",'Thiết lập'!$B$6)</f>
        <v/>
      </c>
      <c r="I73" s="19" t="str">
        <f>IF(C73="","",'Thiết lập'!$B$7)</f>
        <v/>
      </c>
      <c r="J73" s="19">
        <f t="shared" si="3"/>
        <v>0</v>
      </c>
      <c r="K73" s="19">
        <f t="shared" si="4"/>
        <v>0</v>
      </c>
      <c r="L73" s="19">
        <f t="shared" si="5"/>
        <v>0</v>
      </c>
      <c r="M73" s="19">
        <f t="shared" si="6"/>
        <v>0</v>
      </c>
      <c r="N73" s="19">
        <f t="shared" si="7"/>
        <v>0</v>
      </c>
      <c r="O73" s="19">
        <f t="shared" si="12"/>
        <v>0</v>
      </c>
      <c r="P73" s="19">
        <f t="shared" si="13"/>
        <v>0</v>
      </c>
      <c r="Q73" s="23"/>
      <c r="R73" s="23"/>
      <c r="S73" s="37" t="str">
        <f t="shared" si="11"/>
        <v/>
      </c>
      <c r="T73" s="44"/>
      <c r="U73" s="45"/>
      <c r="V73" s="37" t="str">
        <f t="array" ref="V73">IFERROR(INDEX('Hàng hóa'!$F$4:$F$203,MATCH(T73,'Hàng hóa'!$B$4:$B$203,0)),"")</f>
        <v/>
      </c>
      <c r="W73" s="19">
        <f t="array" ref="W73">IFERROR(INDEX('Hàng hóa'!$H$4:$H$203,MATCH(T73,'Hàng hóa'!$B$4:$B$203,0)),0)</f>
        <v>0</v>
      </c>
      <c r="X73" s="20">
        <f t="shared" si="10"/>
        <v>0</v>
      </c>
      <c r="Y73" s="15"/>
      <c r="AA73" s="9" t="str">
        <f t="shared" si="1"/>
        <v/>
      </c>
      <c r="AB73" s="9" t="str">
        <f>IF('Hàng hóa'!K74&lt;&gt;"",'Hàng hóa'!K74,"")</f>
        <v/>
      </c>
    </row>
    <row r="74" ht="15.75" customHeight="1">
      <c r="A74" s="43"/>
      <c r="B74" s="37" t="str">
        <f t="shared" si="2"/>
        <v/>
      </c>
      <c r="C74" s="44"/>
      <c r="D74" s="45"/>
      <c r="E74" s="45"/>
      <c r="F74" s="47" t="str">
        <f>IF(C74="","",'Thiết lập'!$B$4)</f>
        <v/>
      </c>
      <c r="G74" s="19" t="str">
        <f>IF(C74="","",'Thiết lập'!$B$5)</f>
        <v/>
      </c>
      <c r="H74" s="19" t="str">
        <f>IF(C74="","",'Thiết lập'!$B$6)</f>
        <v/>
      </c>
      <c r="I74" s="19" t="str">
        <f>IF(C74="","",'Thiết lập'!$B$7)</f>
        <v/>
      </c>
      <c r="J74" s="19">
        <f t="shared" si="3"/>
        <v>0</v>
      </c>
      <c r="K74" s="19">
        <f t="shared" si="4"/>
        <v>0</v>
      </c>
      <c r="L74" s="19">
        <f t="shared" si="5"/>
        <v>0</v>
      </c>
      <c r="M74" s="19">
        <f t="shared" si="6"/>
        <v>0</v>
      </c>
      <c r="N74" s="19">
        <f t="shared" si="7"/>
        <v>0</v>
      </c>
      <c r="O74" s="19">
        <f t="shared" si="12"/>
        <v>0</v>
      </c>
      <c r="P74" s="19">
        <f t="shared" si="13"/>
        <v>0</v>
      </c>
      <c r="Q74" s="23"/>
      <c r="R74" s="23"/>
      <c r="S74" s="37" t="str">
        <f t="shared" si="11"/>
        <v/>
      </c>
      <c r="T74" s="44"/>
      <c r="U74" s="45"/>
      <c r="V74" s="37" t="str">
        <f t="array" ref="V74">IFERROR(INDEX('Hàng hóa'!$F$4:$F$203,MATCH(T74,'Hàng hóa'!$B$4:$B$203,0)),"")</f>
        <v/>
      </c>
      <c r="W74" s="19">
        <f t="array" ref="W74">IFERROR(INDEX('Hàng hóa'!$H$4:$H$203,MATCH(T74,'Hàng hóa'!$B$4:$B$203,0)),0)</f>
        <v>0</v>
      </c>
      <c r="X74" s="20">
        <f t="shared" si="10"/>
        <v>0</v>
      </c>
      <c r="Y74" s="15"/>
      <c r="AA74" s="9" t="str">
        <f t="shared" si="1"/>
        <v/>
      </c>
      <c r="AB74" s="9" t="str">
        <f>IF('Hàng hóa'!K75&lt;&gt;"",'Hàng hóa'!K75,"")</f>
        <v/>
      </c>
    </row>
    <row r="75" ht="15.75" customHeight="1">
      <c r="A75" s="43"/>
      <c r="B75" s="37" t="str">
        <f t="shared" si="2"/>
        <v/>
      </c>
      <c r="C75" s="44"/>
      <c r="D75" s="45"/>
      <c r="E75" s="45"/>
      <c r="F75" s="47" t="str">
        <f>IF(C75="","",'Thiết lập'!$B$4)</f>
        <v/>
      </c>
      <c r="G75" s="19" t="str">
        <f>IF(C75="","",'Thiết lập'!$B$5)</f>
        <v/>
      </c>
      <c r="H75" s="19" t="str">
        <f>IF(C75="","",'Thiết lập'!$B$6)</f>
        <v/>
      </c>
      <c r="I75" s="19" t="str">
        <f>IF(C75="","",'Thiết lập'!$B$7)</f>
        <v/>
      </c>
      <c r="J75" s="19">
        <f t="shared" si="3"/>
        <v>0</v>
      </c>
      <c r="K75" s="19">
        <f t="shared" si="4"/>
        <v>0</v>
      </c>
      <c r="L75" s="19">
        <f t="shared" si="5"/>
        <v>0</v>
      </c>
      <c r="M75" s="19">
        <f t="shared" si="6"/>
        <v>0</v>
      </c>
      <c r="N75" s="19">
        <f t="shared" si="7"/>
        <v>0</v>
      </c>
      <c r="O75" s="19">
        <f t="shared" si="12"/>
        <v>0</v>
      </c>
      <c r="P75" s="19">
        <f t="shared" si="13"/>
        <v>0</v>
      </c>
      <c r="Q75" s="23"/>
      <c r="R75" s="23"/>
      <c r="S75" s="37" t="str">
        <f t="shared" si="11"/>
        <v/>
      </c>
      <c r="T75" s="44"/>
      <c r="U75" s="45"/>
      <c r="V75" s="37" t="str">
        <f t="array" ref="V75">IFERROR(INDEX('Hàng hóa'!$F$4:$F$203,MATCH(T75,'Hàng hóa'!$B$4:$B$203,0)),"")</f>
        <v/>
      </c>
      <c r="W75" s="19">
        <f t="array" ref="W75">IFERROR(INDEX('Hàng hóa'!$H$4:$H$203,MATCH(T75,'Hàng hóa'!$B$4:$B$203,0)),0)</f>
        <v>0</v>
      </c>
      <c r="X75" s="20">
        <f t="shared" si="10"/>
        <v>0</v>
      </c>
      <c r="Y75" s="15"/>
      <c r="AA75" s="9" t="str">
        <f t="shared" si="1"/>
        <v/>
      </c>
      <c r="AB75" s="9" t="str">
        <f>IF('Hàng hóa'!K76&lt;&gt;"",'Hàng hóa'!K76,"")</f>
        <v/>
      </c>
    </row>
    <row r="76" ht="15.75" customHeight="1">
      <c r="A76" s="43"/>
      <c r="B76" s="37" t="str">
        <f t="shared" si="2"/>
        <v/>
      </c>
      <c r="C76" s="44"/>
      <c r="D76" s="45"/>
      <c r="E76" s="45"/>
      <c r="F76" s="47" t="str">
        <f>IF(C76="","",'Thiết lập'!$B$4)</f>
        <v/>
      </c>
      <c r="G76" s="19" t="str">
        <f>IF(C76="","",'Thiết lập'!$B$5)</f>
        <v/>
      </c>
      <c r="H76" s="19" t="str">
        <f>IF(C76="","",'Thiết lập'!$B$6)</f>
        <v/>
      </c>
      <c r="I76" s="19" t="str">
        <f>IF(C76="","",'Thiết lập'!$B$7)</f>
        <v/>
      </c>
      <c r="J76" s="19">
        <f t="shared" si="3"/>
        <v>0</v>
      </c>
      <c r="K76" s="19">
        <f t="shared" si="4"/>
        <v>0</v>
      </c>
      <c r="L76" s="19">
        <f t="shared" si="5"/>
        <v>0</v>
      </c>
      <c r="M76" s="19">
        <f t="shared" si="6"/>
        <v>0</v>
      </c>
      <c r="N76" s="19">
        <f t="shared" si="7"/>
        <v>0</v>
      </c>
      <c r="O76" s="19">
        <f t="shared" si="12"/>
        <v>0</v>
      </c>
      <c r="P76" s="19">
        <f t="shared" si="13"/>
        <v>0</v>
      </c>
      <c r="Q76" s="23"/>
      <c r="R76" s="23"/>
      <c r="S76" s="37" t="str">
        <f t="shared" si="11"/>
        <v/>
      </c>
      <c r="T76" s="44"/>
      <c r="U76" s="45"/>
      <c r="V76" s="37" t="str">
        <f t="array" ref="V76">IFERROR(INDEX('Hàng hóa'!$F$4:$F$203,MATCH(T76,'Hàng hóa'!$B$4:$B$203,0)),"")</f>
        <v/>
      </c>
      <c r="W76" s="19">
        <f t="array" ref="W76">IFERROR(INDEX('Hàng hóa'!$H$4:$H$203,MATCH(T76,'Hàng hóa'!$B$4:$B$203,0)),0)</f>
        <v>0</v>
      </c>
      <c r="X76" s="20">
        <f t="shared" si="10"/>
        <v>0</v>
      </c>
      <c r="Y76" s="15"/>
      <c r="AA76" s="9" t="str">
        <f t="shared" si="1"/>
        <v/>
      </c>
      <c r="AB76" s="9" t="str">
        <f>IF('Hàng hóa'!K77&lt;&gt;"",'Hàng hóa'!K77,"")</f>
        <v/>
      </c>
    </row>
    <row r="77" ht="15.75" customHeight="1">
      <c r="A77" s="43"/>
      <c r="B77" s="37" t="str">
        <f t="shared" si="2"/>
        <v/>
      </c>
      <c r="C77" s="44"/>
      <c r="D77" s="45"/>
      <c r="E77" s="45"/>
      <c r="F77" s="47" t="str">
        <f>IF(C77="","",'Thiết lập'!$B$4)</f>
        <v/>
      </c>
      <c r="G77" s="19" t="str">
        <f>IF(C77="","",'Thiết lập'!$B$5)</f>
        <v/>
      </c>
      <c r="H77" s="19" t="str">
        <f>IF(C77="","",'Thiết lập'!$B$6)</f>
        <v/>
      </c>
      <c r="I77" s="19" t="str">
        <f>IF(C77="","",'Thiết lập'!$B$7)</f>
        <v/>
      </c>
      <c r="J77" s="19">
        <f t="shared" si="3"/>
        <v>0</v>
      </c>
      <c r="K77" s="19">
        <f t="shared" si="4"/>
        <v>0</v>
      </c>
      <c r="L77" s="19">
        <f t="shared" si="5"/>
        <v>0</v>
      </c>
      <c r="M77" s="19">
        <f t="shared" si="6"/>
        <v>0</v>
      </c>
      <c r="N77" s="19">
        <f t="shared" si="7"/>
        <v>0</v>
      </c>
      <c r="O77" s="19">
        <f t="shared" si="12"/>
        <v>0</v>
      </c>
      <c r="P77" s="19">
        <f t="shared" si="13"/>
        <v>0</v>
      </c>
      <c r="Q77" s="23"/>
      <c r="R77" s="23"/>
      <c r="S77" s="37" t="str">
        <f t="shared" si="11"/>
        <v/>
      </c>
      <c r="T77" s="44"/>
      <c r="U77" s="45"/>
      <c r="V77" s="37" t="str">
        <f t="array" ref="V77">IFERROR(INDEX('Hàng hóa'!$F$4:$F$203,MATCH(T77,'Hàng hóa'!$B$4:$B$203,0)),"")</f>
        <v/>
      </c>
      <c r="W77" s="19">
        <f t="array" ref="W77">IFERROR(INDEX('Hàng hóa'!$H$4:$H$203,MATCH(T77,'Hàng hóa'!$B$4:$B$203,0)),0)</f>
        <v>0</v>
      </c>
      <c r="X77" s="20">
        <f t="shared" si="10"/>
        <v>0</v>
      </c>
      <c r="Y77" s="15"/>
      <c r="AA77" s="9" t="str">
        <f t="shared" si="1"/>
        <v/>
      </c>
      <c r="AB77" s="9" t="str">
        <f>IF('Hàng hóa'!K78&lt;&gt;"",'Hàng hóa'!K78,"")</f>
        <v/>
      </c>
    </row>
    <row r="78" ht="15.75" customHeight="1">
      <c r="A78" s="43"/>
      <c r="B78" s="37" t="str">
        <f t="shared" si="2"/>
        <v/>
      </c>
      <c r="C78" s="44"/>
      <c r="D78" s="45"/>
      <c r="E78" s="45"/>
      <c r="F78" s="47" t="str">
        <f>IF(C78="","",'Thiết lập'!$B$4)</f>
        <v/>
      </c>
      <c r="G78" s="19" t="str">
        <f>IF(C78="","",'Thiết lập'!$B$5)</f>
        <v/>
      </c>
      <c r="H78" s="19" t="str">
        <f>IF(C78="","",'Thiết lập'!$B$6)</f>
        <v/>
      </c>
      <c r="I78" s="19" t="str">
        <f>IF(C78="","",'Thiết lập'!$B$7)</f>
        <v/>
      </c>
      <c r="J78" s="19">
        <f t="shared" si="3"/>
        <v>0</v>
      </c>
      <c r="K78" s="19">
        <f t="shared" si="4"/>
        <v>0</v>
      </c>
      <c r="L78" s="19">
        <f t="shared" si="5"/>
        <v>0</v>
      </c>
      <c r="M78" s="19">
        <f t="shared" si="6"/>
        <v>0</v>
      </c>
      <c r="N78" s="19">
        <f t="shared" si="7"/>
        <v>0</v>
      </c>
      <c r="O78" s="19">
        <f t="shared" si="12"/>
        <v>0</v>
      </c>
      <c r="P78" s="19">
        <f t="shared" si="13"/>
        <v>0</v>
      </c>
      <c r="Q78" s="23"/>
      <c r="R78" s="23"/>
      <c r="S78" s="37" t="str">
        <f t="shared" si="11"/>
        <v/>
      </c>
      <c r="T78" s="44"/>
      <c r="U78" s="45"/>
      <c r="V78" s="37" t="str">
        <f t="array" ref="V78">IFERROR(INDEX('Hàng hóa'!$F$4:$F$203,MATCH(T78,'Hàng hóa'!$B$4:$B$203,0)),"")</f>
        <v/>
      </c>
      <c r="W78" s="19">
        <f t="array" ref="W78">IFERROR(INDEX('Hàng hóa'!$H$4:$H$203,MATCH(T78,'Hàng hóa'!$B$4:$B$203,0)),0)</f>
        <v>0</v>
      </c>
      <c r="X78" s="20">
        <f t="shared" si="10"/>
        <v>0</v>
      </c>
      <c r="Y78" s="15"/>
      <c r="AA78" s="9" t="str">
        <f t="shared" si="1"/>
        <v/>
      </c>
      <c r="AB78" s="9" t="str">
        <f>IF('Hàng hóa'!K79&lt;&gt;"",'Hàng hóa'!K79,"")</f>
        <v/>
      </c>
    </row>
    <row r="79" ht="15.75" customHeight="1">
      <c r="A79" s="43"/>
      <c r="B79" s="37" t="str">
        <f t="shared" si="2"/>
        <v/>
      </c>
      <c r="C79" s="44"/>
      <c r="D79" s="45"/>
      <c r="E79" s="45"/>
      <c r="F79" s="47" t="str">
        <f>IF(C79="","",'Thiết lập'!$B$4)</f>
        <v/>
      </c>
      <c r="G79" s="19" t="str">
        <f>IF(C79="","",'Thiết lập'!$B$5)</f>
        <v/>
      </c>
      <c r="H79" s="19" t="str">
        <f>IF(C79="","",'Thiết lập'!$B$6)</f>
        <v/>
      </c>
      <c r="I79" s="19" t="str">
        <f>IF(C79="","",'Thiết lập'!$B$7)</f>
        <v/>
      </c>
      <c r="J79" s="19">
        <f t="shared" si="3"/>
        <v>0</v>
      </c>
      <c r="K79" s="19">
        <f t="shared" si="4"/>
        <v>0</v>
      </c>
      <c r="L79" s="19">
        <f t="shared" si="5"/>
        <v>0</v>
      </c>
      <c r="M79" s="19">
        <f t="shared" si="6"/>
        <v>0</v>
      </c>
      <c r="N79" s="19">
        <f t="shared" si="7"/>
        <v>0</v>
      </c>
      <c r="O79" s="19">
        <f t="shared" si="12"/>
        <v>0</v>
      </c>
      <c r="P79" s="19">
        <f t="shared" si="13"/>
        <v>0</v>
      </c>
      <c r="Q79" s="23"/>
      <c r="R79" s="23"/>
      <c r="S79" s="37" t="str">
        <f t="shared" si="11"/>
        <v/>
      </c>
      <c r="T79" s="44"/>
      <c r="U79" s="45"/>
      <c r="V79" s="37" t="str">
        <f t="array" ref="V79">IFERROR(INDEX('Hàng hóa'!$F$4:$F$203,MATCH(T79,'Hàng hóa'!$B$4:$B$203,0)),"")</f>
        <v/>
      </c>
      <c r="W79" s="19">
        <f t="array" ref="W79">IFERROR(INDEX('Hàng hóa'!$H$4:$H$203,MATCH(T79,'Hàng hóa'!$B$4:$B$203,0)),0)</f>
        <v>0</v>
      </c>
      <c r="X79" s="20">
        <f t="shared" si="10"/>
        <v>0</v>
      </c>
      <c r="Y79" s="15"/>
      <c r="AA79" s="9" t="str">
        <f t="shared" si="1"/>
        <v/>
      </c>
      <c r="AB79" s="9" t="str">
        <f>IF('Hàng hóa'!K80&lt;&gt;"",'Hàng hóa'!K80,"")</f>
        <v/>
      </c>
    </row>
    <row r="80" ht="15.75" customHeight="1">
      <c r="A80" s="43"/>
      <c r="B80" s="37" t="str">
        <f t="shared" si="2"/>
        <v/>
      </c>
      <c r="C80" s="44"/>
      <c r="D80" s="45"/>
      <c r="E80" s="45"/>
      <c r="F80" s="47" t="str">
        <f>IF(C80="","",'Thiết lập'!$B$4)</f>
        <v/>
      </c>
      <c r="G80" s="19" t="str">
        <f>IF(C80="","",'Thiết lập'!$B$5)</f>
        <v/>
      </c>
      <c r="H80" s="19" t="str">
        <f>IF(C80="","",'Thiết lập'!$B$6)</f>
        <v/>
      </c>
      <c r="I80" s="19" t="str">
        <f>IF(C80="","",'Thiết lập'!$B$7)</f>
        <v/>
      </c>
      <c r="J80" s="19">
        <f t="shared" si="3"/>
        <v>0</v>
      </c>
      <c r="K80" s="19">
        <f t="shared" si="4"/>
        <v>0</v>
      </c>
      <c r="L80" s="19">
        <f t="shared" si="5"/>
        <v>0</v>
      </c>
      <c r="M80" s="19">
        <f t="shared" si="6"/>
        <v>0</v>
      </c>
      <c r="N80" s="19">
        <f t="shared" si="7"/>
        <v>0</v>
      </c>
      <c r="O80" s="19">
        <f t="shared" si="12"/>
        <v>0</v>
      </c>
      <c r="P80" s="19">
        <f t="shared" si="13"/>
        <v>0</v>
      </c>
      <c r="Q80" s="23"/>
      <c r="R80" s="23"/>
      <c r="S80" s="37" t="str">
        <f t="shared" si="11"/>
        <v/>
      </c>
      <c r="T80" s="44"/>
      <c r="U80" s="45"/>
      <c r="V80" s="37" t="str">
        <f t="array" ref="V80">IFERROR(INDEX('Hàng hóa'!$F$4:$F$203,MATCH(T80,'Hàng hóa'!$B$4:$B$203,0)),"")</f>
        <v/>
      </c>
      <c r="W80" s="19">
        <f t="array" ref="W80">IFERROR(INDEX('Hàng hóa'!$H$4:$H$203,MATCH(T80,'Hàng hóa'!$B$4:$B$203,0)),0)</f>
        <v>0</v>
      </c>
      <c r="X80" s="20">
        <f t="shared" si="10"/>
        <v>0</v>
      </c>
      <c r="Y80" s="15"/>
      <c r="AA80" s="9" t="str">
        <f t="shared" si="1"/>
        <v/>
      </c>
      <c r="AB80" s="9" t="str">
        <f>IF('Hàng hóa'!K81&lt;&gt;"",'Hàng hóa'!K81,"")</f>
        <v/>
      </c>
    </row>
    <row r="81" ht="15.75" customHeight="1">
      <c r="A81" s="43"/>
      <c r="B81" s="37" t="str">
        <f t="shared" si="2"/>
        <v/>
      </c>
      <c r="C81" s="44"/>
      <c r="D81" s="45"/>
      <c r="E81" s="45"/>
      <c r="F81" s="47" t="str">
        <f>IF(C81="","",'Thiết lập'!$B$4)</f>
        <v/>
      </c>
      <c r="G81" s="19" t="str">
        <f>IF(C81="","",'Thiết lập'!$B$5)</f>
        <v/>
      </c>
      <c r="H81" s="19" t="str">
        <f>IF(C81="","",'Thiết lập'!$B$6)</f>
        <v/>
      </c>
      <c r="I81" s="19" t="str">
        <f>IF(C81="","",'Thiết lập'!$B$7)</f>
        <v/>
      </c>
      <c r="J81" s="19">
        <f t="shared" si="3"/>
        <v>0</v>
      </c>
      <c r="K81" s="19">
        <f t="shared" si="4"/>
        <v>0</v>
      </c>
      <c r="L81" s="19">
        <f t="shared" si="5"/>
        <v>0</v>
      </c>
      <c r="M81" s="19">
        <f t="shared" si="6"/>
        <v>0</v>
      </c>
      <c r="N81" s="19">
        <f t="shared" si="7"/>
        <v>0</v>
      </c>
      <c r="O81" s="19">
        <f t="shared" si="12"/>
        <v>0</v>
      </c>
      <c r="P81" s="19">
        <f t="shared" si="13"/>
        <v>0</v>
      </c>
      <c r="Q81" s="23"/>
      <c r="R81" s="23"/>
      <c r="S81" s="37" t="str">
        <f t="shared" si="11"/>
        <v/>
      </c>
      <c r="T81" s="44"/>
      <c r="U81" s="45"/>
      <c r="V81" s="37" t="str">
        <f t="array" ref="V81">IFERROR(INDEX('Hàng hóa'!$F$4:$F$203,MATCH(T81,'Hàng hóa'!$B$4:$B$203,0)),"")</f>
        <v/>
      </c>
      <c r="W81" s="19">
        <f t="array" ref="W81">IFERROR(INDEX('Hàng hóa'!$H$4:$H$203,MATCH(T81,'Hàng hóa'!$B$4:$B$203,0)),0)</f>
        <v>0</v>
      </c>
      <c r="X81" s="20">
        <f t="shared" si="10"/>
        <v>0</v>
      </c>
      <c r="Y81" s="15"/>
      <c r="AA81" s="9" t="str">
        <f t="shared" si="1"/>
        <v/>
      </c>
      <c r="AB81" s="9" t="str">
        <f>IF('Hàng hóa'!K82&lt;&gt;"",'Hàng hóa'!K82,"")</f>
        <v/>
      </c>
    </row>
    <row r="82" ht="15.75" customHeight="1">
      <c r="A82" s="43"/>
      <c r="B82" s="37" t="str">
        <f t="shared" si="2"/>
        <v/>
      </c>
      <c r="C82" s="44"/>
      <c r="D82" s="45"/>
      <c r="E82" s="45"/>
      <c r="F82" s="47" t="str">
        <f>IF(C82="","",'Thiết lập'!$B$4)</f>
        <v/>
      </c>
      <c r="G82" s="19" t="str">
        <f>IF(C82="","",'Thiết lập'!$B$5)</f>
        <v/>
      </c>
      <c r="H82" s="19" t="str">
        <f>IF(C82="","",'Thiết lập'!$B$6)</f>
        <v/>
      </c>
      <c r="I82" s="19" t="str">
        <f>IF(C82="","",'Thiết lập'!$B$7)</f>
        <v/>
      </c>
      <c r="J82" s="19">
        <f t="shared" si="3"/>
        <v>0</v>
      </c>
      <c r="K82" s="19">
        <f t="shared" si="4"/>
        <v>0</v>
      </c>
      <c r="L82" s="19">
        <f t="shared" si="5"/>
        <v>0</v>
      </c>
      <c r="M82" s="19">
        <f t="shared" si="6"/>
        <v>0</v>
      </c>
      <c r="N82" s="19">
        <f t="shared" si="7"/>
        <v>0</v>
      </c>
      <c r="O82" s="19">
        <f t="shared" si="12"/>
        <v>0</v>
      </c>
      <c r="P82" s="19">
        <f t="shared" si="13"/>
        <v>0</v>
      </c>
      <c r="Q82" s="23"/>
      <c r="R82" s="23"/>
      <c r="S82" s="37" t="str">
        <f t="shared" si="11"/>
        <v/>
      </c>
      <c r="T82" s="44"/>
      <c r="U82" s="45"/>
      <c r="V82" s="37" t="str">
        <f t="array" ref="V82">IFERROR(INDEX('Hàng hóa'!$F$4:$F$203,MATCH(T82,'Hàng hóa'!$B$4:$B$203,0)),"")</f>
        <v/>
      </c>
      <c r="W82" s="19">
        <f t="array" ref="W82">IFERROR(INDEX('Hàng hóa'!$H$4:$H$203,MATCH(T82,'Hàng hóa'!$B$4:$B$203,0)),0)</f>
        <v>0</v>
      </c>
      <c r="X82" s="20">
        <f t="shared" si="10"/>
        <v>0</v>
      </c>
      <c r="Y82" s="15"/>
      <c r="AA82" s="9" t="str">
        <f t="shared" si="1"/>
        <v/>
      </c>
      <c r="AB82" s="9" t="str">
        <f>IF('Hàng hóa'!K83&lt;&gt;"",'Hàng hóa'!K83,"")</f>
        <v/>
      </c>
    </row>
    <row r="83" ht="15.75" customHeight="1">
      <c r="A83" s="43"/>
      <c r="B83" s="37" t="str">
        <f t="shared" si="2"/>
        <v/>
      </c>
      <c r="C83" s="44"/>
      <c r="D83" s="45"/>
      <c r="E83" s="45"/>
      <c r="F83" s="47" t="str">
        <f>IF(C83="","",'Thiết lập'!$B$4)</f>
        <v/>
      </c>
      <c r="G83" s="19" t="str">
        <f>IF(C83="","",'Thiết lập'!$B$5)</f>
        <v/>
      </c>
      <c r="H83" s="19" t="str">
        <f>IF(C83="","",'Thiết lập'!$B$6)</f>
        <v/>
      </c>
      <c r="I83" s="19" t="str">
        <f>IF(C83="","",'Thiết lập'!$B$7)</f>
        <v/>
      </c>
      <c r="J83" s="19">
        <f t="shared" si="3"/>
        <v>0</v>
      </c>
      <c r="K83" s="19">
        <f t="shared" si="4"/>
        <v>0</v>
      </c>
      <c r="L83" s="19">
        <f t="shared" si="5"/>
        <v>0</v>
      </c>
      <c r="M83" s="19">
        <f t="shared" si="6"/>
        <v>0</v>
      </c>
      <c r="N83" s="19">
        <f t="shared" si="7"/>
        <v>0</v>
      </c>
      <c r="O83" s="19">
        <f t="shared" si="12"/>
        <v>0</v>
      </c>
      <c r="P83" s="19">
        <f t="shared" si="13"/>
        <v>0</v>
      </c>
      <c r="Q83" s="23"/>
      <c r="R83" s="23"/>
      <c r="S83" s="37" t="str">
        <f t="shared" si="11"/>
        <v/>
      </c>
      <c r="T83" s="44"/>
      <c r="U83" s="45"/>
      <c r="V83" s="37" t="str">
        <f t="array" ref="V83">IFERROR(INDEX('Hàng hóa'!$F$4:$F$203,MATCH(T83,'Hàng hóa'!$B$4:$B$203,0)),"")</f>
        <v/>
      </c>
      <c r="W83" s="19">
        <f t="array" ref="W83">IFERROR(INDEX('Hàng hóa'!$H$4:$H$203,MATCH(T83,'Hàng hóa'!$B$4:$B$203,0)),0)</f>
        <v>0</v>
      </c>
      <c r="X83" s="20">
        <f t="shared" si="10"/>
        <v>0</v>
      </c>
      <c r="Y83" s="15"/>
      <c r="AA83" s="9" t="str">
        <f t="shared" si="1"/>
        <v/>
      </c>
      <c r="AB83" s="9" t="str">
        <f>IF('Hàng hóa'!K84&lt;&gt;"",'Hàng hóa'!K84,"")</f>
        <v/>
      </c>
    </row>
    <row r="84" ht="15.75" customHeight="1">
      <c r="A84" s="43"/>
      <c r="B84" s="37" t="str">
        <f t="shared" si="2"/>
        <v/>
      </c>
      <c r="C84" s="44"/>
      <c r="D84" s="45"/>
      <c r="E84" s="45"/>
      <c r="F84" s="47" t="str">
        <f>IF(C84="","",'Thiết lập'!$B$4)</f>
        <v/>
      </c>
      <c r="G84" s="19" t="str">
        <f>IF(C84="","",'Thiết lập'!$B$5)</f>
        <v/>
      </c>
      <c r="H84" s="19" t="str">
        <f>IF(C84="","",'Thiết lập'!$B$6)</f>
        <v/>
      </c>
      <c r="I84" s="19" t="str">
        <f>IF(C84="","",'Thiết lập'!$B$7)</f>
        <v/>
      </c>
      <c r="J84" s="19">
        <f t="shared" si="3"/>
        <v>0</v>
      </c>
      <c r="K84" s="19">
        <f t="shared" si="4"/>
        <v>0</v>
      </c>
      <c r="L84" s="19">
        <f t="shared" si="5"/>
        <v>0</v>
      </c>
      <c r="M84" s="19">
        <f t="shared" si="6"/>
        <v>0</v>
      </c>
      <c r="N84" s="19">
        <f t="shared" si="7"/>
        <v>0</v>
      </c>
      <c r="O84" s="19">
        <f t="shared" si="12"/>
        <v>0</v>
      </c>
      <c r="P84" s="19">
        <f t="shared" si="13"/>
        <v>0</v>
      </c>
      <c r="Q84" s="23"/>
      <c r="R84" s="23"/>
      <c r="S84" s="37" t="str">
        <f t="shared" si="11"/>
        <v/>
      </c>
      <c r="T84" s="44"/>
      <c r="U84" s="45"/>
      <c r="V84" s="37" t="str">
        <f t="array" ref="V84">IFERROR(INDEX('Hàng hóa'!$F$4:$F$203,MATCH(T84,'Hàng hóa'!$B$4:$B$203,0)),"")</f>
        <v/>
      </c>
      <c r="W84" s="19">
        <f t="array" ref="W84">IFERROR(INDEX('Hàng hóa'!$H$4:$H$203,MATCH(T84,'Hàng hóa'!$B$4:$B$203,0)),0)</f>
        <v>0</v>
      </c>
      <c r="X84" s="20">
        <f t="shared" si="10"/>
        <v>0</v>
      </c>
      <c r="Y84" s="15"/>
      <c r="AA84" s="9" t="str">
        <f t="shared" si="1"/>
        <v/>
      </c>
      <c r="AB84" s="9" t="str">
        <f>IF('Hàng hóa'!K85&lt;&gt;"",'Hàng hóa'!K85,"")</f>
        <v/>
      </c>
    </row>
    <row r="85" ht="15.75" customHeight="1">
      <c r="A85" s="43"/>
      <c r="B85" s="37" t="str">
        <f t="shared" si="2"/>
        <v/>
      </c>
      <c r="C85" s="44"/>
      <c r="D85" s="45"/>
      <c r="E85" s="45"/>
      <c r="F85" s="47" t="str">
        <f>IF(C85="","",'Thiết lập'!$B$4)</f>
        <v/>
      </c>
      <c r="G85" s="19" t="str">
        <f>IF(C85="","",'Thiết lập'!$B$5)</f>
        <v/>
      </c>
      <c r="H85" s="19" t="str">
        <f>IF(C85="","",'Thiết lập'!$B$6)</f>
        <v/>
      </c>
      <c r="I85" s="19" t="str">
        <f>IF(C85="","",'Thiết lập'!$B$7)</f>
        <v/>
      </c>
      <c r="J85" s="19">
        <f t="shared" si="3"/>
        <v>0</v>
      </c>
      <c r="K85" s="19">
        <f t="shared" si="4"/>
        <v>0</v>
      </c>
      <c r="L85" s="19">
        <f t="shared" si="5"/>
        <v>0</v>
      </c>
      <c r="M85" s="19">
        <f t="shared" si="6"/>
        <v>0</v>
      </c>
      <c r="N85" s="19">
        <f t="shared" si="7"/>
        <v>0</v>
      </c>
      <c r="O85" s="19">
        <f t="shared" si="12"/>
        <v>0</v>
      </c>
      <c r="P85" s="19">
        <f t="shared" si="13"/>
        <v>0</v>
      </c>
      <c r="Q85" s="23"/>
      <c r="R85" s="23"/>
      <c r="S85" s="37" t="str">
        <f t="shared" si="11"/>
        <v/>
      </c>
      <c r="T85" s="44"/>
      <c r="U85" s="45"/>
      <c r="V85" s="37" t="str">
        <f t="array" ref="V85">IFERROR(INDEX('Hàng hóa'!$F$4:$F$203,MATCH(T85,'Hàng hóa'!$B$4:$B$203,0)),"")</f>
        <v/>
      </c>
      <c r="W85" s="19">
        <f t="array" ref="W85">IFERROR(INDEX('Hàng hóa'!$H$4:$H$203,MATCH(T85,'Hàng hóa'!$B$4:$B$203,0)),0)</f>
        <v>0</v>
      </c>
      <c r="X85" s="20">
        <f t="shared" si="10"/>
        <v>0</v>
      </c>
      <c r="Y85" s="15"/>
      <c r="AA85" s="9" t="str">
        <f t="shared" si="1"/>
        <v/>
      </c>
      <c r="AB85" s="9" t="str">
        <f>IF('Hàng hóa'!K86&lt;&gt;"",'Hàng hóa'!K86,"")</f>
        <v/>
      </c>
    </row>
    <row r="86" ht="15.75" customHeight="1">
      <c r="A86" s="43"/>
      <c r="B86" s="37" t="str">
        <f t="shared" si="2"/>
        <v/>
      </c>
      <c r="C86" s="44"/>
      <c r="D86" s="45"/>
      <c r="E86" s="45"/>
      <c r="F86" s="47" t="str">
        <f>IF(C86="","",'Thiết lập'!$B$4)</f>
        <v/>
      </c>
      <c r="G86" s="19" t="str">
        <f>IF(C86="","",'Thiết lập'!$B$5)</f>
        <v/>
      </c>
      <c r="H86" s="19" t="str">
        <f>IF(C86="","",'Thiết lập'!$B$6)</f>
        <v/>
      </c>
      <c r="I86" s="19" t="str">
        <f>IF(C86="","",'Thiết lập'!$B$7)</f>
        <v/>
      </c>
      <c r="J86" s="19">
        <f t="shared" si="3"/>
        <v>0</v>
      </c>
      <c r="K86" s="19">
        <f t="shared" si="4"/>
        <v>0</v>
      </c>
      <c r="L86" s="19">
        <f t="shared" si="5"/>
        <v>0</v>
      </c>
      <c r="M86" s="19">
        <f t="shared" si="6"/>
        <v>0</v>
      </c>
      <c r="N86" s="19">
        <f t="shared" si="7"/>
        <v>0</v>
      </c>
      <c r="O86" s="19">
        <f t="shared" si="12"/>
        <v>0</v>
      </c>
      <c r="P86" s="19">
        <f t="shared" si="13"/>
        <v>0</v>
      </c>
      <c r="Q86" s="23"/>
      <c r="R86" s="23"/>
      <c r="S86" s="37" t="str">
        <f t="shared" si="11"/>
        <v/>
      </c>
      <c r="T86" s="44"/>
      <c r="U86" s="45"/>
      <c r="V86" s="37" t="str">
        <f t="array" ref="V86">IFERROR(INDEX('Hàng hóa'!$F$4:$F$203,MATCH(T86,'Hàng hóa'!$B$4:$B$203,0)),"")</f>
        <v/>
      </c>
      <c r="W86" s="19">
        <f t="array" ref="W86">IFERROR(INDEX('Hàng hóa'!$H$4:$H$203,MATCH(T86,'Hàng hóa'!$B$4:$B$203,0)),0)</f>
        <v>0</v>
      </c>
      <c r="X86" s="20">
        <f t="shared" si="10"/>
        <v>0</v>
      </c>
      <c r="Y86" s="15"/>
      <c r="AA86" s="9" t="str">
        <f t="shared" si="1"/>
        <v/>
      </c>
      <c r="AB86" s="9" t="str">
        <f>IF('Hàng hóa'!K87&lt;&gt;"",'Hàng hóa'!K87,"")</f>
        <v/>
      </c>
    </row>
    <row r="87" ht="15.75" customHeight="1">
      <c r="A87" s="43"/>
      <c r="B87" s="37" t="str">
        <f t="shared" si="2"/>
        <v/>
      </c>
      <c r="C87" s="44"/>
      <c r="D87" s="45"/>
      <c r="E87" s="45"/>
      <c r="F87" s="47" t="str">
        <f>IF(C87="","",'Thiết lập'!$B$4)</f>
        <v/>
      </c>
      <c r="G87" s="19" t="str">
        <f>IF(C87="","",'Thiết lập'!$B$5)</f>
        <v/>
      </c>
      <c r="H87" s="19" t="str">
        <f>IF(C87="","",'Thiết lập'!$B$6)</f>
        <v/>
      </c>
      <c r="I87" s="19" t="str">
        <f>IF(C87="","",'Thiết lập'!$B$7)</f>
        <v/>
      </c>
      <c r="J87" s="19">
        <f t="shared" si="3"/>
        <v>0</v>
      </c>
      <c r="K87" s="19">
        <f t="shared" si="4"/>
        <v>0</v>
      </c>
      <c r="L87" s="19">
        <f t="shared" si="5"/>
        <v>0</v>
      </c>
      <c r="M87" s="19">
        <f t="shared" si="6"/>
        <v>0</v>
      </c>
      <c r="N87" s="19">
        <f t="shared" si="7"/>
        <v>0</v>
      </c>
      <c r="O87" s="19">
        <f t="shared" si="12"/>
        <v>0</v>
      </c>
      <c r="P87" s="19">
        <f t="shared" si="13"/>
        <v>0</v>
      </c>
      <c r="Q87" s="23"/>
      <c r="R87" s="23"/>
      <c r="S87" s="37" t="str">
        <f t="shared" si="11"/>
        <v/>
      </c>
      <c r="T87" s="44"/>
      <c r="U87" s="45"/>
      <c r="V87" s="37" t="str">
        <f t="array" ref="V87">IFERROR(INDEX('Hàng hóa'!$F$4:$F$203,MATCH(T87,'Hàng hóa'!$B$4:$B$203,0)),"")</f>
        <v/>
      </c>
      <c r="W87" s="19">
        <f t="array" ref="W87">IFERROR(INDEX('Hàng hóa'!$H$4:$H$203,MATCH(T87,'Hàng hóa'!$B$4:$B$203,0)),0)</f>
        <v>0</v>
      </c>
      <c r="X87" s="20">
        <f t="shared" si="10"/>
        <v>0</v>
      </c>
      <c r="Y87" s="15"/>
      <c r="AA87" s="9" t="str">
        <f t="shared" si="1"/>
        <v/>
      </c>
      <c r="AB87" s="9" t="str">
        <f>IF('Hàng hóa'!K88&lt;&gt;"",'Hàng hóa'!K88,"")</f>
        <v/>
      </c>
    </row>
    <row r="88" ht="15.75" customHeight="1">
      <c r="A88" s="43"/>
      <c r="B88" s="37" t="str">
        <f t="shared" si="2"/>
        <v/>
      </c>
      <c r="C88" s="44"/>
      <c r="D88" s="45"/>
      <c r="E88" s="45"/>
      <c r="F88" s="47" t="str">
        <f>IF(C88="","",'Thiết lập'!$B$4)</f>
        <v/>
      </c>
      <c r="G88" s="19" t="str">
        <f>IF(C88="","",'Thiết lập'!$B$5)</f>
        <v/>
      </c>
      <c r="H88" s="19" t="str">
        <f>IF(C88="","",'Thiết lập'!$B$6)</f>
        <v/>
      </c>
      <c r="I88" s="19" t="str">
        <f>IF(C88="","",'Thiết lập'!$B$7)</f>
        <v/>
      </c>
      <c r="J88" s="19">
        <f t="shared" si="3"/>
        <v>0</v>
      </c>
      <c r="K88" s="19">
        <f t="shared" si="4"/>
        <v>0</v>
      </c>
      <c r="L88" s="19">
        <f t="shared" si="5"/>
        <v>0</v>
      </c>
      <c r="M88" s="19">
        <f t="shared" si="6"/>
        <v>0</v>
      </c>
      <c r="N88" s="19">
        <f t="shared" si="7"/>
        <v>0</v>
      </c>
      <c r="O88" s="19">
        <f t="shared" si="12"/>
        <v>0</v>
      </c>
      <c r="P88" s="19">
        <f t="shared" si="13"/>
        <v>0</v>
      </c>
      <c r="Q88" s="23"/>
      <c r="R88" s="23"/>
      <c r="S88" s="37" t="str">
        <f t="shared" si="11"/>
        <v/>
      </c>
      <c r="T88" s="44"/>
      <c r="U88" s="45"/>
      <c r="V88" s="37" t="str">
        <f t="array" ref="V88">IFERROR(INDEX('Hàng hóa'!$F$4:$F$203,MATCH(T88,'Hàng hóa'!$B$4:$B$203,0)),"")</f>
        <v/>
      </c>
      <c r="W88" s="19">
        <f t="array" ref="W88">IFERROR(INDEX('Hàng hóa'!$H$4:$H$203,MATCH(T88,'Hàng hóa'!$B$4:$B$203,0)),0)</f>
        <v>0</v>
      </c>
      <c r="X88" s="20">
        <f t="shared" si="10"/>
        <v>0</v>
      </c>
      <c r="Y88" s="15"/>
      <c r="AA88" s="9" t="str">
        <f t="shared" si="1"/>
        <v/>
      </c>
      <c r="AB88" s="9" t="str">
        <f>IF('Hàng hóa'!K89&lt;&gt;"",'Hàng hóa'!K89,"")</f>
        <v/>
      </c>
    </row>
    <row r="89" ht="15.75" customHeight="1">
      <c r="A89" s="43"/>
      <c r="B89" s="37" t="str">
        <f t="shared" si="2"/>
        <v/>
      </c>
      <c r="C89" s="44"/>
      <c r="D89" s="45"/>
      <c r="E89" s="45"/>
      <c r="F89" s="47" t="str">
        <f>IF(C89="","",'Thiết lập'!$B$4)</f>
        <v/>
      </c>
      <c r="G89" s="19" t="str">
        <f>IF(C89="","",'Thiết lập'!$B$5)</f>
        <v/>
      </c>
      <c r="H89" s="19" t="str">
        <f>IF(C89="","",'Thiết lập'!$B$6)</f>
        <v/>
      </c>
      <c r="I89" s="19" t="str">
        <f>IF(C89="","",'Thiết lập'!$B$7)</f>
        <v/>
      </c>
      <c r="J89" s="19">
        <f t="shared" si="3"/>
        <v>0</v>
      </c>
      <c r="K89" s="19">
        <f t="shared" si="4"/>
        <v>0</v>
      </c>
      <c r="L89" s="19">
        <f t="shared" si="5"/>
        <v>0</v>
      </c>
      <c r="M89" s="19">
        <f t="shared" si="6"/>
        <v>0</v>
      </c>
      <c r="N89" s="19">
        <f t="shared" si="7"/>
        <v>0</v>
      </c>
      <c r="O89" s="19">
        <f t="shared" si="12"/>
        <v>0</v>
      </c>
      <c r="P89" s="19">
        <f t="shared" si="13"/>
        <v>0</v>
      </c>
      <c r="Q89" s="23"/>
      <c r="R89" s="23"/>
      <c r="S89" s="37" t="str">
        <f t="shared" si="11"/>
        <v/>
      </c>
      <c r="T89" s="44"/>
      <c r="U89" s="45"/>
      <c r="V89" s="37" t="str">
        <f t="array" ref="V89">IFERROR(INDEX('Hàng hóa'!$F$4:$F$203,MATCH(T89,'Hàng hóa'!$B$4:$B$203,0)),"")</f>
        <v/>
      </c>
      <c r="W89" s="19">
        <f t="array" ref="W89">IFERROR(INDEX('Hàng hóa'!$H$4:$H$203,MATCH(T89,'Hàng hóa'!$B$4:$B$203,0)),0)</f>
        <v>0</v>
      </c>
      <c r="X89" s="20">
        <f t="shared" si="10"/>
        <v>0</v>
      </c>
      <c r="Y89" s="15"/>
      <c r="AA89" s="9" t="str">
        <f t="shared" si="1"/>
        <v/>
      </c>
      <c r="AB89" s="9" t="str">
        <f>IF('Hàng hóa'!K90&lt;&gt;"",'Hàng hóa'!K90,"")</f>
        <v/>
      </c>
    </row>
    <row r="90" ht="15.75" customHeight="1">
      <c r="A90" s="43"/>
      <c r="B90" s="37" t="str">
        <f t="shared" si="2"/>
        <v/>
      </c>
      <c r="C90" s="44"/>
      <c r="D90" s="45"/>
      <c r="E90" s="45"/>
      <c r="F90" s="47" t="str">
        <f>IF(C90="","",'Thiết lập'!$B$4)</f>
        <v/>
      </c>
      <c r="G90" s="19" t="str">
        <f>IF(C90="","",'Thiết lập'!$B$5)</f>
        <v/>
      </c>
      <c r="H90" s="19" t="str">
        <f>IF(C90="","",'Thiết lập'!$B$6)</f>
        <v/>
      </c>
      <c r="I90" s="19" t="str">
        <f>IF(C90="","",'Thiết lập'!$B$7)</f>
        <v/>
      </c>
      <c r="J90" s="19">
        <f t="shared" si="3"/>
        <v>0</v>
      </c>
      <c r="K90" s="19">
        <f t="shared" si="4"/>
        <v>0</v>
      </c>
      <c r="L90" s="19">
        <f t="shared" si="5"/>
        <v>0</v>
      </c>
      <c r="M90" s="19">
        <f t="shared" si="6"/>
        <v>0</v>
      </c>
      <c r="N90" s="19">
        <f t="shared" si="7"/>
        <v>0</v>
      </c>
      <c r="O90" s="19">
        <f t="shared" si="12"/>
        <v>0</v>
      </c>
      <c r="P90" s="19">
        <f t="shared" si="13"/>
        <v>0</v>
      </c>
      <c r="Q90" s="23"/>
      <c r="R90" s="23"/>
      <c r="S90" s="37" t="str">
        <f t="shared" si="11"/>
        <v/>
      </c>
      <c r="T90" s="44"/>
      <c r="U90" s="45"/>
      <c r="V90" s="37" t="str">
        <f t="array" ref="V90">IFERROR(INDEX('Hàng hóa'!$F$4:$F$203,MATCH(T90,'Hàng hóa'!$B$4:$B$203,0)),"")</f>
        <v/>
      </c>
      <c r="W90" s="19">
        <f t="array" ref="W90">IFERROR(INDEX('Hàng hóa'!$H$4:$H$203,MATCH(T90,'Hàng hóa'!$B$4:$B$203,0)),0)</f>
        <v>0</v>
      </c>
      <c r="X90" s="20">
        <f t="shared" si="10"/>
        <v>0</v>
      </c>
      <c r="Y90" s="15"/>
      <c r="AA90" s="9" t="str">
        <f t="shared" si="1"/>
        <v/>
      </c>
      <c r="AB90" s="9" t="str">
        <f>IF('Hàng hóa'!K91&lt;&gt;"",'Hàng hóa'!K91,"")</f>
        <v/>
      </c>
    </row>
    <row r="91" ht="15.75" customHeight="1">
      <c r="A91" s="43"/>
      <c r="B91" s="37" t="str">
        <f t="shared" si="2"/>
        <v/>
      </c>
      <c r="C91" s="44"/>
      <c r="D91" s="45"/>
      <c r="E91" s="45"/>
      <c r="F91" s="47" t="str">
        <f>IF(C91="","",'Thiết lập'!$B$4)</f>
        <v/>
      </c>
      <c r="G91" s="19" t="str">
        <f>IF(C91="","",'Thiết lập'!$B$5)</f>
        <v/>
      </c>
      <c r="H91" s="19" t="str">
        <f>IF(C91="","",'Thiết lập'!$B$6)</f>
        <v/>
      </c>
      <c r="I91" s="19" t="str">
        <f>IF(C91="","",'Thiết lập'!$B$7)</f>
        <v/>
      </c>
      <c r="J91" s="19">
        <f t="shared" si="3"/>
        <v>0</v>
      </c>
      <c r="K91" s="19">
        <f t="shared" si="4"/>
        <v>0</v>
      </c>
      <c r="L91" s="19">
        <f t="shared" si="5"/>
        <v>0</v>
      </c>
      <c r="M91" s="19">
        <f t="shared" si="6"/>
        <v>0</v>
      </c>
      <c r="N91" s="19">
        <f t="shared" si="7"/>
        <v>0</v>
      </c>
      <c r="O91" s="19">
        <f t="shared" si="12"/>
        <v>0</v>
      </c>
      <c r="P91" s="19">
        <f t="shared" si="13"/>
        <v>0</v>
      </c>
      <c r="Q91" s="23"/>
      <c r="R91" s="23"/>
      <c r="S91" s="37" t="str">
        <f t="shared" si="11"/>
        <v/>
      </c>
      <c r="T91" s="44"/>
      <c r="U91" s="45"/>
      <c r="V91" s="37" t="str">
        <f t="array" ref="V91">IFERROR(INDEX('Hàng hóa'!$F$4:$F$203,MATCH(T91,'Hàng hóa'!$B$4:$B$203,0)),"")</f>
        <v/>
      </c>
      <c r="W91" s="19">
        <f t="array" ref="W91">IFERROR(INDEX('Hàng hóa'!$H$4:$H$203,MATCH(T91,'Hàng hóa'!$B$4:$B$203,0)),0)</f>
        <v>0</v>
      </c>
      <c r="X91" s="20">
        <f t="shared" si="10"/>
        <v>0</v>
      </c>
      <c r="Y91" s="15"/>
      <c r="AA91" s="9" t="str">
        <f t="shared" si="1"/>
        <v/>
      </c>
      <c r="AB91" s="9" t="str">
        <f>IF('Hàng hóa'!K92&lt;&gt;"",'Hàng hóa'!K92,"")</f>
        <v/>
      </c>
    </row>
    <row r="92" ht="15.75" customHeight="1">
      <c r="A92" s="43"/>
      <c r="B92" s="37" t="str">
        <f t="shared" si="2"/>
        <v/>
      </c>
      <c r="C92" s="44"/>
      <c r="D92" s="45"/>
      <c r="E92" s="45"/>
      <c r="F92" s="47" t="str">
        <f>IF(C92="","",'Thiết lập'!$B$4)</f>
        <v/>
      </c>
      <c r="G92" s="19" t="str">
        <f>IF(C92="","",'Thiết lập'!$B$5)</f>
        <v/>
      </c>
      <c r="H92" s="19" t="str">
        <f>IF(C92="","",'Thiết lập'!$B$6)</f>
        <v/>
      </c>
      <c r="I92" s="19" t="str">
        <f>IF(C92="","",'Thiết lập'!$B$7)</f>
        <v/>
      </c>
      <c r="J92" s="19">
        <f t="shared" si="3"/>
        <v>0</v>
      </c>
      <c r="K92" s="19">
        <f t="shared" si="4"/>
        <v>0</v>
      </c>
      <c r="L92" s="19">
        <f t="shared" si="5"/>
        <v>0</v>
      </c>
      <c r="M92" s="19">
        <f t="shared" si="6"/>
        <v>0</v>
      </c>
      <c r="N92" s="19">
        <f t="shared" si="7"/>
        <v>0</v>
      </c>
      <c r="O92" s="19">
        <f t="shared" si="12"/>
        <v>0</v>
      </c>
      <c r="P92" s="19">
        <f t="shared" si="13"/>
        <v>0</v>
      </c>
      <c r="Q92" s="23"/>
      <c r="R92" s="23"/>
      <c r="S92" s="37" t="str">
        <f t="shared" si="11"/>
        <v/>
      </c>
      <c r="T92" s="44"/>
      <c r="U92" s="45"/>
      <c r="V92" s="37" t="str">
        <f t="array" ref="V92">IFERROR(INDEX('Hàng hóa'!$F$4:$F$203,MATCH(T92,'Hàng hóa'!$B$4:$B$203,0)),"")</f>
        <v/>
      </c>
      <c r="W92" s="19">
        <f t="array" ref="W92">IFERROR(INDEX('Hàng hóa'!$H$4:$H$203,MATCH(T92,'Hàng hóa'!$B$4:$B$203,0)),0)</f>
        <v>0</v>
      </c>
      <c r="X92" s="20">
        <f t="shared" si="10"/>
        <v>0</v>
      </c>
      <c r="Y92" s="15"/>
      <c r="AA92" s="9" t="str">
        <f t="shared" si="1"/>
        <v/>
      </c>
      <c r="AB92" s="9" t="str">
        <f>IF('Hàng hóa'!K93&lt;&gt;"",'Hàng hóa'!K93,"")</f>
        <v/>
      </c>
    </row>
    <row r="93" ht="15.75" customHeight="1">
      <c r="A93" s="43"/>
      <c r="B93" s="37" t="str">
        <f t="shared" si="2"/>
        <v/>
      </c>
      <c r="C93" s="44"/>
      <c r="D93" s="45"/>
      <c r="E93" s="45"/>
      <c r="F93" s="47" t="str">
        <f>IF(C93="","",'Thiết lập'!$B$4)</f>
        <v/>
      </c>
      <c r="G93" s="19" t="str">
        <f>IF(C93="","",'Thiết lập'!$B$5)</f>
        <v/>
      </c>
      <c r="H93" s="19" t="str">
        <f>IF(C93="","",'Thiết lập'!$B$6)</f>
        <v/>
      </c>
      <c r="I93" s="19" t="str">
        <f>IF(C93="","",'Thiết lập'!$B$7)</f>
        <v/>
      </c>
      <c r="J93" s="19">
        <f t="shared" si="3"/>
        <v>0</v>
      </c>
      <c r="K93" s="19">
        <f t="shared" si="4"/>
        <v>0</v>
      </c>
      <c r="L93" s="19">
        <f t="shared" si="5"/>
        <v>0</v>
      </c>
      <c r="M93" s="19">
        <f t="shared" si="6"/>
        <v>0</v>
      </c>
      <c r="N93" s="19">
        <f t="shared" si="7"/>
        <v>0</v>
      </c>
      <c r="O93" s="19">
        <f t="shared" si="12"/>
        <v>0</v>
      </c>
      <c r="P93" s="19">
        <f t="shared" si="13"/>
        <v>0</v>
      </c>
      <c r="Q93" s="23"/>
      <c r="R93" s="23"/>
      <c r="S93" s="37" t="str">
        <f t="shared" si="11"/>
        <v/>
      </c>
      <c r="T93" s="44"/>
      <c r="U93" s="45"/>
      <c r="V93" s="37" t="str">
        <f t="array" ref="V93">IFERROR(INDEX('Hàng hóa'!$F$4:$F$203,MATCH(T93,'Hàng hóa'!$B$4:$B$203,0)),"")</f>
        <v/>
      </c>
      <c r="W93" s="19">
        <f t="array" ref="W93">IFERROR(INDEX('Hàng hóa'!$H$4:$H$203,MATCH(T93,'Hàng hóa'!$B$4:$B$203,0)),0)</f>
        <v>0</v>
      </c>
      <c r="X93" s="20">
        <f t="shared" si="10"/>
        <v>0</v>
      </c>
      <c r="Y93" s="15"/>
      <c r="AA93" s="9" t="str">
        <f t="shared" si="1"/>
        <v/>
      </c>
      <c r="AB93" s="9" t="str">
        <f>IF('Hàng hóa'!K94&lt;&gt;"",'Hàng hóa'!K94,"")</f>
        <v/>
      </c>
    </row>
    <row r="94" ht="15.75" customHeight="1">
      <c r="A94" s="43"/>
      <c r="B94" s="37" t="str">
        <f t="shared" si="2"/>
        <v/>
      </c>
      <c r="C94" s="44"/>
      <c r="D94" s="45"/>
      <c r="E94" s="45"/>
      <c r="F94" s="47" t="str">
        <f>IF(C94="","",'Thiết lập'!$B$4)</f>
        <v/>
      </c>
      <c r="G94" s="19" t="str">
        <f>IF(C94="","",'Thiết lập'!$B$5)</f>
        <v/>
      </c>
      <c r="H94" s="19" t="str">
        <f>IF(C94="","",'Thiết lập'!$B$6)</f>
        <v/>
      </c>
      <c r="I94" s="19" t="str">
        <f>IF(C94="","",'Thiết lập'!$B$7)</f>
        <v/>
      </c>
      <c r="J94" s="19">
        <f t="shared" si="3"/>
        <v>0</v>
      </c>
      <c r="K94" s="19">
        <f t="shared" si="4"/>
        <v>0</v>
      </c>
      <c r="L94" s="19">
        <f t="shared" si="5"/>
        <v>0</v>
      </c>
      <c r="M94" s="19">
        <f t="shared" si="6"/>
        <v>0</v>
      </c>
      <c r="N94" s="19">
        <f t="shared" si="7"/>
        <v>0</v>
      </c>
      <c r="O94" s="19">
        <f t="shared" si="12"/>
        <v>0</v>
      </c>
      <c r="P94" s="19">
        <f t="shared" si="13"/>
        <v>0</v>
      </c>
      <c r="Q94" s="23"/>
      <c r="R94" s="23"/>
      <c r="S94" s="37" t="str">
        <f t="shared" si="11"/>
        <v/>
      </c>
      <c r="T94" s="44"/>
      <c r="U94" s="45"/>
      <c r="V94" s="37" t="str">
        <f t="array" ref="V94">IFERROR(INDEX('Hàng hóa'!$F$4:$F$203,MATCH(T94,'Hàng hóa'!$B$4:$B$203,0)),"")</f>
        <v/>
      </c>
      <c r="W94" s="19">
        <f t="array" ref="W94">IFERROR(INDEX('Hàng hóa'!$H$4:$H$203,MATCH(T94,'Hàng hóa'!$B$4:$B$203,0)),0)</f>
        <v>0</v>
      </c>
      <c r="X94" s="20">
        <f t="shared" si="10"/>
        <v>0</v>
      </c>
      <c r="Y94" s="15"/>
      <c r="AA94" s="9" t="str">
        <f t="shared" si="1"/>
        <v/>
      </c>
      <c r="AB94" s="9" t="str">
        <f>IF('Hàng hóa'!K95&lt;&gt;"",'Hàng hóa'!K95,"")</f>
        <v/>
      </c>
    </row>
    <row r="95" ht="15.75" customHeight="1">
      <c r="A95" s="43"/>
      <c r="B95" s="37" t="str">
        <f t="shared" si="2"/>
        <v/>
      </c>
      <c r="C95" s="44"/>
      <c r="D95" s="45"/>
      <c r="E95" s="45"/>
      <c r="F95" s="47" t="str">
        <f>IF(C95="","",'Thiết lập'!$B$4)</f>
        <v/>
      </c>
      <c r="G95" s="19" t="str">
        <f>IF(C95="","",'Thiết lập'!$B$5)</f>
        <v/>
      </c>
      <c r="H95" s="19" t="str">
        <f>IF(C95="","",'Thiết lập'!$B$6)</f>
        <v/>
      </c>
      <c r="I95" s="19" t="str">
        <f>IF(C95="","",'Thiết lập'!$B$7)</f>
        <v/>
      </c>
      <c r="J95" s="19">
        <f t="shared" si="3"/>
        <v>0</v>
      </c>
      <c r="K95" s="19">
        <f t="shared" si="4"/>
        <v>0</v>
      </c>
      <c r="L95" s="19">
        <f t="shared" si="5"/>
        <v>0</v>
      </c>
      <c r="M95" s="19">
        <f t="shared" si="6"/>
        <v>0</v>
      </c>
      <c r="N95" s="19">
        <f t="shared" si="7"/>
        <v>0</v>
      </c>
      <c r="O95" s="19">
        <f t="shared" si="12"/>
        <v>0</v>
      </c>
      <c r="P95" s="19">
        <f t="shared" si="13"/>
        <v>0</v>
      </c>
      <c r="Q95" s="23"/>
      <c r="R95" s="23"/>
      <c r="S95" s="37" t="str">
        <f t="shared" si="11"/>
        <v/>
      </c>
      <c r="T95" s="44"/>
      <c r="U95" s="45"/>
      <c r="V95" s="37" t="str">
        <f t="array" ref="V95">IFERROR(INDEX('Hàng hóa'!$F$4:$F$203,MATCH(T95,'Hàng hóa'!$B$4:$B$203,0)),"")</f>
        <v/>
      </c>
      <c r="W95" s="19">
        <f t="array" ref="W95">IFERROR(INDEX('Hàng hóa'!$H$4:$H$203,MATCH(T95,'Hàng hóa'!$B$4:$B$203,0)),0)</f>
        <v>0</v>
      </c>
      <c r="X95" s="20">
        <f t="shared" si="10"/>
        <v>0</v>
      </c>
      <c r="Y95" s="15"/>
      <c r="AA95" s="9" t="str">
        <f t="shared" si="1"/>
        <v/>
      </c>
      <c r="AB95" s="9" t="str">
        <f>IF('Hàng hóa'!K96&lt;&gt;"",'Hàng hóa'!K96,"")</f>
        <v/>
      </c>
    </row>
    <row r="96" ht="15.75" customHeight="1">
      <c r="A96" s="43"/>
      <c r="B96" s="37" t="str">
        <f t="shared" si="2"/>
        <v/>
      </c>
      <c r="C96" s="44"/>
      <c r="D96" s="45"/>
      <c r="E96" s="45"/>
      <c r="F96" s="47" t="str">
        <f>IF(C96="","",'Thiết lập'!$B$4)</f>
        <v/>
      </c>
      <c r="G96" s="19" t="str">
        <f>IF(C96="","",'Thiết lập'!$B$5)</f>
        <v/>
      </c>
      <c r="H96" s="19" t="str">
        <f>IF(C96="","",'Thiết lập'!$B$6)</f>
        <v/>
      </c>
      <c r="I96" s="19" t="str">
        <f>IF(C96="","",'Thiết lập'!$B$7)</f>
        <v/>
      </c>
      <c r="J96" s="19">
        <f t="shared" si="3"/>
        <v>0</v>
      </c>
      <c r="K96" s="19">
        <f t="shared" si="4"/>
        <v>0</v>
      </c>
      <c r="L96" s="19">
        <f t="shared" si="5"/>
        <v>0</v>
      </c>
      <c r="M96" s="19">
        <f t="shared" si="6"/>
        <v>0</v>
      </c>
      <c r="N96" s="19">
        <f t="shared" si="7"/>
        <v>0</v>
      </c>
      <c r="O96" s="19">
        <f t="shared" si="12"/>
        <v>0</v>
      </c>
      <c r="P96" s="19">
        <f t="shared" si="13"/>
        <v>0</v>
      </c>
      <c r="Q96" s="23"/>
      <c r="R96" s="23"/>
      <c r="S96" s="37" t="str">
        <f t="shared" si="11"/>
        <v/>
      </c>
      <c r="T96" s="44"/>
      <c r="U96" s="45"/>
      <c r="V96" s="37" t="str">
        <f t="array" ref="V96">IFERROR(INDEX('Hàng hóa'!$F$4:$F$203,MATCH(T96,'Hàng hóa'!$B$4:$B$203,0)),"")</f>
        <v/>
      </c>
      <c r="W96" s="19">
        <f t="array" ref="W96">IFERROR(INDEX('Hàng hóa'!$H$4:$H$203,MATCH(T96,'Hàng hóa'!$B$4:$B$203,0)),0)</f>
        <v>0</v>
      </c>
      <c r="X96" s="20">
        <f t="shared" si="10"/>
        <v>0</v>
      </c>
      <c r="Y96" s="15"/>
      <c r="AA96" s="9" t="str">
        <f t="shared" si="1"/>
        <v/>
      </c>
      <c r="AB96" s="9" t="str">
        <f>IF('Hàng hóa'!K97&lt;&gt;"",'Hàng hóa'!K97,"")</f>
        <v/>
      </c>
    </row>
    <row r="97" ht="15.75" customHeight="1">
      <c r="A97" s="43"/>
      <c r="B97" s="37" t="str">
        <f t="shared" si="2"/>
        <v/>
      </c>
      <c r="C97" s="44"/>
      <c r="D97" s="45"/>
      <c r="E97" s="45"/>
      <c r="F97" s="47" t="str">
        <f>IF(C97="","",'Thiết lập'!$B$4)</f>
        <v/>
      </c>
      <c r="G97" s="19" t="str">
        <f>IF(C97="","",'Thiết lập'!$B$5)</f>
        <v/>
      </c>
      <c r="H97" s="19" t="str">
        <f>IF(C97="","",'Thiết lập'!$B$6)</f>
        <v/>
      </c>
      <c r="I97" s="19" t="str">
        <f>IF(C97="","",'Thiết lập'!$B$7)</f>
        <v/>
      </c>
      <c r="J97" s="19">
        <f t="shared" si="3"/>
        <v>0</v>
      </c>
      <c r="K97" s="19">
        <f t="shared" si="4"/>
        <v>0</v>
      </c>
      <c r="L97" s="19">
        <f t="shared" si="5"/>
        <v>0</v>
      </c>
      <c r="M97" s="19">
        <f t="shared" si="6"/>
        <v>0</v>
      </c>
      <c r="N97" s="19">
        <f t="shared" si="7"/>
        <v>0</v>
      </c>
      <c r="O97" s="19">
        <f t="shared" si="12"/>
        <v>0</v>
      </c>
      <c r="P97" s="19">
        <f t="shared" si="13"/>
        <v>0</v>
      </c>
      <c r="Q97" s="23"/>
      <c r="R97" s="23"/>
      <c r="S97" s="37" t="str">
        <f t="shared" si="11"/>
        <v/>
      </c>
      <c r="T97" s="44"/>
      <c r="U97" s="45"/>
      <c r="V97" s="37" t="str">
        <f t="array" ref="V97">IFERROR(INDEX('Hàng hóa'!$F$4:$F$203,MATCH(T97,'Hàng hóa'!$B$4:$B$203,0)),"")</f>
        <v/>
      </c>
      <c r="W97" s="19">
        <f t="array" ref="W97">IFERROR(INDEX('Hàng hóa'!$H$4:$H$203,MATCH(T97,'Hàng hóa'!$B$4:$B$203,0)),0)</f>
        <v>0</v>
      </c>
      <c r="X97" s="20">
        <f t="shared" si="10"/>
        <v>0</v>
      </c>
      <c r="Y97" s="15"/>
      <c r="AA97" s="9" t="str">
        <f t="shared" si="1"/>
        <v/>
      </c>
      <c r="AB97" s="9" t="str">
        <f>IF('Hàng hóa'!K98&lt;&gt;"",'Hàng hóa'!K98,"")</f>
        <v/>
      </c>
    </row>
    <row r="98" ht="15.75" customHeight="1">
      <c r="A98" s="43"/>
      <c r="B98" s="37" t="str">
        <f t="shared" si="2"/>
        <v/>
      </c>
      <c r="C98" s="44"/>
      <c r="D98" s="45"/>
      <c r="E98" s="45"/>
      <c r="F98" s="47" t="str">
        <f>IF(C98="","",'Thiết lập'!$B$4)</f>
        <v/>
      </c>
      <c r="G98" s="19" t="str">
        <f>IF(C98="","",'Thiết lập'!$B$5)</f>
        <v/>
      </c>
      <c r="H98" s="19" t="str">
        <f>IF(C98="","",'Thiết lập'!$B$6)</f>
        <v/>
      </c>
      <c r="I98" s="19" t="str">
        <f>IF(C98="","",'Thiết lập'!$B$7)</f>
        <v/>
      </c>
      <c r="J98" s="19">
        <f t="shared" si="3"/>
        <v>0</v>
      </c>
      <c r="K98" s="19">
        <f t="shared" si="4"/>
        <v>0</v>
      </c>
      <c r="L98" s="19">
        <f t="shared" si="5"/>
        <v>0</v>
      </c>
      <c r="M98" s="19">
        <f t="shared" si="6"/>
        <v>0</v>
      </c>
      <c r="N98" s="19">
        <f t="shared" si="7"/>
        <v>0</v>
      </c>
      <c r="O98" s="19">
        <f t="shared" si="12"/>
        <v>0</v>
      </c>
      <c r="P98" s="19">
        <f t="shared" si="13"/>
        <v>0</v>
      </c>
      <c r="Q98" s="23"/>
      <c r="R98" s="23"/>
      <c r="S98" s="37" t="str">
        <f t="shared" si="11"/>
        <v/>
      </c>
      <c r="T98" s="44"/>
      <c r="U98" s="45"/>
      <c r="V98" s="37" t="str">
        <f t="array" ref="V98">IFERROR(INDEX('Hàng hóa'!$F$4:$F$203,MATCH(T98,'Hàng hóa'!$B$4:$B$203,0)),"")</f>
        <v/>
      </c>
      <c r="W98" s="19">
        <f t="array" ref="W98">IFERROR(INDEX('Hàng hóa'!$H$4:$H$203,MATCH(T98,'Hàng hóa'!$B$4:$B$203,0)),0)</f>
        <v>0</v>
      </c>
      <c r="X98" s="20">
        <f t="shared" si="10"/>
        <v>0</v>
      </c>
      <c r="Y98" s="15"/>
      <c r="AA98" s="9" t="str">
        <f t="shared" si="1"/>
        <v/>
      </c>
      <c r="AB98" s="9" t="str">
        <f>IF('Hàng hóa'!K99&lt;&gt;"",'Hàng hóa'!K99,"")</f>
        <v/>
      </c>
    </row>
    <row r="99" ht="15.75" customHeight="1">
      <c r="A99" s="43"/>
      <c r="B99" s="37" t="str">
        <f t="shared" si="2"/>
        <v/>
      </c>
      <c r="C99" s="44"/>
      <c r="D99" s="45"/>
      <c r="E99" s="45"/>
      <c r="F99" s="47" t="str">
        <f>IF(C99="","",'Thiết lập'!$B$4)</f>
        <v/>
      </c>
      <c r="G99" s="19" t="str">
        <f>IF(C99="","",'Thiết lập'!$B$5)</f>
        <v/>
      </c>
      <c r="H99" s="19" t="str">
        <f>IF(C99="","",'Thiết lập'!$B$6)</f>
        <v/>
      </c>
      <c r="I99" s="19" t="str">
        <f>IF(C99="","",'Thiết lập'!$B$7)</f>
        <v/>
      </c>
      <c r="J99" s="19">
        <f t="shared" si="3"/>
        <v>0</v>
      </c>
      <c r="K99" s="19">
        <f t="shared" si="4"/>
        <v>0</v>
      </c>
      <c r="L99" s="19">
        <f t="shared" si="5"/>
        <v>0</v>
      </c>
      <c r="M99" s="19">
        <f t="shared" si="6"/>
        <v>0</v>
      </c>
      <c r="N99" s="19">
        <f t="shared" si="7"/>
        <v>0</v>
      </c>
      <c r="O99" s="19">
        <f t="shared" si="12"/>
        <v>0</v>
      </c>
      <c r="P99" s="19">
        <f t="shared" si="13"/>
        <v>0</v>
      </c>
      <c r="Q99" s="23"/>
      <c r="R99" s="23"/>
      <c r="S99" s="37" t="str">
        <f t="shared" si="11"/>
        <v/>
      </c>
      <c r="T99" s="44"/>
      <c r="U99" s="45"/>
      <c r="V99" s="37" t="str">
        <f t="array" ref="V99">IFERROR(INDEX('Hàng hóa'!$F$4:$F$203,MATCH(T99,'Hàng hóa'!$B$4:$B$203,0)),"")</f>
        <v/>
      </c>
      <c r="W99" s="19">
        <f t="array" ref="W99">IFERROR(INDEX('Hàng hóa'!$H$4:$H$203,MATCH(T99,'Hàng hóa'!$B$4:$B$203,0)),0)</f>
        <v>0</v>
      </c>
      <c r="X99" s="20">
        <f t="shared" si="10"/>
        <v>0</v>
      </c>
      <c r="Y99" s="15"/>
      <c r="AA99" s="9" t="str">
        <f t="shared" si="1"/>
        <v/>
      </c>
      <c r="AB99" s="9" t="str">
        <f>IF('Hàng hóa'!K100&lt;&gt;"",'Hàng hóa'!K100,"")</f>
        <v/>
      </c>
    </row>
    <row r="100" ht="15.75" customHeight="1">
      <c r="A100" s="43"/>
      <c r="B100" s="37" t="str">
        <f t="shared" si="2"/>
        <v/>
      </c>
      <c r="C100" s="44"/>
      <c r="D100" s="45"/>
      <c r="E100" s="45"/>
      <c r="F100" s="47" t="str">
        <f>IF(C100="","",'Thiết lập'!$B$4)</f>
        <v/>
      </c>
      <c r="G100" s="19" t="str">
        <f>IF(C100="","",'Thiết lập'!$B$5)</f>
        <v/>
      </c>
      <c r="H100" s="19" t="str">
        <f>IF(C100="","",'Thiết lập'!$B$6)</f>
        <v/>
      </c>
      <c r="I100" s="19" t="str">
        <f>IF(C100="","",'Thiết lập'!$B$7)</f>
        <v/>
      </c>
      <c r="J100" s="19">
        <f t="shared" si="3"/>
        <v>0</v>
      </c>
      <c r="K100" s="19">
        <f t="shared" si="4"/>
        <v>0</v>
      </c>
      <c r="L100" s="19">
        <f t="shared" si="5"/>
        <v>0</v>
      </c>
      <c r="M100" s="19">
        <f t="shared" si="6"/>
        <v>0</v>
      </c>
      <c r="N100" s="19">
        <f t="shared" si="7"/>
        <v>0</v>
      </c>
      <c r="O100" s="19">
        <f t="shared" si="12"/>
        <v>0</v>
      </c>
      <c r="P100" s="19">
        <f t="shared" si="13"/>
        <v>0</v>
      </c>
      <c r="Q100" s="23"/>
      <c r="R100" s="23"/>
      <c r="S100" s="37" t="str">
        <f t="shared" si="11"/>
        <v/>
      </c>
      <c r="T100" s="44"/>
      <c r="U100" s="45"/>
      <c r="V100" s="37" t="str">
        <f t="array" ref="V100">IFERROR(INDEX('Hàng hóa'!$F$4:$F$203,MATCH(T100,'Hàng hóa'!$B$4:$B$203,0)),"")</f>
        <v/>
      </c>
      <c r="W100" s="19">
        <f t="array" ref="W100">IFERROR(INDEX('Hàng hóa'!$H$4:$H$203,MATCH(T100,'Hàng hóa'!$B$4:$B$203,0)),0)</f>
        <v>0</v>
      </c>
      <c r="X100" s="20">
        <f t="shared" si="10"/>
        <v>0</v>
      </c>
      <c r="Y100" s="15"/>
      <c r="AA100" s="9" t="str">
        <f t="shared" si="1"/>
        <v/>
      </c>
      <c r="AB100" s="9" t="str">
        <f>IF('Hàng hóa'!K101&lt;&gt;"",'Hàng hóa'!K101,"")</f>
        <v/>
      </c>
    </row>
    <row r="101" ht="15.75" customHeight="1">
      <c r="A101" s="43"/>
      <c r="B101" s="37" t="str">
        <f t="shared" si="2"/>
        <v/>
      </c>
      <c r="C101" s="44"/>
      <c r="D101" s="45"/>
      <c r="E101" s="45"/>
      <c r="F101" s="47" t="str">
        <f>IF(C101="","",'Thiết lập'!$B$4)</f>
        <v/>
      </c>
      <c r="G101" s="19" t="str">
        <f>IF(C101="","",'Thiết lập'!$B$5)</f>
        <v/>
      </c>
      <c r="H101" s="19" t="str">
        <f>IF(C101="","",'Thiết lập'!$B$6)</f>
        <v/>
      </c>
      <c r="I101" s="19" t="str">
        <f>IF(C101="","",'Thiết lập'!$B$7)</f>
        <v/>
      </c>
      <c r="J101" s="19">
        <f t="shared" si="3"/>
        <v>0</v>
      </c>
      <c r="K101" s="19">
        <f t="shared" si="4"/>
        <v>0</v>
      </c>
      <c r="L101" s="19">
        <f t="shared" si="5"/>
        <v>0</v>
      </c>
      <c r="M101" s="19">
        <f t="shared" si="6"/>
        <v>0</v>
      </c>
      <c r="N101" s="19">
        <f t="shared" si="7"/>
        <v>0</v>
      </c>
      <c r="O101" s="19">
        <f t="shared" si="12"/>
        <v>0</v>
      </c>
      <c r="P101" s="19">
        <f t="shared" si="13"/>
        <v>0</v>
      </c>
      <c r="Q101" s="23"/>
      <c r="R101" s="23"/>
      <c r="S101" s="37" t="str">
        <f t="shared" si="11"/>
        <v/>
      </c>
      <c r="T101" s="44"/>
      <c r="U101" s="45"/>
      <c r="V101" s="37" t="str">
        <f t="array" ref="V101">IFERROR(INDEX('Hàng hóa'!$F$4:$F$203,MATCH(T101,'Hàng hóa'!$B$4:$B$203,0)),"")</f>
        <v/>
      </c>
      <c r="W101" s="19">
        <f t="array" ref="W101">IFERROR(INDEX('Hàng hóa'!$H$4:$H$203,MATCH(T101,'Hàng hóa'!$B$4:$B$203,0)),0)</f>
        <v>0</v>
      </c>
      <c r="X101" s="20">
        <f t="shared" si="10"/>
        <v>0</v>
      </c>
      <c r="Y101" s="15"/>
      <c r="AA101" s="9" t="str">
        <f t="shared" si="1"/>
        <v/>
      </c>
      <c r="AB101" s="9" t="str">
        <f>IF('Hàng hóa'!K102&lt;&gt;"",'Hàng hóa'!K102,"")</f>
        <v/>
      </c>
    </row>
    <row r="102" ht="15.75" customHeight="1">
      <c r="A102" s="43"/>
      <c r="B102" s="37" t="str">
        <f t="shared" si="2"/>
        <v/>
      </c>
      <c r="C102" s="44"/>
      <c r="D102" s="45"/>
      <c r="E102" s="45"/>
      <c r="F102" s="47" t="str">
        <f>IF(C102="","",'Thiết lập'!$B$4)</f>
        <v/>
      </c>
      <c r="G102" s="19" t="str">
        <f>IF(C102="","",'Thiết lập'!$B$5)</f>
        <v/>
      </c>
      <c r="H102" s="19" t="str">
        <f>IF(C102="","",'Thiết lập'!$B$6)</f>
        <v/>
      </c>
      <c r="I102" s="19" t="str">
        <f>IF(C102="","",'Thiết lập'!$B$7)</f>
        <v/>
      </c>
      <c r="J102" s="19">
        <f t="shared" si="3"/>
        <v>0</v>
      </c>
      <c r="K102" s="19">
        <f t="shared" si="4"/>
        <v>0</v>
      </c>
      <c r="L102" s="19">
        <f t="shared" si="5"/>
        <v>0</v>
      </c>
      <c r="M102" s="19">
        <f t="shared" si="6"/>
        <v>0</v>
      </c>
      <c r="N102" s="19">
        <f t="shared" si="7"/>
        <v>0</v>
      </c>
      <c r="O102" s="19">
        <f t="shared" si="12"/>
        <v>0</v>
      </c>
      <c r="P102" s="19">
        <f t="shared" si="13"/>
        <v>0</v>
      </c>
      <c r="Q102" s="23"/>
      <c r="R102" s="23"/>
      <c r="S102" s="37" t="str">
        <f t="shared" si="11"/>
        <v/>
      </c>
      <c r="T102" s="44"/>
      <c r="U102" s="45"/>
      <c r="V102" s="37" t="str">
        <f t="array" ref="V102">IFERROR(INDEX('Hàng hóa'!$F$4:$F$203,MATCH(T102,'Hàng hóa'!$B$4:$B$203,0)),"")</f>
        <v/>
      </c>
      <c r="W102" s="19">
        <f t="array" ref="W102">IFERROR(INDEX('Hàng hóa'!$H$4:$H$203,MATCH(T102,'Hàng hóa'!$B$4:$B$203,0)),0)</f>
        <v>0</v>
      </c>
      <c r="X102" s="20">
        <f t="shared" si="10"/>
        <v>0</v>
      </c>
      <c r="Y102" s="15"/>
      <c r="AA102" s="9" t="str">
        <f t="shared" si="1"/>
        <v/>
      </c>
      <c r="AB102" s="9" t="str">
        <f>IF('Hàng hóa'!K103&lt;&gt;"",'Hàng hóa'!K103,"")</f>
        <v/>
      </c>
    </row>
    <row r="103" ht="15.75" customHeight="1">
      <c r="A103" s="43"/>
      <c r="B103" s="37" t="str">
        <f t="shared" si="2"/>
        <v/>
      </c>
      <c r="C103" s="44"/>
      <c r="D103" s="45"/>
      <c r="E103" s="45"/>
      <c r="F103" s="47" t="str">
        <f>IF(C103="","",'Thiết lập'!$B$4)</f>
        <v/>
      </c>
      <c r="G103" s="19" t="str">
        <f>IF(C103="","",'Thiết lập'!$B$5)</f>
        <v/>
      </c>
      <c r="H103" s="19" t="str">
        <f>IF(C103="","",'Thiết lập'!$B$6)</f>
        <v/>
      </c>
      <c r="I103" s="19" t="str">
        <f>IF(C103="","",'Thiết lập'!$B$7)</f>
        <v/>
      </c>
      <c r="J103" s="19">
        <f t="shared" si="3"/>
        <v>0</v>
      </c>
      <c r="K103" s="19">
        <f t="shared" si="4"/>
        <v>0</v>
      </c>
      <c r="L103" s="19">
        <f t="shared" si="5"/>
        <v>0</v>
      </c>
      <c r="M103" s="19">
        <f t="shared" si="6"/>
        <v>0</v>
      </c>
      <c r="N103" s="19">
        <f t="shared" si="7"/>
        <v>0</v>
      </c>
      <c r="O103" s="19">
        <f t="shared" si="12"/>
        <v>0</v>
      </c>
      <c r="P103" s="19">
        <f t="shared" si="13"/>
        <v>0</v>
      </c>
      <c r="Q103" s="23"/>
      <c r="R103" s="23"/>
      <c r="S103" s="37" t="str">
        <f t="shared" si="11"/>
        <v/>
      </c>
      <c r="T103" s="44"/>
      <c r="U103" s="45"/>
      <c r="V103" s="37" t="str">
        <f t="array" ref="V103">IFERROR(INDEX('Hàng hóa'!$F$4:$F$203,MATCH(T103,'Hàng hóa'!$B$4:$B$203,0)),"")</f>
        <v/>
      </c>
      <c r="W103" s="19">
        <f t="array" ref="W103">IFERROR(INDEX('Hàng hóa'!$H$4:$H$203,MATCH(T103,'Hàng hóa'!$B$4:$B$203,0)),0)</f>
        <v>0</v>
      </c>
      <c r="X103" s="20">
        <f t="shared" si="10"/>
        <v>0</v>
      </c>
      <c r="Y103" s="15"/>
      <c r="AA103" s="9" t="str">
        <f t="shared" si="1"/>
        <v/>
      </c>
      <c r="AB103" s="9" t="str">
        <f>IF('Hàng hóa'!K104&lt;&gt;"",'Hàng hóa'!K104,"")</f>
        <v/>
      </c>
    </row>
    <row r="104" ht="15.75" customHeight="1">
      <c r="A104" s="43"/>
      <c r="B104" s="37" t="str">
        <f t="shared" si="2"/>
        <v/>
      </c>
      <c r="C104" s="44"/>
      <c r="D104" s="45"/>
      <c r="E104" s="45"/>
      <c r="F104" s="47" t="str">
        <f>IF(C104="","",'Thiết lập'!$B$4)</f>
        <v/>
      </c>
      <c r="G104" s="19" t="str">
        <f>IF(C104="","",'Thiết lập'!$B$5)</f>
        <v/>
      </c>
      <c r="H104" s="19" t="str">
        <f>IF(C104="","",'Thiết lập'!$B$6)</f>
        <v/>
      </c>
      <c r="I104" s="19" t="str">
        <f>IF(C104="","",'Thiết lập'!$B$7)</f>
        <v/>
      </c>
      <c r="J104" s="19">
        <f t="shared" si="3"/>
        <v>0</v>
      </c>
      <c r="K104" s="19">
        <f t="shared" si="4"/>
        <v>0</v>
      </c>
      <c r="L104" s="19">
        <f t="shared" si="5"/>
        <v>0</v>
      </c>
      <c r="M104" s="19">
        <f t="shared" si="6"/>
        <v>0</v>
      </c>
      <c r="N104" s="19">
        <f t="shared" si="7"/>
        <v>0</v>
      </c>
      <c r="O104" s="19">
        <f t="shared" si="12"/>
        <v>0</v>
      </c>
      <c r="P104" s="19">
        <f t="shared" si="13"/>
        <v>0</v>
      </c>
      <c r="Q104" s="23"/>
      <c r="R104" s="23"/>
      <c r="S104" s="37" t="str">
        <f t="shared" si="11"/>
        <v/>
      </c>
      <c r="T104" s="44"/>
      <c r="U104" s="45"/>
      <c r="V104" s="37" t="str">
        <f t="array" ref="V104">IFERROR(INDEX('Hàng hóa'!$F$4:$F$203,MATCH(T104,'Hàng hóa'!$B$4:$B$203,0)),"")</f>
        <v/>
      </c>
      <c r="W104" s="19">
        <f t="array" ref="W104">IFERROR(INDEX('Hàng hóa'!$H$4:$H$203,MATCH(T104,'Hàng hóa'!$B$4:$B$203,0)),0)</f>
        <v>0</v>
      </c>
      <c r="X104" s="20">
        <f t="shared" si="10"/>
        <v>0</v>
      </c>
      <c r="Y104" s="15"/>
      <c r="AA104" s="9" t="str">
        <f t="shared" si="1"/>
        <v/>
      </c>
      <c r="AB104" s="9" t="str">
        <f>IF('Hàng hóa'!K105&lt;&gt;"",'Hàng hóa'!K105,"")</f>
        <v/>
      </c>
    </row>
    <row r="105" ht="15.75" customHeight="1">
      <c r="A105" s="43"/>
      <c r="B105" s="37" t="str">
        <f t="shared" si="2"/>
        <v/>
      </c>
      <c r="C105" s="44"/>
      <c r="D105" s="45"/>
      <c r="E105" s="45"/>
      <c r="F105" s="47" t="str">
        <f>IF(C105="","",'Thiết lập'!$B$4)</f>
        <v/>
      </c>
      <c r="G105" s="19" t="str">
        <f>IF(C105="","",'Thiết lập'!$B$5)</f>
        <v/>
      </c>
      <c r="H105" s="19" t="str">
        <f>IF(C105="","",'Thiết lập'!$B$6)</f>
        <v/>
      </c>
      <c r="I105" s="19" t="str">
        <f>IF(C105="","",'Thiết lập'!$B$7)</f>
        <v/>
      </c>
      <c r="J105" s="19">
        <f t="shared" si="3"/>
        <v>0</v>
      </c>
      <c r="K105" s="19">
        <f t="shared" si="4"/>
        <v>0</v>
      </c>
      <c r="L105" s="19">
        <f t="shared" si="5"/>
        <v>0</v>
      </c>
      <c r="M105" s="19">
        <f t="shared" si="6"/>
        <v>0</v>
      </c>
      <c r="N105" s="19">
        <f t="shared" si="7"/>
        <v>0</v>
      </c>
      <c r="O105" s="19">
        <f t="shared" si="12"/>
        <v>0</v>
      </c>
      <c r="P105" s="19">
        <f t="shared" si="13"/>
        <v>0</v>
      </c>
      <c r="Q105" s="23"/>
      <c r="R105" s="23"/>
      <c r="S105" s="37" t="str">
        <f t="shared" si="11"/>
        <v/>
      </c>
      <c r="T105" s="44"/>
      <c r="U105" s="45"/>
      <c r="V105" s="37" t="str">
        <f t="array" ref="V105">IFERROR(INDEX('Hàng hóa'!$F$4:$F$203,MATCH(T105,'Hàng hóa'!$B$4:$B$203,0)),"")</f>
        <v/>
      </c>
      <c r="W105" s="19">
        <f t="array" ref="W105">IFERROR(INDEX('Hàng hóa'!$H$4:$H$203,MATCH(T105,'Hàng hóa'!$B$4:$B$203,0)),0)</f>
        <v>0</v>
      </c>
      <c r="X105" s="20">
        <f t="shared" si="10"/>
        <v>0</v>
      </c>
      <c r="Y105" s="15"/>
      <c r="AA105" s="9" t="str">
        <f t="shared" si="1"/>
        <v/>
      </c>
      <c r="AB105" s="9" t="str">
        <f>IF('Hàng hóa'!K106&lt;&gt;"",'Hàng hóa'!K106,"")</f>
        <v/>
      </c>
    </row>
    <row r="106" ht="15.75" customHeight="1">
      <c r="A106" s="43"/>
      <c r="B106" s="37" t="str">
        <f t="shared" si="2"/>
        <v/>
      </c>
      <c r="C106" s="44"/>
      <c r="D106" s="45"/>
      <c r="E106" s="45"/>
      <c r="F106" s="47" t="str">
        <f>IF(C106="","",'Thiết lập'!$B$4)</f>
        <v/>
      </c>
      <c r="G106" s="19" t="str">
        <f>IF(C106="","",'Thiết lập'!$B$5)</f>
        <v/>
      </c>
      <c r="H106" s="19" t="str">
        <f>IF(C106="","",'Thiết lập'!$B$6)</f>
        <v/>
      </c>
      <c r="I106" s="19" t="str">
        <f>IF(C106="","",'Thiết lập'!$B$7)</f>
        <v/>
      </c>
      <c r="J106" s="19">
        <f t="shared" si="3"/>
        <v>0</v>
      </c>
      <c r="K106" s="19">
        <f t="shared" si="4"/>
        <v>0</v>
      </c>
      <c r="L106" s="19">
        <f t="shared" si="5"/>
        <v>0</v>
      </c>
      <c r="M106" s="19">
        <f t="shared" si="6"/>
        <v>0</v>
      </c>
      <c r="N106" s="19">
        <f t="shared" si="7"/>
        <v>0</v>
      </c>
      <c r="O106" s="19">
        <f t="shared" si="12"/>
        <v>0</v>
      </c>
      <c r="P106" s="19">
        <f t="shared" si="13"/>
        <v>0</v>
      </c>
      <c r="Q106" s="23"/>
      <c r="R106" s="23"/>
      <c r="S106" s="37" t="str">
        <f t="shared" si="11"/>
        <v/>
      </c>
      <c r="T106" s="44"/>
      <c r="U106" s="45"/>
      <c r="V106" s="37" t="str">
        <f t="array" ref="V106">IFERROR(INDEX('Hàng hóa'!$F$4:$F$203,MATCH(T106,'Hàng hóa'!$B$4:$B$203,0)),"")</f>
        <v/>
      </c>
      <c r="W106" s="19">
        <f t="array" ref="W106">IFERROR(INDEX('Hàng hóa'!$H$4:$H$203,MATCH(T106,'Hàng hóa'!$B$4:$B$203,0)),0)</f>
        <v>0</v>
      </c>
      <c r="X106" s="20">
        <f t="shared" si="10"/>
        <v>0</v>
      </c>
      <c r="Y106" s="15"/>
      <c r="AA106" s="9" t="str">
        <f t="shared" si="1"/>
        <v/>
      </c>
      <c r="AB106" s="9" t="str">
        <f>IF('Hàng hóa'!K107&lt;&gt;"",'Hàng hóa'!K107,"")</f>
        <v/>
      </c>
    </row>
    <row r="107" ht="15.75" customHeight="1">
      <c r="A107" s="43"/>
      <c r="B107" s="37" t="str">
        <f t="shared" si="2"/>
        <v/>
      </c>
      <c r="C107" s="44"/>
      <c r="D107" s="45"/>
      <c r="E107" s="45"/>
      <c r="F107" s="47" t="str">
        <f>IF(C107="","",'Thiết lập'!$B$4)</f>
        <v/>
      </c>
      <c r="G107" s="19" t="str">
        <f>IF(C107="","",'Thiết lập'!$B$5)</f>
        <v/>
      </c>
      <c r="H107" s="19" t="str">
        <f>IF(C107="","",'Thiết lập'!$B$6)</f>
        <v/>
      </c>
      <c r="I107" s="19" t="str">
        <f>IF(C107="","",'Thiết lập'!$B$7)</f>
        <v/>
      </c>
      <c r="J107" s="19">
        <f t="shared" si="3"/>
        <v>0</v>
      </c>
      <c r="K107" s="19">
        <f t="shared" si="4"/>
        <v>0</v>
      </c>
      <c r="L107" s="19">
        <f t="shared" si="5"/>
        <v>0</v>
      </c>
      <c r="M107" s="19">
        <f t="shared" si="6"/>
        <v>0</v>
      </c>
      <c r="N107" s="19">
        <f t="shared" si="7"/>
        <v>0</v>
      </c>
      <c r="O107" s="19">
        <f t="shared" si="12"/>
        <v>0</v>
      </c>
      <c r="P107" s="19">
        <f t="shared" si="13"/>
        <v>0</v>
      </c>
      <c r="Q107" s="23"/>
      <c r="R107" s="23"/>
      <c r="S107" s="37" t="str">
        <f t="shared" si="11"/>
        <v/>
      </c>
      <c r="T107" s="44"/>
      <c r="U107" s="45"/>
      <c r="V107" s="37" t="str">
        <f t="array" ref="V107">IFERROR(INDEX('Hàng hóa'!$F$4:$F$203,MATCH(T107,'Hàng hóa'!$B$4:$B$203,0)),"")</f>
        <v/>
      </c>
      <c r="W107" s="19">
        <f t="array" ref="W107">IFERROR(INDEX('Hàng hóa'!$H$4:$H$203,MATCH(T107,'Hàng hóa'!$B$4:$B$203,0)),0)</f>
        <v>0</v>
      </c>
      <c r="X107" s="20">
        <f t="shared" si="10"/>
        <v>0</v>
      </c>
      <c r="Y107" s="15"/>
      <c r="AA107" s="9" t="str">
        <f t="shared" si="1"/>
        <v/>
      </c>
      <c r="AB107" s="9" t="str">
        <f>IF('Hàng hóa'!K108&lt;&gt;"",'Hàng hóa'!K108,"")</f>
        <v/>
      </c>
    </row>
    <row r="108" ht="15.75" customHeight="1">
      <c r="A108" s="43"/>
      <c r="B108" s="37" t="str">
        <f t="shared" si="2"/>
        <v/>
      </c>
      <c r="C108" s="44"/>
      <c r="D108" s="45"/>
      <c r="E108" s="45"/>
      <c r="F108" s="47" t="str">
        <f>IF(C108="","",'Thiết lập'!$B$4)</f>
        <v/>
      </c>
      <c r="G108" s="19" t="str">
        <f>IF(C108="","",'Thiết lập'!$B$5)</f>
        <v/>
      </c>
      <c r="H108" s="19" t="str">
        <f>IF(C108="","",'Thiết lập'!$B$6)</f>
        <v/>
      </c>
      <c r="I108" s="19" t="str">
        <f>IF(C108="","",'Thiết lập'!$B$7)</f>
        <v/>
      </c>
      <c r="J108" s="19">
        <f t="shared" si="3"/>
        <v>0</v>
      </c>
      <c r="K108" s="19">
        <f t="shared" si="4"/>
        <v>0</v>
      </c>
      <c r="L108" s="19">
        <f t="shared" si="5"/>
        <v>0</v>
      </c>
      <c r="M108" s="19">
        <f t="shared" si="6"/>
        <v>0</v>
      </c>
      <c r="N108" s="19">
        <f t="shared" si="7"/>
        <v>0</v>
      </c>
      <c r="O108" s="19">
        <f t="shared" si="12"/>
        <v>0</v>
      </c>
      <c r="P108" s="19">
        <f t="shared" si="13"/>
        <v>0</v>
      </c>
      <c r="Q108" s="23"/>
      <c r="R108" s="23"/>
      <c r="S108" s="37" t="str">
        <f t="shared" si="11"/>
        <v/>
      </c>
      <c r="T108" s="44"/>
      <c r="U108" s="45"/>
      <c r="V108" s="37" t="str">
        <f t="array" ref="V108">IFERROR(INDEX('Hàng hóa'!$F$4:$F$203,MATCH(T108,'Hàng hóa'!$B$4:$B$203,0)),"")</f>
        <v/>
      </c>
      <c r="W108" s="19">
        <f t="array" ref="W108">IFERROR(INDEX('Hàng hóa'!$H$4:$H$203,MATCH(T108,'Hàng hóa'!$B$4:$B$203,0)),0)</f>
        <v>0</v>
      </c>
      <c r="X108" s="20">
        <f t="shared" si="10"/>
        <v>0</v>
      </c>
      <c r="Y108" s="15"/>
      <c r="AA108" s="9" t="str">
        <f t="shared" si="1"/>
        <v/>
      </c>
      <c r="AB108" s="9" t="str">
        <f>IF('Hàng hóa'!K109&lt;&gt;"",'Hàng hóa'!K109,"")</f>
        <v/>
      </c>
    </row>
    <row r="109" ht="15.75" customHeight="1">
      <c r="A109" s="43"/>
      <c r="B109" s="37" t="str">
        <f t="shared" si="2"/>
        <v/>
      </c>
      <c r="C109" s="44"/>
      <c r="D109" s="45"/>
      <c r="E109" s="45"/>
      <c r="F109" s="47" t="str">
        <f>IF(C109="","",'Thiết lập'!$B$4)</f>
        <v/>
      </c>
      <c r="G109" s="19" t="str">
        <f>IF(C109="","",'Thiết lập'!$B$5)</f>
        <v/>
      </c>
      <c r="H109" s="19" t="str">
        <f>IF(C109="","",'Thiết lập'!$B$6)</f>
        <v/>
      </c>
      <c r="I109" s="19" t="str">
        <f>IF(C109="","",'Thiết lập'!$B$7)</f>
        <v/>
      </c>
      <c r="J109" s="19">
        <f t="shared" si="3"/>
        <v>0</v>
      </c>
      <c r="K109" s="19">
        <f t="shared" si="4"/>
        <v>0</v>
      </c>
      <c r="L109" s="19">
        <f t="shared" si="5"/>
        <v>0</v>
      </c>
      <c r="M109" s="19">
        <f t="shared" si="6"/>
        <v>0</v>
      </c>
      <c r="N109" s="19">
        <f t="shared" si="7"/>
        <v>0</v>
      </c>
      <c r="O109" s="19">
        <f t="shared" si="12"/>
        <v>0</v>
      </c>
      <c r="P109" s="19">
        <f t="shared" si="13"/>
        <v>0</v>
      </c>
      <c r="Q109" s="23"/>
      <c r="R109" s="23"/>
      <c r="S109" s="37" t="str">
        <f t="shared" si="11"/>
        <v/>
      </c>
      <c r="T109" s="44"/>
      <c r="U109" s="45"/>
      <c r="V109" s="37" t="str">
        <f t="array" ref="V109">IFERROR(INDEX('Hàng hóa'!$F$4:$F$203,MATCH(T109,'Hàng hóa'!$B$4:$B$203,0)),"")</f>
        <v/>
      </c>
      <c r="W109" s="19">
        <f t="array" ref="W109">IFERROR(INDEX('Hàng hóa'!$H$4:$H$203,MATCH(T109,'Hàng hóa'!$B$4:$B$203,0)),0)</f>
        <v>0</v>
      </c>
      <c r="X109" s="20">
        <f t="shared" si="10"/>
        <v>0</v>
      </c>
      <c r="Y109" s="15"/>
      <c r="AA109" s="9" t="str">
        <f t="shared" si="1"/>
        <v/>
      </c>
      <c r="AB109" s="9" t="str">
        <f>IF('Hàng hóa'!K110&lt;&gt;"",'Hàng hóa'!K110,"")</f>
        <v/>
      </c>
    </row>
    <row r="110" ht="15.75" customHeight="1">
      <c r="A110" s="43"/>
      <c r="B110" s="37" t="str">
        <f t="shared" si="2"/>
        <v/>
      </c>
      <c r="C110" s="44"/>
      <c r="D110" s="45"/>
      <c r="E110" s="45"/>
      <c r="F110" s="47" t="str">
        <f>IF(C110="","",'Thiết lập'!$B$4)</f>
        <v/>
      </c>
      <c r="G110" s="19" t="str">
        <f>IF(C110="","",'Thiết lập'!$B$5)</f>
        <v/>
      </c>
      <c r="H110" s="19" t="str">
        <f>IF(C110="","",'Thiết lập'!$B$6)</f>
        <v/>
      </c>
      <c r="I110" s="19" t="str">
        <f>IF(C110="","",'Thiết lập'!$B$7)</f>
        <v/>
      </c>
      <c r="J110" s="19">
        <f t="shared" si="3"/>
        <v>0</v>
      </c>
      <c r="K110" s="19">
        <f t="shared" si="4"/>
        <v>0</v>
      </c>
      <c r="L110" s="19">
        <f t="shared" si="5"/>
        <v>0</v>
      </c>
      <c r="M110" s="19">
        <f t="shared" si="6"/>
        <v>0</v>
      </c>
      <c r="N110" s="19">
        <f t="shared" si="7"/>
        <v>0</v>
      </c>
      <c r="O110" s="19">
        <f t="shared" si="12"/>
        <v>0</v>
      </c>
      <c r="P110" s="19">
        <f t="shared" si="13"/>
        <v>0</v>
      </c>
      <c r="Q110" s="23"/>
      <c r="R110" s="23"/>
      <c r="S110" s="37" t="str">
        <f t="shared" si="11"/>
        <v/>
      </c>
      <c r="T110" s="44"/>
      <c r="U110" s="45"/>
      <c r="V110" s="37" t="str">
        <f t="array" ref="V110">IFERROR(INDEX('Hàng hóa'!$F$4:$F$203,MATCH(T110,'Hàng hóa'!$B$4:$B$203,0)),"")</f>
        <v/>
      </c>
      <c r="W110" s="19">
        <f t="array" ref="W110">IFERROR(INDEX('Hàng hóa'!$H$4:$H$203,MATCH(T110,'Hàng hóa'!$B$4:$B$203,0)),0)</f>
        <v>0</v>
      </c>
      <c r="X110" s="20">
        <f t="shared" si="10"/>
        <v>0</v>
      </c>
      <c r="Y110" s="15"/>
      <c r="AA110" s="9" t="str">
        <f t="shared" si="1"/>
        <v/>
      </c>
      <c r="AB110" s="9" t="str">
        <f>IF('Hàng hóa'!K111&lt;&gt;"",'Hàng hóa'!K111,"")</f>
        <v/>
      </c>
    </row>
    <row r="111" ht="15.75" customHeight="1">
      <c r="A111" s="43"/>
      <c r="B111" s="37" t="str">
        <f t="shared" si="2"/>
        <v/>
      </c>
      <c r="C111" s="44"/>
      <c r="D111" s="45"/>
      <c r="E111" s="45"/>
      <c r="F111" s="47" t="str">
        <f>IF(C111="","",'Thiết lập'!$B$4)</f>
        <v/>
      </c>
      <c r="G111" s="19" t="str">
        <f>IF(C111="","",'Thiết lập'!$B$5)</f>
        <v/>
      </c>
      <c r="H111" s="19" t="str">
        <f>IF(C111="","",'Thiết lập'!$B$6)</f>
        <v/>
      </c>
      <c r="I111" s="19" t="str">
        <f>IF(C111="","",'Thiết lập'!$B$7)</f>
        <v/>
      </c>
      <c r="J111" s="19">
        <f t="shared" si="3"/>
        <v>0</v>
      </c>
      <c r="K111" s="19">
        <f t="shared" si="4"/>
        <v>0</v>
      </c>
      <c r="L111" s="19">
        <f t="shared" si="5"/>
        <v>0</v>
      </c>
      <c r="M111" s="19">
        <f t="shared" si="6"/>
        <v>0</v>
      </c>
      <c r="N111" s="19">
        <f t="shared" si="7"/>
        <v>0</v>
      </c>
      <c r="O111" s="19">
        <f t="shared" si="12"/>
        <v>0</v>
      </c>
      <c r="P111" s="19">
        <f t="shared" si="13"/>
        <v>0</v>
      </c>
      <c r="Q111" s="23"/>
      <c r="R111" s="23"/>
      <c r="S111" s="37" t="str">
        <f t="shared" si="11"/>
        <v/>
      </c>
      <c r="T111" s="44"/>
      <c r="U111" s="45"/>
      <c r="V111" s="37" t="str">
        <f t="array" ref="V111">IFERROR(INDEX('Hàng hóa'!$F$4:$F$203,MATCH(T111,'Hàng hóa'!$B$4:$B$203,0)),"")</f>
        <v/>
      </c>
      <c r="W111" s="19">
        <f t="array" ref="W111">IFERROR(INDEX('Hàng hóa'!$H$4:$H$203,MATCH(T111,'Hàng hóa'!$B$4:$B$203,0)),0)</f>
        <v>0</v>
      </c>
      <c r="X111" s="20">
        <f t="shared" si="10"/>
        <v>0</v>
      </c>
      <c r="Y111" s="15"/>
      <c r="AA111" s="9" t="str">
        <f t="shared" si="1"/>
        <v/>
      </c>
      <c r="AB111" s="9" t="str">
        <f>IF('Hàng hóa'!K112&lt;&gt;"",'Hàng hóa'!K112,"")</f>
        <v/>
      </c>
    </row>
    <row r="112" ht="15.75" customHeight="1">
      <c r="A112" s="43"/>
      <c r="B112" s="37" t="str">
        <f t="shared" si="2"/>
        <v/>
      </c>
      <c r="C112" s="44"/>
      <c r="D112" s="45"/>
      <c r="E112" s="45"/>
      <c r="F112" s="47" t="str">
        <f>IF(C112="","",'Thiết lập'!$B$4)</f>
        <v/>
      </c>
      <c r="G112" s="19" t="str">
        <f>IF(C112="","",'Thiết lập'!$B$5)</f>
        <v/>
      </c>
      <c r="H112" s="19" t="str">
        <f>IF(C112="","",'Thiết lập'!$B$6)</f>
        <v/>
      </c>
      <c r="I112" s="19" t="str">
        <f>IF(C112="","",'Thiết lập'!$B$7)</f>
        <v/>
      </c>
      <c r="J112" s="19">
        <f t="shared" si="3"/>
        <v>0</v>
      </c>
      <c r="K112" s="19">
        <f t="shared" si="4"/>
        <v>0</v>
      </c>
      <c r="L112" s="19">
        <f t="shared" si="5"/>
        <v>0</v>
      </c>
      <c r="M112" s="19">
        <f t="shared" si="6"/>
        <v>0</v>
      </c>
      <c r="N112" s="19">
        <f t="shared" si="7"/>
        <v>0</v>
      </c>
      <c r="O112" s="19">
        <f t="shared" si="12"/>
        <v>0</v>
      </c>
      <c r="P112" s="19">
        <f t="shared" si="13"/>
        <v>0</v>
      </c>
      <c r="Q112" s="23"/>
      <c r="R112" s="23"/>
      <c r="S112" s="37" t="str">
        <f t="shared" si="11"/>
        <v/>
      </c>
      <c r="T112" s="44"/>
      <c r="U112" s="45"/>
      <c r="V112" s="37" t="str">
        <f t="array" ref="V112">IFERROR(INDEX('Hàng hóa'!$F$4:$F$203,MATCH(T112,'Hàng hóa'!$B$4:$B$203,0)),"")</f>
        <v/>
      </c>
      <c r="W112" s="19">
        <f t="array" ref="W112">IFERROR(INDEX('Hàng hóa'!$H$4:$H$203,MATCH(T112,'Hàng hóa'!$B$4:$B$203,0)),0)</f>
        <v>0</v>
      </c>
      <c r="X112" s="20">
        <f t="shared" si="10"/>
        <v>0</v>
      </c>
      <c r="Y112" s="15"/>
      <c r="AA112" s="9" t="str">
        <f t="shared" si="1"/>
        <v/>
      </c>
      <c r="AB112" s="9" t="str">
        <f>IF('Hàng hóa'!K113&lt;&gt;"",'Hàng hóa'!K113,"")</f>
        <v/>
      </c>
    </row>
    <row r="113" ht="15.75" customHeight="1">
      <c r="A113" s="43"/>
      <c r="B113" s="37" t="str">
        <f t="shared" si="2"/>
        <v/>
      </c>
      <c r="C113" s="44"/>
      <c r="D113" s="45"/>
      <c r="E113" s="45"/>
      <c r="F113" s="47" t="str">
        <f>IF(C113="","",'Thiết lập'!$B$4)</f>
        <v/>
      </c>
      <c r="G113" s="19" t="str">
        <f>IF(C113="","",'Thiết lập'!$B$5)</f>
        <v/>
      </c>
      <c r="H113" s="19" t="str">
        <f>IF(C113="","",'Thiết lập'!$B$6)</f>
        <v/>
      </c>
      <c r="I113" s="19" t="str">
        <f>IF(C113="","",'Thiết lập'!$B$7)</f>
        <v/>
      </c>
      <c r="J113" s="19">
        <f t="shared" si="3"/>
        <v>0</v>
      </c>
      <c r="K113" s="19">
        <f t="shared" si="4"/>
        <v>0</v>
      </c>
      <c r="L113" s="19">
        <f t="shared" si="5"/>
        <v>0</v>
      </c>
      <c r="M113" s="19">
        <f t="shared" si="6"/>
        <v>0</v>
      </c>
      <c r="N113" s="19">
        <f t="shared" si="7"/>
        <v>0</v>
      </c>
      <c r="O113" s="19">
        <f t="shared" si="12"/>
        <v>0</v>
      </c>
      <c r="P113" s="19">
        <f t="shared" si="13"/>
        <v>0</v>
      </c>
      <c r="Q113" s="23"/>
      <c r="R113" s="23"/>
      <c r="S113" s="37" t="str">
        <f t="shared" si="11"/>
        <v/>
      </c>
      <c r="T113" s="44"/>
      <c r="U113" s="45"/>
      <c r="V113" s="37" t="str">
        <f t="array" ref="V113">IFERROR(INDEX('Hàng hóa'!$F$4:$F$203,MATCH(T113,'Hàng hóa'!$B$4:$B$203,0)),"")</f>
        <v/>
      </c>
      <c r="W113" s="19">
        <f t="array" ref="W113">IFERROR(INDEX('Hàng hóa'!$H$4:$H$203,MATCH(T113,'Hàng hóa'!$B$4:$B$203,0)),0)</f>
        <v>0</v>
      </c>
      <c r="X113" s="20">
        <f t="shared" si="10"/>
        <v>0</v>
      </c>
      <c r="Y113" s="15"/>
      <c r="AA113" s="9" t="str">
        <f t="shared" si="1"/>
        <v/>
      </c>
      <c r="AB113" s="9" t="str">
        <f>IF('Hàng hóa'!K114&lt;&gt;"",'Hàng hóa'!K114,"")</f>
        <v/>
      </c>
    </row>
    <row r="114" ht="15.75" customHeight="1">
      <c r="A114" s="43"/>
      <c r="B114" s="37" t="str">
        <f t="shared" si="2"/>
        <v/>
      </c>
      <c r="C114" s="44"/>
      <c r="D114" s="45"/>
      <c r="E114" s="45"/>
      <c r="F114" s="47" t="str">
        <f>IF(C114="","",'Thiết lập'!$B$4)</f>
        <v/>
      </c>
      <c r="G114" s="19" t="str">
        <f>IF(C114="","",'Thiết lập'!$B$5)</f>
        <v/>
      </c>
      <c r="H114" s="19" t="str">
        <f>IF(C114="","",'Thiết lập'!$B$6)</f>
        <v/>
      </c>
      <c r="I114" s="19" t="str">
        <f>IF(C114="","",'Thiết lập'!$B$7)</f>
        <v/>
      </c>
      <c r="J114" s="19">
        <f t="shared" si="3"/>
        <v>0</v>
      </c>
      <c r="K114" s="19">
        <f t="shared" si="4"/>
        <v>0</v>
      </c>
      <c r="L114" s="19">
        <f t="shared" si="5"/>
        <v>0</v>
      </c>
      <c r="M114" s="19">
        <f t="shared" si="6"/>
        <v>0</v>
      </c>
      <c r="N114" s="19">
        <f t="shared" si="7"/>
        <v>0</v>
      </c>
      <c r="O114" s="19">
        <f t="shared" si="12"/>
        <v>0</v>
      </c>
      <c r="P114" s="19">
        <f t="shared" si="13"/>
        <v>0</v>
      </c>
      <c r="Q114" s="23"/>
      <c r="R114" s="23"/>
      <c r="S114" s="37" t="str">
        <f t="shared" si="11"/>
        <v/>
      </c>
      <c r="T114" s="44"/>
      <c r="U114" s="45"/>
      <c r="V114" s="37" t="str">
        <f t="array" ref="V114">IFERROR(INDEX('Hàng hóa'!$F$4:$F$203,MATCH(T114,'Hàng hóa'!$B$4:$B$203,0)),"")</f>
        <v/>
      </c>
      <c r="W114" s="19">
        <f t="array" ref="W114">IFERROR(INDEX('Hàng hóa'!$H$4:$H$203,MATCH(T114,'Hàng hóa'!$B$4:$B$203,0)),0)</f>
        <v>0</v>
      </c>
      <c r="X114" s="20">
        <f t="shared" si="10"/>
        <v>0</v>
      </c>
      <c r="Y114" s="15"/>
      <c r="AA114" s="9" t="str">
        <f t="shared" si="1"/>
        <v/>
      </c>
      <c r="AB114" s="9" t="str">
        <f>IF('Hàng hóa'!K115&lt;&gt;"",'Hàng hóa'!K115,"")</f>
        <v/>
      </c>
    </row>
    <row r="115" ht="15.75" customHeight="1">
      <c r="A115" s="43"/>
      <c r="B115" s="37" t="str">
        <f t="shared" si="2"/>
        <v/>
      </c>
      <c r="C115" s="44"/>
      <c r="D115" s="45"/>
      <c r="E115" s="45"/>
      <c r="F115" s="47" t="str">
        <f>IF(C115="","",'Thiết lập'!$B$4)</f>
        <v/>
      </c>
      <c r="G115" s="19" t="str">
        <f>IF(C115="","",'Thiết lập'!$B$5)</f>
        <v/>
      </c>
      <c r="H115" s="19" t="str">
        <f>IF(C115="","",'Thiết lập'!$B$6)</f>
        <v/>
      </c>
      <c r="I115" s="19" t="str">
        <f>IF(C115="","",'Thiết lập'!$B$7)</f>
        <v/>
      </c>
      <c r="J115" s="19">
        <f t="shared" si="3"/>
        <v>0</v>
      </c>
      <c r="K115" s="19">
        <f t="shared" si="4"/>
        <v>0</v>
      </c>
      <c r="L115" s="19">
        <f t="shared" si="5"/>
        <v>0</v>
      </c>
      <c r="M115" s="19">
        <f t="shared" si="6"/>
        <v>0</v>
      </c>
      <c r="N115" s="19">
        <f t="shared" si="7"/>
        <v>0</v>
      </c>
      <c r="O115" s="19">
        <f t="shared" si="12"/>
        <v>0</v>
      </c>
      <c r="P115" s="19">
        <f t="shared" si="13"/>
        <v>0</v>
      </c>
      <c r="Q115" s="23"/>
      <c r="R115" s="23"/>
      <c r="S115" s="37" t="str">
        <f t="shared" si="11"/>
        <v/>
      </c>
      <c r="T115" s="44"/>
      <c r="U115" s="45"/>
      <c r="V115" s="37" t="str">
        <f t="array" ref="V115">IFERROR(INDEX('Hàng hóa'!$F$4:$F$203,MATCH(T115,'Hàng hóa'!$B$4:$B$203,0)),"")</f>
        <v/>
      </c>
      <c r="W115" s="19">
        <f t="array" ref="W115">IFERROR(INDEX('Hàng hóa'!$H$4:$H$203,MATCH(T115,'Hàng hóa'!$B$4:$B$203,0)),0)</f>
        <v>0</v>
      </c>
      <c r="X115" s="20">
        <f t="shared" si="10"/>
        <v>0</v>
      </c>
      <c r="Y115" s="15"/>
      <c r="AA115" s="9" t="str">
        <f t="shared" si="1"/>
        <v/>
      </c>
      <c r="AB115" s="9" t="str">
        <f>IF('Hàng hóa'!K116&lt;&gt;"",'Hàng hóa'!K116,"")</f>
        <v/>
      </c>
    </row>
    <row r="116" ht="15.75" customHeight="1">
      <c r="A116" s="43"/>
      <c r="B116" s="37" t="str">
        <f t="shared" si="2"/>
        <v/>
      </c>
      <c r="C116" s="44"/>
      <c r="D116" s="45"/>
      <c r="E116" s="45"/>
      <c r="F116" s="47" t="str">
        <f>IF(C116="","",'Thiết lập'!$B$4)</f>
        <v/>
      </c>
      <c r="G116" s="19" t="str">
        <f>IF(C116="","",'Thiết lập'!$B$5)</f>
        <v/>
      </c>
      <c r="H116" s="19" t="str">
        <f>IF(C116="","",'Thiết lập'!$B$6)</f>
        <v/>
      </c>
      <c r="I116" s="19" t="str">
        <f>IF(C116="","",'Thiết lập'!$B$7)</f>
        <v/>
      </c>
      <c r="J116" s="19">
        <f t="shared" si="3"/>
        <v>0</v>
      </c>
      <c r="K116" s="19">
        <f t="shared" si="4"/>
        <v>0</v>
      </c>
      <c r="L116" s="19">
        <f t="shared" si="5"/>
        <v>0</v>
      </c>
      <c r="M116" s="19">
        <f t="shared" si="6"/>
        <v>0</v>
      </c>
      <c r="N116" s="19">
        <f t="shared" si="7"/>
        <v>0</v>
      </c>
      <c r="O116" s="19">
        <f t="shared" si="12"/>
        <v>0</v>
      </c>
      <c r="P116" s="19">
        <f t="shared" si="13"/>
        <v>0</v>
      </c>
      <c r="Q116" s="23"/>
      <c r="R116" s="23"/>
      <c r="S116" s="37" t="str">
        <f t="shared" si="11"/>
        <v/>
      </c>
      <c r="T116" s="44"/>
      <c r="U116" s="45"/>
      <c r="V116" s="37" t="str">
        <f t="array" ref="V116">IFERROR(INDEX('Hàng hóa'!$F$4:$F$203,MATCH(T116,'Hàng hóa'!$B$4:$B$203,0)),"")</f>
        <v/>
      </c>
      <c r="W116" s="19">
        <f t="array" ref="W116">IFERROR(INDEX('Hàng hóa'!$H$4:$H$203,MATCH(T116,'Hàng hóa'!$B$4:$B$203,0)),0)</f>
        <v>0</v>
      </c>
      <c r="X116" s="20">
        <f t="shared" si="10"/>
        <v>0</v>
      </c>
      <c r="Y116" s="15"/>
      <c r="AA116" s="9" t="str">
        <f t="shared" si="1"/>
        <v/>
      </c>
      <c r="AB116" s="9" t="str">
        <f>IF('Hàng hóa'!K117&lt;&gt;"",'Hàng hóa'!K117,"")</f>
        <v/>
      </c>
    </row>
    <row r="117" ht="15.75" customHeight="1">
      <c r="A117" s="43"/>
      <c r="B117" s="37" t="str">
        <f t="shared" si="2"/>
        <v/>
      </c>
      <c r="C117" s="44"/>
      <c r="D117" s="45"/>
      <c r="E117" s="45"/>
      <c r="F117" s="47" t="str">
        <f>IF(C117="","",'Thiết lập'!$B$4)</f>
        <v/>
      </c>
      <c r="G117" s="19" t="str">
        <f>IF(C117="","",'Thiết lập'!$B$5)</f>
        <v/>
      </c>
      <c r="H117" s="19" t="str">
        <f>IF(C117="","",'Thiết lập'!$B$6)</f>
        <v/>
      </c>
      <c r="I117" s="19" t="str">
        <f>IF(C117="","",'Thiết lập'!$B$7)</f>
        <v/>
      </c>
      <c r="J117" s="19">
        <f t="shared" si="3"/>
        <v>0</v>
      </c>
      <c r="K117" s="19">
        <f t="shared" si="4"/>
        <v>0</v>
      </c>
      <c r="L117" s="19">
        <f t="shared" si="5"/>
        <v>0</v>
      </c>
      <c r="M117" s="19">
        <f t="shared" si="6"/>
        <v>0</v>
      </c>
      <c r="N117" s="19">
        <f t="shared" si="7"/>
        <v>0</v>
      </c>
      <c r="O117" s="19">
        <f t="shared" si="12"/>
        <v>0</v>
      </c>
      <c r="P117" s="19">
        <f t="shared" si="13"/>
        <v>0</v>
      </c>
      <c r="Q117" s="23"/>
      <c r="R117" s="23"/>
      <c r="S117" s="37" t="str">
        <f t="shared" si="11"/>
        <v/>
      </c>
      <c r="T117" s="44"/>
      <c r="U117" s="45"/>
      <c r="V117" s="37" t="str">
        <f t="array" ref="V117">IFERROR(INDEX('Hàng hóa'!$F$4:$F$203,MATCH(T117,'Hàng hóa'!$B$4:$B$203,0)),"")</f>
        <v/>
      </c>
      <c r="W117" s="19">
        <f t="array" ref="W117">IFERROR(INDEX('Hàng hóa'!$H$4:$H$203,MATCH(T117,'Hàng hóa'!$B$4:$B$203,0)),0)</f>
        <v>0</v>
      </c>
      <c r="X117" s="20">
        <f t="shared" si="10"/>
        <v>0</v>
      </c>
      <c r="Y117" s="15"/>
      <c r="AA117" s="9" t="str">
        <f t="shared" si="1"/>
        <v/>
      </c>
      <c r="AB117" s="9" t="str">
        <f>IF('Hàng hóa'!K118&lt;&gt;"",'Hàng hóa'!K118,"")</f>
        <v/>
      </c>
    </row>
    <row r="118" ht="15.75" customHeight="1">
      <c r="A118" s="43"/>
      <c r="B118" s="37" t="str">
        <f t="shared" si="2"/>
        <v/>
      </c>
      <c r="C118" s="44"/>
      <c r="D118" s="45"/>
      <c r="E118" s="45"/>
      <c r="F118" s="47" t="str">
        <f>IF(C118="","",'Thiết lập'!$B$4)</f>
        <v/>
      </c>
      <c r="G118" s="19" t="str">
        <f>IF(C118="","",'Thiết lập'!$B$5)</f>
        <v/>
      </c>
      <c r="H118" s="19" t="str">
        <f>IF(C118="","",'Thiết lập'!$B$6)</f>
        <v/>
      </c>
      <c r="I118" s="19" t="str">
        <f>IF(C118="","",'Thiết lập'!$B$7)</f>
        <v/>
      </c>
      <c r="J118" s="19">
        <f t="shared" si="3"/>
        <v>0</v>
      </c>
      <c r="K118" s="19">
        <f t="shared" si="4"/>
        <v>0</v>
      </c>
      <c r="L118" s="19">
        <f t="shared" si="5"/>
        <v>0</v>
      </c>
      <c r="M118" s="19">
        <f t="shared" si="6"/>
        <v>0</v>
      </c>
      <c r="N118" s="19">
        <f t="shared" si="7"/>
        <v>0</v>
      </c>
      <c r="O118" s="19">
        <f t="shared" si="12"/>
        <v>0</v>
      </c>
      <c r="P118" s="19">
        <f t="shared" si="13"/>
        <v>0</v>
      </c>
      <c r="Q118" s="23"/>
      <c r="R118" s="23"/>
      <c r="S118" s="37" t="str">
        <f t="shared" si="11"/>
        <v/>
      </c>
      <c r="T118" s="44"/>
      <c r="U118" s="45"/>
      <c r="V118" s="37" t="str">
        <f t="array" ref="V118">IFERROR(INDEX('Hàng hóa'!$F$4:$F$203,MATCH(T118,'Hàng hóa'!$B$4:$B$203,0)),"")</f>
        <v/>
      </c>
      <c r="W118" s="19">
        <f t="array" ref="W118">IFERROR(INDEX('Hàng hóa'!$H$4:$H$203,MATCH(T118,'Hàng hóa'!$B$4:$B$203,0)),0)</f>
        <v>0</v>
      </c>
      <c r="X118" s="20">
        <f t="shared" si="10"/>
        <v>0</v>
      </c>
      <c r="Y118" s="15"/>
      <c r="AA118" s="9" t="str">
        <f t="shared" si="1"/>
        <v/>
      </c>
      <c r="AB118" s="9" t="str">
        <f>IF('Hàng hóa'!K119&lt;&gt;"",'Hàng hóa'!K119,"")</f>
        <v/>
      </c>
    </row>
    <row r="119" ht="15.75" customHeight="1">
      <c r="A119" s="43"/>
      <c r="B119" s="37" t="str">
        <f t="shared" si="2"/>
        <v/>
      </c>
      <c r="C119" s="44"/>
      <c r="D119" s="45"/>
      <c r="E119" s="45"/>
      <c r="F119" s="47" t="str">
        <f>IF(C119="","",'Thiết lập'!$B$4)</f>
        <v/>
      </c>
      <c r="G119" s="19" t="str">
        <f>IF(C119="","",'Thiết lập'!$B$5)</f>
        <v/>
      </c>
      <c r="H119" s="19" t="str">
        <f>IF(C119="","",'Thiết lập'!$B$6)</f>
        <v/>
      </c>
      <c r="I119" s="19" t="str">
        <f>IF(C119="","",'Thiết lập'!$B$7)</f>
        <v/>
      </c>
      <c r="J119" s="19">
        <f t="shared" si="3"/>
        <v>0</v>
      </c>
      <c r="K119" s="19">
        <f t="shared" si="4"/>
        <v>0</v>
      </c>
      <c r="L119" s="19">
        <f t="shared" si="5"/>
        <v>0</v>
      </c>
      <c r="M119" s="19">
        <f t="shared" si="6"/>
        <v>0</v>
      </c>
      <c r="N119" s="19">
        <f t="shared" si="7"/>
        <v>0</v>
      </c>
      <c r="O119" s="19">
        <f t="shared" si="12"/>
        <v>0</v>
      </c>
      <c r="P119" s="19">
        <f t="shared" si="13"/>
        <v>0</v>
      </c>
      <c r="Q119" s="23"/>
      <c r="R119" s="23"/>
      <c r="S119" s="37" t="str">
        <f t="shared" si="11"/>
        <v/>
      </c>
      <c r="T119" s="44"/>
      <c r="U119" s="45"/>
      <c r="V119" s="37" t="str">
        <f t="array" ref="V119">IFERROR(INDEX('Hàng hóa'!$F$4:$F$203,MATCH(T119,'Hàng hóa'!$B$4:$B$203,0)),"")</f>
        <v/>
      </c>
      <c r="W119" s="19">
        <f t="array" ref="W119">IFERROR(INDEX('Hàng hóa'!$H$4:$H$203,MATCH(T119,'Hàng hóa'!$B$4:$B$203,0)),0)</f>
        <v>0</v>
      </c>
      <c r="X119" s="20">
        <f t="shared" si="10"/>
        <v>0</v>
      </c>
      <c r="Y119" s="15"/>
      <c r="AA119" s="9" t="str">
        <f t="shared" si="1"/>
        <v/>
      </c>
      <c r="AB119" s="9" t="str">
        <f>IF('Hàng hóa'!K120&lt;&gt;"",'Hàng hóa'!K120,"")</f>
        <v/>
      </c>
    </row>
    <row r="120" ht="15.75" customHeight="1">
      <c r="A120" s="43"/>
      <c r="B120" s="37" t="str">
        <f t="shared" si="2"/>
        <v/>
      </c>
      <c r="C120" s="44"/>
      <c r="D120" s="45"/>
      <c r="E120" s="45"/>
      <c r="F120" s="47" t="str">
        <f>IF(C120="","",'Thiết lập'!$B$4)</f>
        <v/>
      </c>
      <c r="G120" s="19" t="str">
        <f>IF(C120="","",'Thiết lập'!$B$5)</f>
        <v/>
      </c>
      <c r="H120" s="19" t="str">
        <f>IF(C120="","",'Thiết lập'!$B$6)</f>
        <v/>
      </c>
      <c r="I120" s="19" t="str">
        <f>IF(C120="","",'Thiết lập'!$B$7)</f>
        <v/>
      </c>
      <c r="J120" s="19">
        <f t="shared" si="3"/>
        <v>0</v>
      </c>
      <c r="K120" s="19">
        <f t="shared" si="4"/>
        <v>0</v>
      </c>
      <c r="L120" s="19">
        <f t="shared" si="5"/>
        <v>0</v>
      </c>
      <c r="M120" s="19">
        <f t="shared" si="6"/>
        <v>0</v>
      </c>
      <c r="N120" s="19">
        <f t="shared" si="7"/>
        <v>0</v>
      </c>
      <c r="O120" s="19">
        <f t="shared" si="12"/>
        <v>0</v>
      </c>
      <c r="P120" s="19">
        <f t="shared" si="13"/>
        <v>0</v>
      </c>
      <c r="Q120" s="23"/>
      <c r="R120" s="23"/>
      <c r="S120" s="37" t="str">
        <f t="shared" si="11"/>
        <v/>
      </c>
      <c r="T120" s="44"/>
      <c r="U120" s="45"/>
      <c r="V120" s="37" t="str">
        <f t="array" ref="V120">IFERROR(INDEX('Hàng hóa'!$F$4:$F$203,MATCH(T120,'Hàng hóa'!$B$4:$B$203,0)),"")</f>
        <v/>
      </c>
      <c r="W120" s="19">
        <f t="array" ref="W120">IFERROR(INDEX('Hàng hóa'!$H$4:$H$203,MATCH(T120,'Hàng hóa'!$B$4:$B$203,0)),0)</f>
        <v>0</v>
      </c>
      <c r="X120" s="20">
        <f t="shared" si="10"/>
        <v>0</v>
      </c>
      <c r="Y120" s="15"/>
      <c r="AA120" s="9" t="str">
        <f t="shared" si="1"/>
        <v/>
      </c>
      <c r="AB120" s="9" t="str">
        <f>IF('Hàng hóa'!K121&lt;&gt;"",'Hàng hóa'!K121,"")</f>
        <v/>
      </c>
    </row>
    <row r="121" ht="15.75" customHeight="1">
      <c r="A121" s="43"/>
      <c r="B121" s="37" t="str">
        <f t="shared" si="2"/>
        <v/>
      </c>
      <c r="C121" s="44"/>
      <c r="D121" s="45"/>
      <c r="E121" s="45"/>
      <c r="F121" s="47" t="str">
        <f>IF(C121="","",'Thiết lập'!$B$4)</f>
        <v/>
      </c>
      <c r="G121" s="19" t="str">
        <f>IF(C121="","",'Thiết lập'!$B$5)</f>
        <v/>
      </c>
      <c r="H121" s="19" t="str">
        <f>IF(C121="","",'Thiết lập'!$B$6)</f>
        <v/>
      </c>
      <c r="I121" s="19" t="str">
        <f>IF(C121="","",'Thiết lập'!$B$7)</f>
        <v/>
      </c>
      <c r="J121" s="19">
        <f t="shared" si="3"/>
        <v>0</v>
      </c>
      <c r="K121" s="19">
        <f t="shared" si="4"/>
        <v>0</v>
      </c>
      <c r="L121" s="19">
        <f t="shared" si="5"/>
        <v>0</v>
      </c>
      <c r="M121" s="19">
        <f t="shared" si="6"/>
        <v>0</v>
      </c>
      <c r="N121" s="19">
        <f t="shared" si="7"/>
        <v>0</v>
      </c>
      <c r="O121" s="19">
        <f t="shared" si="12"/>
        <v>0</v>
      </c>
      <c r="P121" s="19">
        <f t="shared" si="13"/>
        <v>0</v>
      </c>
      <c r="Q121" s="23"/>
      <c r="R121" s="23"/>
      <c r="S121" s="37" t="str">
        <f t="shared" si="11"/>
        <v/>
      </c>
      <c r="T121" s="44"/>
      <c r="U121" s="45"/>
      <c r="V121" s="37" t="str">
        <f t="array" ref="V121">IFERROR(INDEX('Hàng hóa'!$F$4:$F$203,MATCH(T121,'Hàng hóa'!$B$4:$B$203,0)),"")</f>
        <v/>
      </c>
      <c r="W121" s="19">
        <f t="array" ref="W121">IFERROR(INDEX('Hàng hóa'!$H$4:$H$203,MATCH(T121,'Hàng hóa'!$B$4:$B$203,0)),0)</f>
        <v>0</v>
      </c>
      <c r="X121" s="20">
        <f t="shared" si="10"/>
        <v>0</v>
      </c>
      <c r="Y121" s="15"/>
      <c r="AA121" s="9" t="str">
        <f t="shared" si="1"/>
        <v/>
      </c>
      <c r="AB121" s="9" t="str">
        <f>IF('Hàng hóa'!K122&lt;&gt;"",'Hàng hóa'!K122,"")</f>
        <v/>
      </c>
    </row>
    <row r="122" ht="15.75" customHeight="1">
      <c r="A122" s="43"/>
      <c r="B122" s="37" t="str">
        <f t="shared" si="2"/>
        <v/>
      </c>
      <c r="C122" s="44"/>
      <c r="D122" s="45"/>
      <c r="E122" s="45"/>
      <c r="F122" s="47" t="str">
        <f>IF(C122="","",'Thiết lập'!$B$4)</f>
        <v/>
      </c>
      <c r="G122" s="19" t="str">
        <f>IF(C122="","",'Thiết lập'!$B$5)</f>
        <v/>
      </c>
      <c r="H122" s="19" t="str">
        <f>IF(C122="","",'Thiết lập'!$B$6)</f>
        <v/>
      </c>
      <c r="I122" s="19" t="str">
        <f>IF(C122="","",'Thiết lập'!$B$7)</f>
        <v/>
      </c>
      <c r="J122" s="19">
        <f t="shared" si="3"/>
        <v>0</v>
      </c>
      <c r="K122" s="19">
        <f t="shared" si="4"/>
        <v>0</v>
      </c>
      <c r="L122" s="19">
        <f t="shared" si="5"/>
        <v>0</v>
      </c>
      <c r="M122" s="19">
        <f t="shared" si="6"/>
        <v>0</v>
      </c>
      <c r="N122" s="19">
        <f t="shared" si="7"/>
        <v>0</v>
      </c>
      <c r="O122" s="19">
        <f t="shared" si="12"/>
        <v>0</v>
      </c>
      <c r="P122" s="19">
        <f t="shared" si="13"/>
        <v>0</v>
      </c>
      <c r="Q122" s="23"/>
      <c r="R122" s="23"/>
      <c r="S122" s="37" t="str">
        <f t="shared" si="11"/>
        <v/>
      </c>
      <c r="T122" s="44"/>
      <c r="U122" s="45"/>
      <c r="V122" s="37" t="str">
        <f t="array" ref="V122">IFERROR(INDEX('Hàng hóa'!$F$4:$F$203,MATCH(T122,'Hàng hóa'!$B$4:$B$203,0)),"")</f>
        <v/>
      </c>
      <c r="W122" s="19">
        <f t="array" ref="W122">IFERROR(INDEX('Hàng hóa'!$H$4:$H$203,MATCH(T122,'Hàng hóa'!$B$4:$B$203,0)),0)</f>
        <v>0</v>
      </c>
      <c r="X122" s="20">
        <f t="shared" si="10"/>
        <v>0</v>
      </c>
      <c r="Y122" s="15"/>
      <c r="AA122" s="9" t="str">
        <f t="shared" si="1"/>
        <v/>
      </c>
      <c r="AB122" s="9" t="str">
        <f>IF('Hàng hóa'!K123&lt;&gt;"",'Hàng hóa'!K123,"")</f>
        <v/>
      </c>
    </row>
    <row r="123" ht="15.75" customHeight="1">
      <c r="A123" s="43"/>
      <c r="B123" s="37" t="str">
        <f t="shared" si="2"/>
        <v/>
      </c>
      <c r="C123" s="44"/>
      <c r="D123" s="45"/>
      <c r="E123" s="45"/>
      <c r="F123" s="47" t="str">
        <f>IF(C123="","",'Thiết lập'!$B$4)</f>
        <v/>
      </c>
      <c r="G123" s="19" t="str">
        <f>IF(C123="","",'Thiết lập'!$B$5)</f>
        <v/>
      </c>
      <c r="H123" s="19" t="str">
        <f>IF(C123="","",'Thiết lập'!$B$6)</f>
        <v/>
      </c>
      <c r="I123" s="19" t="str">
        <f>IF(C123="","",'Thiết lập'!$B$7)</f>
        <v/>
      </c>
      <c r="J123" s="19">
        <f t="shared" si="3"/>
        <v>0</v>
      </c>
      <c r="K123" s="19">
        <f t="shared" si="4"/>
        <v>0</v>
      </c>
      <c r="L123" s="19">
        <f t="shared" si="5"/>
        <v>0</v>
      </c>
      <c r="M123" s="19">
        <f t="shared" si="6"/>
        <v>0</v>
      </c>
      <c r="N123" s="19">
        <f t="shared" si="7"/>
        <v>0</v>
      </c>
      <c r="O123" s="19">
        <f t="shared" si="12"/>
        <v>0</v>
      </c>
      <c r="P123" s="19">
        <f t="shared" si="13"/>
        <v>0</v>
      </c>
      <c r="Q123" s="23"/>
      <c r="R123" s="23"/>
      <c r="S123" s="37" t="str">
        <f t="shared" si="11"/>
        <v/>
      </c>
      <c r="T123" s="44"/>
      <c r="U123" s="45"/>
      <c r="V123" s="37" t="str">
        <f t="array" ref="V123">IFERROR(INDEX('Hàng hóa'!$F$4:$F$203,MATCH(T123,'Hàng hóa'!$B$4:$B$203,0)),"")</f>
        <v/>
      </c>
      <c r="W123" s="19">
        <f t="array" ref="W123">IFERROR(INDEX('Hàng hóa'!$H$4:$H$203,MATCH(T123,'Hàng hóa'!$B$4:$B$203,0)),0)</f>
        <v>0</v>
      </c>
      <c r="X123" s="20">
        <f t="shared" si="10"/>
        <v>0</v>
      </c>
      <c r="Y123" s="15"/>
      <c r="AA123" s="9" t="str">
        <f t="shared" si="1"/>
        <v/>
      </c>
      <c r="AB123" s="9" t="str">
        <f>IF('Hàng hóa'!K124&lt;&gt;"",'Hàng hóa'!K124,"")</f>
        <v/>
      </c>
    </row>
    <row r="124" ht="15.75" customHeight="1">
      <c r="A124" s="43"/>
      <c r="B124" s="37" t="str">
        <f t="shared" si="2"/>
        <v/>
      </c>
      <c r="C124" s="44"/>
      <c r="D124" s="45"/>
      <c r="E124" s="45"/>
      <c r="F124" s="47" t="str">
        <f>IF(C124="","",'Thiết lập'!$B$4)</f>
        <v/>
      </c>
      <c r="G124" s="19" t="str">
        <f>IF(C124="","",'Thiết lập'!$B$5)</f>
        <v/>
      </c>
      <c r="H124" s="19" t="str">
        <f>IF(C124="","",'Thiết lập'!$B$6)</f>
        <v/>
      </c>
      <c r="I124" s="19" t="str">
        <f>IF(C124="","",'Thiết lập'!$B$7)</f>
        <v/>
      </c>
      <c r="J124" s="19">
        <f t="shared" si="3"/>
        <v>0</v>
      </c>
      <c r="K124" s="19">
        <f t="shared" si="4"/>
        <v>0</v>
      </c>
      <c r="L124" s="19">
        <f t="shared" si="5"/>
        <v>0</v>
      </c>
      <c r="M124" s="19">
        <f t="shared" si="6"/>
        <v>0</v>
      </c>
      <c r="N124" s="19">
        <f t="shared" si="7"/>
        <v>0</v>
      </c>
      <c r="O124" s="19">
        <f t="shared" si="12"/>
        <v>0</v>
      </c>
      <c r="P124" s="19">
        <f t="shared" si="13"/>
        <v>0</v>
      </c>
      <c r="Q124" s="23"/>
      <c r="R124" s="23"/>
      <c r="S124" s="37" t="str">
        <f t="shared" si="11"/>
        <v/>
      </c>
      <c r="T124" s="44"/>
      <c r="U124" s="45"/>
      <c r="V124" s="37" t="str">
        <f t="array" ref="V124">IFERROR(INDEX('Hàng hóa'!$F$4:$F$203,MATCH(T124,'Hàng hóa'!$B$4:$B$203,0)),"")</f>
        <v/>
      </c>
      <c r="W124" s="19">
        <f t="array" ref="W124">IFERROR(INDEX('Hàng hóa'!$H$4:$H$203,MATCH(T124,'Hàng hóa'!$B$4:$B$203,0)),0)</f>
        <v>0</v>
      </c>
      <c r="X124" s="20">
        <f t="shared" si="10"/>
        <v>0</v>
      </c>
      <c r="Y124" s="15"/>
      <c r="AA124" s="9" t="str">
        <f t="shared" si="1"/>
        <v/>
      </c>
      <c r="AB124" s="9" t="str">
        <f>IF('Hàng hóa'!K125&lt;&gt;"",'Hàng hóa'!K125,"")</f>
        <v/>
      </c>
    </row>
    <row r="125" ht="15.75" customHeight="1">
      <c r="A125" s="43"/>
      <c r="B125" s="37" t="str">
        <f t="shared" si="2"/>
        <v/>
      </c>
      <c r="C125" s="44"/>
      <c r="D125" s="45"/>
      <c r="E125" s="45"/>
      <c r="F125" s="47" t="str">
        <f>IF(C125="","",'Thiết lập'!$B$4)</f>
        <v/>
      </c>
      <c r="G125" s="19" t="str">
        <f>IF(C125="","",'Thiết lập'!$B$5)</f>
        <v/>
      </c>
      <c r="H125" s="19" t="str">
        <f>IF(C125="","",'Thiết lập'!$B$6)</f>
        <v/>
      </c>
      <c r="I125" s="19" t="str">
        <f>IF(C125="","",'Thiết lập'!$B$7)</f>
        <v/>
      </c>
      <c r="J125" s="19">
        <f t="shared" si="3"/>
        <v>0</v>
      </c>
      <c r="K125" s="19">
        <f t="shared" si="4"/>
        <v>0</v>
      </c>
      <c r="L125" s="19">
        <f t="shared" si="5"/>
        <v>0</v>
      </c>
      <c r="M125" s="19">
        <f t="shared" si="6"/>
        <v>0</v>
      </c>
      <c r="N125" s="19">
        <f t="shared" si="7"/>
        <v>0</v>
      </c>
      <c r="O125" s="19">
        <f t="shared" si="12"/>
        <v>0</v>
      </c>
      <c r="P125" s="19">
        <f t="shared" si="13"/>
        <v>0</v>
      </c>
      <c r="Q125" s="23"/>
      <c r="R125" s="23"/>
      <c r="S125" s="37" t="str">
        <f t="shared" si="11"/>
        <v/>
      </c>
      <c r="T125" s="44"/>
      <c r="U125" s="45"/>
      <c r="V125" s="37" t="str">
        <f t="array" ref="V125">IFERROR(INDEX('Hàng hóa'!$F$4:$F$203,MATCH(T125,'Hàng hóa'!$B$4:$B$203,0)),"")</f>
        <v/>
      </c>
      <c r="W125" s="19">
        <f t="array" ref="W125">IFERROR(INDEX('Hàng hóa'!$H$4:$H$203,MATCH(T125,'Hàng hóa'!$B$4:$B$203,0)),0)</f>
        <v>0</v>
      </c>
      <c r="X125" s="20">
        <f t="shared" si="10"/>
        <v>0</v>
      </c>
      <c r="Y125" s="15"/>
      <c r="AA125" s="9" t="str">
        <f t="shared" si="1"/>
        <v/>
      </c>
      <c r="AB125" s="9" t="str">
        <f>IF('Hàng hóa'!K126&lt;&gt;"",'Hàng hóa'!K126,"")</f>
        <v/>
      </c>
    </row>
    <row r="126" ht="15.75" customHeight="1">
      <c r="A126" s="43"/>
      <c r="B126" s="37" t="str">
        <f t="shared" si="2"/>
        <v/>
      </c>
      <c r="C126" s="44"/>
      <c r="D126" s="45"/>
      <c r="E126" s="45"/>
      <c r="F126" s="47" t="str">
        <f>IF(C126="","",'Thiết lập'!$B$4)</f>
        <v/>
      </c>
      <c r="G126" s="19" t="str">
        <f>IF(C126="","",'Thiết lập'!$B$5)</f>
        <v/>
      </c>
      <c r="H126" s="19" t="str">
        <f>IF(C126="","",'Thiết lập'!$B$6)</f>
        <v/>
      </c>
      <c r="I126" s="19" t="str">
        <f>IF(C126="","",'Thiết lập'!$B$7)</f>
        <v/>
      </c>
      <c r="J126" s="19">
        <f t="shared" si="3"/>
        <v>0</v>
      </c>
      <c r="K126" s="19">
        <f t="shared" si="4"/>
        <v>0</v>
      </c>
      <c r="L126" s="19">
        <f t="shared" si="5"/>
        <v>0</v>
      </c>
      <c r="M126" s="19">
        <f t="shared" si="6"/>
        <v>0</v>
      </c>
      <c r="N126" s="19">
        <f t="shared" si="7"/>
        <v>0</v>
      </c>
      <c r="O126" s="19">
        <f t="shared" si="12"/>
        <v>0</v>
      </c>
      <c r="P126" s="19">
        <f t="shared" si="13"/>
        <v>0</v>
      </c>
      <c r="Q126" s="23"/>
      <c r="R126" s="23"/>
      <c r="S126" s="37" t="str">
        <f t="shared" si="11"/>
        <v/>
      </c>
      <c r="T126" s="44"/>
      <c r="U126" s="45"/>
      <c r="V126" s="37" t="str">
        <f t="array" ref="V126">IFERROR(INDEX('Hàng hóa'!$F$4:$F$203,MATCH(T126,'Hàng hóa'!$B$4:$B$203,0)),"")</f>
        <v/>
      </c>
      <c r="W126" s="19">
        <f t="array" ref="W126">IFERROR(INDEX('Hàng hóa'!$H$4:$H$203,MATCH(T126,'Hàng hóa'!$B$4:$B$203,0)),0)</f>
        <v>0</v>
      </c>
      <c r="X126" s="20">
        <f t="shared" si="10"/>
        <v>0</v>
      </c>
      <c r="Y126" s="15"/>
      <c r="AA126" s="9" t="str">
        <f t="shared" si="1"/>
        <v/>
      </c>
      <c r="AB126" s="9" t="str">
        <f>IF('Hàng hóa'!K127&lt;&gt;"",'Hàng hóa'!K127,"")</f>
        <v/>
      </c>
    </row>
    <row r="127" ht="15.75" customHeight="1">
      <c r="A127" s="43"/>
      <c r="B127" s="37" t="str">
        <f t="shared" si="2"/>
        <v/>
      </c>
      <c r="C127" s="44"/>
      <c r="D127" s="45"/>
      <c r="E127" s="45"/>
      <c r="F127" s="47" t="str">
        <f>IF(C127="","",'Thiết lập'!$B$4)</f>
        <v/>
      </c>
      <c r="G127" s="19" t="str">
        <f>IF(C127="","",'Thiết lập'!$B$5)</f>
        <v/>
      </c>
      <c r="H127" s="19" t="str">
        <f>IF(C127="","",'Thiết lập'!$B$6)</f>
        <v/>
      </c>
      <c r="I127" s="19" t="str">
        <f>IF(C127="","",'Thiết lập'!$B$7)</f>
        <v/>
      </c>
      <c r="J127" s="19">
        <f t="shared" si="3"/>
        <v>0</v>
      </c>
      <c r="K127" s="19">
        <f t="shared" si="4"/>
        <v>0</v>
      </c>
      <c r="L127" s="19">
        <f t="shared" si="5"/>
        <v>0</v>
      </c>
      <c r="M127" s="19">
        <f t="shared" si="6"/>
        <v>0</v>
      </c>
      <c r="N127" s="19">
        <f t="shared" si="7"/>
        <v>0</v>
      </c>
      <c r="O127" s="19">
        <f t="shared" si="12"/>
        <v>0</v>
      </c>
      <c r="P127" s="19">
        <f t="shared" si="13"/>
        <v>0</v>
      </c>
      <c r="Q127" s="23"/>
      <c r="R127" s="23"/>
      <c r="S127" s="37" t="str">
        <f t="shared" si="11"/>
        <v/>
      </c>
      <c r="T127" s="44"/>
      <c r="U127" s="45"/>
      <c r="V127" s="37" t="str">
        <f t="array" ref="V127">IFERROR(INDEX('Hàng hóa'!$F$4:$F$203,MATCH(T127,'Hàng hóa'!$B$4:$B$203,0)),"")</f>
        <v/>
      </c>
      <c r="W127" s="19">
        <f t="array" ref="W127">IFERROR(INDEX('Hàng hóa'!$H$4:$H$203,MATCH(T127,'Hàng hóa'!$B$4:$B$203,0)),0)</f>
        <v>0</v>
      </c>
      <c r="X127" s="20">
        <f t="shared" si="10"/>
        <v>0</v>
      </c>
      <c r="Y127" s="15"/>
      <c r="AA127" s="9" t="str">
        <f t="shared" si="1"/>
        <v/>
      </c>
      <c r="AB127" s="9" t="str">
        <f>IF('Hàng hóa'!K128&lt;&gt;"",'Hàng hóa'!K128,"")</f>
        <v/>
      </c>
    </row>
    <row r="128" ht="15.75" customHeight="1">
      <c r="A128" s="43"/>
      <c r="B128" s="37" t="str">
        <f t="shared" si="2"/>
        <v/>
      </c>
      <c r="C128" s="44"/>
      <c r="D128" s="45"/>
      <c r="E128" s="45"/>
      <c r="F128" s="47" t="str">
        <f>IF(C128="","",'Thiết lập'!$B$4)</f>
        <v/>
      </c>
      <c r="G128" s="19" t="str">
        <f>IF(C128="","",'Thiết lập'!$B$5)</f>
        <v/>
      </c>
      <c r="H128" s="19" t="str">
        <f>IF(C128="","",'Thiết lập'!$B$6)</f>
        <v/>
      </c>
      <c r="I128" s="19" t="str">
        <f>IF(C128="","",'Thiết lập'!$B$7)</f>
        <v/>
      </c>
      <c r="J128" s="19">
        <f t="shared" si="3"/>
        <v>0</v>
      </c>
      <c r="K128" s="19">
        <f t="shared" si="4"/>
        <v>0</v>
      </c>
      <c r="L128" s="19">
        <f t="shared" si="5"/>
        <v>0</v>
      </c>
      <c r="M128" s="19">
        <f t="shared" si="6"/>
        <v>0</v>
      </c>
      <c r="N128" s="19">
        <f t="shared" si="7"/>
        <v>0</v>
      </c>
      <c r="O128" s="19">
        <f t="shared" si="12"/>
        <v>0</v>
      </c>
      <c r="P128" s="19">
        <f t="shared" si="13"/>
        <v>0</v>
      </c>
      <c r="Q128" s="23"/>
      <c r="R128" s="23"/>
      <c r="S128" s="37" t="str">
        <f t="shared" si="11"/>
        <v/>
      </c>
      <c r="T128" s="44"/>
      <c r="U128" s="45"/>
      <c r="V128" s="37" t="str">
        <f t="array" ref="V128">IFERROR(INDEX('Hàng hóa'!$F$4:$F$203,MATCH(T128,'Hàng hóa'!$B$4:$B$203,0)),"")</f>
        <v/>
      </c>
      <c r="W128" s="19">
        <f t="array" ref="W128">IFERROR(INDEX('Hàng hóa'!$H$4:$H$203,MATCH(T128,'Hàng hóa'!$B$4:$B$203,0)),0)</f>
        <v>0</v>
      </c>
      <c r="X128" s="20">
        <f t="shared" si="10"/>
        <v>0</v>
      </c>
      <c r="Y128" s="15"/>
      <c r="AA128" s="9" t="str">
        <f t="shared" si="1"/>
        <v/>
      </c>
      <c r="AB128" s="9" t="str">
        <f>IF('Hàng hóa'!K129&lt;&gt;"",'Hàng hóa'!K129,"")</f>
        <v/>
      </c>
    </row>
    <row r="129" ht="15.75" customHeight="1">
      <c r="A129" s="43"/>
      <c r="B129" s="37" t="str">
        <f t="shared" si="2"/>
        <v/>
      </c>
      <c r="C129" s="44"/>
      <c r="D129" s="45"/>
      <c r="E129" s="45"/>
      <c r="F129" s="47" t="str">
        <f>IF(C129="","",'Thiết lập'!$B$4)</f>
        <v/>
      </c>
      <c r="G129" s="19" t="str">
        <f>IF(C129="","",'Thiết lập'!$B$5)</f>
        <v/>
      </c>
      <c r="H129" s="19" t="str">
        <f>IF(C129="","",'Thiết lập'!$B$6)</f>
        <v/>
      </c>
      <c r="I129" s="19" t="str">
        <f>IF(C129="","",'Thiết lập'!$B$7)</f>
        <v/>
      </c>
      <c r="J129" s="19">
        <f t="shared" si="3"/>
        <v>0</v>
      </c>
      <c r="K129" s="19">
        <f t="shared" si="4"/>
        <v>0</v>
      </c>
      <c r="L129" s="19">
        <f t="shared" si="5"/>
        <v>0</v>
      </c>
      <c r="M129" s="19">
        <f t="shared" si="6"/>
        <v>0</v>
      </c>
      <c r="N129" s="19">
        <f t="shared" si="7"/>
        <v>0</v>
      </c>
      <c r="O129" s="19">
        <f t="shared" si="12"/>
        <v>0</v>
      </c>
      <c r="P129" s="19">
        <f t="shared" si="13"/>
        <v>0</v>
      </c>
      <c r="Q129" s="23"/>
      <c r="R129" s="23"/>
      <c r="S129" s="37" t="str">
        <f t="shared" si="11"/>
        <v/>
      </c>
      <c r="T129" s="44"/>
      <c r="U129" s="45"/>
      <c r="V129" s="37" t="str">
        <f t="array" ref="V129">IFERROR(INDEX('Hàng hóa'!$F$4:$F$203,MATCH(T129,'Hàng hóa'!$B$4:$B$203,0)),"")</f>
        <v/>
      </c>
      <c r="W129" s="19">
        <f t="array" ref="W129">IFERROR(INDEX('Hàng hóa'!$H$4:$H$203,MATCH(T129,'Hàng hóa'!$B$4:$B$203,0)),0)</f>
        <v>0</v>
      </c>
      <c r="X129" s="20">
        <f t="shared" si="10"/>
        <v>0</v>
      </c>
      <c r="Y129" s="15"/>
      <c r="AA129" s="9" t="str">
        <f t="shared" si="1"/>
        <v/>
      </c>
      <c r="AB129" s="9" t="str">
        <f>IF('Hàng hóa'!K130&lt;&gt;"",'Hàng hóa'!K130,"")</f>
        <v/>
      </c>
    </row>
    <row r="130" ht="15.75" customHeight="1">
      <c r="A130" s="43"/>
      <c r="B130" s="37" t="str">
        <f t="shared" si="2"/>
        <v/>
      </c>
      <c r="C130" s="44"/>
      <c r="D130" s="45"/>
      <c r="E130" s="45"/>
      <c r="F130" s="47" t="str">
        <f>IF(C130="","",'Thiết lập'!$B$4)</f>
        <v/>
      </c>
      <c r="G130" s="19" t="str">
        <f>IF(C130="","",'Thiết lập'!$B$5)</f>
        <v/>
      </c>
      <c r="H130" s="19" t="str">
        <f>IF(C130="","",'Thiết lập'!$B$6)</f>
        <v/>
      </c>
      <c r="I130" s="19" t="str">
        <f>IF(C130="","",'Thiết lập'!$B$7)</f>
        <v/>
      </c>
      <c r="J130" s="19">
        <f t="shared" si="3"/>
        <v>0</v>
      </c>
      <c r="K130" s="19">
        <f t="shared" si="4"/>
        <v>0</v>
      </c>
      <c r="L130" s="19">
        <f t="shared" si="5"/>
        <v>0</v>
      </c>
      <c r="M130" s="19">
        <f t="shared" si="6"/>
        <v>0</v>
      </c>
      <c r="N130" s="19">
        <f t="shared" si="7"/>
        <v>0</v>
      </c>
      <c r="O130" s="19">
        <f t="shared" si="12"/>
        <v>0</v>
      </c>
      <c r="P130" s="19">
        <f t="shared" si="13"/>
        <v>0</v>
      </c>
      <c r="Q130" s="23"/>
      <c r="R130" s="23"/>
      <c r="S130" s="37" t="str">
        <f t="shared" si="11"/>
        <v/>
      </c>
      <c r="T130" s="44"/>
      <c r="U130" s="45"/>
      <c r="V130" s="37" t="str">
        <f t="array" ref="V130">IFERROR(INDEX('Hàng hóa'!$F$4:$F$203,MATCH(T130,'Hàng hóa'!$B$4:$B$203,0)),"")</f>
        <v/>
      </c>
      <c r="W130" s="19">
        <f t="array" ref="W130">IFERROR(INDEX('Hàng hóa'!$H$4:$H$203,MATCH(T130,'Hàng hóa'!$B$4:$B$203,0)),0)</f>
        <v>0</v>
      </c>
      <c r="X130" s="20">
        <f t="shared" si="10"/>
        <v>0</v>
      </c>
      <c r="Y130" s="15"/>
      <c r="AA130" s="9" t="str">
        <f t="shared" si="1"/>
        <v/>
      </c>
      <c r="AB130" s="9" t="str">
        <f>IF('Hàng hóa'!K131&lt;&gt;"",'Hàng hóa'!K131,"")</f>
        <v/>
      </c>
    </row>
    <row r="131" ht="15.75" customHeight="1">
      <c r="A131" s="43"/>
      <c r="B131" s="37" t="str">
        <f t="shared" si="2"/>
        <v/>
      </c>
      <c r="C131" s="44"/>
      <c r="D131" s="45"/>
      <c r="E131" s="45"/>
      <c r="F131" s="47" t="str">
        <f>IF(C131="","",'Thiết lập'!$B$4)</f>
        <v/>
      </c>
      <c r="G131" s="19" t="str">
        <f>IF(C131="","",'Thiết lập'!$B$5)</f>
        <v/>
      </c>
      <c r="H131" s="19" t="str">
        <f>IF(C131="","",'Thiết lập'!$B$6)</f>
        <v/>
      </c>
      <c r="I131" s="19" t="str">
        <f>IF(C131="","",'Thiết lập'!$B$7)</f>
        <v/>
      </c>
      <c r="J131" s="19">
        <f t="shared" si="3"/>
        <v>0</v>
      </c>
      <c r="K131" s="19">
        <f t="shared" si="4"/>
        <v>0</v>
      </c>
      <c r="L131" s="19">
        <f t="shared" si="5"/>
        <v>0</v>
      </c>
      <c r="M131" s="19">
        <f t="shared" si="6"/>
        <v>0</v>
      </c>
      <c r="N131" s="19">
        <f t="shared" si="7"/>
        <v>0</v>
      </c>
      <c r="O131" s="19">
        <f t="shared" si="12"/>
        <v>0</v>
      </c>
      <c r="P131" s="19">
        <f t="shared" si="13"/>
        <v>0</v>
      </c>
      <c r="Q131" s="23"/>
      <c r="R131" s="23"/>
      <c r="S131" s="37" t="str">
        <f t="shared" si="11"/>
        <v/>
      </c>
      <c r="T131" s="44"/>
      <c r="U131" s="45"/>
      <c r="V131" s="37" t="str">
        <f t="array" ref="V131">IFERROR(INDEX('Hàng hóa'!$F$4:$F$203,MATCH(T131,'Hàng hóa'!$B$4:$B$203,0)),"")</f>
        <v/>
      </c>
      <c r="W131" s="19">
        <f t="array" ref="W131">IFERROR(INDEX('Hàng hóa'!$H$4:$H$203,MATCH(T131,'Hàng hóa'!$B$4:$B$203,0)),0)</f>
        <v>0</v>
      </c>
      <c r="X131" s="20">
        <f t="shared" si="10"/>
        <v>0</v>
      </c>
      <c r="Y131" s="15"/>
      <c r="AA131" s="9" t="str">
        <f t="shared" si="1"/>
        <v/>
      </c>
      <c r="AB131" s="9" t="str">
        <f>IF('Hàng hóa'!K132&lt;&gt;"",'Hàng hóa'!K132,"")</f>
        <v/>
      </c>
    </row>
    <row r="132" ht="15.75" customHeight="1">
      <c r="A132" s="43"/>
      <c r="B132" s="37" t="str">
        <f t="shared" si="2"/>
        <v/>
      </c>
      <c r="C132" s="44"/>
      <c r="D132" s="45"/>
      <c r="E132" s="45"/>
      <c r="F132" s="47" t="str">
        <f>IF(C132="","",'Thiết lập'!$B$4)</f>
        <v/>
      </c>
      <c r="G132" s="19" t="str">
        <f>IF(C132="","",'Thiết lập'!$B$5)</f>
        <v/>
      </c>
      <c r="H132" s="19" t="str">
        <f>IF(C132="","",'Thiết lập'!$B$6)</f>
        <v/>
      </c>
      <c r="I132" s="19" t="str">
        <f>IF(C132="","",'Thiết lập'!$B$7)</f>
        <v/>
      </c>
      <c r="J132" s="19">
        <f t="shared" si="3"/>
        <v>0</v>
      </c>
      <c r="K132" s="19">
        <f t="shared" si="4"/>
        <v>0</v>
      </c>
      <c r="L132" s="19">
        <f t="shared" si="5"/>
        <v>0</v>
      </c>
      <c r="M132" s="19">
        <f t="shared" si="6"/>
        <v>0</v>
      </c>
      <c r="N132" s="19">
        <f t="shared" si="7"/>
        <v>0</v>
      </c>
      <c r="O132" s="19">
        <f t="shared" si="12"/>
        <v>0</v>
      </c>
      <c r="P132" s="19">
        <f t="shared" si="13"/>
        <v>0</v>
      </c>
      <c r="Q132" s="23"/>
      <c r="R132" s="23"/>
      <c r="S132" s="37" t="str">
        <f t="shared" si="11"/>
        <v/>
      </c>
      <c r="T132" s="44"/>
      <c r="U132" s="45"/>
      <c r="V132" s="37" t="str">
        <f t="array" ref="V132">IFERROR(INDEX('Hàng hóa'!$F$4:$F$203,MATCH(T132,'Hàng hóa'!$B$4:$B$203,0)),"")</f>
        <v/>
      </c>
      <c r="W132" s="19">
        <f t="array" ref="W132">IFERROR(INDEX('Hàng hóa'!$H$4:$H$203,MATCH(T132,'Hàng hóa'!$B$4:$B$203,0)),0)</f>
        <v>0</v>
      </c>
      <c r="X132" s="20">
        <f t="shared" si="10"/>
        <v>0</v>
      </c>
      <c r="Y132" s="15"/>
      <c r="AA132" s="9" t="str">
        <f t="shared" si="1"/>
        <v/>
      </c>
      <c r="AB132" s="9" t="str">
        <f>IF('Hàng hóa'!K133&lt;&gt;"",'Hàng hóa'!K133,"")</f>
        <v/>
      </c>
    </row>
    <row r="133" ht="15.75" customHeight="1">
      <c r="A133" s="43"/>
      <c r="B133" s="37" t="str">
        <f t="shared" si="2"/>
        <v/>
      </c>
      <c r="C133" s="44"/>
      <c r="D133" s="45"/>
      <c r="E133" s="45"/>
      <c r="F133" s="47" t="str">
        <f>IF(C133="","",'Thiết lập'!$B$4)</f>
        <v/>
      </c>
      <c r="G133" s="19" t="str">
        <f>IF(C133="","",'Thiết lập'!$B$5)</f>
        <v/>
      </c>
      <c r="H133" s="19" t="str">
        <f>IF(C133="","",'Thiết lập'!$B$6)</f>
        <v/>
      </c>
      <c r="I133" s="19" t="str">
        <f>IF(C133="","",'Thiết lập'!$B$7)</f>
        <v/>
      </c>
      <c r="J133" s="19">
        <f t="shared" si="3"/>
        <v>0</v>
      </c>
      <c r="K133" s="19">
        <f t="shared" si="4"/>
        <v>0</v>
      </c>
      <c r="L133" s="19">
        <f t="shared" si="5"/>
        <v>0</v>
      </c>
      <c r="M133" s="19">
        <f t="shared" si="6"/>
        <v>0</v>
      </c>
      <c r="N133" s="19">
        <f t="shared" si="7"/>
        <v>0</v>
      </c>
      <c r="O133" s="19">
        <f t="shared" si="12"/>
        <v>0</v>
      </c>
      <c r="P133" s="19">
        <f t="shared" si="13"/>
        <v>0</v>
      </c>
      <c r="Q133" s="23"/>
      <c r="R133" s="23"/>
      <c r="S133" s="37" t="str">
        <f t="shared" si="11"/>
        <v/>
      </c>
      <c r="T133" s="44"/>
      <c r="U133" s="45"/>
      <c r="V133" s="37" t="str">
        <f t="array" ref="V133">IFERROR(INDEX('Hàng hóa'!$F$4:$F$203,MATCH(T133,'Hàng hóa'!$B$4:$B$203,0)),"")</f>
        <v/>
      </c>
      <c r="W133" s="19">
        <f t="array" ref="W133">IFERROR(INDEX('Hàng hóa'!$H$4:$H$203,MATCH(T133,'Hàng hóa'!$B$4:$B$203,0)),0)</f>
        <v>0</v>
      </c>
      <c r="X133" s="20">
        <f t="shared" si="10"/>
        <v>0</v>
      </c>
      <c r="Y133" s="15"/>
      <c r="AA133" s="9" t="str">
        <f t="shared" si="1"/>
        <v/>
      </c>
      <c r="AB133" s="9" t="str">
        <f>IF('Hàng hóa'!K134&lt;&gt;"",'Hàng hóa'!K134,"")</f>
        <v/>
      </c>
    </row>
    <row r="134" ht="15.75" customHeight="1">
      <c r="A134" s="43"/>
      <c r="B134" s="37" t="str">
        <f t="shared" si="2"/>
        <v/>
      </c>
      <c r="C134" s="44"/>
      <c r="D134" s="45"/>
      <c r="E134" s="45"/>
      <c r="F134" s="47" t="str">
        <f>IF(C134="","",'Thiết lập'!$B$4)</f>
        <v/>
      </c>
      <c r="G134" s="19" t="str">
        <f>IF(C134="","",'Thiết lập'!$B$5)</f>
        <v/>
      </c>
      <c r="H134" s="19" t="str">
        <f>IF(C134="","",'Thiết lập'!$B$6)</f>
        <v/>
      </c>
      <c r="I134" s="19" t="str">
        <f>IF(C134="","",'Thiết lập'!$B$7)</f>
        <v/>
      </c>
      <c r="J134" s="19">
        <f t="shared" si="3"/>
        <v>0</v>
      </c>
      <c r="K134" s="19">
        <f t="shared" si="4"/>
        <v>0</v>
      </c>
      <c r="L134" s="19">
        <f t="shared" si="5"/>
        <v>0</v>
      </c>
      <c r="M134" s="19">
        <f t="shared" si="6"/>
        <v>0</v>
      </c>
      <c r="N134" s="19">
        <f t="shared" si="7"/>
        <v>0</v>
      </c>
      <c r="O134" s="19">
        <f t="shared" si="12"/>
        <v>0</v>
      </c>
      <c r="P134" s="19">
        <f t="shared" si="13"/>
        <v>0</v>
      </c>
      <c r="Q134" s="23"/>
      <c r="R134" s="23"/>
      <c r="S134" s="37" t="str">
        <f t="shared" si="11"/>
        <v/>
      </c>
      <c r="T134" s="44"/>
      <c r="U134" s="45"/>
      <c r="V134" s="37" t="str">
        <f t="array" ref="V134">IFERROR(INDEX('Hàng hóa'!$F$4:$F$203,MATCH(T134,'Hàng hóa'!$B$4:$B$203,0)),"")</f>
        <v/>
      </c>
      <c r="W134" s="19">
        <f t="array" ref="W134">IFERROR(INDEX('Hàng hóa'!$H$4:$H$203,MATCH(T134,'Hàng hóa'!$B$4:$B$203,0)),0)</f>
        <v>0</v>
      </c>
      <c r="X134" s="20">
        <f t="shared" si="10"/>
        <v>0</v>
      </c>
      <c r="Y134" s="15"/>
      <c r="AA134" s="9" t="str">
        <f t="shared" si="1"/>
        <v/>
      </c>
      <c r="AB134" s="9" t="str">
        <f>IF('Hàng hóa'!K135&lt;&gt;"",'Hàng hóa'!K135,"")</f>
        <v/>
      </c>
    </row>
    <row r="135" ht="15.75" customHeight="1">
      <c r="A135" s="43"/>
      <c r="B135" s="37" t="str">
        <f t="shared" si="2"/>
        <v/>
      </c>
      <c r="C135" s="44"/>
      <c r="D135" s="45"/>
      <c r="E135" s="45"/>
      <c r="F135" s="47" t="str">
        <f>IF(C135="","",'Thiết lập'!$B$4)</f>
        <v/>
      </c>
      <c r="G135" s="19" t="str">
        <f>IF(C135="","",'Thiết lập'!$B$5)</f>
        <v/>
      </c>
      <c r="H135" s="19" t="str">
        <f>IF(C135="","",'Thiết lập'!$B$6)</f>
        <v/>
      </c>
      <c r="I135" s="19" t="str">
        <f>IF(C135="","",'Thiết lập'!$B$7)</f>
        <v/>
      </c>
      <c r="J135" s="19">
        <f t="shared" si="3"/>
        <v>0</v>
      </c>
      <c r="K135" s="19">
        <f t="shared" si="4"/>
        <v>0</v>
      </c>
      <c r="L135" s="19">
        <f t="shared" si="5"/>
        <v>0</v>
      </c>
      <c r="M135" s="19">
        <f t="shared" si="6"/>
        <v>0</v>
      </c>
      <c r="N135" s="19">
        <f t="shared" si="7"/>
        <v>0</v>
      </c>
      <c r="O135" s="19">
        <f t="shared" si="12"/>
        <v>0</v>
      </c>
      <c r="P135" s="19">
        <f t="shared" si="13"/>
        <v>0</v>
      </c>
      <c r="Q135" s="23"/>
      <c r="R135" s="23"/>
      <c r="S135" s="37" t="str">
        <f t="shared" si="11"/>
        <v/>
      </c>
      <c r="T135" s="44"/>
      <c r="U135" s="45"/>
      <c r="V135" s="37" t="str">
        <f t="array" ref="V135">IFERROR(INDEX('Hàng hóa'!$F$4:$F$203,MATCH(T135,'Hàng hóa'!$B$4:$B$203,0)),"")</f>
        <v/>
      </c>
      <c r="W135" s="19">
        <f t="array" ref="W135">IFERROR(INDEX('Hàng hóa'!$H$4:$H$203,MATCH(T135,'Hàng hóa'!$B$4:$B$203,0)),0)</f>
        <v>0</v>
      </c>
      <c r="X135" s="20">
        <f t="shared" si="10"/>
        <v>0</v>
      </c>
      <c r="Y135" s="15"/>
      <c r="AA135" s="9" t="str">
        <f t="shared" si="1"/>
        <v/>
      </c>
      <c r="AB135" s="9" t="str">
        <f>IF('Hàng hóa'!K136&lt;&gt;"",'Hàng hóa'!K136,"")</f>
        <v/>
      </c>
    </row>
    <row r="136" ht="15.75" customHeight="1">
      <c r="A136" s="43"/>
      <c r="B136" s="37" t="str">
        <f t="shared" si="2"/>
        <v/>
      </c>
      <c r="C136" s="44"/>
      <c r="D136" s="45"/>
      <c r="E136" s="45"/>
      <c r="F136" s="47" t="str">
        <f>IF(C136="","",'Thiết lập'!$B$4)</f>
        <v/>
      </c>
      <c r="G136" s="19" t="str">
        <f>IF(C136="","",'Thiết lập'!$B$5)</f>
        <v/>
      </c>
      <c r="H136" s="19" t="str">
        <f>IF(C136="","",'Thiết lập'!$B$6)</f>
        <v/>
      </c>
      <c r="I136" s="19" t="str">
        <f>IF(C136="","",'Thiết lập'!$B$7)</f>
        <v/>
      </c>
      <c r="J136" s="19">
        <f t="shared" si="3"/>
        <v>0</v>
      </c>
      <c r="K136" s="19">
        <f t="shared" si="4"/>
        <v>0</v>
      </c>
      <c r="L136" s="19">
        <f t="shared" si="5"/>
        <v>0</v>
      </c>
      <c r="M136" s="19">
        <f t="shared" si="6"/>
        <v>0</v>
      </c>
      <c r="N136" s="19">
        <f t="shared" si="7"/>
        <v>0</v>
      </c>
      <c r="O136" s="19">
        <f t="shared" si="12"/>
        <v>0</v>
      </c>
      <c r="P136" s="19">
        <f t="shared" si="13"/>
        <v>0</v>
      </c>
      <c r="Q136" s="23"/>
      <c r="R136" s="23"/>
      <c r="S136" s="37" t="str">
        <f t="shared" si="11"/>
        <v/>
      </c>
      <c r="T136" s="44"/>
      <c r="U136" s="45"/>
      <c r="V136" s="37" t="str">
        <f t="array" ref="V136">IFERROR(INDEX('Hàng hóa'!$F$4:$F$203,MATCH(T136,'Hàng hóa'!$B$4:$B$203,0)),"")</f>
        <v/>
      </c>
      <c r="W136" s="19">
        <f t="array" ref="W136">IFERROR(INDEX('Hàng hóa'!$H$4:$H$203,MATCH(T136,'Hàng hóa'!$B$4:$B$203,0)),0)</f>
        <v>0</v>
      </c>
      <c r="X136" s="20">
        <f t="shared" si="10"/>
        <v>0</v>
      </c>
      <c r="Y136" s="15"/>
      <c r="AA136" s="9" t="str">
        <f t="shared" si="1"/>
        <v/>
      </c>
      <c r="AB136" s="9" t="str">
        <f>IF('Hàng hóa'!K137&lt;&gt;"",'Hàng hóa'!K137,"")</f>
        <v/>
      </c>
    </row>
    <row r="137" ht="15.75" customHeight="1">
      <c r="A137" s="43"/>
      <c r="B137" s="37" t="str">
        <f t="shared" si="2"/>
        <v/>
      </c>
      <c r="C137" s="44"/>
      <c r="D137" s="45"/>
      <c r="E137" s="45"/>
      <c r="F137" s="47" t="str">
        <f>IF(C137="","",'Thiết lập'!$B$4)</f>
        <v/>
      </c>
      <c r="G137" s="19" t="str">
        <f>IF(C137="","",'Thiết lập'!$B$5)</f>
        <v/>
      </c>
      <c r="H137" s="19" t="str">
        <f>IF(C137="","",'Thiết lập'!$B$6)</f>
        <v/>
      </c>
      <c r="I137" s="19" t="str">
        <f>IF(C137="","",'Thiết lập'!$B$7)</f>
        <v/>
      </c>
      <c r="J137" s="19">
        <f t="shared" si="3"/>
        <v>0</v>
      </c>
      <c r="K137" s="19">
        <f t="shared" si="4"/>
        <v>0</v>
      </c>
      <c r="L137" s="19">
        <f t="shared" si="5"/>
        <v>0</v>
      </c>
      <c r="M137" s="19">
        <f t="shared" si="6"/>
        <v>0</v>
      </c>
      <c r="N137" s="19">
        <f t="shared" si="7"/>
        <v>0</v>
      </c>
      <c r="O137" s="19">
        <f t="shared" si="12"/>
        <v>0</v>
      </c>
      <c r="P137" s="19">
        <f t="shared" si="13"/>
        <v>0</v>
      </c>
      <c r="Q137" s="23"/>
      <c r="R137" s="23"/>
      <c r="S137" s="37" t="str">
        <f t="shared" si="11"/>
        <v/>
      </c>
      <c r="T137" s="44"/>
      <c r="U137" s="45"/>
      <c r="V137" s="37" t="str">
        <f t="array" ref="V137">IFERROR(INDEX('Hàng hóa'!$F$4:$F$203,MATCH(T137,'Hàng hóa'!$B$4:$B$203,0)),"")</f>
        <v/>
      </c>
      <c r="W137" s="19">
        <f t="array" ref="W137">IFERROR(INDEX('Hàng hóa'!$H$4:$H$203,MATCH(T137,'Hàng hóa'!$B$4:$B$203,0)),0)</f>
        <v>0</v>
      </c>
      <c r="X137" s="20">
        <f t="shared" si="10"/>
        <v>0</v>
      </c>
      <c r="Y137" s="15"/>
      <c r="AA137" s="9" t="str">
        <f t="shared" si="1"/>
        <v/>
      </c>
      <c r="AB137" s="9" t="str">
        <f>IF('Hàng hóa'!K138&lt;&gt;"",'Hàng hóa'!K138,"")</f>
        <v/>
      </c>
    </row>
    <row r="138" ht="15.75" customHeight="1">
      <c r="A138" s="43"/>
      <c r="B138" s="37" t="str">
        <f t="shared" si="2"/>
        <v/>
      </c>
      <c r="C138" s="44"/>
      <c r="D138" s="45"/>
      <c r="E138" s="45"/>
      <c r="F138" s="47" t="str">
        <f>IF(C138="","",'Thiết lập'!$B$4)</f>
        <v/>
      </c>
      <c r="G138" s="19" t="str">
        <f>IF(C138="","",'Thiết lập'!$B$5)</f>
        <v/>
      </c>
      <c r="H138" s="19" t="str">
        <f>IF(C138="","",'Thiết lập'!$B$6)</f>
        <v/>
      </c>
      <c r="I138" s="19" t="str">
        <f>IF(C138="","",'Thiết lập'!$B$7)</f>
        <v/>
      </c>
      <c r="J138" s="19">
        <f t="shared" si="3"/>
        <v>0</v>
      </c>
      <c r="K138" s="19">
        <f t="shared" si="4"/>
        <v>0</v>
      </c>
      <c r="L138" s="19">
        <f t="shared" si="5"/>
        <v>0</v>
      </c>
      <c r="M138" s="19">
        <f t="shared" si="6"/>
        <v>0</v>
      </c>
      <c r="N138" s="19">
        <f t="shared" si="7"/>
        <v>0</v>
      </c>
      <c r="O138" s="19">
        <f t="shared" si="12"/>
        <v>0</v>
      </c>
      <c r="P138" s="19">
        <f t="shared" si="13"/>
        <v>0</v>
      </c>
      <c r="Q138" s="23"/>
      <c r="R138" s="23"/>
      <c r="S138" s="37" t="str">
        <f t="shared" si="11"/>
        <v/>
      </c>
      <c r="T138" s="44"/>
      <c r="U138" s="45"/>
      <c r="V138" s="37" t="str">
        <f t="array" ref="V138">IFERROR(INDEX('Hàng hóa'!$F$4:$F$203,MATCH(T138,'Hàng hóa'!$B$4:$B$203,0)),"")</f>
        <v/>
      </c>
      <c r="W138" s="19">
        <f t="array" ref="W138">IFERROR(INDEX('Hàng hóa'!$H$4:$H$203,MATCH(T138,'Hàng hóa'!$B$4:$B$203,0)),0)</f>
        <v>0</v>
      </c>
      <c r="X138" s="20">
        <f t="shared" si="10"/>
        <v>0</v>
      </c>
      <c r="Y138" s="15"/>
      <c r="AA138" s="9" t="str">
        <f t="shared" si="1"/>
        <v/>
      </c>
      <c r="AB138" s="9" t="str">
        <f>IF('Hàng hóa'!K139&lt;&gt;"",'Hàng hóa'!K139,"")</f>
        <v/>
      </c>
    </row>
    <row r="139" ht="15.75" customHeight="1">
      <c r="A139" s="43"/>
      <c r="B139" s="37" t="str">
        <f t="shared" si="2"/>
        <v/>
      </c>
      <c r="C139" s="44"/>
      <c r="D139" s="45"/>
      <c r="E139" s="45"/>
      <c r="F139" s="47" t="str">
        <f>IF(C139="","",'Thiết lập'!$B$4)</f>
        <v/>
      </c>
      <c r="G139" s="19" t="str">
        <f>IF(C139="","",'Thiết lập'!$B$5)</f>
        <v/>
      </c>
      <c r="H139" s="19" t="str">
        <f>IF(C139="","",'Thiết lập'!$B$6)</f>
        <v/>
      </c>
      <c r="I139" s="19" t="str">
        <f>IF(C139="","",'Thiết lập'!$B$7)</f>
        <v/>
      </c>
      <c r="J139" s="19">
        <f t="shared" si="3"/>
        <v>0</v>
      </c>
      <c r="K139" s="19">
        <f t="shared" si="4"/>
        <v>0</v>
      </c>
      <c r="L139" s="19">
        <f t="shared" si="5"/>
        <v>0</v>
      </c>
      <c r="M139" s="19">
        <f t="shared" si="6"/>
        <v>0</v>
      </c>
      <c r="N139" s="19">
        <f t="shared" si="7"/>
        <v>0</v>
      </c>
      <c r="O139" s="19">
        <f t="shared" si="12"/>
        <v>0</v>
      </c>
      <c r="P139" s="19">
        <f t="shared" si="13"/>
        <v>0</v>
      </c>
      <c r="Q139" s="23"/>
      <c r="R139" s="23"/>
      <c r="S139" s="37" t="str">
        <f t="shared" si="11"/>
        <v/>
      </c>
      <c r="T139" s="44"/>
      <c r="U139" s="45"/>
      <c r="V139" s="37" t="str">
        <f t="array" ref="V139">IFERROR(INDEX('Hàng hóa'!$F$4:$F$203,MATCH(T139,'Hàng hóa'!$B$4:$B$203,0)),"")</f>
        <v/>
      </c>
      <c r="W139" s="19">
        <f t="array" ref="W139">IFERROR(INDEX('Hàng hóa'!$H$4:$H$203,MATCH(T139,'Hàng hóa'!$B$4:$B$203,0)),0)</f>
        <v>0</v>
      </c>
      <c r="X139" s="20">
        <f t="shared" si="10"/>
        <v>0</v>
      </c>
      <c r="Y139" s="15"/>
      <c r="AA139" s="9" t="str">
        <f t="shared" si="1"/>
        <v/>
      </c>
      <c r="AB139" s="9" t="str">
        <f>IF('Hàng hóa'!K140&lt;&gt;"",'Hàng hóa'!K140,"")</f>
        <v/>
      </c>
    </row>
    <row r="140" ht="15.75" customHeight="1">
      <c r="A140" s="43"/>
      <c r="B140" s="37" t="str">
        <f t="shared" si="2"/>
        <v/>
      </c>
      <c r="C140" s="44"/>
      <c r="D140" s="45"/>
      <c r="E140" s="45"/>
      <c r="F140" s="47" t="str">
        <f>IF(C140="","",'Thiết lập'!$B$4)</f>
        <v/>
      </c>
      <c r="G140" s="19" t="str">
        <f>IF(C140="","",'Thiết lập'!$B$5)</f>
        <v/>
      </c>
      <c r="H140" s="19" t="str">
        <f>IF(C140="","",'Thiết lập'!$B$6)</f>
        <v/>
      </c>
      <c r="I140" s="19" t="str">
        <f>IF(C140="","",'Thiết lập'!$B$7)</f>
        <v/>
      </c>
      <c r="J140" s="19">
        <f t="shared" si="3"/>
        <v>0</v>
      </c>
      <c r="K140" s="19">
        <f t="shared" si="4"/>
        <v>0</v>
      </c>
      <c r="L140" s="19">
        <f t="shared" si="5"/>
        <v>0</v>
      </c>
      <c r="M140" s="19">
        <f t="shared" si="6"/>
        <v>0</v>
      </c>
      <c r="N140" s="19">
        <f t="shared" si="7"/>
        <v>0</v>
      </c>
      <c r="O140" s="19">
        <f t="shared" si="12"/>
        <v>0</v>
      </c>
      <c r="P140" s="19">
        <f t="shared" si="13"/>
        <v>0</v>
      </c>
      <c r="Q140" s="23"/>
      <c r="R140" s="23"/>
      <c r="S140" s="37" t="str">
        <f t="shared" si="11"/>
        <v/>
      </c>
      <c r="T140" s="44"/>
      <c r="U140" s="45"/>
      <c r="V140" s="37" t="str">
        <f t="array" ref="V140">IFERROR(INDEX('Hàng hóa'!$F$4:$F$203,MATCH(T140,'Hàng hóa'!$B$4:$B$203,0)),"")</f>
        <v/>
      </c>
      <c r="W140" s="19">
        <f t="array" ref="W140">IFERROR(INDEX('Hàng hóa'!$H$4:$H$203,MATCH(T140,'Hàng hóa'!$B$4:$B$203,0)),0)</f>
        <v>0</v>
      </c>
      <c r="X140" s="20">
        <f t="shared" si="10"/>
        <v>0</v>
      </c>
      <c r="Y140" s="15"/>
      <c r="AA140" s="9" t="str">
        <f t="shared" si="1"/>
        <v/>
      </c>
      <c r="AB140" s="9" t="str">
        <f>IF('Hàng hóa'!K141&lt;&gt;"",'Hàng hóa'!K141,"")</f>
        <v/>
      </c>
    </row>
    <row r="141" ht="15.75" customHeight="1">
      <c r="A141" s="43"/>
      <c r="B141" s="37" t="str">
        <f t="shared" si="2"/>
        <v/>
      </c>
      <c r="C141" s="44"/>
      <c r="D141" s="45"/>
      <c r="E141" s="45"/>
      <c r="F141" s="47" t="str">
        <f>IF(C141="","",'Thiết lập'!$B$4)</f>
        <v/>
      </c>
      <c r="G141" s="19" t="str">
        <f>IF(C141="","",'Thiết lập'!$B$5)</f>
        <v/>
      </c>
      <c r="H141" s="19" t="str">
        <f>IF(C141="","",'Thiết lập'!$B$6)</f>
        <v/>
      </c>
      <c r="I141" s="19" t="str">
        <f>IF(C141="","",'Thiết lập'!$B$7)</f>
        <v/>
      </c>
      <c r="J141" s="19">
        <f t="shared" si="3"/>
        <v>0</v>
      </c>
      <c r="K141" s="19">
        <f t="shared" si="4"/>
        <v>0</v>
      </c>
      <c r="L141" s="19">
        <f t="shared" si="5"/>
        <v>0</v>
      </c>
      <c r="M141" s="19">
        <f t="shared" si="6"/>
        <v>0</v>
      </c>
      <c r="N141" s="19">
        <f t="shared" si="7"/>
        <v>0</v>
      </c>
      <c r="O141" s="19">
        <f t="shared" si="12"/>
        <v>0</v>
      </c>
      <c r="P141" s="19">
        <f t="shared" si="13"/>
        <v>0</v>
      </c>
      <c r="Q141" s="23"/>
      <c r="R141" s="23"/>
      <c r="S141" s="37" t="str">
        <f t="shared" si="11"/>
        <v/>
      </c>
      <c r="T141" s="44"/>
      <c r="U141" s="45"/>
      <c r="V141" s="37" t="str">
        <f t="array" ref="V141">IFERROR(INDEX('Hàng hóa'!$F$4:$F$203,MATCH(T141,'Hàng hóa'!$B$4:$B$203,0)),"")</f>
        <v/>
      </c>
      <c r="W141" s="19">
        <f t="array" ref="W141">IFERROR(INDEX('Hàng hóa'!$H$4:$H$203,MATCH(T141,'Hàng hóa'!$B$4:$B$203,0)),0)</f>
        <v>0</v>
      </c>
      <c r="X141" s="20">
        <f t="shared" si="10"/>
        <v>0</v>
      </c>
      <c r="Y141" s="15"/>
      <c r="AA141" s="9" t="str">
        <f t="shared" si="1"/>
        <v/>
      </c>
      <c r="AB141" s="9" t="str">
        <f>IF('Hàng hóa'!K142&lt;&gt;"",'Hàng hóa'!K142,"")</f>
        <v/>
      </c>
    </row>
    <row r="142" ht="15.75" customHeight="1">
      <c r="A142" s="43"/>
      <c r="B142" s="37" t="str">
        <f t="shared" si="2"/>
        <v/>
      </c>
      <c r="C142" s="44"/>
      <c r="D142" s="45"/>
      <c r="E142" s="45"/>
      <c r="F142" s="47" t="str">
        <f>IF(C142="","",'Thiết lập'!$B$4)</f>
        <v/>
      </c>
      <c r="G142" s="19" t="str">
        <f>IF(C142="","",'Thiết lập'!$B$5)</f>
        <v/>
      </c>
      <c r="H142" s="19" t="str">
        <f>IF(C142="","",'Thiết lập'!$B$6)</f>
        <v/>
      </c>
      <c r="I142" s="19" t="str">
        <f>IF(C142="","",'Thiết lập'!$B$7)</f>
        <v/>
      </c>
      <c r="J142" s="19">
        <f t="shared" si="3"/>
        <v>0</v>
      </c>
      <c r="K142" s="19">
        <f t="shared" si="4"/>
        <v>0</v>
      </c>
      <c r="L142" s="19">
        <f t="shared" si="5"/>
        <v>0</v>
      </c>
      <c r="M142" s="19">
        <f t="shared" si="6"/>
        <v>0</v>
      </c>
      <c r="N142" s="19">
        <f t="shared" si="7"/>
        <v>0</v>
      </c>
      <c r="O142" s="19">
        <f t="shared" si="12"/>
        <v>0</v>
      </c>
      <c r="P142" s="19">
        <f t="shared" si="13"/>
        <v>0</v>
      </c>
      <c r="Q142" s="23"/>
      <c r="R142" s="23"/>
      <c r="S142" s="37" t="str">
        <f t="shared" si="11"/>
        <v/>
      </c>
      <c r="T142" s="44"/>
      <c r="U142" s="45"/>
      <c r="V142" s="37" t="str">
        <f t="array" ref="V142">IFERROR(INDEX('Hàng hóa'!$F$4:$F$203,MATCH(T142,'Hàng hóa'!$B$4:$B$203,0)),"")</f>
        <v/>
      </c>
      <c r="W142" s="19">
        <f t="array" ref="W142">IFERROR(INDEX('Hàng hóa'!$H$4:$H$203,MATCH(T142,'Hàng hóa'!$B$4:$B$203,0)),0)</f>
        <v>0</v>
      </c>
      <c r="X142" s="20">
        <f t="shared" si="10"/>
        <v>0</v>
      </c>
      <c r="Y142" s="15"/>
      <c r="AA142" s="9" t="str">
        <f t="shared" si="1"/>
        <v/>
      </c>
      <c r="AB142" s="9" t="str">
        <f>IF('Hàng hóa'!K143&lt;&gt;"",'Hàng hóa'!K143,"")</f>
        <v/>
      </c>
    </row>
    <row r="143" ht="15.75" customHeight="1">
      <c r="A143" s="43"/>
      <c r="B143" s="37" t="str">
        <f t="shared" si="2"/>
        <v/>
      </c>
      <c r="C143" s="44"/>
      <c r="D143" s="45"/>
      <c r="E143" s="45"/>
      <c r="F143" s="47" t="str">
        <f>IF(C143="","",'Thiết lập'!$B$4)</f>
        <v/>
      </c>
      <c r="G143" s="19" t="str">
        <f>IF(C143="","",'Thiết lập'!$B$5)</f>
        <v/>
      </c>
      <c r="H143" s="19" t="str">
        <f>IF(C143="","",'Thiết lập'!$B$6)</f>
        <v/>
      </c>
      <c r="I143" s="19" t="str">
        <f>IF(C143="","",'Thiết lập'!$B$7)</f>
        <v/>
      </c>
      <c r="J143" s="19">
        <f t="shared" si="3"/>
        <v>0</v>
      </c>
      <c r="K143" s="19">
        <f t="shared" si="4"/>
        <v>0</v>
      </c>
      <c r="L143" s="19">
        <f t="shared" si="5"/>
        <v>0</v>
      </c>
      <c r="M143" s="19">
        <f t="shared" si="6"/>
        <v>0</v>
      </c>
      <c r="N143" s="19">
        <f t="shared" si="7"/>
        <v>0</v>
      </c>
      <c r="O143" s="19">
        <f t="shared" si="12"/>
        <v>0</v>
      </c>
      <c r="P143" s="19">
        <f t="shared" si="13"/>
        <v>0</v>
      </c>
      <c r="Q143" s="23"/>
      <c r="R143" s="23"/>
      <c r="S143" s="37" t="str">
        <f t="shared" si="11"/>
        <v/>
      </c>
      <c r="T143" s="44"/>
      <c r="U143" s="45"/>
      <c r="V143" s="37" t="str">
        <f t="array" ref="V143">IFERROR(INDEX('Hàng hóa'!$F$4:$F$203,MATCH(T143,'Hàng hóa'!$B$4:$B$203,0)),"")</f>
        <v/>
      </c>
      <c r="W143" s="19">
        <f t="array" ref="W143">IFERROR(INDEX('Hàng hóa'!$H$4:$H$203,MATCH(T143,'Hàng hóa'!$B$4:$B$203,0)),0)</f>
        <v>0</v>
      </c>
      <c r="X143" s="20">
        <f t="shared" si="10"/>
        <v>0</v>
      </c>
      <c r="Y143" s="15"/>
      <c r="AA143" s="9" t="str">
        <f t="shared" si="1"/>
        <v/>
      </c>
      <c r="AB143" s="9" t="str">
        <f>IF('Hàng hóa'!K144&lt;&gt;"",'Hàng hóa'!K144,"")</f>
        <v/>
      </c>
    </row>
    <row r="144" ht="15.75" customHeight="1">
      <c r="A144" s="43"/>
      <c r="B144" s="37" t="str">
        <f t="shared" si="2"/>
        <v/>
      </c>
      <c r="C144" s="44"/>
      <c r="D144" s="45"/>
      <c r="E144" s="45"/>
      <c r="F144" s="47" t="str">
        <f>IF(C144="","",'Thiết lập'!$B$4)</f>
        <v/>
      </c>
      <c r="G144" s="19" t="str">
        <f>IF(C144="","",'Thiết lập'!$B$5)</f>
        <v/>
      </c>
      <c r="H144" s="19" t="str">
        <f>IF(C144="","",'Thiết lập'!$B$6)</f>
        <v/>
      </c>
      <c r="I144" s="19" t="str">
        <f>IF(C144="","",'Thiết lập'!$B$7)</f>
        <v/>
      </c>
      <c r="J144" s="19">
        <f t="shared" si="3"/>
        <v>0</v>
      </c>
      <c r="K144" s="19">
        <f t="shared" si="4"/>
        <v>0</v>
      </c>
      <c r="L144" s="19">
        <f t="shared" si="5"/>
        <v>0</v>
      </c>
      <c r="M144" s="19">
        <f t="shared" si="6"/>
        <v>0</v>
      </c>
      <c r="N144" s="19">
        <f t="shared" si="7"/>
        <v>0</v>
      </c>
      <c r="O144" s="19">
        <f t="shared" si="12"/>
        <v>0</v>
      </c>
      <c r="P144" s="19">
        <f t="shared" si="13"/>
        <v>0</v>
      </c>
      <c r="Q144" s="23"/>
      <c r="R144" s="23"/>
      <c r="S144" s="37" t="str">
        <f t="shared" si="11"/>
        <v/>
      </c>
      <c r="T144" s="44"/>
      <c r="U144" s="45"/>
      <c r="V144" s="37" t="str">
        <f t="array" ref="V144">IFERROR(INDEX('Hàng hóa'!$F$4:$F$203,MATCH(T144,'Hàng hóa'!$B$4:$B$203,0)),"")</f>
        <v/>
      </c>
      <c r="W144" s="19">
        <f t="array" ref="W144">IFERROR(INDEX('Hàng hóa'!$H$4:$H$203,MATCH(T144,'Hàng hóa'!$B$4:$B$203,0)),0)</f>
        <v>0</v>
      </c>
      <c r="X144" s="20">
        <f t="shared" si="10"/>
        <v>0</v>
      </c>
      <c r="Y144" s="15"/>
      <c r="AA144" s="9" t="str">
        <f t="shared" si="1"/>
        <v/>
      </c>
      <c r="AB144" s="9" t="str">
        <f>IF('Hàng hóa'!K145&lt;&gt;"",'Hàng hóa'!K145,"")</f>
        <v/>
      </c>
    </row>
    <row r="145" ht="15.75" customHeight="1">
      <c r="A145" s="43"/>
      <c r="B145" s="37" t="str">
        <f t="shared" si="2"/>
        <v/>
      </c>
      <c r="C145" s="44"/>
      <c r="D145" s="45"/>
      <c r="E145" s="45"/>
      <c r="F145" s="47" t="str">
        <f>IF(C145="","",'Thiết lập'!$B$4)</f>
        <v/>
      </c>
      <c r="G145" s="19" t="str">
        <f>IF(C145="","",'Thiết lập'!$B$5)</f>
        <v/>
      </c>
      <c r="H145" s="19" t="str">
        <f>IF(C145="","",'Thiết lập'!$B$6)</f>
        <v/>
      </c>
      <c r="I145" s="19" t="str">
        <f>IF(C145="","",'Thiết lập'!$B$7)</f>
        <v/>
      </c>
      <c r="J145" s="19">
        <f t="shared" si="3"/>
        <v>0</v>
      </c>
      <c r="K145" s="19">
        <f t="shared" si="4"/>
        <v>0</v>
      </c>
      <c r="L145" s="19">
        <f t="shared" si="5"/>
        <v>0</v>
      </c>
      <c r="M145" s="19">
        <f t="shared" si="6"/>
        <v>0</v>
      </c>
      <c r="N145" s="19">
        <f t="shared" si="7"/>
        <v>0</v>
      </c>
      <c r="O145" s="19">
        <f t="shared" si="12"/>
        <v>0</v>
      </c>
      <c r="P145" s="19">
        <f t="shared" si="13"/>
        <v>0</v>
      </c>
      <c r="Q145" s="23"/>
      <c r="R145" s="23"/>
      <c r="S145" s="37" t="str">
        <f t="shared" si="11"/>
        <v/>
      </c>
      <c r="T145" s="44"/>
      <c r="U145" s="45"/>
      <c r="V145" s="37" t="str">
        <f t="array" ref="V145">IFERROR(INDEX('Hàng hóa'!$F$4:$F$203,MATCH(T145,'Hàng hóa'!$B$4:$B$203,0)),"")</f>
        <v/>
      </c>
      <c r="W145" s="19">
        <f t="array" ref="W145">IFERROR(INDEX('Hàng hóa'!$H$4:$H$203,MATCH(T145,'Hàng hóa'!$B$4:$B$203,0)),0)</f>
        <v>0</v>
      </c>
      <c r="X145" s="20">
        <f t="shared" si="10"/>
        <v>0</v>
      </c>
      <c r="Y145" s="15"/>
      <c r="AA145" s="9" t="str">
        <f t="shared" si="1"/>
        <v/>
      </c>
      <c r="AB145" s="9" t="str">
        <f>IF('Hàng hóa'!K146&lt;&gt;"",'Hàng hóa'!K146,"")</f>
        <v/>
      </c>
    </row>
    <row r="146" ht="15.75" customHeight="1">
      <c r="A146" s="43"/>
      <c r="B146" s="37" t="str">
        <f t="shared" si="2"/>
        <v/>
      </c>
      <c r="C146" s="44"/>
      <c r="D146" s="45"/>
      <c r="E146" s="45"/>
      <c r="F146" s="47" t="str">
        <f>IF(C146="","",'Thiết lập'!$B$4)</f>
        <v/>
      </c>
      <c r="G146" s="19" t="str">
        <f>IF(C146="","",'Thiết lập'!$B$5)</f>
        <v/>
      </c>
      <c r="H146" s="19" t="str">
        <f>IF(C146="","",'Thiết lập'!$B$6)</f>
        <v/>
      </c>
      <c r="I146" s="19" t="str">
        <f>IF(C146="","",'Thiết lập'!$B$7)</f>
        <v/>
      </c>
      <c r="J146" s="19">
        <f t="shared" si="3"/>
        <v>0</v>
      </c>
      <c r="K146" s="19">
        <f t="shared" si="4"/>
        <v>0</v>
      </c>
      <c r="L146" s="19">
        <f t="shared" si="5"/>
        <v>0</v>
      </c>
      <c r="M146" s="19">
        <f t="shared" si="6"/>
        <v>0</v>
      </c>
      <c r="N146" s="19">
        <f t="shared" si="7"/>
        <v>0</v>
      </c>
      <c r="O146" s="19">
        <f t="shared" si="12"/>
        <v>0</v>
      </c>
      <c r="P146" s="19">
        <f t="shared" si="13"/>
        <v>0</v>
      </c>
      <c r="Q146" s="23"/>
      <c r="R146" s="23"/>
      <c r="S146" s="37" t="str">
        <f t="shared" si="11"/>
        <v/>
      </c>
      <c r="T146" s="44"/>
      <c r="U146" s="45"/>
      <c r="V146" s="37" t="str">
        <f t="array" ref="V146">IFERROR(INDEX('Hàng hóa'!$F$4:$F$203,MATCH(T146,'Hàng hóa'!$B$4:$B$203,0)),"")</f>
        <v/>
      </c>
      <c r="W146" s="19">
        <f t="array" ref="W146">IFERROR(INDEX('Hàng hóa'!$H$4:$H$203,MATCH(T146,'Hàng hóa'!$B$4:$B$203,0)),0)</f>
        <v>0</v>
      </c>
      <c r="X146" s="20">
        <f t="shared" si="10"/>
        <v>0</v>
      </c>
      <c r="Y146" s="15"/>
      <c r="AA146" s="9" t="str">
        <f t="shared" si="1"/>
        <v/>
      </c>
      <c r="AB146" s="9" t="str">
        <f>IF('Hàng hóa'!K147&lt;&gt;"",'Hàng hóa'!K147,"")</f>
        <v/>
      </c>
    </row>
    <row r="147" ht="15.75" customHeight="1">
      <c r="A147" s="43"/>
      <c r="B147" s="37" t="str">
        <f t="shared" si="2"/>
        <v/>
      </c>
      <c r="C147" s="44"/>
      <c r="D147" s="45"/>
      <c r="E147" s="45"/>
      <c r="F147" s="47" t="str">
        <f>IF(C147="","",'Thiết lập'!$B$4)</f>
        <v/>
      </c>
      <c r="G147" s="19" t="str">
        <f>IF(C147="","",'Thiết lập'!$B$5)</f>
        <v/>
      </c>
      <c r="H147" s="19" t="str">
        <f>IF(C147="","",'Thiết lập'!$B$6)</f>
        <v/>
      </c>
      <c r="I147" s="19" t="str">
        <f>IF(C147="","",'Thiết lập'!$B$7)</f>
        <v/>
      </c>
      <c r="J147" s="19">
        <f t="shared" si="3"/>
        <v>0</v>
      </c>
      <c r="K147" s="19">
        <f t="shared" si="4"/>
        <v>0</v>
      </c>
      <c r="L147" s="19">
        <f t="shared" si="5"/>
        <v>0</v>
      </c>
      <c r="M147" s="19">
        <f t="shared" si="6"/>
        <v>0</v>
      </c>
      <c r="N147" s="19">
        <f t="shared" si="7"/>
        <v>0</v>
      </c>
      <c r="O147" s="19">
        <f t="shared" si="12"/>
        <v>0</v>
      </c>
      <c r="P147" s="19">
        <f t="shared" si="13"/>
        <v>0</v>
      </c>
      <c r="Q147" s="23"/>
      <c r="R147" s="23"/>
      <c r="S147" s="37" t="str">
        <f t="shared" si="11"/>
        <v/>
      </c>
      <c r="T147" s="44"/>
      <c r="U147" s="45"/>
      <c r="V147" s="37" t="str">
        <f t="array" ref="V147">IFERROR(INDEX('Hàng hóa'!$F$4:$F$203,MATCH(T147,'Hàng hóa'!$B$4:$B$203,0)),"")</f>
        <v/>
      </c>
      <c r="W147" s="19">
        <f t="array" ref="W147">IFERROR(INDEX('Hàng hóa'!$H$4:$H$203,MATCH(T147,'Hàng hóa'!$B$4:$B$203,0)),0)</f>
        <v>0</v>
      </c>
      <c r="X147" s="20">
        <f t="shared" si="10"/>
        <v>0</v>
      </c>
      <c r="Y147" s="15"/>
      <c r="AA147" s="9" t="str">
        <f t="shared" si="1"/>
        <v/>
      </c>
      <c r="AB147" s="9" t="str">
        <f>IF('Hàng hóa'!K148&lt;&gt;"",'Hàng hóa'!K148,"")</f>
        <v/>
      </c>
    </row>
    <row r="148" ht="15.75" customHeight="1">
      <c r="A148" s="43"/>
      <c r="B148" s="37" t="str">
        <f t="shared" si="2"/>
        <v/>
      </c>
      <c r="C148" s="44"/>
      <c r="D148" s="45"/>
      <c r="E148" s="45"/>
      <c r="F148" s="47" t="str">
        <f>IF(C148="","",'Thiết lập'!$B$4)</f>
        <v/>
      </c>
      <c r="G148" s="19" t="str">
        <f>IF(C148="","",'Thiết lập'!$B$5)</f>
        <v/>
      </c>
      <c r="H148" s="19" t="str">
        <f>IF(C148="","",'Thiết lập'!$B$6)</f>
        <v/>
      </c>
      <c r="I148" s="19" t="str">
        <f>IF(C148="","",'Thiết lập'!$B$7)</f>
        <v/>
      </c>
      <c r="J148" s="19">
        <f t="shared" si="3"/>
        <v>0</v>
      </c>
      <c r="K148" s="19">
        <f t="shared" si="4"/>
        <v>0</v>
      </c>
      <c r="L148" s="19">
        <f t="shared" si="5"/>
        <v>0</v>
      </c>
      <c r="M148" s="19">
        <f t="shared" si="6"/>
        <v>0</v>
      </c>
      <c r="N148" s="19">
        <f t="shared" si="7"/>
        <v>0</v>
      </c>
      <c r="O148" s="19">
        <f t="shared" si="12"/>
        <v>0</v>
      </c>
      <c r="P148" s="19">
        <f t="shared" si="13"/>
        <v>0</v>
      </c>
      <c r="Q148" s="23"/>
      <c r="R148" s="23"/>
      <c r="S148" s="37" t="str">
        <f t="shared" si="11"/>
        <v/>
      </c>
      <c r="T148" s="44"/>
      <c r="U148" s="45"/>
      <c r="V148" s="37" t="str">
        <f t="array" ref="V148">IFERROR(INDEX('Hàng hóa'!$F$4:$F$203,MATCH(T148,'Hàng hóa'!$B$4:$B$203,0)),"")</f>
        <v/>
      </c>
      <c r="W148" s="19">
        <f t="array" ref="W148">IFERROR(INDEX('Hàng hóa'!$H$4:$H$203,MATCH(T148,'Hàng hóa'!$B$4:$B$203,0)),0)</f>
        <v>0</v>
      </c>
      <c r="X148" s="20">
        <f t="shared" si="10"/>
        <v>0</v>
      </c>
      <c r="Y148" s="15"/>
      <c r="AA148" s="9" t="str">
        <f t="shared" si="1"/>
        <v/>
      </c>
      <c r="AB148" s="9" t="str">
        <f>IF('Hàng hóa'!K149&lt;&gt;"",'Hàng hóa'!K149,"")</f>
        <v/>
      </c>
    </row>
    <row r="149" ht="15.75" customHeight="1">
      <c r="A149" s="43"/>
      <c r="B149" s="37" t="str">
        <f t="shared" si="2"/>
        <v/>
      </c>
      <c r="C149" s="44"/>
      <c r="D149" s="45"/>
      <c r="E149" s="45"/>
      <c r="F149" s="47" t="str">
        <f>IF(C149="","",'Thiết lập'!$B$4)</f>
        <v/>
      </c>
      <c r="G149" s="19" t="str">
        <f>IF(C149="","",'Thiết lập'!$B$5)</f>
        <v/>
      </c>
      <c r="H149" s="19" t="str">
        <f>IF(C149="","",'Thiết lập'!$B$6)</f>
        <v/>
      </c>
      <c r="I149" s="19" t="str">
        <f>IF(C149="","",'Thiết lập'!$B$7)</f>
        <v/>
      </c>
      <c r="J149" s="19">
        <f t="shared" si="3"/>
        <v>0</v>
      </c>
      <c r="K149" s="19">
        <f t="shared" si="4"/>
        <v>0</v>
      </c>
      <c r="L149" s="19">
        <f t="shared" si="5"/>
        <v>0</v>
      </c>
      <c r="M149" s="19">
        <f t="shared" si="6"/>
        <v>0</v>
      </c>
      <c r="N149" s="19">
        <f t="shared" si="7"/>
        <v>0</v>
      </c>
      <c r="O149" s="19">
        <f t="shared" si="12"/>
        <v>0</v>
      </c>
      <c r="P149" s="19">
        <f t="shared" si="13"/>
        <v>0</v>
      </c>
      <c r="Q149" s="23"/>
      <c r="R149" s="23"/>
      <c r="S149" s="37" t="str">
        <f t="shared" si="11"/>
        <v/>
      </c>
      <c r="T149" s="44"/>
      <c r="U149" s="45"/>
      <c r="V149" s="37" t="str">
        <f t="array" ref="V149">IFERROR(INDEX('Hàng hóa'!$F$4:$F$203,MATCH(T149,'Hàng hóa'!$B$4:$B$203,0)),"")</f>
        <v/>
      </c>
      <c r="W149" s="19">
        <f t="array" ref="W149">IFERROR(INDEX('Hàng hóa'!$H$4:$H$203,MATCH(T149,'Hàng hóa'!$B$4:$B$203,0)),0)</f>
        <v>0</v>
      </c>
      <c r="X149" s="20">
        <f t="shared" si="10"/>
        <v>0</v>
      </c>
      <c r="Y149" s="15"/>
      <c r="AA149" s="9" t="str">
        <f t="shared" si="1"/>
        <v/>
      </c>
      <c r="AB149" s="9" t="str">
        <f>IF('Hàng hóa'!K150&lt;&gt;"",'Hàng hóa'!K150,"")</f>
        <v/>
      </c>
    </row>
    <row r="150" ht="15.75" customHeight="1">
      <c r="A150" s="43"/>
      <c r="B150" s="37" t="str">
        <f t="shared" si="2"/>
        <v/>
      </c>
      <c r="C150" s="44"/>
      <c r="D150" s="45"/>
      <c r="E150" s="45"/>
      <c r="F150" s="47" t="str">
        <f>IF(C150="","",'Thiết lập'!$B$4)</f>
        <v/>
      </c>
      <c r="G150" s="19" t="str">
        <f>IF(C150="","",'Thiết lập'!$B$5)</f>
        <v/>
      </c>
      <c r="H150" s="19" t="str">
        <f>IF(C150="","",'Thiết lập'!$B$6)</f>
        <v/>
      </c>
      <c r="I150" s="19" t="str">
        <f>IF(C150="","",'Thiết lập'!$B$7)</f>
        <v/>
      </c>
      <c r="J150" s="19">
        <f t="shared" si="3"/>
        <v>0</v>
      </c>
      <c r="K150" s="19">
        <f t="shared" si="4"/>
        <v>0</v>
      </c>
      <c r="L150" s="19">
        <f t="shared" si="5"/>
        <v>0</v>
      </c>
      <c r="M150" s="19">
        <f t="shared" si="6"/>
        <v>0</v>
      </c>
      <c r="N150" s="19">
        <f t="shared" si="7"/>
        <v>0</v>
      </c>
      <c r="O150" s="19">
        <f t="shared" si="12"/>
        <v>0</v>
      </c>
      <c r="P150" s="19">
        <f t="shared" si="13"/>
        <v>0</v>
      </c>
      <c r="Q150" s="23"/>
      <c r="R150" s="23"/>
      <c r="S150" s="37" t="str">
        <f t="shared" si="11"/>
        <v/>
      </c>
      <c r="T150" s="44"/>
      <c r="U150" s="45"/>
      <c r="V150" s="37" t="str">
        <f t="array" ref="V150">IFERROR(INDEX('Hàng hóa'!$F$4:$F$203,MATCH(T150,'Hàng hóa'!$B$4:$B$203,0)),"")</f>
        <v/>
      </c>
      <c r="W150" s="19">
        <f t="array" ref="W150">IFERROR(INDEX('Hàng hóa'!$H$4:$H$203,MATCH(T150,'Hàng hóa'!$B$4:$B$203,0)),0)</f>
        <v>0</v>
      </c>
      <c r="X150" s="20">
        <f t="shared" si="10"/>
        <v>0</v>
      </c>
      <c r="Y150" s="15"/>
      <c r="AA150" s="9" t="str">
        <f t="shared" si="1"/>
        <v/>
      </c>
      <c r="AB150" s="9" t="str">
        <f>IF('Hàng hóa'!K151&lt;&gt;"",'Hàng hóa'!K151,"")</f>
        <v/>
      </c>
    </row>
    <row r="151" ht="15.75" customHeight="1">
      <c r="A151" s="43"/>
      <c r="B151" s="37" t="str">
        <f t="shared" si="2"/>
        <v/>
      </c>
      <c r="C151" s="44"/>
      <c r="D151" s="45"/>
      <c r="E151" s="45"/>
      <c r="F151" s="47" t="str">
        <f>IF(C151="","",'Thiết lập'!$B$4)</f>
        <v/>
      </c>
      <c r="G151" s="19" t="str">
        <f>IF(C151="","",'Thiết lập'!$B$5)</f>
        <v/>
      </c>
      <c r="H151" s="19" t="str">
        <f>IF(C151="","",'Thiết lập'!$B$6)</f>
        <v/>
      </c>
      <c r="I151" s="19" t="str">
        <f>IF(C151="","",'Thiết lập'!$B$7)</f>
        <v/>
      </c>
      <c r="J151" s="19">
        <f t="shared" si="3"/>
        <v>0</v>
      </c>
      <c r="K151" s="19">
        <f t="shared" si="4"/>
        <v>0</v>
      </c>
      <c r="L151" s="19">
        <f t="shared" si="5"/>
        <v>0</v>
      </c>
      <c r="M151" s="19">
        <f t="shared" si="6"/>
        <v>0</v>
      </c>
      <c r="N151" s="19">
        <f t="shared" si="7"/>
        <v>0</v>
      </c>
      <c r="O151" s="19">
        <f t="shared" si="12"/>
        <v>0</v>
      </c>
      <c r="P151" s="19">
        <f t="shared" si="13"/>
        <v>0</v>
      </c>
      <c r="Q151" s="23"/>
      <c r="R151" s="23"/>
      <c r="S151" s="37" t="str">
        <f t="shared" si="11"/>
        <v/>
      </c>
      <c r="T151" s="44"/>
      <c r="U151" s="45"/>
      <c r="V151" s="37" t="str">
        <f t="array" ref="V151">IFERROR(INDEX('Hàng hóa'!$F$4:$F$203,MATCH(T151,'Hàng hóa'!$B$4:$B$203,0)),"")</f>
        <v/>
      </c>
      <c r="W151" s="19">
        <f t="array" ref="W151">IFERROR(INDEX('Hàng hóa'!$H$4:$H$203,MATCH(T151,'Hàng hóa'!$B$4:$B$203,0)),0)</f>
        <v>0</v>
      </c>
      <c r="X151" s="20">
        <f t="shared" si="10"/>
        <v>0</v>
      </c>
      <c r="Y151" s="15"/>
      <c r="AA151" s="9" t="str">
        <f t="shared" si="1"/>
        <v/>
      </c>
      <c r="AB151" s="9" t="str">
        <f>IF('Hàng hóa'!K152&lt;&gt;"",'Hàng hóa'!K152,"")</f>
        <v/>
      </c>
    </row>
    <row r="152" ht="15.75" customHeight="1">
      <c r="A152" s="43"/>
      <c r="B152" s="37" t="str">
        <f t="shared" si="2"/>
        <v/>
      </c>
      <c r="C152" s="44"/>
      <c r="D152" s="45"/>
      <c r="E152" s="45"/>
      <c r="F152" s="47" t="str">
        <f>IF(C152="","",'Thiết lập'!$B$4)</f>
        <v/>
      </c>
      <c r="G152" s="19" t="str">
        <f>IF(C152="","",'Thiết lập'!$B$5)</f>
        <v/>
      </c>
      <c r="H152" s="19" t="str">
        <f>IF(C152="","",'Thiết lập'!$B$6)</f>
        <v/>
      </c>
      <c r="I152" s="19" t="str">
        <f>IF(C152="","",'Thiết lập'!$B$7)</f>
        <v/>
      </c>
      <c r="J152" s="19">
        <f t="shared" si="3"/>
        <v>0</v>
      </c>
      <c r="K152" s="19">
        <f t="shared" si="4"/>
        <v>0</v>
      </c>
      <c r="L152" s="19">
        <f t="shared" si="5"/>
        <v>0</v>
      </c>
      <c r="M152" s="19">
        <f t="shared" si="6"/>
        <v>0</v>
      </c>
      <c r="N152" s="19">
        <f t="shared" si="7"/>
        <v>0</v>
      </c>
      <c r="O152" s="19">
        <f t="shared" si="12"/>
        <v>0</v>
      </c>
      <c r="P152" s="19">
        <f t="shared" si="13"/>
        <v>0</v>
      </c>
      <c r="Q152" s="23"/>
      <c r="R152" s="23"/>
      <c r="S152" s="37" t="str">
        <f t="shared" si="11"/>
        <v/>
      </c>
      <c r="T152" s="44"/>
      <c r="U152" s="45"/>
      <c r="V152" s="37" t="str">
        <f t="array" ref="V152">IFERROR(INDEX('Hàng hóa'!$F$4:$F$203,MATCH(T152,'Hàng hóa'!$B$4:$B$203,0)),"")</f>
        <v/>
      </c>
      <c r="W152" s="19">
        <f t="array" ref="W152">IFERROR(INDEX('Hàng hóa'!$H$4:$H$203,MATCH(T152,'Hàng hóa'!$B$4:$B$203,0)),0)</f>
        <v>0</v>
      </c>
      <c r="X152" s="20">
        <f t="shared" si="10"/>
        <v>0</v>
      </c>
      <c r="Y152" s="15"/>
      <c r="AA152" s="9" t="str">
        <f t="shared" si="1"/>
        <v/>
      </c>
      <c r="AB152" s="9" t="str">
        <f>IF('Hàng hóa'!K153&lt;&gt;"",'Hàng hóa'!K153,"")</f>
        <v/>
      </c>
    </row>
    <row r="153" ht="15.75" customHeight="1">
      <c r="A153" s="43"/>
      <c r="B153" s="37" t="str">
        <f t="shared" si="2"/>
        <v/>
      </c>
      <c r="C153" s="44"/>
      <c r="D153" s="45"/>
      <c r="E153" s="45"/>
      <c r="F153" s="47" t="str">
        <f>IF(C153="","",'Thiết lập'!$B$4)</f>
        <v/>
      </c>
      <c r="G153" s="19" t="str">
        <f>IF(C153="","",'Thiết lập'!$B$5)</f>
        <v/>
      </c>
      <c r="H153" s="19" t="str">
        <f>IF(C153="","",'Thiết lập'!$B$6)</f>
        <v/>
      </c>
      <c r="I153" s="19" t="str">
        <f>IF(C153="","",'Thiết lập'!$B$7)</f>
        <v/>
      </c>
      <c r="J153" s="19">
        <f t="shared" si="3"/>
        <v>0</v>
      </c>
      <c r="K153" s="19">
        <f t="shared" si="4"/>
        <v>0</v>
      </c>
      <c r="L153" s="19">
        <f t="shared" si="5"/>
        <v>0</v>
      </c>
      <c r="M153" s="19">
        <f t="shared" si="6"/>
        <v>0</v>
      </c>
      <c r="N153" s="19">
        <f t="shared" si="7"/>
        <v>0</v>
      </c>
      <c r="O153" s="19">
        <f t="shared" si="12"/>
        <v>0</v>
      </c>
      <c r="P153" s="19">
        <f t="shared" si="13"/>
        <v>0</v>
      </c>
      <c r="Q153" s="23"/>
      <c r="R153" s="23"/>
      <c r="S153" s="37" t="str">
        <f t="shared" si="11"/>
        <v/>
      </c>
      <c r="T153" s="44"/>
      <c r="U153" s="45"/>
      <c r="V153" s="37" t="str">
        <f t="array" ref="V153">IFERROR(INDEX('Hàng hóa'!$F$4:$F$203,MATCH(T153,'Hàng hóa'!$B$4:$B$203,0)),"")</f>
        <v/>
      </c>
      <c r="W153" s="19">
        <f t="array" ref="W153">IFERROR(INDEX('Hàng hóa'!$H$4:$H$203,MATCH(T153,'Hàng hóa'!$B$4:$B$203,0)),0)</f>
        <v>0</v>
      </c>
      <c r="X153" s="20">
        <f t="shared" si="10"/>
        <v>0</v>
      </c>
      <c r="Y153" s="15"/>
      <c r="AA153" s="9" t="str">
        <f t="shared" si="1"/>
        <v/>
      </c>
      <c r="AB153" s="9" t="str">
        <f>IF('Hàng hóa'!K154&lt;&gt;"",'Hàng hóa'!K154,"")</f>
        <v/>
      </c>
    </row>
    <row r="154" ht="15.75" customHeight="1">
      <c r="A154" s="43"/>
      <c r="B154" s="37" t="str">
        <f t="shared" si="2"/>
        <v/>
      </c>
      <c r="C154" s="44"/>
      <c r="D154" s="45"/>
      <c r="E154" s="45"/>
      <c r="F154" s="47" t="str">
        <f>IF(C154="","",'Thiết lập'!$B$4)</f>
        <v/>
      </c>
      <c r="G154" s="19" t="str">
        <f>IF(C154="","",'Thiết lập'!$B$5)</f>
        <v/>
      </c>
      <c r="H154" s="19" t="str">
        <f>IF(C154="","",'Thiết lập'!$B$6)</f>
        <v/>
      </c>
      <c r="I154" s="19" t="str">
        <f>IF(C154="","",'Thiết lập'!$B$7)</f>
        <v/>
      </c>
      <c r="J154" s="19">
        <f t="shared" si="3"/>
        <v>0</v>
      </c>
      <c r="K154" s="19">
        <f t="shared" si="4"/>
        <v>0</v>
      </c>
      <c r="L154" s="19">
        <f t="shared" si="5"/>
        <v>0</v>
      </c>
      <c r="M154" s="19">
        <f t="shared" si="6"/>
        <v>0</v>
      </c>
      <c r="N154" s="19">
        <f t="shared" si="7"/>
        <v>0</v>
      </c>
      <c r="O154" s="19">
        <f t="shared" si="12"/>
        <v>0</v>
      </c>
      <c r="P154" s="19">
        <f t="shared" si="13"/>
        <v>0</v>
      </c>
      <c r="Q154" s="23"/>
      <c r="R154" s="23"/>
      <c r="S154" s="37" t="str">
        <f t="shared" si="11"/>
        <v/>
      </c>
      <c r="T154" s="44"/>
      <c r="U154" s="45"/>
      <c r="V154" s="37" t="str">
        <f t="array" ref="V154">IFERROR(INDEX('Hàng hóa'!$F$4:$F$203,MATCH(T154,'Hàng hóa'!$B$4:$B$203,0)),"")</f>
        <v/>
      </c>
      <c r="W154" s="19">
        <f t="array" ref="W154">IFERROR(INDEX('Hàng hóa'!$H$4:$H$203,MATCH(T154,'Hàng hóa'!$B$4:$B$203,0)),0)</f>
        <v>0</v>
      </c>
      <c r="X154" s="20">
        <f t="shared" si="10"/>
        <v>0</v>
      </c>
      <c r="Y154" s="15"/>
      <c r="AA154" s="9" t="str">
        <f t="shared" si="1"/>
        <v/>
      </c>
      <c r="AB154" s="9" t="str">
        <f>IF('Hàng hóa'!K155&lt;&gt;"",'Hàng hóa'!K155,"")</f>
        <v/>
      </c>
    </row>
    <row r="155" ht="15.75" customHeight="1">
      <c r="A155" s="43"/>
      <c r="B155" s="37" t="str">
        <f t="shared" si="2"/>
        <v/>
      </c>
      <c r="C155" s="44"/>
      <c r="D155" s="45"/>
      <c r="E155" s="45"/>
      <c r="F155" s="47" t="str">
        <f>IF(C155="","",'Thiết lập'!$B$4)</f>
        <v/>
      </c>
      <c r="G155" s="19" t="str">
        <f>IF(C155="","",'Thiết lập'!$B$5)</f>
        <v/>
      </c>
      <c r="H155" s="19" t="str">
        <f>IF(C155="","",'Thiết lập'!$B$6)</f>
        <v/>
      </c>
      <c r="I155" s="19" t="str">
        <f>IF(C155="","",'Thiết lập'!$B$7)</f>
        <v/>
      </c>
      <c r="J155" s="19">
        <f t="shared" si="3"/>
        <v>0</v>
      </c>
      <c r="K155" s="19">
        <f t="shared" si="4"/>
        <v>0</v>
      </c>
      <c r="L155" s="19">
        <f t="shared" si="5"/>
        <v>0</v>
      </c>
      <c r="M155" s="19">
        <f t="shared" si="6"/>
        <v>0</v>
      </c>
      <c r="N155" s="19">
        <f t="shared" si="7"/>
        <v>0</v>
      </c>
      <c r="O155" s="19">
        <f t="shared" si="12"/>
        <v>0</v>
      </c>
      <c r="P155" s="19">
        <f t="shared" si="13"/>
        <v>0</v>
      </c>
      <c r="Q155" s="23"/>
      <c r="R155" s="23"/>
      <c r="S155" s="37" t="str">
        <f t="shared" si="11"/>
        <v/>
      </c>
      <c r="T155" s="44"/>
      <c r="U155" s="45"/>
      <c r="V155" s="37" t="str">
        <f t="array" ref="V155">IFERROR(INDEX('Hàng hóa'!$F$4:$F$203,MATCH(T155,'Hàng hóa'!$B$4:$B$203,0)),"")</f>
        <v/>
      </c>
      <c r="W155" s="19">
        <f t="array" ref="W155">IFERROR(INDEX('Hàng hóa'!$H$4:$H$203,MATCH(T155,'Hàng hóa'!$B$4:$B$203,0)),0)</f>
        <v>0</v>
      </c>
      <c r="X155" s="20">
        <f t="shared" si="10"/>
        <v>0</v>
      </c>
      <c r="Y155" s="15"/>
      <c r="AA155" s="9" t="str">
        <f t="shared" si="1"/>
        <v/>
      </c>
      <c r="AB155" s="9" t="str">
        <f>IF('Hàng hóa'!K156&lt;&gt;"",'Hàng hóa'!K156,"")</f>
        <v/>
      </c>
    </row>
    <row r="156" ht="15.75" customHeight="1">
      <c r="A156" s="43"/>
      <c r="B156" s="37" t="str">
        <f t="shared" si="2"/>
        <v/>
      </c>
      <c r="C156" s="44"/>
      <c r="D156" s="45"/>
      <c r="E156" s="45"/>
      <c r="F156" s="47" t="str">
        <f>IF(C156="","",'Thiết lập'!$B$4)</f>
        <v/>
      </c>
      <c r="G156" s="19" t="str">
        <f>IF(C156="","",'Thiết lập'!$B$5)</f>
        <v/>
      </c>
      <c r="H156" s="19" t="str">
        <f>IF(C156="","",'Thiết lập'!$B$6)</f>
        <v/>
      </c>
      <c r="I156" s="19" t="str">
        <f>IF(C156="","",'Thiết lập'!$B$7)</f>
        <v/>
      </c>
      <c r="J156" s="19">
        <f t="shared" si="3"/>
        <v>0</v>
      </c>
      <c r="K156" s="19">
        <f t="shared" si="4"/>
        <v>0</v>
      </c>
      <c r="L156" s="19">
        <f t="shared" si="5"/>
        <v>0</v>
      </c>
      <c r="M156" s="19">
        <f t="shared" si="6"/>
        <v>0</v>
      </c>
      <c r="N156" s="19">
        <f t="shared" si="7"/>
        <v>0</v>
      </c>
      <c r="O156" s="19">
        <f t="shared" si="12"/>
        <v>0</v>
      </c>
      <c r="P156" s="19">
        <f t="shared" si="13"/>
        <v>0</v>
      </c>
      <c r="Q156" s="23"/>
      <c r="R156" s="23"/>
      <c r="S156" s="37" t="str">
        <f t="shared" si="11"/>
        <v/>
      </c>
      <c r="T156" s="44"/>
      <c r="U156" s="45"/>
      <c r="V156" s="37" t="str">
        <f t="array" ref="V156">IFERROR(INDEX('Hàng hóa'!$F$4:$F$203,MATCH(T156,'Hàng hóa'!$B$4:$B$203,0)),"")</f>
        <v/>
      </c>
      <c r="W156" s="19">
        <f t="array" ref="W156">IFERROR(INDEX('Hàng hóa'!$H$4:$H$203,MATCH(T156,'Hàng hóa'!$B$4:$B$203,0)),0)</f>
        <v>0</v>
      </c>
      <c r="X156" s="20">
        <f t="shared" si="10"/>
        <v>0</v>
      </c>
      <c r="Y156" s="15"/>
      <c r="AA156" s="9" t="str">
        <f t="shared" si="1"/>
        <v/>
      </c>
      <c r="AB156" s="9" t="str">
        <f>IF('Hàng hóa'!K157&lt;&gt;"",'Hàng hóa'!K157,"")</f>
        <v/>
      </c>
    </row>
    <row r="157" ht="15.75" customHeight="1">
      <c r="A157" s="43"/>
      <c r="B157" s="37" t="str">
        <f t="shared" si="2"/>
        <v/>
      </c>
      <c r="C157" s="44"/>
      <c r="D157" s="45"/>
      <c r="E157" s="45"/>
      <c r="F157" s="47" t="str">
        <f>IF(C157="","",'Thiết lập'!$B$4)</f>
        <v/>
      </c>
      <c r="G157" s="19" t="str">
        <f>IF(C157="","",'Thiết lập'!$B$5)</f>
        <v/>
      </c>
      <c r="H157" s="19" t="str">
        <f>IF(C157="","",'Thiết lập'!$B$6)</f>
        <v/>
      </c>
      <c r="I157" s="19" t="str">
        <f>IF(C157="","",'Thiết lập'!$B$7)</f>
        <v/>
      </c>
      <c r="J157" s="19">
        <f t="shared" si="3"/>
        <v>0</v>
      </c>
      <c r="K157" s="19">
        <f t="shared" si="4"/>
        <v>0</v>
      </c>
      <c r="L157" s="19">
        <f t="shared" si="5"/>
        <v>0</v>
      </c>
      <c r="M157" s="19">
        <f t="shared" si="6"/>
        <v>0</v>
      </c>
      <c r="N157" s="19">
        <f t="shared" si="7"/>
        <v>0</v>
      </c>
      <c r="O157" s="19">
        <f t="shared" si="12"/>
        <v>0</v>
      </c>
      <c r="P157" s="19">
        <f t="shared" si="13"/>
        <v>0</v>
      </c>
      <c r="Q157" s="23"/>
      <c r="R157" s="23"/>
      <c r="S157" s="37" t="str">
        <f t="shared" si="11"/>
        <v/>
      </c>
      <c r="T157" s="44"/>
      <c r="U157" s="45"/>
      <c r="V157" s="37" t="str">
        <f t="array" ref="V157">IFERROR(INDEX('Hàng hóa'!$F$4:$F$203,MATCH(T157,'Hàng hóa'!$B$4:$B$203,0)),"")</f>
        <v/>
      </c>
      <c r="W157" s="19">
        <f t="array" ref="W157">IFERROR(INDEX('Hàng hóa'!$H$4:$H$203,MATCH(T157,'Hàng hóa'!$B$4:$B$203,0)),0)</f>
        <v>0</v>
      </c>
      <c r="X157" s="20">
        <f t="shared" si="10"/>
        <v>0</v>
      </c>
      <c r="Y157" s="15"/>
      <c r="AA157" s="9" t="str">
        <f t="shared" si="1"/>
        <v/>
      </c>
      <c r="AB157" s="9" t="str">
        <f>IF('Hàng hóa'!K158&lt;&gt;"",'Hàng hóa'!K158,"")</f>
        <v/>
      </c>
    </row>
    <row r="158" ht="15.75" customHeight="1">
      <c r="A158" s="43"/>
      <c r="B158" s="37" t="str">
        <f t="shared" si="2"/>
        <v/>
      </c>
      <c r="C158" s="44"/>
      <c r="D158" s="45"/>
      <c r="E158" s="45"/>
      <c r="F158" s="47" t="str">
        <f>IF(C158="","",'Thiết lập'!$B$4)</f>
        <v/>
      </c>
      <c r="G158" s="19" t="str">
        <f>IF(C158="","",'Thiết lập'!$B$5)</f>
        <v/>
      </c>
      <c r="H158" s="19" t="str">
        <f>IF(C158="","",'Thiết lập'!$B$6)</f>
        <v/>
      </c>
      <c r="I158" s="19" t="str">
        <f>IF(C158="","",'Thiết lập'!$B$7)</f>
        <v/>
      </c>
      <c r="J158" s="19">
        <f t="shared" si="3"/>
        <v>0</v>
      </c>
      <c r="K158" s="19">
        <f t="shared" si="4"/>
        <v>0</v>
      </c>
      <c r="L158" s="19">
        <f t="shared" si="5"/>
        <v>0</v>
      </c>
      <c r="M158" s="19">
        <f t="shared" si="6"/>
        <v>0</v>
      </c>
      <c r="N158" s="19">
        <f t="shared" si="7"/>
        <v>0</v>
      </c>
      <c r="O158" s="19">
        <f t="shared" si="12"/>
        <v>0</v>
      </c>
      <c r="P158" s="19">
        <f t="shared" si="13"/>
        <v>0</v>
      </c>
      <c r="Q158" s="23"/>
      <c r="R158" s="23"/>
      <c r="S158" s="37" t="str">
        <f t="shared" si="11"/>
        <v/>
      </c>
      <c r="T158" s="44"/>
      <c r="U158" s="45"/>
      <c r="V158" s="37" t="str">
        <f t="array" ref="V158">IFERROR(INDEX('Hàng hóa'!$F$4:$F$203,MATCH(T158,'Hàng hóa'!$B$4:$B$203,0)),"")</f>
        <v/>
      </c>
      <c r="W158" s="19">
        <f t="array" ref="W158">IFERROR(INDEX('Hàng hóa'!$H$4:$H$203,MATCH(T158,'Hàng hóa'!$B$4:$B$203,0)),0)</f>
        <v>0</v>
      </c>
      <c r="X158" s="20">
        <f t="shared" si="10"/>
        <v>0</v>
      </c>
      <c r="Y158" s="15"/>
      <c r="AA158" s="9" t="str">
        <f t="shared" si="1"/>
        <v/>
      </c>
      <c r="AB158" s="9" t="str">
        <f>IF('Hàng hóa'!K159&lt;&gt;"",'Hàng hóa'!K159,"")</f>
        <v/>
      </c>
    </row>
    <row r="159" ht="15.75" customHeight="1">
      <c r="A159" s="43"/>
      <c r="B159" s="37" t="str">
        <f t="shared" si="2"/>
        <v/>
      </c>
      <c r="C159" s="44"/>
      <c r="D159" s="45"/>
      <c r="E159" s="45"/>
      <c r="F159" s="47" t="str">
        <f>IF(C159="","",'Thiết lập'!$B$4)</f>
        <v/>
      </c>
      <c r="G159" s="19" t="str">
        <f>IF(C159="","",'Thiết lập'!$B$5)</f>
        <v/>
      </c>
      <c r="H159" s="19" t="str">
        <f>IF(C159="","",'Thiết lập'!$B$6)</f>
        <v/>
      </c>
      <c r="I159" s="19" t="str">
        <f>IF(C159="","",'Thiết lập'!$B$7)</f>
        <v/>
      </c>
      <c r="J159" s="19">
        <f t="shared" si="3"/>
        <v>0</v>
      </c>
      <c r="K159" s="19">
        <f t="shared" si="4"/>
        <v>0</v>
      </c>
      <c r="L159" s="19">
        <f t="shared" si="5"/>
        <v>0</v>
      </c>
      <c r="M159" s="19">
        <f t="shared" si="6"/>
        <v>0</v>
      </c>
      <c r="N159" s="19">
        <f t="shared" si="7"/>
        <v>0</v>
      </c>
      <c r="O159" s="19">
        <f t="shared" si="12"/>
        <v>0</v>
      </c>
      <c r="P159" s="19">
        <f t="shared" si="13"/>
        <v>0</v>
      </c>
      <c r="Q159" s="23"/>
      <c r="R159" s="23"/>
      <c r="S159" s="37" t="str">
        <f t="shared" si="11"/>
        <v/>
      </c>
      <c r="T159" s="44"/>
      <c r="U159" s="45"/>
      <c r="V159" s="37" t="str">
        <f t="array" ref="V159">IFERROR(INDEX('Hàng hóa'!$F$4:$F$203,MATCH(T159,'Hàng hóa'!$B$4:$B$203,0)),"")</f>
        <v/>
      </c>
      <c r="W159" s="19">
        <f t="array" ref="W159">IFERROR(INDEX('Hàng hóa'!$H$4:$H$203,MATCH(T159,'Hàng hóa'!$B$4:$B$203,0)),0)</f>
        <v>0</v>
      </c>
      <c r="X159" s="20">
        <f t="shared" si="10"/>
        <v>0</v>
      </c>
      <c r="Y159" s="15"/>
      <c r="AA159" s="9" t="str">
        <f t="shared" si="1"/>
        <v/>
      </c>
      <c r="AB159" s="9" t="str">
        <f>IF('Hàng hóa'!K160&lt;&gt;"",'Hàng hóa'!K160,"")</f>
        <v/>
      </c>
    </row>
    <row r="160" ht="15.75" customHeight="1">
      <c r="A160" s="43"/>
      <c r="B160" s="37" t="str">
        <f t="shared" si="2"/>
        <v/>
      </c>
      <c r="C160" s="44"/>
      <c r="D160" s="45"/>
      <c r="E160" s="45"/>
      <c r="F160" s="47" t="str">
        <f>IF(C160="","",'Thiết lập'!$B$4)</f>
        <v/>
      </c>
      <c r="G160" s="19" t="str">
        <f>IF(C160="","",'Thiết lập'!$B$5)</f>
        <v/>
      </c>
      <c r="H160" s="19" t="str">
        <f>IF(C160="","",'Thiết lập'!$B$6)</f>
        <v/>
      </c>
      <c r="I160" s="19" t="str">
        <f>IF(C160="","",'Thiết lập'!$B$7)</f>
        <v/>
      </c>
      <c r="J160" s="19">
        <f t="shared" si="3"/>
        <v>0</v>
      </c>
      <c r="K160" s="19">
        <f t="shared" si="4"/>
        <v>0</v>
      </c>
      <c r="L160" s="19">
        <f t="shared" si="5"/>
        <v>0</v>
      </c>
      <c r="M160" s="19">
        <f t="shared" si="6"/>
        <v>0</v>
      </c>
      <c r="N160" s="19">
        <f t="shared" si="7"/>
        <v>0</v>
      </c>
      <c r="O160" s="19">
        <f t="shared" si="12"/>
        <v>0</v>
      </c>
      <c r="P160" s="19">
        <f t="shared" si="13"/>
        <v>0</v>
      </c>
      <c r="Q160" s="23"/>
      <c r="R160" s="23"/>
      <c r="S160" s="37" t="str">
        <f t="shared" si="11"/>
        <v/>
      </c>
      <c r="T160" s="44"/>
      <c r="U160" s="45"/>
      <c r="V160" s="37" t="str">
        <f t="array" ref="V160">IFERROR(INDEX('Hàng hóa'!$F$4:$F$203,MATCH(T160,'Hàng hóa'!$B$4:$B$203,0)),"")</f>
        <v/>
      </c>
      <c r="W160" s="19">
        <f t="array" ref="W160">IFERROR(INDEX('Hàng hóa'!$H$4:$H$203,MATCH(T160,'Hàng hóa'!$B$4:$B$203,0)),0)</f>
        <v>0</v>
      </c>
      <c r="X160" s="20">
        <f t="shared" si="10"/>
        <v>0</v>
      </c>
      <c r="Y160" s="15"/>
      <c r="AA160" s="9" t="str">
        <f t="shared" si="1"/>
        <v/>
      </c>
      <c r="AB160" s="9" t="str">
        <f>IF('Hàng hóa'!K161&lt;&gt;"",'Hàng hóa'!K161,"")</f>
        <v/>
      </c>
    </row>
    <row r="161" ht="15.75" customHeight="1">
      <c r="A161" s="43"/>
      <c r="B161" s="37" t="str">
        <f t="shared" si="2"/>
        <v/>
      </c>
      <c r="C161" s="44"/>
      <c r="D161" s="45"/>
      <c r="E161" s="45"/>
      <c r="F161" s="47" t="str">
        <f>IF(C161="","",'Thiết lập'!$B$4)</f>
        <v/>
      </c>
      <c r="G161" s="19" t="str">
        <f>IF(C161="","",'Thiết lập'!$B$5)</f>
        <v/>
      </c>
      <c r="H161" s="19" t="str">
        <f>IF(C161="","",'Thiết lập'!$B$6)</f>
        <v/>
      </c>
      <c r="I161" s="19" t="str">
        <f>IF(C161="","",'Thiết lập'!$B$7)</f>
        <v/>
      </c>
      <c r="J161" s="19">
        <f t="shared" si="3"/>
        <v>0</v>
      </c>
      <c r="K161" s="19">
        <f t="shared" si="4"/>
        <v>0</v>
      </c>
      <c r="L161" s="19">
        <f t="shared" si="5"/>
        <v>0</v>
      </c>
      <c r="M161" s="19">
        <f t="shared" si="6"/>
        <v>0</v>
      </c>
      <c r="N161" s="19">
        <f t="shared" si="7"/>
        <v>0</v>
      </c>
      <c r="O161" s="19">
        <f t="shared" si="12"/>
        <v>0</v>
      </c>
      <c r="P161" s="19">
        <f t="shared" si="13"/>
        <v>0</v>
      </c>
      <c r="Q161" s="23"/>
      <c r="R161" s="23"/>
      <c r="S161" s="37" t="str">
        <f t="shared" si="11"/>
        <v/>
      </c>
      <c r="T161" s="44"/>
      <c r="U161" s="45"/>
      <c r="V161" s="37" t="str">
        <f t="array" ref="V161">IFERROR(INDEX('Hàng hóa'!$F$4:$F$203,MATCH(T161,'Hàng hóa'!$B$4:$B$203,0)),"")</f>
        <v/>
      </c>
      <c r="W161" s="19">
        <f t="array" ref="W161">IFERROR(INDEX('Hàng hóa'!$H$4:$H$203,MATCH(T161,'Hàng hóa'!$B$4:$B$203,0)),0)</f>
        <v>0</v>
      </c>
      <c r="X161" s="20">
        <f t="shared" si="10"/>
        <v>0</v>
      </c>
      <c r="Y161" s="15"/>
      <c r="AA161" s="9" t="str">
        <f t="shared" si="1"/>
        <v/>
      </c>
      <c r="AB161" s="9" t="str">
        <f>IF('Hàng hóa'!K162&lt;&gt;"",'Hàng hóa'!K162,"")</f>
        <v/>
      </c>
    </row>
    <row r="162" ht="15.75" customHeight="1">
      <c r="A162" s="43"/>
      <c r="B162" s="37" t="str">
        <f t="shared" si="2"/>
        <v/>
      </c>
      <c r="C162" s="44"/>
      <c r="D162" s="45"/>
      <c r="E162" s="45"/>
      <c r="F162" s="47" t="str">
        <f>IF(C162="","",'Thiết lập'!$B$4)</f>
        <v/>
      </c>
      <c r="G162" s="19" t="str">
        <f>IF(C162="","",'Thiết lập'!$B$5)</f>
        <v/>
      </c>
      <c r="H162" s="19" t="str">
        <f>IF(C162="","",'Thiết lập'!$B$6)</f>
        <v/>
      </c>
      <c r="I162" s="19" t="str">
        <f>IF(C162="","",'Thiết lập'!$B$7)</f>
        <v/>
      </c>
      <c r="J162" s="19">
        <f t="shared" si="3"/>
        <v>0</v>
      </c>
      <c r="K162" s="19">
        <f t="shared" si="4"/>
        <v>0</v>
      </c>
      <c r="L162" s="19">
        <f t="shared" si="5"/>
        <v>0</v>
      </c>
      <c r="M162" s="19">
        <f t="shared" si="6"/>
        <v>0</v>
      </c>
      <c r="N162" s="19">
        <f t="shared" si="7"/>
        <v>0</v>
      </c>
      <c r="O162" s="19">
        <f t="shared" si="12"/>
        <v>0</v>
      </c>
      <c r="P162" s="19">
        <f t="shared" si="13"/>
        <v>0</v>
      </c>
      <c r="Q162" s="23"/>
      <c r="R162" s="23"/>
      <c r="S162" s="37" t="str">
        <f t="shared" si="11"/>
        <v/>
      </c>
      <c r="T162" s="44"/>
      <c r="U162" s="45"/>
      <c r="V162" s="37" t="str">
        <f t="array" ref="V162">IFERROR(INDEX('Hàng hóa'!$F$4:$F$203,MATCH(T162,'Hàng hóa'!$B$4:$B$203,0)),"")</f>
        <v/>
      </c>
      <c r="W162" s="19">
        <f t="array" ref="W162">IFERROR(INDEX('Hàng hóa'!$H$4:$H$203,MATCH(T162,'Hàng hóa'!$B$4:$B$203,0)),0)</f>
        <v>0</v>
      </c>
      <c r="X162" s="20">
        <f t="shared" si="10"/>
        <v>0</v>
      </c>
      <c r="Y162" s="15"/>
      <c r="AA162" s="9" t="str">
        <f t="shared" si="1"/>
        <v/>
      </c>
      <c r="AB162" s="9" t="str">
        <f>IF('Hàng hóa'!K163&lt;&gt;"",'Hàng hóa'!K163,"")</f>
        <v/>
      </c>
    </row>
    <row r="163" ht="15.75" customHeight="1">
      <c r="A163" s="43"/>
      <c r="B163" s="37" t="str">
        <f t="shared" si="2"/>
        <v/>
      </c>
      <c r="C163" s="44"/>
      <c r="D163" s="45"/>
      <c r="E163" s="45"/>
      <c r="F163" s="47" t="str">
        <f>IF(C163="","",'Thiết lập'!$B$4)</f>
        <v/>
      </c>
      <c r="G163" s="19" t="str">
        <f>IF(C163="","",'Thiết lập'!$B$5)</f>
        <v/>
      </c>
      <c r="H163" s="19" t="str">
        <f>IF(C163="","",'Thiết lập'!$B$6)</f>
        <v/>
      </c>
      <c r="I163" s="19" t="str">
        <f>IF(C163="","",'Thiết lập'!$B$7)</f>
        <v/>
      </c>
      <c r="J163" s="19">
        <f t="shared" si="3"/>
        <v>0</v>
      </c>
      <c r="K163" s="19">
        <f t="shared" si="4"/>
        <v>0</v>
      </c>
      <c r="L163" s="19">
        <f t="shared" si="5"/>
        <v>0</v>
      </c>
      <c r="M163" s="19">
        <f t="shared" si="6"/>
        <v>0</v>
      </c>
      <c r="N163" s="19">
        <f t="shared" si="7"/>
        <v>0</v>
      </c>
      <c r="O163" s="19">
        <f t="shared" si="12"/>
        <v>0</v>
      </c>
      <c r="P163" s="19">
        <f t="shared" si="13"/>
        <v>0</v>
      </c>
      <c r="Q163" s="23"/>
      <c r="R163" s="23"/>
      <c r="S163" s="37" t="str">
        <f t="shared" si="11"/>
        <v/>
      </c>
      <c r="T163" s="44"/>
      <c r="U163" s="45"/>
      <c r="V163" s="37" t="str">
        <f t="array" ref="V163">IFERROR(INDEX('Hàng hóa'!$F$4:$F$203,MATCH(T163,'Hàng hóa'!$B$4:$B$203,0)),"")</f>
        <v/>
      </c>
      <c r="W163" s="19">
        <f t="array" ref="W163">IFERROR(INDEX('Hàng hóa'!$H$4:$H$203,MATCH(T163,'Hàng hóa'!$B$4:$B$203,0)),0)</f>
        <v>0</v>
      </c>
      <c r="X163" s="20">
        <f t="shared" si="10"/>
        <v>0</v>
      </c>
      <c r="Y163" s="15"/>
      <c r="AA163" s="9" t="str">
        <f t="shared" si="1"/>
        <v/>
      </c>
      <c r="AB163" s="9" t="str">
        <f>IF('Hàng hóa'!K164&lt;&gt;"",'Hàng hóa'!K164,"")</f>
        <v/>
      </c>
    </row>
    <row r="164" ht="15.75" customHeight="1">
      <c r="A164" s="43"/>
      <c r="B164" s="37" t="str">
        <f t="shared" si="2"/>
        <v/>
      </c>
      <c r="C164" s="44"/>
      <c r="D164" s="45"/>
      <c r="E164" s="45"/>
      <c r="F164" s="47" t="str">
        <f>IF(C164="","",'Thiết lập'!$B$4)</f>
        <v/>
      </c>
      <c r="G164" s="19" t="str">
        <f>IF(C164="","",'Thiết lập'!$B$5)</f>
        <v/>
      </c>
      <c r="H164" s="19" t="str">
        <f>IF(C164="","",'Thiết lập'!$B$6)</f>
        <v/>
      </c>
      <c r="I164" s="19" t="str">
        <f>IF(C164="","",'Thiết lập'!$B$7)</f>
        <v/>
      </c>
      <c r="J164" s="19">
        <f t="shared" si="3"/>
        <v>0</v>
      </c>
      <c r="K164" s="19">
        <f t="shared" si="4"/>
        <v>0</v>
      </c>
      <c r="L164" s="19">
        <f t="shared" si="5"/>
        <v>0</v>
      </c>
      <c r="M164" s="19">
        <f t="shared" si="6"/>
        <v>0</v>
      </c>
      <c r="N164" s="19">
        <f t="shared" si="7"/>
        <v>0</v>
      </c>
      <c r="O164" s="19">
        <f t="shared" si="12"/>
        <v>0</v>
      </c>
      <c r="P164" s="19">
        <f t="shared" si="13"/>
        <v>0</v>
      </c>
      <c r="Q164" s="23"/>
      <c r="R164" s="23"/>
      <c r="S164" s="37" t="str">
        <f t="shared" si="11"/>
        <v/>
      </c>
      <c r="T164" s="44"/>
      <c r="U164" s="45"/>
      <c r="V164" s="37" t="str">
        <f t="array" ref="V164">IFERROR(INDEX('Hàng hóa'!$F$4:$F$203,MATCH(T164,'Hàng hóa'!$B$4:$B$203,0)),"")</f>
        <v/>
      </c>
      <c r="W164" s="19">
        <f t="array" ref="W164">IFERROR(INDEX('Hàng hóa'!$H$4:$H$203,MATCH(T164,'Hàng hóa'!$B$4:$B$203,0)),0)</f>
        <v>0</v>
      </c>
      <c r="X164" s="20">
        <f t="shared" si="10"/>
        <v>0</v>
      </c>
      <c r="Y164" s="15"/>
      <c r="AA164" s="9" t="str">
        <f t="shared" si="1"/>
        <v/>
      </c>
      <c r="AB164" s="9" t="str">
        <f>IF('Hàng hóa'!K165&lt;&gt;"",'Hàng hóa'!K165,"")</f>
        <v/>
      </c>
    </row>
    <row r="165" ht="15.75" customHeight="1">
      <c r="A165" s="43"/>
      <c r="B165" s="37" t="str">
        <f t="shared" si="2"/>
        <v/>
      </c>
      <c r="C165" s="44"/>
      <c r="D165" s="45"/>
      <c r="E165" s="45"/>
      <c r="F165" s="47" t="str">
        <f>IF(C165="","",'Thiết lập'!$B$4)</f>
        <v/>
      </c>
      <c r="G165" s="19" t="str">
        <f>IF(C165="","",'Thiết lập'!$B$5)</f>
        <v/>
      </c>
      <c r="H165" s="19" t="str">
        <f>IF(C165="","",'Thiết lập'!$B$6)</f>
        <v/>
      </c>
      <c r="I165" s="19" t="str">
        <f>IF(C165="","",'Thiết lập'!$B$7)</f>
        <v/>
      </c>
      <c r="J165" s="19">
        <f t="shared" si="3"/>
        <v>0</v>
      </c>
      <c r="K165" s="19">
        <f t="shared" si="4"/>
        <v>0</v>
      </c>
      <c r="L165" s="19">
        <f t="shared" si="5"/>
        <v>0</v>
      </c>
      <c r="M165" s="19">
        <f t="shared" si="6"/>
        <v>0</v>
      </c>
      <c r="N165" s="19">
        <f t="shared" si="7"/>
        <v>0</v>
      </c>
      <c r="O165" s="19">
        <f t="shared" si="12"/>
        <v>0</v>
      </c>
      <c r="P165" s="19">
        <f t="shared" si="13"/>
        <v>0</v>
      </c>
      <c r="Q165" s="23"/>
      <c r="R165" s="23"/>
      <c r="S165" s="37" t="str">
        <f t="shared" si="11"/>
        <v/>
      </c>
      <c r="T165" s="44"/>
      <c r="U165" s="45"/>
      <c r="V165" s="37" t="str">
        <f t="array" ref="V165">IFERROR(INDEX('Hàng hóa'!$F$4:$F$203,MATCH(T165,'Hàng hóa'!$B$4:$B$203,0)),"")</f>
        <v/>
      </c>
      <c r="W165" s="19">
        <f t="array" ref="W165">IFERROR(INDEX('Hàng hóa'!$H$4:$H$203,MATCH(T165,'Hàng hóa'!$B$4:$B$203,0)),0)</f>
        <v>0</v>
      </c>
      <c r="X165" s="20">
        <f t="shared" si="10"/>
        <v>0</v>
      </c>
      <c r="Y165" s="15"/>
      <c r="AA165" s="9" t="str">
        <f t="shared" si="1"/>
        <v/>
      </c>
      <c r="AB165" s="9" t="str">
        <f>IF('Hàng hóa'!K166&lt;&gt;"",'Hàng hóa'!K166,"")</f>
        <v/>
      </c>
    </row>
    <row r="166" ht="15.75" customHeight="1">
      <c r="A166" s="43"/>
      <c r="B166" s="37" t="str">
        <f t="shared" si="2"/>
        <v/>
      </c>
      <c r="C166" s="44"/>
      <c r="D166" s="45"/>
      <c r="E166" s="45"/>
      <c r="F166" s="47" t="str">
        <f>IF(C166="","",'Thiết lập'!$B$4)</f>
        <v/>
      </c>
      <c r="G166" s="19" t="str">
        <f>IF(C166="","",'Thiết lập'!$B$5)</f>
        <v/>
      </c>
      <c r="H166" s="19" t="str">
        <f>IF(C166="","",'Thiết lập'!$B$6)</f>
        <v/>
      </c>
      <c r="I166" s="19" t="str">
        <f>IF(C166="","",'Thiết lập'!$B$7)</f>
        <v/>
      </c>
      <c r="J166" s="19">
        <f t="shared" si="3"/>
        <v>0</v>
      </c>
      <c r="K166" s="19">
        <f t="shared" si="4"/>
        <v>0</v>
      </c>
      <c r="L166" s="19">
        <f t="shared" si="5"/>
        <v>0</v>
      </c>
      <c r="M166" s="19">
        <f t="shared" si="6"/>
        <v>0</v>
      </c>
      <c r="N166" s="19">
        <f t="shared" si="7"/>
        <v>0</v>
      </c>
      <c r="O166" s="19">
        <f t="shared" si="12"/>
        <v>0</v>
      </c>
      <c r="P166" s="19">
        <f t="shared" si="13"/>
        <v>0</v>
      </c>
      <c r="Q166" s="23"/>
      <c r="R166" s="23"/>
      <c r="S166" s="37" t="str">
        <f t="shared" si="11"/>
        <v/>
      </c>
      <c r="T166" s="44"/>
      <c r="U166" s="45"/>
      <c r="V166" s="37" t="str">
        <f t="array" ref="V166">IFERROR(INDEX('Hàng hóa'!$F$4:$F$203,MATCH(T166,'Hàng hóa'!$B$4:$B$203,0)),"")</f>
        <v/>
      </c>
      <c r="W166" s="19">
        <f t="array" ref="W166">IFERROR(INDEX('Hàng hóa'!$H$4:$H$203,MATCH(T166,'Hàng hóa'!$B$4:$B$203,0)),0)</f>
        <v>0</v>
      </c>
      <c r="X166" s="20">
        <f t="shared" si="10"/>
        <v>0</v>
      </c>
      <c r="Y166" s="15"/>
      <c r="AA166" s="9" t="str">
        <f t="shared" si="1"/>
        <v/>
      </c>
      <c r="AB166" s="9" t="str">
        <f>IF('Hàng hóa'!K167&lt;&gt;"",'Hàng hóa'!K167,"")</f>
        <v/>
      </c>
    </row>
    <row r="167" ht="15.75" customHeight="1">
      <c r="A167" s="43"/>
      <c r="B167" s="37" t="str">
        <f t="shared" si="2"/>
        <v/>
      </c>
      <c r="C167" s="44"/>
      <c r="D167" s="45"/>
      <c r="E167" s="45"/>
      <c r="F167" s="47" t="str">
        <f>IF(C167="","",'Thiết lập'!$B$4)</f>
        <v/>
      </c>
      <c r="G167" s="19" t="str">
        <f>IF(C167="","",'Thiết lập'!$B$5)</f>
        <v/>
      </c>
      <c r="H167" s="19" t="str">
        <f>IF(C167="","",'Thiết lập'!$B$6)</f>
        <v/>
      </c>
      <c r="I167" s="19" t="str">
        <f>IF(C167="","",'Thiết lập'!$B$7)</f>
        <v/>
      </c>
      <c r="J167" s="19">
        <f t="shared" si="3"/>
        <v>0</v>
      </c>
      <c r="K167" s="19">
        <f t="shared" si="4"/>
        <v>0</v>
      </c>
      <c r="L167" s="19">
        <f t="shared" si="5"/>
        <v>0</v>
      </c>
      <c r="M167" s="19">
        <f t="shared" si="6"/>
        <v>0</v>
      </c>
      <c r="N167" s="19">
        <f t="shared" si="7"/>
        <v>0</v>
      </c>
      <c r="O167" s="19">
        <f t="shared" si="12"/>
        <v>0</v>
      </c>
      <c r="P167" s="19">
        <f t="shared" si="13"/>
        <v>0</v>
      </c>
      <c r="Q167" s="23"/>
      <c r="R167" s="23"/>
      <c r="S167" s="37" t="str">
        <f t="shared" si="11"/>
        <v/>
      </c>
      <c r="T167" s="44"/>
      <c r="U167" s="45"/>
      <c r="V167" s="37" t="str">
        <f t="array" ref="V167">IFERROR(INDEX('Hàng hóa'!$F$4:$F$203,MATCH(T167,'Hàng hóa'!$B$4:$B$203,0)),"")</f>
        <v/>
      </c>
      <c r="W167" s="19">
        <f t="array" ref="W167">IFERROR(INDEX('Hàng hóa'!$H$4:$H$203,MATCH(T167,'Hàng hóa'!$B$4:$B$203,0)),0)</f>
        <v>0</v>
      </c>
      <c r="X167" s="20">
        <f t="shared" si="10"/>
        <v>0</v>
      </c>
      <c r="Y167" s="15"/>
      <c r="AA167" s="9" t="str">
        <f t="shared" si="1"/>
        <v/>
      </c>
      <c r="AB167" s="9" t="str">
        <f>IF('Hàng hóa'!K168&lt;&gt;"",'Hàng hóa'!K168,"")</f>
        <v/>
      </c>
    </row>
    <row r="168" ht="15.75" customHeight="1">
      <c r="A168" s="43"/>
      <c r="B168" s="37" t="str">
        <f t="shared" si="2"/>
        <v/>
      </c>
      <c r="C168" s="44"/>
      <c r="D168" s="45"/>
      <c r="E168" s="45"/>
      <c r="F168" s="47" t="str">
        <f>IF(C168="","",'Thiết lập'!$B$4)</f>
        <v/>
      </c>
      <c r="G168" s="19" t="str">
        <f>IF(C168="","",'Thiết lập'!$B$5)</f>
        <v/>
      </c>
      <c r="H168" s="19" t="str">
        <f>IF(C168="","",'Thiết lập'!$B$6)</f>
        <v/>
      </c>
      <c r="I168" s="19" t="str">
        <f>IF(C168="","",'Thiết lập'!$B$7)</f>
        <v/>
      </c>
      <c r="J168" s="19">
        <f t="shared" si="3"/>
        <v>0</v>
      </c>
      <c r="K168" s="19">
        <f t="shared" si="4"/>
        <v>0</v>
      </c>
      <c r="L168" s="19">
        <f t="shared" si="5"/>
        <v>0</v>
      </c>
      <c r="M168" s="19">
        <f t="shared" si="6"/>
        <v>0</v>
      </c>
      <c r="N168" s="19">
        <f t="shared" si="7"/>
        <v>0</v>
      </c>
      <c r="O168" s="19">
        <f t="shared" si="12"/>
        <v>0</v>
      </c>
      <c r="P168" s="19">
        <f t="shared" si="13"/>
        <v>0</v>
      </c>
      <c r="Q168" s="23"/>
      <c r="R168" s="23"/>
      <c r="S168" s="37" t="str">
        <f t="shared" si="11"/>
        <v/>
      </c>
      <c r="T168" s="44"/>
      <c r="U168" s="45"/>
      <c r="V168" s="37" t="str">
        <f t="array" ref="V168">IFERROR(INDEX('Hàng hóa'!$F$4:$F$203,MATCH(T168,'Hàng hóa'!$B$4:$B$203,0)),"")</f>
        <v/>
      </c>
      <c r="W168" s="19">
        <f t="array" ref="W168">IFERROR(INDEX('Hàng hóa'!$H$4:$H$203,MATCH(T168,'Hàng hóa'!$B$4:$B$203,0)),0)</f>
        <v>0</v>
      </c>
      <c r="X168" s="20">
        <f t="shared" si="10"/>
        <v>0</v>
      </c>
      <c r="Y168" s="15"/>
      <c r="AA168" s="9" t="str">
        <f t="shared" si="1"/>
        <v/>
      </c>
      <c r="AB168" s="9" t="str">
        <f>IF('Hàng hóa'!K169&lt;&gt;"",'Hàng hóa'!K169,"")</f>
        <v/>
      </c>
    </row>
    <row r="169" ht="15.75" customHeight="1">
      <c r="A169" s="43"/>
      <c r="B169" s="37" t="str">
        <f t="shared" si="2"/>
        <v/>
      </c>
      <c r="C169" s="44"/>
      <c r="D169" s="45"/>
      <c r="E169" s="45"/>
      <c r="F169" s="47" t="str">
        <f>IF(C169="","",'Thiết lập'!$B$4)</f>
        <v/>
      </c>
      <c r="G169" s="19" t="str">
        <f>IF(C169="","",'Thiết lập'!$B$5)</f>
        <v/>
      </c>
      <c r="H169" s="19" t="str">
        <f>IF(C169="","",'Thiết lập'!$B$6)</f>
        <v/>
      </c>
      <c r="I169" s="19" t="str">
        <f>IF(C169="","",'Thiết lập'!$B$7)</f>
        <v/>
      </c>
      <c r="J169" s="19">
        <f t="shared" si="3"/>
        <v>0</v>
      </c>
      <c r="K169" s="19">
        <f t="shared" si="4"/>
        <v>0</v>
      </c>
      <c r="L169" s="19">
        <f t="shared" si="5"/>
        <v>0</v>
      </c>
      <c r="M169" s="19">
        <f t="shared" si="6"/>
        <v>0</v>
      </c>
      <c r="N169" s="19">
        <f t="shared" si="7"/>
        <v>0</v>
      </c>
      <c r="O169" s="19">
        <f t="shared" si="12"/>
        <v>0</v>
      </c>
      <c r="P169" s="19">
        <f t="shared" si="13"/>
        <v>0</v>
      </c>
      <c r="Q169" s="23"/>
      <c r="R169" s="23"/>
      <c r="S169" s="37" t="str">
        <f t="shared" si="11"/>
        <v/>
      </c>
      <c r="T169" s="44"/>
      <c r="U169" s="45"/>
      <c r="V169" s="37" t="str">
        <f t="array" ref="V169">IFERROR(INDEX('Hàng hóa'!$F$4:$F$203,MATCH(T169,'Hàng hóa'!$B$4:$B$203,0)),"")</f>
        <v/>
      </c>
      <c r="W169" s="19">
        <f t="array" ref="W169">IFERROR(INDEX('Hàng hóa'!$H$4:$H$203,MATCH(T169,'Hàng hóa'!$B$4:$B$203,0)),0)</f>
        <v>0</v>
      </c>
      <c r="X169" s="20">
        <f t="shared" si="10"/>
        <v>0</v>
      </c>
      <c r="Y169" s="15"/>
      <c r="AA169" s="9" t="str">
        <f t="shared" si="1"/>
        <v/>
      </c>
      <c r="AB169" s="9" t="str">
        <f>IF('Hàng hóa'!K170&lt;&gt;"",'Hàng hóa'!K170,"")</f>
        <v/>
      </c>
    </row>
    <row r="170" ht="15.75" customHeight="1">
      <c r="A170" s="43"/>
      <c r="B170" s="37" t="str">
        <f t="shared" si="2"/>
        <v/>
      </c>
      <c r="C170" s="44"/>
      <c r="D170" s="45"/>
      <c r="E170" s="45"/>
      <c r="F170" s="47" t="str">
        <f>IF(C170="","",'Thiết lập'!$B$4)</f>
        <v/>
      </c>
      <c r="G170" s="19" t="str">
        <f>IF(C170="","",'Thiết lập'!$B$5)</f>
        <v/>
      </c>
      <c r="H170" s="19" t="str">
        <f>IF(C170="","",'Thiết lập'!$B$6)</f>
        <v/>
      </c>
      <c r="I170" s="19" t="str">
        <f>IF(C170="","",'Thiết lập'!$B$7)</f>
        <v/>
      </c>
      <c r="J170" s="19">
        <f t="shared" si="3"/>
        <v>0</v>
      </c>
      <c r="K170" s="19">
        <f t="shared" si="4"/>
        <v>0</v>
      </c>
      <c r="L170" s="19">
        <f t="shared" si="5"/>
        <v>0</v>
      </c>
      <c r="M170" s="19">
        <f t="shared" si="6"/>
        <v>0</v>
      </c>
      <c r="N170" s="19">
        <f t="shared" si="7"/>
        <v>0</v>
      </c>
      <c r="O170" s="19">
        <f t="shared" si="12"/>
        <v>0</v>
      </c>
      <c r="P170" s="19">
        <f t="shared" si="13"/>
        <v>0</v>
      </c>
      <c r="Q170" s="23"/>
      <c r="R170" s="23"/>
      <c r="S170" s="37" t="str">
        <f t="shared" si="11"/>
        <v/>
      </c>
      <c r="T170" s="44"/>
      <c r="U170" s="45"/>
      <c r="V170" s="37" t="str">
        <f t="array" ref="V170">IFERROR(INDEX('Hàng hóa'!$F$4:$F$203,MATCH(T170,'Hàng hóa'!$B$4:$B$203,0)),"")</f>
        <v/>
      </c>
      <c r="W170" s="19">
        <f t="array" ref="W170">IFERROR(INDEX('Hàng hóa'!$H$4:$H$203,MATCH(T170,'Hàng hóa'!$B$4:$B$203,0)),0)</f>
        <v>0</v>
      </c>
      <c r="X170" s="20">
        <f t="shared" si="10"/>
        <v>0</v>
      </c>
      <c r="Y170" s="15"/>
      <c r="AA170" s="9" t="str">
        <f t="shared" si="1"/>
        <v/>
      </c>
      <c r="AB170" s="9" t="str">
        <f>IF('Hàng hóa'!K171&lt;&gt;"",'Hàng hóa'!K171,"")</f>
        <v/>
      </c>
    </row>
    <row r="171" ht="15.75" customHeight="1">
      <c r="A171" s="43"/>
      <c r="B171" s="37" t="str">
        <f t="shared" si="2"/>
        <v/>
      </c>
      <c r="C171" s="44"/>
      <c r="D171" s="45"/>
      <c r="E171" s="45"/>
      <c r="F171" s="47" t="str">
        <f>IF(C171="","",'Thiết lập'!$B$4)</f>
        <v/>
      </c>
      <c r="G171" s="19" t="str">
        <f>IF(C171="","",'Thiết lập'!$B$5)</f>
        <v/>
      </c>
      <c r="H171" s="19" t="str">
        <f>IF(C171="","",'Thiết lập'!$B$6)</f>
        <v/>
      </c>
      <c r="I171" s="19" t="str">
        <f>IF(C171="","",'Thiết lập'!$B$7)</f>
        <v/>
      </c>
      <c r="J171" s="19">
        <f t="shared" si="3"/>
        <v>0</v>
      </c>
      <c r="K171" s="19">
        <f t="shared" si="4"/>
        <v>0</v>
      </c>
      <c r="L171" s="19">
        <f t="shared" si="5"/>
        <v>0</v>
      </c>
      <c r="M171" s="19">
        <f t="shared" si="6"/>
        <v>0</v>
      </c>
      <c r="N171" s="19">
        <f t="shared" si="7"/>
        <v>0</v>
      </c>
      <c r="O171" s="19">
        <f t="shared" si="12"/>
        <v>0</v>
      </c>
      <c r="P171" s="19">
        <f t="shared" si="13"/>
        <v>0</v>
      </c>
      <c r="Q171" s="23"/>
      <c r="R171" s="23"/>
      <c r="S171" s="37" t="str">
        <f t="shared" si="11"/>
        <v/>
      </c>
      <c r="T171" s="44"/>
      <c r="U171" s="45"/>
      <c r="V171" s="37" t="str">
        <f t="array" ref="V171">IFERROR(INDEX('Hàng hóa'!$F$4:$F$203,MATCH(T171,'Hàng hóa'!$B$4:$B$203,0)),"")</f>
        <v/>
      </c>
      <c r="W171" s="19">
        <f t="array" ref="W171">IFERROR(INDEX('Hàng hóa'!$H$4:$H$203,MATCH(T171,'Hàng hóa'!$B$4:$B$203,0)),0)</f>
        <v>0</v>
      </c>
      <c r="X171" s="20">
        <f t="shared" si="10"/>
        <v>0</v>
      </c>
      <c r="Y171" s="15"/>
      <c r="AA171" s="9" t="str">
        <f t="shared" si="1"/>
        <v/>
      </c>
      <c r="AB171" s="9" t="str">
        <f>IF('Hàng hóa'!K172&lt;&gt;"",'Hàng hóa'!K172,"")</f>
        <v/>
      </c>
    </row>
    <row r="172" ht="15.75" customHeight="1">
      <c r="A172" s="43"/>
      <c r="B172" s="37" t="str">
        <f t="shared" si="2"/>
        <v/>
      </c>
      <c r="C172" s="44"/>
      <c r="D172" s="45"/>
      <c r="E172" s="45"/>
      <c r="F172" s="47" t="str">
        <f>IF(C172="","",'Thiết lập'!$B$4)</f>
        <v/>
      </c>
      <c r="G172" s="19" t="str">
        <f>IF(C172="","",'Thiết lập'!$B$5)</f>
        <v/>
      </c>
      <c r="H172" s="19" t="str">
        <f>IF(C172="","",'Thiết lập'!$B$6)</f>
        <v/>
      </c>
      <c r="I172" s="19" t="str">
        <f>IF(C172="","",'Thiết lập'!$B$7)</f>
        <v/>
      </c>
      <c r="J172" s="19">
        <f t="shared" si="3"/>
        <v>0</v>
      </c>
      <c r="K172" s="19">
        <f t="shared" si="4"/>
        <v>0</v>
      </c>
      <c r="L172" s="19">
        <f t="shared" si="5"/>
        <v>0</v>
      </c>
      <c r="M172" s="19">
        <f t="shared" si="6"/>
        <v>0</v>
      </c>
      <c r="N172" s="19">
        <f t="shared" si="7"/>
        <v>0</v>
      </c>
      <c r="O172" s="19">
        <f t="shared" si="12"/>
        <v>0</v>
      </c>
      <c r="P172" s="19">
        <f t="shared" si="13"/>
        <v>0</v>
      </c>
      <c r="Q172" s="23"/>
      <c r="R172" s="23"/>
      <c r="S172" s="37" t="str">
        <f t="shared" si="11"/>
        <v/>
      </c>
      <c r="T172" s="44"/>
      <c r="U172" s="45"/>
      <c r="V172" s="37" t="str">
        <f t="array" ref="V172">IFERROR(INDEX('Hàng hóa'!$F$4:$F$203,MATCH(T172,'Hàng hóa'!$B$4:$B$203,0)),"")</f>
        <v/>
      </c>
      <c r="W172" s="19">
        <f t="array" ref="W172">IFERROR(INDEX('Hàng hóa'!$H$4:$H$203,MATCH(T172,'Hàng hóa'!$B$4:$B$203,0)),0)</f>
        <v>0</v>
      </c>
      <c r="X172" s="20">
        <f t="shared" si="10"/>
        <v>0</v>
      </c>
      <c r="Y172" s="15"/>
      <c r="AA172" s="9" t="str">
        <f t="shared" si="1"/>
        <v/>
      </c>
      <c r="AB172" s="9" t="str">
        <f>IF('Hàng hóa'!K173&lt;&gt;"",'Hàng hóa'!K173,"")</f>
        <v/>
      </c>
    </row>
    <row r="173" ht="15.75" customHeight="1">
      <c r="A173" s="43"/>
      <c r="B173" s="37" t="str">
        <f t="shared" si="2"/>
        <v/>
      </c>
      <c r="C173" s="44"/>
      <c r="D173" s="45"/>
      <c r="E173" s="45"/>
      <c r="F173" s="47" t="str">
        <f>IF(C173="","",'Thiết lập'!$B$4)</f>
        <v/>
      </c>
      <c r="G173" s="19" t="str">
        <f>IF(C173="","",'Thiết lập'!$B$5)</f>
        <v/>
      </c>
      <c r="H173" s="19" t="str">
        <f>IF(C173="","",'Thiết lập'!$B$6)</f>
        <v/>
      </c>
      <c r="I173" s="19" t="str">
        <f>IF(C173="","",'Thiết lập'!$B$7)</f>
        <v/>
      </c>
      <c r="J173" s="19">
        <f t="shared" si="3"/>
        <v>0</v>
      </c>
      <c r="K173" s="19">
        <f t="shared" si="4"/>
        <v>0</v>
      </c>
      <c r="L173" s="19">
        <f t="shared" si="5"/>
        <v>0</v>
      </c>
      <c r="M173" s="19">
        <f t="shared" si="6"/>
        <v>0</v>
      </c>
      <c r="N173" s="19">
        <f t="shared" si="7"/>
        <v>0</v>
      </c>
      <c r="O173" s="19">
        <f t="shared" si="12"/>
        <v>0</v>
      </c>
      <c r="P173" s="19">
        <f t="shared" si="13"/>
        <v>0</v>
      </c>
      <c r="Q173" s="23"/>
      <c r="R173" s="23"/>
      <c r="S173" s="37" t="str">
        <f t="shared" si="11"/>
        <v/>
      </c>
      <c r="T173" s="44"/>
      <c r="U173" s="45"/>
      <c r="V173" s="37" t="str">
        <f t="array" ref="V173">IFERROR(INDEX('Hàng hóa'!$F$4:$F$203,MATCH(T173,'Hàng hóa'!$B$4:$B$203,0)),"")</f>
        <v/>
      </c>
      <c r="W173" s="19">
        <f t="array" ref="W173">IFERROR(INDEX('Hàng hóa'!$H$4:$H$203,MATCH(T173,'Hàng hóa'!$B$4:$B$203,0)),0)</f>
        <v>0</v>
      </c>
      <c r="X173" s="20">
        <f t="shared" si="10"/>
        <v>0</v>
      </c>
      <c r="Y173" s="15"/>
      <c r="AA173" s="9" t="str">
        <f t="shared" si="1"/>
        <v/>
      </c>
      <c r="AB173" s="9" t="str">
        <f>IF('Hàng hóa'!K174&lt;&gt;"",'Hàng hóa'!K174,"")</f>
        <v/>
      </c>
    </row>
    <row r="174" ht="15.75" customHeight="1">
      <c r="A174" s="43"/>
      <c r="B174" s="37" t="str">
        <f t="shared" si="2"/>
        <v/>
      </c>
      <c r="C174" s="44"/>
      <c r="D174" s="45"/>
      <c r="E174" s="45"/>
      <c r="F174" s="47" t="str">
        <f>IF(C174="","",'Thiết lập'!$B$4)</f>
        <v/>
      </c>
      <c r="G174" s="19" t="str">
        <f>IF(C174="","",'Thiết lập'!$B$5)</f>
        <v/>
      </c>
      <c r="H174" s="19" t="str">
        <f>IF(C174="","",'Thiết lập'!$B$6)</f>
        <v/>
      </c>
      <c r="I174" s="19" t="str">
        <f>IF(C174="","",'Thiết lập'!$B$7)</f>
        <v/>
      </c>
      <c r="J174" s="19">
        <f t="shared" si="3"/>
        <v>0</v>
      </c>
      <c r="K174" s="19">
        <f t="shared" si="4"/>
        <v>0</v>
      </c>
      <c r="L174" s="19">
        <f t="shared" si="5"/>
        <v>0</v>
      </c>
      <c r="M174" s="19">
        <f t="shared" si="6"/>
        <v>0</v>
      </c>
      <c r="N174" s="19">
        <f t="shared" si="7"/>
        <v>0</v>
      </c>
      <c r="O174" s="19">
        <f t="shared" si="12"/>
        <v>0</v>
      </c>
      <c r="P174" s="19">
        <f t="shared" si="13"/>
        <v>0</v>
      </c>
      <c r="Q174" s="23"/>
      <c r="R174" s="23"/>
      <c r="S174" s="37" t="str">
        <f t="shared" si="11"/>
        <v/>
      </c>
      <c r="T174" s="44"/>
      <c r="U174" s="45"/>
      <c r="V174" s="37" t="str">
        <f t="array" ref="V174">IFERROR(INDEX('Hàng hóa'!$F$4:$F$203,MATCH(T174,'Hàng hóa'!$B$4:$B$203,0)),"")</f>
        <v/>
      </c>
      <c r="W174" s="19">
        <f t="array" ref="W174">IFERROR(INDEX('Hàng hóa'!$H$4:$H$203,MATCH(T174,'Hàng hóa'!$B$4:$B$203,0)),0)</f>
        <v>0</v>
      </c>
      <c r="X174" s="20">
        <f t="shared" si="10"/>
        <v>0</v>
      </c>
      <c r="Y174" s="15"/>
      <c r="AA174" s="9" t="str">
        <f t="shared" si="1"/>
        <v/>
      </c>
      <c r="AB174" s="9" t="str">
        <f>IF('Hàng hóa'!K175&lt;&gt;"",'Hàng hóa'!K175,"")</f>
        <v/>
      </c>
    </row>
    <row r="175" ht="15.75" customHeight="1">
      <c r="A175" s="43"/>
      <c r="B175" s="37" t="str">
        <f t="shared" si="2"/>
        <v/>
      </c>
      <c r="C175" s="44"/>
      <c r="D175" s="45"/>
      <c r="E175" s="45"/>
      <c r="F175" s="47" t="str">
        <f>IF(C175="","",'Thiết lập'!$B$4)</f>
        <v/>
      </c>
      <c r="G175" s="19" t="str">
        <f>IF(C175="","",'Thiết lập'!$B$5)</f>
        <v/>
      </c>
      <c r="H175" s="19" t="str">
        <f>IF(C175="","",'Thiết lập'!$B$6)</f>
        <v/>
      </c>
      <c r="I175" s="19" t="str">
        <f>IF(C175="","",'Thiết lập'!$B$7)</f>
        <v/>
      </c>
      <c r="J175" s="19">
        <f t="shared" si="3"/>
        <v>0</v>
      </c>
      <c r="K175" s="19">
        <f t="shared" si="4"/>
        <v>0</v>
      </c>
      <c r="L175" s="19">
        <f t="shared" si="5"/>
        <v>0</v>
      </c>
      <c r="M175" s="19">
        <f t="shared" si="6"/>
        <v>0</v>
      </c>
      <c r="N175" s="19">
        <f t="shared" si="7"/>
        <v>0</v>
      </c>
      <c r="O175" s="19">
        <f t="shared" si="12"/>
        <v>0</v>
      </c>
      <c r="P175" s="19">
        <f t="shared" si="13"/>
        <v>0</v>
      </c>
      <c r="Q175" s="23"/>
      <c r="R175" s="23"/>
      <c r="S175" s="37" t="str">
        <f t="shared" si="11"/>
        <v/>
      </c>
      <c r="T175" s="44"/>
      <c r="U175" s="45"/>
      <c r="V175" s="37" t="str">
        <f t="array" ref="V175">IFERROR(INDEX('Hàng hóa'!$F$4:$F$203,MATCH(T175,'Hàng hóa'!$B$4:$B$203,0)),"")</f>
        <v/>
      </c>
      <c r="W175" s="19">
        <f t="array" ref="W175">IFERROR(INDEX('Hàng hóa'!$H$4:$H$203,MATCH(T175,'Hàng hóa'!$B$4:$B$203,0)),0)</f>
        <v>0</v>
      </c>
      <c r="X175" s="20">
        <f t="shared" si="10"/>
        <v>0</v>
      </c>
      <c r="Y175" s="15"/>
      <c r="AA175" s="9" t="str">
        <f t="shared" si="1"/>
        <v/>
      </c>
      <c r="AB175" s="9" t="str">
        <f>IF('Hàng hóa'!K176&lt;&gt;"",'Hàng hóa'!K176,"")</f>
        <v/>
      </c>
    </row>
    <row r="176" ht="15.75" customHeight="1">
      <c r="A176" s="43"/>
      <c r="B176" s="37" t="str">
        <f t="shared" si="2"/>
        <v/>
      </c>
      <c r="C176" s="44"/>
      <c r="D176" s="45"/>
      <c r="E176" s="45"/>
      <c r="F176" s="47" t="str">
        <f>IF(C176="","",'Thiết lập'!$B$4)</f>
        <v/>
      </c>
      <c r="G176" s="19" t="str">
        <f>IF(C176="","",'Thiết lập'!$B$5)</f>
        <v/>
      </c>
      <c r="H176" s="19" t="str">
        <f>IF(C176="","",'Thiết lập'!$B$6)</f>
        <v/>
      </c>
      <c r="I176" s="19" t="str">
        <f>IF(C176="","",'Thiết lập'!$B$7)</f>
        <v/>
      </c>
      <c r="J176" s="19">
        <f t="shared" si="3"/>
        <v>0</v>
      </c>
      <c r="K176" s="19">
        <f t="shared" si="4"/>
        <v>0</v>
      </c>
      <c r="L176" s="19">
        <f t="shared" si="5"/>
        <v>0</v>
      </c>
      <c r="M176" s="19">
        <f t="shared" si="6"/>
        <v>0</v>
      </c>
      <c r="N176" s="19">
        <f t="shared" si="7"/>
        <v>0</v>
      </c>
      <c r="O176" s="19">
        <f t="shared" si="12"/>
        <v>0</v>
      </c>
      <c r="P176" s="19">
        <f t="shared" si="13"/>
        <v>0</v>
      </c>
      <c r="Q176" s="23"/>
      <c r="R176" s="23"/>
      <c r="S176" s="37" t="str">
        <f t="shared" si="11"/>
        <v/>
      </c>
      <c r="T176" s="44"/>
      <c r="U176" s="45"/>
      <c r="V176" s="37" t="str">
        <f t="array" ref="V176">IFERROR(INDEX('Hàng hóa'!$F$4:$F$203,MATCH(T176,'Hàng hóa'!$B$4:$B$203,0)),"")</f>
        <v/>
      </c>
      <c r="W176" s="19">
        <f t="array" ref="W176">IFERROR(INDEX('Hàng hóa'!$H$4:$H$203,MATCH(T176,'Hàng hóa'!$B$4:$B$203,0)),0)</f>
        <v>0</v>
      </c>
      <c r="X176" s="20">
        <f t="shared" si="10"/>
        <v>0</v>
      </c>
      <c r="Y176" s="15"/>
      <c r="AA176" s="9" t="str">
        <f t="shared" si="1"/>
        <v/>
      </c>
      <c r="AB176" s="9" t="str">
        <f>IF('Hàng hóa'!K177&lt;&gt;"",'Hàng hóa'!K177,"")</f>
        <v/>
      </c>
    </row>
    <row r="177" ht="15.75" customHeight="1">
      <c r="A177" s="43"/>
      <c r="B177" s="37" t="str">
        <f t="shared" si="2"/>
        <v/>
      </c>
      <c r="C177" s="44"/>
      <c r="D177" s="45"/>
      <c r="E177" s="45"/>
      <c r="F177" s="47" t="str">
        <f>IF(C177="","",'Thiết lập'!$B$4)</f>
        <v/>
      </c>
      <c r="G177" s="19" t="str">
        <f>IF(C177="","",'Thiết lập'!$B$5)</f>
        <v/>
      </c>
      <c r="H177" s="19" t="str">
        <f>IF(C177="","",'Thiết lập'!$B$6)</f>
        <v/>
      </c>
      <c r="I177" s="19" t="str">
        <f>IF(C177="","",'Thiết lập'!$B$7)</f>
        <v/>
      </c>
      <c r="J177" s="19">
        <f t="shared" si="3"/>
        <v>0</v>
      </c>
      <c r="K177" s="19">
        <f t="shared" si="4"/>
        <v>0</v>
      </c>
      <c r="L177" s="19">
        <f t="shared" si="5"/>
        <v>0</v>
      </c>
      <c r="M177" s="19">
        <f t="shared" si="6"/>
        <v>0</v>
      </c>
      <c r="N177" s="19">
        <f t="shared" si="7"/>
        <v>0</v>
      </c>
      <c r="O177" s="19">
        <f t="shared" si="12"/>
        <v>0</v>
      </c>
      <c r="P177" s="19">
        <f t="shared" si="13"/>
        <v>0</v>
      </c>
      <c r="Q177" s="23"/>
      <c r="R177" s="23"/>
      <c r="S177" s="37" t="str">
        <f t="shared" si="11"/>
        <v/>
      </c>
      <c r="T177" s="44"/>
      <c r="U177" s="45"/>
      <c r="V177" s="37" t="str">
        <f t="array" ref="V177">IFERROR(INDEX('Hàng hóa'!$F$4:$F$203,MATCH(T177,'Hàng hóa'!$B$4:$B$203,0)),"")</f>
        <v/>
      </c>
      <c r="W177" s="19">
        <f t="array" ref="W177">IFERROR(INDEX('Hàng hóa'!$H$4:$H$203,MATCH(T177,'Hàng hóa'!$B$4:$B$203,0)),0)</f>
        <v>0</v>
      </c>
      <c r="X177" s="20">
        <f t="shared" si="10"/>
        <v>0</v>
      </c>
      <c r="Y177" s="15"/>
      <c r="AA177" s="9" t="str">
        <f t="shared" si="1"/>
        <v/>
      </c>
      <c r="AB177" s="9" t="str">
        <f>IF('Hàng hóa'!K178&lt;&gt;"",'Hàng hóa'!K178,"")</f>
        <v/>
      </c>
    </row>
    <row r="178" ht="15.75" customHeight="1">
      <c r="A178" s="43"/>
      <c r="B178" s="37" t="str">
        <f t="shared" si="2"/>
        <v/>
      </c>
      <c r="C178" s="44"/>
      <c r="D178" s="45"/>
      <c r="E178" s="45"/>
      <c r="F178" s="47" t="str">
        <f>IF(C178="","",'Thiết lập'!$B$4)</f>
        <v/>
      </c>
      <c r="G178" s="19" t="str">
        <f>IF(C178="","",'Thiết lập'!$B$5)</f>
        <v/>
      </c>
      <c r="H178" s="19" t="str">
        <f>IF(C178="","",'Thiết lập'!$B$6)</f>
        <v/>
      </c>
      <c r="I178" s="19" t="str">
        <f>IF(C178="","",'Thiết lập'!$B$7)</f>
        <v/>
      </c>
      <c r="J178" s="19">
        <f t="shared" si="3"/>
        <v>0</v>
      </c>
      <c r="K178" s="19">
        <f t="shared" si="4"/>
        <v>0</v>
      </c>
      <c r="L178" s="19">
        <f t="shared" si="5"/>
        <v>0</v>
      </c>
      <c r="M178" s="19">
        <f t="shared" si="6"/>
        <v>0</v>
      </c>
      <c r="N178" s="19">
        <f t="shared" si="7"/>
        <v>0</v>
      </c>
      <c r="O178" s="19">
        <f t="shared" si="12"/>
        <v>0</v>
      </c>
      <c r="P178" s="19">
        <f t="shared" si="13"/>
        <v>0</v>
      </c>
      <c r="Q178" s="23"/>
      <c r="R178" s="23"/>
      <c r="S178" s="37" t="str">
        <f t="shared" si="11"/>
        <v/>
      </c>
      <c r="T178" s="44"/>
      <c r="U178" s="45"/>
      <c r="V178" s="37" t="str">
        <f t="array" ref="V178">IFERROR(INDEX('Hàng hóa'!$F$4:$F$203,MATCH(T178,'Hàng hóa'!$B$4:$B$203,0)),"")</f>
        <v/>
      </c>
      <c r="W178" s="19">
        <f t="array" ref="W178">IFERROR(INDEX('Hàng hóa'!$H$4:$H$203,MATCH(T178,'Hàng hóa'!$B$4:$B$203,0)),0)</f>
        <v>0</v>
      </c>
      <c r="X178" s="20">
        <f t="shared" si="10"/>
        <v>0</v>
      </c>
      <c r="Y178" s="15"/>
      <c r="AA178" s="9" t="str">
        <f t="shared" si="1"/>
        <v/>
      </c>
      <c r="AB178" s="9" t="str">
        <f>IF('Hàng hóa'!K179&lt;&gt;"",'Hàng hóa'!K179,"")</f>
        <v/>
      </c>
    </row>
    <row r="179" ht="15.75" customHeight="1">
      <c r="A179" s="43"/>
      <c r="B179" s="37" t="str">
        <f t="shared" si="2"/>
        <v/>
      </c>
      <c r="C179" s="44"/>
      <c r="D179" s="45"/>
      <c r="E179" s="45"/>
      <c r="F179" s="47" t="str">
        <f>IF(C179="","",'Thiết lập'!$B$4)</f>
        <v/>
      </c>
      <c r="G179" s="19" t="str">
        <f>IF(C179="","",'Thiết lập'!$B$5)</f>
        <v/>
      </c>
      <c r="H179" s="19" t="str">
        <f>IF(C179="","",'Thiết lập'!$B$6)</f>
        <v/>
      </c>
      <c r="I179" s="19" t="str">
        <f>IF(C179="","",'Thiết lập'!$B$7)</f>
        <v/>
      </c>
      <c r="J179" s="19">
        <f t="shared" si="3"/>
        <v>0</v>
      </c>
      <c r="K179" s="19">
        <f t="shared" si="4"/>
        <v>0</v>
      </c>
      <c r="L179" s="19">
        <f t="shared" si="5"/>
        <v>0</v>
      </c>
      <c r="M179" s="19">
        <f t="shared" si="6"/>
        <v>0</v>
      </c>
      <c r="N179" s="19">
        <f t="shared" si="7"/>
        <v>0</v>
      </c>
      <c r="O179" s="19">
        <f t="shared" si="12"/>
        <v>0</v>
      </c>
      <c r="P179" s="19">
        <f t="shared" si="13"/>
        <v>0</v>
      </c>
      <c r="Q179" s="23"/>
      <c r="R179" s="23"/>
      <c r="S179" s="37" t="str">
        <f t="shared" si="11"/>
        <v/>
      </c>
      <c r="T179" s="44"/>
      <c r="U179" s="45"/>
      <c r="V179" s="37" t="str">
        <f t="array" ref="V179">IFERROR(INDEX('Hàng hóa'!$F$4:$F$203,MATCH(T179,'Hàng hóa'!$B$4:$B$203,0)),"")</f>
        <v/>
      </c>
      <c r="W179" s="19">
        <f t="array" ref="W179">IFERROR(INDEX('Hàng hóa'!$H$4:$H$203,MATCH(T179,'Hàng hóa'!$B$4:$B$203,0)),0)</f>
        <v>0</v>
      </c>
      <c r="X179" s="20">
        <f t="shared" si="10"/>
        <v>0</v>
      </c>
      <c r="Y179" s="15"/>
      <c r="AA179" s="9" t="str">
        <f t="shared" si="1"/>
        <v/>
      </c>
      <c r="AB179" s="9" t="str">
        <f>IF('Hàng hóa'!K180&lt;&gt;"",'Hàng hóa'!K180,"")</f>
        <v/>
      </c>
    </row>
    <row r="180" ht="15.75" customHeight="1">
      <c r="A180" s="43"/>
      <c r="B180" s="37" t="str">
        <f t="shared" si="2"/>
        <v/>
      </c>
      <c r="C180" s="44"/>
      <c r="D180" s="45"/>
      <c r="E180" s="45"/>
      <c r="F180" s="47" t="str">
        <f>IF(C180="","",'Thiết lập'!$B$4)</f>
        <v/>
      </c>
      <c r="G180" s="19" t="str">
        <f>IF(C180="","",'Thiết lập'!$B$5)</f>
        <v/>
      </c>
      <c r="H180" s="19" t="str">
        <f>IF(C180="","",'Thiết lập'!$B$6)</f>
        <v/>
      </c>
      <c r="I180" s="19" t="str">
        <f>IF(C180="","",'Thiết lập'!$B$7)</f>
        <v/>
      </c>
      <c r="J180" s="19">
        <f t="shared" si="3"/>
        <v>0</v>
      </c>
      <c r="K180" s="19">
        <f t="shared" si="4"/>
        <v>0</v>
      </c>
      <c r="L180" s="19">
        <f t="shared" si="5"/>
        <v>0</v>
      </c>
      <c r="M180" s="19">
        <f t="shared" si="6"/>
        <v>0</v>
      </c>
      <c r="N180" s="19">
        <f t="shared" si="7"/>
        <v>0</v>
      </c>
      <c r="O180" s="19">
        <f t="shared" si="12"/>
        <v>0</v>
      </c>
      <c r="P180" s="19">
        <f t="shared" si="13"/>
        <v>0</v>
      </c>
      <c r="Q180" s="23"/>
      <c r="R180" s="23"/>
      <c r="S180" s="37" t="str">
        <f t="shared" si="11"/>
        <v/>
      </c>
      <c r="T180" s="44"/>
      <c r="U180" s="45"/>
      <c r="V180" s="37" t="str">
        <f t="array" ref="V180">IFERROR(INDEX('Hàng hóa'!$F$4:$F$203,MATCH(T180,'Hàng hóa'!$B$4:$B$203,0)),"")</f>
        <v/>
      </c>
      <c r="W180" s="19">
        <f t="array" ref="W180">IFERROR(INDEX('Hàng hóa'!$H$4:$H$203,MATCH(T180,'Hàng hóa'!$B$4:$B$203,0)),0)</f>
        <v>0</v>
      </c>
      <c r="X180" s="20">
        <f t="shared" si="10"/>
        <v>0</v>
      </c>
      <c r="Y180" s="15"/>
      <c r="AA180" s="9" t="str">
        <f t="shared" si="1"/>
        <v/>
      </c>
      <c r="AB180" s="9" t="str">
        <f>IF('Hàng hóa'!K181&lt;&gt;"",'Hàng hóa'!K181,"")</f>
        <v/>
      </c>
    </row>
    <row r="181" ht="15.75" customHeight="1">
      <c r="A181" s="43"/>
      <c r="B181" s="37" t="str">
        <f t="shared" si="2"/>
        <v/>
      </c>
      <c r="C181" s="44"/>
      <c r="D181" s="45"/>
      <c r="E181" s="45"/>
      <c r="F181" s="47" t="str">
        <f>IF(C181="","",'Thiết lập'!$B$4)</f>
        <v/>
      </c>
      <c r="G181" s="19" t="str">
        <f>IF(C181="","",'Thiết lập'!$B$5)</f>
        <v/>
      </c>
      <c r="H181" s="19" t="str">
        <f>IF(C181="","",'Thiết lập'!$B$6)</f>
        <v/>
      </c>
      <c r="I181" s="19" t="str">
        <f>IF(C181="","",'Thiết lập'!$B$7)</f>
        <v/>
      </c>
      <c r="J181" s="19">
        <f t="shared" si="3"/>
        <v>0</v>
      </c>
      <c r="K181" s="19">
        <f t="shared" si="4"/>
        <v>0</v>
      </c>
      <c r="L181" s="19">
        <f t="shared" si="5"/>
        <v>0</v>
      </c>
      <c r="M181" s="19">
        <f t="shared" si="6"/>
        <v>0</v>
      </c>
      <c r="N181" s="19">
        <f t="shared" si="7"/>
        <v>0</v>
      </c>
      <c r="O181" s="19">
        <f t="shared" si="12"/>
        <v>0</v>
      </c>
      <c r="P181" s="19">
        <f t="shared" si="13"/>
        <v>0</v>
      </c>
      <c r="Q181" s="23"/>
      <c r="R181" s="23"/>
      <c r="S181" s="37" t="str">
        <f t="shared" si="11"/>
        <v/>
      </c>
      <c r="T181" s="44"/>
      <c r="U181" s="45"/>
      <c r="V181" s="37" t="str">
        <f t="array" ref="V181">IFERROR(INDEX('Hàng hóa'!$F$4:$F$203,MATCH(T181,'Hàng hóa'!$B$4:$B$203,0)),"")</f>
        <v/>
      </c>
      <c r="W181" s="19">
        <f t="array" ref="W181">IFERROR(INDEX('Hàng hóa'!$H$4:$H$203,MATCH(T181,'Hàng hóa'!$B$4:$B$203,0)),0)</f>
        <v>0</v>
      </c>
      <c r="X181" s="20">
        <f t="shared" si="10"/>
        <v>0</v>
      </c>
      <c r="Y181" s="15"/>
      <c r="AA181" s="9" t="str">
        <f t="shared" si="1"/>
        <v/>
      </c>
      <c r="AB181" s="9" t="str">
        <f>IF('Hàng hóa'!K182&lt;&gt;"",'Hàng hóa'!K182,"")</f>
        <v/>
      </c>
    </row>
    <row r="182" ht="15.75" customHeight="1">
      <c r="A182" s="43"/>
      <c r="B182" s="37" t="str">
        <f t="shared" si="2"/>
        <v/>
      </c>
      <c r="C182" s="44"/>
      <c r="D182" s="45"/>
      <c r="E182" s="45"/>
      <c r="F182" s="47" t="str">
        <f>IF(C182="","",'Thiết lập'!$B$4)</f>
        <v/>
      </c>
      <c r="G182" s="19" t="str">
        <f>IF(C182="","",'Thiết lập'!$B$5)</f>
        <v/>
      </c>
      <c r="H182" s="19" t="str">
        <f>IF(C182="","",'Thiết lập'!$B$6)</f>
        <v/>
      </c>
      <c r="I182" s="19" t="str">
        <f>IF(C182="","",'Thiết lập'!$B$7)</f>
        <v/>
      </c>
      <c r="J182" s="19">
        <f t="shared" si="3"/>
        <v>0</v>
      </c>
      <c r="K182" s="19">
        <f t="shared" si="4"/>
        <v>0</v>
      </c>
      <c r="L182" s="19">
        <f t="shared" si="5"/>
        <v>0</v>
      </c>
      <c r="M182" s="19">
        <f t="shared" si="6"/>
        <v>0</v>
      </c>
      <c r="N182" s="19">
        <f t="shared" si="7"/>
        <v>0</v>
      </c>
      <c r="O182" s="19">
        <f t="shared" si="12"/>
        <v>0</v>
      </c>
      <c r="P182" s="19">
        <f t="shared" si="13"/>
        <v>0</v>
      </c>
      <c r="Q182" s="23"/>
      <c r="R182" s="23"/>
      <c r="S182" s="37" t="str">
        <f t="shared" si="11"/>
        <v/>
      </c>
      <c r="T182" s="44"/>
      <c r="U182" s="45"/>
      <c r="V182" s="37" t="str">
        <f t="array" ref="V182">IFERROR(INDEX('Hàng hóa'!$F$4:$F$203,MATCH(T182,'Hàng hóa'!$B$4:$B$203,0)),"")</f>
        <v/>
      </c>
      <c r="W182" s="19">
        <f t="array" ref="W182">IFERROR(INDEX('Hàng hóa'!$H$4:$H$203,MATCH(T182,'Hàng hóa'!$B$4:$B$203,0)),0)</f>
        <v>0</v>
      </c>
      <c r="X182" s="20">
        <f t="shared" si="10"/>
        <v>0</v>
      </c>
      <c r="Y182" s="15"/>
      <c r="AA182" s="9" t="str">
        <f t="shared" si="1"/>
        <v/>
      </c>
      <c r="AB182" s="9" t="str">
        <f>IF('Hàng hóa'!K183&lt;&gt;"",'Hàng hóa'!K183,"")</f>
        <v/>
      </c>
    </row>
    <row r="183" ht="15.75" customHeight="1">
      <c r="A183" s="43"/>
      <c r="B183" s="37" t="str">
        <f t="shared" si="2"/>
        <v/>
      </c>
      <c r="C183" s="44"/>
      <c r="D183" s="45"/>
      <c r="E183" s="45"/>
      <c r="F183" s="47" t="str">
        <f>IF(C183="","",'Thiết lập'!$B$4)</f>
        <v/>
      </c>
      <c r="G183" s="19" t="str">
        <f>IF(C183="","",'Thiết lập'!$B$5)</f>
        <v/>
      </c>
      <c r="H183" s="19" t="str">
        <f>IF(C183="","",'Thiết lập'!$B$6)</f>
        <v/>
      </c>
      <c r="I183" s="19" t="str">
        <f>IF(C183="","",'Thiết lập'!$B$7)</f>
        <v/>
      </c>
      <c r="J183" s="19">
        <f t="shared" si="3"/>
        <v>0</v>
      </c>
      <c r="K183" s="19">
        <f t="shared" si="4"/>
        <v>0</v>
      </c>
      <c r="L183" s="19">
        <f t="shared" si="5"/>
        <v>0</v>
      </c>
      <c r="M183" s="19">
        <f t="shared" si="6"/>
        <v>0</v>
      </c>
      <c r="N183" s="19">
        <f t="shared" si="7"/>
        <v>0</v>
      </c>
      <c r="O183" s="19">
        <f t="shared" si="12"/>
        <v>0</v>
      </c>
      <c r="P183" s="19">
        <f t="shared" si="13"/>
        <v>0</v>
      </c>
      <c r="Q183" s="23"/>
      <c r="R183" s="23"/>
      <c r="S183" s="37" t="str">
        <f t="shared" si="11"/>
        <v/>
      </c>
      <c r="T183" s="44"/>
      <c r="U183" s="45"/>
      <c r="V183" s="37" t="str">
        <f t="array" ref="V183">IFERROR(INDEX('Hàng hóa'!$F$4:$F$203,MATCH(T183,'Hàng hóa'!$B$4:$B$203,0)),"")</f>
        <v/>
      </c>
      <c r="W183" s="19">
        <f t="array" ref="W183">IFERROR(INDEX('Hàng hóa'!$H$4:$H$203,MATCH(T183,'Hàng hóa'!$B$4:$B$203,0)),0)</f>
        <v>0</v>
      </c>
      <c r="X183" s="20">
        <f t="shared" si="10"/>
        <v>0</v>
      </c>
      <c r="Y183" s="15"/>
      <c r="AA183" s="9" t="str">
        <f t="shared" si="1"/>
        <v/>
      </c>
      <c r="AB183" s="9" t="str">
        <f>IF('Hàng hóa'!K184&lt;&gt;"",'Hàng hóa'!K184,"")</f>
        <v/>
      </c>
    </row>
    <row r="184" ht="15.75" customHeight="1">
      <c r="A184" s="43"/>
      <c r="B184" s="37" t="str">
        <f t="shared" si="2"/>
        <v/>
      </c>
      <c r="C184" s="44"/>
      <c r="D184" s="45"/>
      <c r="E184" s="45"/>
      <c r="F184" s="47" t="str">
        <f>IF(C184="","",'Thiết lập'!$B$4)</f>
        <v/>
      </c>
      <c r="G184" s="19" t="str">
        <f>IF(C184="","",'Thiết lập'!$B$5)</f>
        <v/>
      </c>
      <c r="H184" s="19" t="str">
        <f>IF(C184="","",'Thiết lập'!$B$6)</f>
        <v/>
      </c>
      <c r="I184" s="19" t="str">
        <f>IF(C184="","",'Thiết lập'!$B$7)</f>
        <v/>
      </c>
      <c r="J184" s="19">
        <f t="shared" si="3"/>
        <v>0</v>
      </c>
      <c r="K184" s="19">
        <f t="shared" si="4"/>
        <v>0</v>
      </c>
      <c r="L184" s="19">
        <f t="shared" si="5"/>
        <v>0</v>
      </c>
      <c r="M184" s="19">
        <f t="shared" si="6"/>
        <v>0</v>
      </c>
      <c r="N184" s="19">
        <f t="shared" si="7"/>
        <v>0</v>
      </c>
      <c r="O184" s="19">
        <f t="shared" si="12"/>
        <v>0</v>
      </c>
      <c r="P184" s="19">
        <f t="shared" si="13"/>
        <v>0</v>
      </c>
      <c r="Q184" s="23"/>
      <c r="R184" s="23"/>
      <c r="S184" s="37" t="str">
        <f t="shared" si="11"/>
        <v/>
      </c>
      <c r="T184" s="44"/>
      <c r="U184" s="45"/>
      <c r="V184" s="37" t="str">
        <f t="array" ref="V184">IFERROR(INDEX('Hàng hóa'!$F$4:$F$203,MATCH(T184,'Hàng hóa'!$B$4:$B$203,0)),"")</f>
        <v/>
      </c>
      <c r="W184" s="19">
        <f t="array" ref="W184">IFERROR(INDEX('Hàng hóa'!$H$4:$H$203,MATCH(T184,'Hàng hóa'!$B$4:$B$203,0)),0)</f>
        <v>0</v>
      </c>
      <c r="X184" s="20">
        <f t="shared" si="10"/>
        <v>0</v>
      </c>
      <c r="Y184" s="15"/>
      <c r="AA184" s="9" t="str">
        <f t="shared" si="1"/>
        <v/>
      </c>
      <c r="AB184" s="9" t="str">
        <f>IF('Hàng hóa'!K185&lt;&gt;"",'Hàng hóa'!K185,"")</f>
        <v/>
      </c>
    </row>
    <row r="185" ht="15.75" customHeight="1">
      <c r="A185" s="43"/>
      <c r="B185" s="37" t="str">
        <f t="shared" si="2"/>
        <v/>
      </c>
      <c r="C185" s="44"/>
      <c r="D185" s="45"/>
      <c r="E185" s="45"/>
      <c r="F185" s="47" t="str">
        <f>IF(C185="","",'Thiết lập'!$B$4)</f>
        <v/>
      </c>
      <c r="G185" s="19" t="str">
        <f>IF(C185="","",'Thiết lập'!$B$5)</f>
        <v/>
      </c>
      <c r="H185" s="19" t="str">
        <f>IF(C185="","",'Thiết lập'!$B$6)</f>
        <v/>
      </c>
      <c r="I185" s="19" t="str">
        <f>IF(C185="","",'Thiết lập'!$B$7)</f>
        <v/>
      </c>
      <c r="J185" s="19">
        <f t="shared" si="3"/>
        <v>0</v>
      </c>
      <c r="K185" s="19">
        <f t="shared" si="4"/>
        <v>0</v>
      </c>
      <c r="L185" s="19">
        <f t="shared" si="5"/>
        <v>0</v>
      </c>
      <c r="M185" s="19">
        <f t="shared" si="6"/>
        <v>0</v>
      </c>
      <c r="N185" s="19">
        <f t="shared" si="7"/>
        <v>0</v>
      </c>
      <c r="O185" s="19">
        <f t="shared" si="12"/>
        <v>0</v>
      </c>
      <c r="P185" s="19">
        <f t="shared" si="13"/>
        <v>0</v>
      </c>
      <c r="Q185" s="23"/>
      <c r="R185" s="23"/>
      <c r="S185" s="37" t="str">
        <f t="shared" si="11"/>
        <v/>
      </c>
      <c r="T185" s="44"/>
      <c r="U185" s="45"/>
      <c r="V185" s="37" t="str">
        <f t="array" ref="V185">IFERROR(INDEX('Hàng hóa'!$F$4:$F$203,MATCH(T185,'Hàng hóa'!$B$4:$B$203,0)),"")</f>
        <v/>
      </c>
      <c r="W185" s="19">
        <f t="array" ref="W185">IFERROR(INDEX('Hàng hóa'!$H$4:$H$203,MATCH(T185,'Hàng hóa'!$B$4:$B$203,0)),0)</f>
        <v>0</v>
      </c>
      <c r="X185" s="20">
        <f t="shared" si="10"/>
        <v>0</v>
      </c>
      <c r="Y185" s="15"/>
      <c r="AA185" s="9" t="str">
        <f t="shared" si="1"/>
        <v/>
      </c>
      <c r="AB185" s="9" t="str">
        <f>IF('Hàng hóa'!K186&lt;&gt;"",'Hàng hóa'!K186,"")</f>
        <v/>
      </c>
    </row>
    <row r="186" ht="15.75" customHeight="1">
      <c r="A186" s="43"/>
      <c r="B186" s="37" t="str">
        <f t="shared" si="2"/>
        <v/>
      </c>
      <c r="C186" s="44"/>
      <c r="D186" s="45"/>
      <c r="E186" s="45"/>
      <c r="F186" s="47" t="str">
        <f>IF(C186="","",'Thiết lập'!$B$4)</f>
        <v/>
      </c>
      <c r="G186" s="19" t="str">
        <f>IF(C186="","",'Thiết lập'!$B$5)</f>
        <v/>
      </c>
      <c r="H186" s="19" t="str">
        <f>IF(C186="","",'Thiết lập'!$B$6)</f>
        <v/>
      </c>
      <c r="I186" s="19" t="str">
        <f>IF(C186="","",'Thiết lập'!$B$7)</f>
        <v/>
      </c>
      <c r="J186" s="19">
        <f t="shared" si="3"/>
        <v>0</v>
      </c>
      <c r="K186" s="19">
        <f t="shared" si="4"/>
        <v>0</v>
      </c>
      <c r="L186" s="19">
        <f t="shared" si="5"/>
        <v>0</v>
      </c>
      <c r="M186" s="19">
        <f t="shared" si="6"/>
        <v>0</v>
      </c>
      <c r="N186" s="19">
        <f t="shared" si="7"/>
        <v>0</v>
      </c>
      <c r="O186" s="19">
        <f t="shared" si="12"/>
        <v>0</v>
      </c>
      <c r="P186" s="19">
        <f t="shared" si="13"/>
        <v>0</v>
      </c>
      <c r="Q186" s="23"/>
      <c r="R186" s="23"/>
      <c r="S186" s="37" t="str">
        <f t="shared" si="11"/>
        <v/>
      </c>
      <c r="T186" s="44"/>
      <c r="U186" s="45"/>
      <c r="V186" s="37" t="str">
        <f t="array" ref="V186">IFERROR(INDEX('Hàng hóa'!$F$4:$F$203,MATCH(T186,'Hàng hóa'!$B$4:$B$203,0)),"")</f>
        <v/>
      </c>
      <c r="W186" s="19">
        <f t="array" ref="W186">IFERROR(INDEX('Hàng hóa'!$H$4:$H$203,MATCH(T186,'Hàng hóa'!$B$4:$B$203,0)),0)</f>
        <v>0</v>
      </c>
      <c r="X186" s="20">
        <f t="shared" si="10"/>
        <v>0</v>
      </c>
      <c r="Y186" s="15"/>
      <c r="AA186" s="9" t="str">
        <f t="shared" si="1"/>
        <v/>
      </c>
      <c r="AB186" s="9" t="str">
        <f>IF('Hàng hóa'!K187&lt;&gt;"",'Hàng hóa'!K187,"")</f>
        <v/>
      </c>
    </row>
    <row r="187" ht="15.75" customHeight="1">
      <c r="A187" s="43"/>
      <c r="B187" s="37" t="str">
        <f t="shared" si="2"/>
        <v/>
      </c>
      <c r="C187" s="44"/>
      <c r="D187" s="45"/>
      <c r="E187" s="45"/>
      <c r="F187" s="47" t="str">
        <f>IF(C187="","",'Thiết lập'!$B$4)</f>
        <v/>
      </c>
      <c r="G187" s="19" t="str">
        <f>IF(C187="","",'Thiết lập'!$B$5)</f>
        <v/>
      </c>
      <c r="H187" s="19" t="str">
        <f>IF(C187="","",'Thiết lập'!$B$6)</f>
        <v/>
      </c>
      <c r="I187" s="19" t="str">
        <f>IF(C187="","",'Thiết lập'!$B$7)</f>
        <v/>
      </c>
      <c r="J187" s="19">
        <f t="shared" si="3"/>
        <v>0</v>
      </c>
      <c r="K187" s="19">
        <f t="shared" si="4"/>
        <v>0</v>
      </c>
      <c r="L187" s="19">
        <f t="shared" si="5"/>
        <v>0</v>
      </c>
      <c r="M187" s="19">
        <f t="shared" si="6"/>
        <v>0</v>
      </c>
      <c r="N187" s="19">
        <f t="shared" si="7"/>
        <v>0</v>
      </c>
      <c r="O187" s="19">
        <f t="shared" si="12"/>
        <v>0</v>
      </c>
      <c r="P187" s="19">
        <f t="shared" si="13"/>
        <v>0</v>
      </c>
      <c r="Q187" s="23"/>
      <c r="R187" s="23"/>
      <c r="S187" s="37" t="str">
        <f t="shared" si="11"/>
        <v/>
      </c>
      <c r="T187" s="44"/>
      <c r="U187" s="45"/>
      <c r="V187" s="37" t="str">
        <f t="array" ref="V187">IFERROR(INDEX('Hàng hóa'!$F$4:$F$203,MATCH(T187,'Hàng hóa'!$B$4:$B$203,0)),"")</f>
        <v/>
      </c>
      <c r="W187" s="19">
        <f t="array" ref="W187">IFERROR(INDEX('Hàng hóa'!$H$4:$H$203,MATCH(T187,'Hàng hóa'!$B$4:$B$203,0)),0)</f>
        <v>0</v>
      </c>
      <c r="X187" s="20">
        <f t="shared" si="10"/>
        <v>0</v>
      </c>
      <c r="Y187" s="15"/>
      <c r="AA187" s="9" t="str">
        <f t="shared" si="1"/>
        <v/>
      </c>
      <c r="AB187" s="9" t="str">
        <f>IF('Hàng hóa'!K188&lt;&gt;"",'Hàng hóa'!K188,"")</f>
        <v/>
      </c>
    </row>
    <row r="188" ht="15.75" customHeight="1">
      <c r="A188" s="43"/>
      <c r="B188" s="37" t="str">
        <f t="shared" si="2"/>
        <v/>
      </c>
      <c r="C188" s="44"/>
      <c r="D188" s="45"/>
      <c r="E188" s="45"/>
      <c r="F188" s="47" t="str">
        <f>IF(C188="","",'Thiết lập'!$B$4)</f>
        <v/>
      </c>
      <c r="G188" s="19" t="str">
        <f>IF(C188="","",'Thiết lập'!$B$5)</f>
        <v/>
      </c>
      <c r="H188" s="19" t="str">
        <f>IF(C188="","",'Thiết lập'!$B$6)</f>
        <v/>
      </c>
      <c r="I188" s="19" t="str">
        <f>IF(C188="","",'Thiết lập'!$B$7)</f>
        <v/>
      </c>
      <c r="J188" s="19">
        <f t="shared" si="3"/>
        <v>0</v>
      </c>
      <c r="K188" s="19">
        <f t="shared" si="4"/>
        <v>0</v>
      </c>
      <c r="L188" s="19">
        <f t="shared" si="5"/>
        <v>0</v>
      </c>
      <c r="M188" s="19">
        <f t="shared" si="6"/>
        <v>0</v>
      </c>
      <c r="N188" s="19">
        <f t="shared" si="7"/>
        <v>0</v>
      </c>
      <c r="O188" s="19">
        <f t="shared" si="12"/>
        <v>0</v>
      </c>
      <c r="P188" s="19">
        <f t="shared" si="13"/>
        <v>0</v>
      </c>
      <c r="Q188" s="23"/>
      <c r="R188" s="23"/>
      <c r="S188" s="37" t="str">
        <f t="shared" si="11"/>
        <v/>
      </c>
      <c r="T188" s="44"/>
      <c r="U188" s="45"/>
      <c r="V188" s="37" t="str">
        <f t="array" ref="V188">IFERROR(INDEX('Hàng hóa'!$F$4:$F$203,MATCH(T188,'Hàng hóa'!$B$4:$B$203,0)),"")</f>
        <v/>
      </c>
      <c r="W188" s="19">
        <f t="array" ref="W188">IFERROR(INDEX('Hàng hóa'!$H$4:$H$203,MATCH(T188,'Hàng hóa'!$B$4:$B$203,0)),0)</f>
        <v>0</v>
      </c>
      <c r="X188" s="20">
        <f t="shared" si="10"/>
        <v>0</v>
      </c>
      <c r="Y188" s="15"/>
      <c r="AA188" s="9" t="str">
        <f t="shared" si="1"/>
        <v/>
      </c>
      <c r="AB188" s="9" t="str">
        <f>IF('Hàng hóa'!K189&lt;&gt;"",'Hàng hóa'!K189,"")</f>
        <v/>
      </c>
    </row>
    <row r="189" ht="15.75" customHeight="1">
      <c r="A189" s="43"/>
      <c r="B189" s="37" t="str">
        <f t="shared" si="2"/>
        <v/>
      </c>
      <c r="C189" s="44"/>
      <c r="D189" s="45"/>
      <c r="E189" s="45"/>
      <c r="F189" s="47" t="str">
        <f>IF(C189="","",'Thiết lập'!$B$4)</f>
        <v/>
      </c>
      <c r="G189" s="19" t="str">
        <f>IF(C189="","",'Thiết lập'!$B$5)</f>
        <v/>
      </c>
      <c r="H189" s="19" t="str">
        <f>IF(C189="","",'Thiết lập'!$B$6)</f>
        <v/>
      </c>
      <c r="I189" s="19" t="str">
        <f>IF(C189="","",'Thiết lập'!$B$7)</f>
        <v/>
      </c>
      <c r="J189" s="19">
        <f t="shared" si="3"/>
        <v>0</v>
      </c>
      <c r="K189" s="19">
        <f t="shared" si="4"/>
        <v>0</v>
      </c>
      <c r="L189" s="19">
        <f t="shared" si="5"/>
        <v>0</v>
      </c>
      <c r="M189" s="19">
        <f t="shared" si="6"/>
        <v>0</v>
      </c>
      <c r="N189" s="19">
        <f t="shared" si="7"/>
        <v>0</v>
      </c>
      <c r="O189" s="19">
        <f t="shared" si="12"/>
        <v>0</v>
      </c>
      <c r="P189" s="19">
        <f t="shared" si="13"/>
        <v>0</v>
      </c>
      <c r="Q189" s="23"/>
      <c r="R189" s="23"/>
      <c r="S189" s="37" t="str">
        <f t="shared" si="11"/>
        <v/>
      </c>
      <c r="T189" s="44"/>
      <c r="U189" s="45"/>
      <c r="V189" s="37" t="str">
        <f t="array" ref="V189">IFERROR(INDEX('Hàng hóa'!$F$4:$F$203,MATCH(T189,'Hàng hóa'!$B$4:$B$203,0)),"")</f>
        <v/>
      </c>
      <c r="W189" s="19">
        <f t="array" ref="W189">IFERROR(INDEX('Hàng hóa'!$H$4:$H$203,MATCH(T189,'Hàng hóa'!$B$4:$B$203,0)),0)</f>
        <v>0</v>
      </c>
      <c r="X189" s="20">
        <f t="shared" si="10"/>
        <v>0</v>
      </c>
      <c r="Y189" s="15"/>
      <c r="AA189" s="9" t="str">
        <f t="shared" si="1"/>
        <v/>
      </c>
      <c r="AB189" s="9" t="str">
        <f>IF('Hàng hóa'!K190&lt;&gt;"",'Hàng hóa'!K190,"")</f>
        <v/>
      </c>
    </row>
    <row r="190" ht="15.75" customHeight="1">
      <c r="A190" s="43"/>
      <c r="B190" s="37" t="str">
        <f t="shared" si="2"/>
        <v/>
      </c>
      <c r="C190" s="44"/>
      <c r="D190" s="45"/>
      <c r="E190" s="45"/>
      <c r="F190" s="47" t="str">
        <f>IF(C190="","",'Thiết lập'!$B$4)</f>
        <v/>
      </c>
      <c r="G190" s="19" t="str">
        <f>IF(C190="","",'Thiết lập'!$B$5)</f>
        <v/>
      </c>
      <c r="H190" s="19" t="str">
        <f>IF(C190="","",'Thiết lập'!$B$6)</f>
        <v/>
      </c>
      <c r="I190" s="19" t="str">
        <f>IF(C190="","",'Thiết lập'!$B$7)</f>
        <v/>
      </c>
      <c r="J190" s="19">
        <f t="shared" si="3"/>
        <v>0</v>
      </c>
      <c r="K190" s="19">
        <f t="shared" si="4"/>
        <v>0</v>
      </c>
      <c r="L190" s="19">
        <f t="shared" si="5"/>
        <v>0</v>
      </c>
      <c r="M190" s="19">
        <f t="shared" si="6"/>
        <v>0</v>
      </c>
      <c r="N190" s="19">
        <f t="shared" si="7"/>
        <v>0</v>
      </c>
      <c r="O190" s="19">
        <f t="shared" si="12"/>
        <v>0</v>
      </c>
      <c r="P190" s="19">
        <f t="shared" si="13"/>
        <v>0</v>
      </c>
      <c r="Q190" s="23"/>
      <c r="R190" s="23"/>
      <c r="S190" s="37" t="str">
        <f t="shared" si="11"/>
        <v/>
      </c>
      <c r="T190" s="44"/>
      <c r="U190" s="45"/>
      <c r="V190" s="37" t="str">
        <f t="array" ref="V190">IFERROR(INDEX('Hàng hóa'!$F$4:$F$203,MATCH(T190,'Hàng hóa'!$B$4:$B$203,0)),"")</f>
        <v/>
      </c>
      <c r="W190" s="19">
        <f t="array" ref="W190">IFERROR(INDEX('Hàng hóa'!$H$4:$H$203,MATCH(T190,'Hàng hóa'!$B$4:$B$203,0)),0)</f>
        <v>0</v>
      </c>
      <c r="X190" s="20">
        <f t="shared" si="10"/>
        <v>0</v>
      </c>
      <c r="Y190" s="15"/>
      <c r="AA190" s="9" t="str">
        <f t="shared" si="1"/>
        <v/>
      </c>
      <c r="AB190" s="9" t="str">
        <f>IF('Hàng hóa'!K191&lt;&gt;"",'Hàng hóa'!K191,"")</f>
        <v/>
      </c>
    </row>
    <row r="191" ht="15.75" customHeight="1">
      <c r="A191" s="43"/>
      <c r="B191" s="37" t="str">
        <f t="shared" si="2"/>
        <v/>
      </c>
      <c r="C191" s="44"/>
      <c r="D191" s="45"/>
      <c r="E191" s="45"/>
      <c r="F191" s="47" t="str">
        <f>IF(C191="","",'Thiết lập'!$B$4)</f>
        <v/>
      </c>
      <c r="G191" s="19" t="str">
        <f>IF(C191="","",'Thiết lập'!$B$5)</f>
        <v/>
      </c>
      <c r="H191" s="19" t="str">
        <f>IF(C191="","",'Thiết lập'!$B$6)</f>
        <v/>
      </c>
      <c r="I191" s="19" t="str">
        <f>IF(C191="","",'Thiết lập'!$B$7)</f>
        <v/>
      </c>
      <c r="J191" s="19">
        <f t="shared" si="3"/>
        <v>0</v>
      </c>
      <c r="K191" s="19">
        <f t="shared" si="4"/>
        <v>0</v>
      </c>
      <c r="L191" s="19">
        <f t="shared" si="5"/>
        <v>0</v>
      </c>
      <c r="M191" s="19">
        <f t="shared" si="6"/>
        <v>0</v>
      </c>
      <c r="N191" s="19">
        <f t="shared" si="7"/>
        <v>0</v>
      </c>
      <c r="O191" s="19">
        <f t="shared" si="12"/>
        <v>0</v>
      </c>
      <c r="P191" s="19">
        <f t="shared" si="13"/>
        <v>0</v>
      </c>
      <c r="Q191" s="23"/>
      <c r="R191" s="23"/>
      <c r="S191" s="37" t="str">
        <f t="shared" si="11"/>
        <v/>
      </c>
      <c r="T191" s="44"/>
      <c r="U191" s="45"/>
      <c r="V191" s="37" t="str">
        <f t="array" ref="V191">IFERROR(INDEX('Hàng hóa'!$F$4:$F$203,MATCH(T191,'Hàng hóa'!$B$4:$B$203,0)),"")</f>
        <v/>
      </c>
      <c r="W191" s="19">
        <f t="array" ref="W191">IFERROR(INDEX('Hàng hóa'!$H$4:$H$203,MATCH(T191,'Hàng hóa'!$B$4:$B$203,0)),0)</f>
        <v>0</v>
      </c>
      <c r="X191" s="20">
        <f t="shared" si="10"/>
        <v>0</v>
      </c>
      <c r="Y191" s="15"/>
      <c r="AA191" s="9" t="str">
        <f t="shared" si="1"/>
        <v/>
      </c>
      <c r="AB191" s="9" t="str">
        <f>IF('Hàng hóa'!K192&lt;&gt;"",'Hàng hóa'!K192,"")</f>
        <v/>
      </c>
    </row>
    <row r="192" ht="15.75" customHeight="1">
      <c r="A192" s="43"/>
      <c r="B192" s="37" t="str">
        <f t="shared" si="2"/>
        <v/>
      </c>
      <c r="C192" s="44"/>
      <c r="D192" s="45"/>
      <c r="E192" s="45"/>
      <c r="F192" s="47" t="str">
        <f>IF(C192="","",'Thiết lập'!$B$4)</f>
        <v/>
      </c>
      <c r="G192" s="19" t="str">
        <f>IF(C192="","",'Thiết lập'!$B$5)</f>
        <v/>
      </c>
      <c r="H192" s="19" t="str">
        <f>IF(C192="","",'Thiết lập'!$B$6)</f>
        <v/>
      </c>
      <c r="I192" s="19" t="str">
        <f>IF(C192="","",'Thiết lập'!$B$7)</f>
        <v/>
      </c>
      <c r="J192" s="19">
        <f t="shared" si="3"/>
        <v>0</v>
      </c>
      <c r="K192" s="19">
        <f t="shared" si="4"/>
        <v>0</v>
      </c>
      <c r="L192" s="19">
        <f t="shared" si="5"/>
        <v>0</v>
      </c>
      <c r="M192" s="19">
        <f t="shared" si="6"/>
        <v>0</v>
      </c>
      <c r="N192" s="19">
        <f t="shared" si="7"/>
        <v>0</v>
      </c>
      <c r="O192" s="19">
        <f t="shared" si="12"/>
        <v>0</v>
      </c>
      <c r="P192" s="19">
        <f t="shared" si="13"/>
        <v>0</v>
      </c>
      <c r="Q192" s="23"/>
      <c r="R192" s="23"/>
      <c r="S192" s="37" t="str">
        <f t="shared" si="11"/>
        <v/>
      </c>
      <c r="T192" s="44"/>
      <c r="U192" s="45"/>
      <c r="V192" s="37" t="str">
        <f t="array" ref="V192">IFERROR(INDEX('Hàng hóa'!$F$4:$F$203,MATCH(T192,'Hàng hóa'!$B$4:$B$203,0)),"")</f>
        <v/>
      </c>
      <c r="W192" s="19">
        <f t="array" ref="W192">IFERROR(INDEX('Hàng hóa'!$H$4:$H$203,MATCH(T192,'Hàng hóa'!$B$4:$B$203,0)),0)</f>
        <v>0</v>
      </c>
      <c r="X192" s="20">
        <f t="shared" si="10"/>
        <v>0</v>
      </c>
      <c r="Y192" s="15"/>
      <c r="AA192" s="9" t="str">
        <f t="shared" si="1"/>
        <v/>
      </c>
      <c r="AB192" s="9" t="str">
        <f>IF('Hàng hóa'!K193&lt;&gt;"",'Hàng hóa'!K193,"")</f>
        <v/>
      </c>
    </row>
    <row r="193" ht="15.75" customHeight="1">
      <c r="A193" s="43"/>
      <c r="B193" s="37" t="str">
        <f t="shared" si="2"/>
        <v/>
      </c>
      <c r="C193" s="44"/>
      <c r="D193" s="45"/>
      <c r="E193" s="45"/>
      <c r="F193" s="47" t="str">
        <f>IF(C193="","",'Thiết lập'!$B$4)</f>
        <v/>
      </c>
      <c r="G193" s="19" t="str">
        <f>IF(C193="","",'Thiết lập'!$B$5)</f>
        <v/>
      </c>
      <c r="H193" s="19" t="str">
        <f>IF(C193="","",'Thiết lập'!$B$6)</f>
        <v/>
      </c>
      <c r="I193" s="19" t="str">
        <f>IF(C193="","",'Thiết lập'!$B$7)</f>
        <v/>
      </c>
      <c r="J193" s="19">
        <f t="shared" si="3"/>
        <v>0</v>
      </c>
      <c r="K193" s="19">
        <f t="shared" si="4"/>
        <v>0</v>
      </c>
      <c r="L193" s="19">
        <f t="shared" si="5"/>
        <v>0</v>
      </c>
      <c r="M193" s="19">
        <f t="shared" si="6"/>
        <v>0</v>
      </c>
      <c r="N193" s="19">
        <f t="shared" si="7"/>
        <v>0</v>
      </c>
      <c r="O193" s="19">
        <f t="shared" si="12"/>
        <v>0</v>
      </c>
      <c r="P193" s="19">
        <f t="shared" si="13"/>
        <v>0</v>
      </c>
      <c r="Q193" s="23"/>
      <c r="R193" s="23"/>
      <c r="S193" s="37" t="str">
        <f t="shared" si="11"/>
        <v/>
      </c>
      <c r="T193" s="44"/>
      <c r="U193" s="45"/>
      <c r="V193" s="37" t="str">
        <f t="array" ref="V193">IFERROR(INDEX('Hàng hóa'!$F$4:$F$203,MATCH(T193,'Hàng hóa'!$B$4:$B$203,0)),"")</f>
        <v/>
      </c>
      <c r="W193" s="19">
        <f t="array" ref="W193">IFERROR(INDEX('Hàng hóa'!$H$4:$H$203,MATCH(T193,'Hàng hóa'!$B$4:$B$203,0)),0)</f>
        <v>0</v>
      </c>
      <c r="X193" s="20">
        <f t="shared" si="10"/>
        <v>0</v>
      </c>
      <c r="Y193" s="15"/>
      <c r="AA193" s="9" t="str">
        <f t="shared" si="1"/>
        <v/>
      </c>
      <c r="AB193" s="9" t="str">
        <f>IF('Hàng hóa'!K194&lt;&gt;"",'Hàng hóa'!K194,"")</f>
        <v/>
      </c>
    </row>
    <row r="194" ht="15.75" customHeight="1">
      <c r="A194" s="43"/>
      <c r="B194" s="37" t="str">
        <f t="shared" si="2"/>
        <v/>
      </c>
      <c r="C194" s="44"/>
      <c r="D194" s="45"/>
      <c r="E194" s="45"/>
      <c r="F194" s="47" t="str">
        <f>IF(C194="","",'Thiết lập'!$B$4)</f>
        <v/>
      </c>
      <c r="G194" s="19" t="str">
        <f>IF(C194="","",'Thiết lập'!$B$5)</f>
        <v/>
      </c>
      <c r="H194" s="19" t="str">
        <f>IF(C194="","",'Thiết lập'!$B$6)</f>
        <v/>
      </c>
      <c r="I194" s="19" t="str">
        <f>IF(C194="","",'Thiết lập'!$B$7)</f>
        <v/>
      </c>
      <c r="J194" s="19">
        <f t="shared" si="3"/>
        <v>0</v>
      </c>
      <c r="K194" s="19">
        <f t="shared" si="4"/>
        <v>0</v>
      </c>
      <c r="L194" s="19">
        <f t="shared" si="5"/>
        <v>0</v>
      </c>
      <c r="M194" s="19">
        <f t="shared" si="6"/>
        <v>0</v>
      </c>
      <c r="N194" s="19">
        <f t="shared" si="7"/>
        <v>0</v>
      </c>
      <c r="O194" s="19">
        <f t="shared" si="12"/>
        <v>0</v>
      </c>
      <c r="P194" s="19">
        <f t="shared" si="13"/>
        <v>0</v>
      </c>
      <c r="Q194" s="23"/>
      <c r="R194" s="23"/>
      <c r="S194" s="37" t="str">
        <f t="shared" si="11"/>
        <v/>
      </c>
      <c r="T194" s="44"/>
      <c r="U194" s="45"/>
      <c r="V194" s="37" t="str">
        <f t="array" ref="V194">IFERROR(INDEX('Hàng hóa'!$F$4:$F$203,MATCH(T194,'Hàng hóa'!$B$4:$B$203,0)),"")</f>
        <v/>
      </c>
      <c r="W194" s="19">
        <f t="array" ref="W194">IFERROR(INDEX('Hàng hóa'!$H$4:$H$203,MATCH(T194,'Hàng hóa'!$B$4:$B$203,0)),0)</f>
        <v>0</v>
      </c>
      <c r="X194" s="20">
        <f t="shared" si="10"/>
        <v>0</v>
      </c>
      <c r="Y194" s="15"/>
      <c r="AA194" s="9" t="str">
        <f t="shared" si="1"/>
        <v/>
      </c>
      <c r="AB194" s="9" t="str">
        <f>IF('Hàng hóa'!K195&lt;&gt;"",'Hàng hóa'!K195,"")</f>
        <v/>
      </c>
    </row>
    <row r="195" ht="15.75" customHeight="1">
      <c r="A195" s="43"/>
      <c r="B195" s="37" t="str">
        <f t="shared" si="2"/>
        <v/>
      </c>
      <c r="C195" s="44"/>
      <c r="D195" s="45"/>
      <c r="E195" s="45"/>
      <c r="F195" s="47" t="str">
        <f>IF(C195="","",'Thiết lập'!$B$4)</f>
        <v/>
      </c>
      <c r="G195" s="19" t="str">
        <f>IF(C195="","",'Thiết lập'!$B$5)</f>
        <v/>
      </c>
      <c r="H195" s="19" t="str">
        <f>IF(C195="","",'Thiết lập'!$B$6)</f>
        <v/>
      </c>
      <c r="I195" s="19" t="str">
        <f>IF(C195="","",'Thiết lập'!$B$7)</f>
        <v/>
      </c>
      <c r="J195" s="19">
        <f t="shared" si="3"/>
        <v>0</v>
      </c>
      <c r="K195" s="19">
        <f t="shared" si="4"/>
        <v>0</v>
      </c>
      <c r="L195" s="19">
        <f t="shared" si="5"/>
        <v>0</v>
      </c>
      <c r="M195" s="19">
        <f t="shared" si="6"/>
        <v>0</v>
      </c>
      <c r="N195" s="19">
        <f t="shared" si="7"/>
        <v>0</v>
      </c>
      <c r="O195" s="19">
        <f t="shared" si="12"/>
        <v>0</v>
      </c>
      <c r="P195" s="19">
        <f t="shared" si="13"/>
        <v>0</v>
      </c>
      <c r="Q195" s="23"/>
      <c r="R195" s="23"/>
      <c r="S195" s="37" t="str">
        <f t="shared" si="11"/>
        <v/>
      </c>
      <c r="T195" s="44"/>
      <c r="U195" s="45"/>
      <c r="V195" s="37" t="str">
        <f t="array" ref="V195">IFERROR(INDEX('Hàng hóa'!$F$4:$F$203,MATCH(T195,'Hàng hóa'!$B$4:$B$203,0)),"")</f>
        <v/>
      </c>
      <c r="W195" s="19">
        <f t="array" ref="W195">IFERROR(INDEX('Hàng hóa'!$H$4:$H$203,MATCH(T195,'Hàng hóa'!$B$4:$B$203,0)),0)</f>
        <v>0</v>
      </c>
      <c r="X195" s="20">
        <f t="shared" si="10"/>
        <v>0</v>
      </c>
      <c r="Y195" s="15"/>
      <c r="AA195" s="9" t="str">
        <f t="shared" si="1"/>
        <v/>
      </c>
      <c r="AB195" s="9" t="str">
        <f>IF('Hàng hóa'!K196&lt;&gt;"",'Hàng hóa'!K196,"")</f>
        <v/>
      </c>
    </row>
    <row r="196" ht="15.75" customHeight="1">
      <c r="A196" s="43"/>
      <c r="B196" s="37" t="str">
        <f t="shared" si="2"/>
        <v/>
      </c>
      <c r="C196" s="44"/>
      <c r="D196" s="45"/>
      <c r="E196" s="45"/>
      <c r="F196" s="47" t="str">
        <f>IF(C196="","",'Thiết lập'!$B$4)</f>
        <v/>
      </c>
      <c r="G196" s="19" t="str">
        <f>IF(C196="","",'Thiết lập'!$B$5)</f>
        <v/>
      </c>
      <c r="H196" s="19" t="str">
        <f>IF(C196="","",'Thiết lập'!$B$6)</f>
        <v/>
      </c>
      <c r="I196" s="19" t="str">
        <f>IF(C196="","",'Thiết lập'!$B$7)</f>
        <v/>
      </c>
      <c r="J196" s="19">
        <f t="shared" si="3"/>
        <v>0</v>
      </c>
      <c r="K196" s="19">
        <f t="shared" si="4"/>
        <v>0</v>
      </c>
      <c r="L196" s="19">
        <f t="shared" si="5"/>
        <v>0</v>
      </c>
      <c r="M196" s="19">
        <f t="shared" si="6"/>
        <v>0</v>
      </c>
      <c r="N196" s="19">
        <f t="shared" si="7"/>
        <v>0</v>
      </c>
      <c r="O196" s="19">
        <f t="shared" si="12"/>
        <v>0</v>
      </c>
      <c r="P196" s="19">
        <f t="shared" si="13"/>
        <v>0</v>
      </c>
      <c r="Q196" s="23"/>
      <c r="R196" s="23"/>
      <c r="S196" s="37" t="str">
        <f t="shared" si="11"/>
        <v/>
      </c>
      <c r="T196" s="44"/>
      <c r="U196" s="45"/>
      <c r="V196" s="37" t="str">
        <f t="array" ref="V196">IFERROR(INDEX('Hàng hóa'!$F$4:$F$203,MATCH(T196,'Hàng hóa'!$B$4:$B$203,0)),"")</f>
        <v/>
      </c>
      <c r="W196" s="19">
        <f t="array" ref="W196">IFERROR(INDEX('Hàng hóa'!$H$4:$H$203,MATCH(T196,'Hàng hóa'!$B$4:$B$203,0)),0)</f>
        <v>0</v>
      </c>
      <c r="X196" s="20">
        <f t="shared" si="10"/>
        <v>0</v>
      </c>
      <c r="Y196" s="15"/>
      <c r="AA196" s="9" t="str">
        <f t="shared" si="1"/>
        <v/>
      </c>
      <c r="AB196" s="9" t="str">
        <f>IF('Hàng hóa'!K197&lt;&gt;"",'Hàng hóa'!K197,"")</f>
        <v/>
      </c>
    </row>
    <row r="197" ht="15.75" customHeight="1">
      <c r="A197" s="43"/>
      <c r="B197" s="37" t="str">
        <f t="shared" si="2"/>
        <v/>
      </c>
      <c r="C197" s="44"/>
      <c r="D197" s="45"/>
      <c r="E197" s="45"/>
      <c r="F197" s="47" t="str">
        <f>IF(C197="","",'Thiết lập'!$B$4)</f>
        <v/>
      </c>
      <c r="G197" s="19" t="str">
        <f>IF(C197="","",'Thiết lập'!$B$5)</f>
        <v/>
      </c>
      <c r="H197" s="19" t="str">
        <f>IF(C197="","",'Thiết lập'!$B$6)</f>
        <v/>
      </c>
      <c r="I197" s="19" t="str">
        <f>IF(C197="","",'Thiết lập'!$B$7)</f>
        <v/>
      </c>
      <c r="J197" s="19">
        <f t="shared" si="3"/>
        <v>0</v>
      </c>
      <c r="K197" s="19">
        <f t="shared" si="4"/>
        <v>0</v>
      </c>
      <c r="L197" s="19">
        <f t="shared" si="5"/>
        <v>0</v>
      </c>
      <c r="M197" s="19">
        <f t="shared" si="6"/>
        <v>0</v>
      </c>
      <c r="N197" s="19">
        <f t="shared" si="7"/>
        <v>0</v>
      </c>
      <c r="O197" s="19">
        <f t="shared" si="12"/>
        <v>0</v>
      </c>
      <c r="P197" s="19">
        <f t="shared" si="13"/>
        <v>0</v>
      </c>
      <c r="Q197" s="23"/>
      <c r="R197" s="23"/>
      <c r="S197" s="37" t="str">
        <f t="shared" si="11"/>
        <v/>
      </c>
      <c r="T197" s="44"/>
      <c r="U197" s="45"/>
      <c r="V197" s="37" t="str">
        <f t="array" ref="V197">IFERROR(INDEX('Hàng hóa'!$F$4:$F$203,MATCH(T197,'Hàng hóa'!$B$4:$B$203,0)),"")</f>
        <v/>
      </c>
      <c r="W197" s="19">
        <f t="array" ref="W197">IFERROR(INDEX('Hàng hóa'!$H$4:$H$203,MATCH(T197,'Hàng hóa'!$B$4:$B$203,0)),0)</f>
        <v>0</v>
      </c>
      <c r="X197" s="20">
        <f t="shared" si="10"/>
        <v>0</v>
      </c>
      <c r="Y197" s="15"/>
      <c r="AA197" s="9" t="str">
        <f t="shared" si="1"/>
        <v/>
      </c>
      <c r="AB197" s="9" t="str">
        <f>IF('Hàng hóa'!K198&lt;&gt;"",'Hàng hóa'!K198,"")</f>
        <v/>
      </c>
    </row>
    <row r="198" ht="15.75" customHeight="1">
      <c r="A198" s="43"/>
      <c r="B198" s="37" t="str">
        <f t="shared" si="2"/>
        <v/>
      </c>
      <c r="C198" s="44"/>
      <c r="D198" s="45"/>
      <c r="E198" s="45"/>
      <c r="F198" s="47" t="str">
        <f>IF(C198="","",'Thiết lập'!$B$4)</f>
        <v/>
      </c>
      <c r="G198" s="19" t="str">
        <f>IF(C198="","",'Thiết lập'!$B$5)</f>
        <v/>
      </c>
      <c r="H198" s="19" t="str">
        <f>IF(C198="","",'Thiết lập'!$B$6)</f>
        <v/>
      </c>
      <c r="I198" s="19" t="str">
        <f>IF(C198="","",'Thiết lập'!$B$7)</f>
        <v/>
      </c>
      <c r="J198" s="19">
        <f t="shared" si="3"/>
        <v>0</v>
      </c>
      <c r="K198" s="19">
        <f t="shared" si="4"/>
        <v>0</v>
      </c>
      <c r="L198" s="19">
        <f t="shared" si="5"/>
        <v>0</v>
      </c>
      <c r="M198" s="19">
        <f t="shared" si="6"/>
        <v>0</v>
      </c>
      <c r="N198" s="19">
        <f t="shared" si="7"/>
        <v>0</v>
      </c>
      <c r="O198" s="19">
        <f t="shared" si="12"/>
        <v>0</v>
      </c>
      <c r="P198" s="19">
        <f t="shared" si="13"/>
        <v>0</v>
      </c>
      <c r="Q198" s="23"/>
      <c r="R198" s="23"/>
      <c r="S198" s="37" t="str">
        <f t="shared" si="11"/>
        <v/>
      </c>
      <c r="T198" s="44"/>
      <c r="U198" s="45"/>
      <c r="V198" s="37" t="str">
        <f t="array" ref="V198">IFERROR(INDEX('Hàng hóa'!$F$4:$F$203,MATCH(T198,'Hàng hóa'!$B$4:$B$203,0)),"")</f>
        <v/>
      </c>
      <c r="W198" s="19">
        <f t="array" ref="W198">IFERROR(INDEX('Hàng hóa'!$H$4:$H$203,MATCH(T198,'Hàng hóa'!$B$4:$B$203,0)),0)</f>
        <v>0</v>
      </c>
      <c r="X198" s="20">
        <f t="shared" si="10"/>
        <v>0</v>
      </c>
      <c r="Y198" s="15"/>
      <c r="AA198" s="9" t="str">
        <f t="shared" si="1"/>
        <v/>
      </c>
      <c r="AB198" s="9" t="str">
        <f>IF('Hàng hóa'!K199&lt;&gt;"",'Hàng hóa'!K199,"")</f>
        <v/>
      </c>
    </row>
    <row r="199" ht="15.75" customHeight="1">
      <c r="A199" s="43"/>
      <c r="B199" s="37" t="str">
        <f t="shared" si="2"/>
        <v/>
      </c>
      <c r="C199" s="44"/>
      <c r="D199" s="45"/>
      <c r="E199" s="45"/>
      <c r="F199" s="47" t="str">
        <f>IF(C199="","",'Thiết lập'!$B$4)</f>
        <v/>
      </c>
      <c r="G199" s="19" t="str">
        <f>IF(C199="","",'Thiết lập'!$B$5)</f>
        <v/>
      </c>
      <c r="H199" s="19" t="str">
        <f>IF(C199="","",'Thiết lập'!$B$6)</f>
        <v/>
      </c>
      <c r="I199" s="19" t="str">
        <f>IF(C199="","",'Thiết lập'!$B$7)</f>
        <v/>
      </c>
      <c r="J199" s="19">
        <f t="shared" si="3"/>
        <v>0</v>
      </c>
      <c r="K199" s="19">
        <f t="shared" si="4"/>
        <v>0</v>
      </c>
      <c r="L199" s="19">
        <f t="shared" si="5"/>
        <v>0</v>
      </c>
      <c r="M199" s="19">
        <f t="shared" si="6"/>
        <v>0</v>
      </c>
      <c r="N199" s="19">
        <f t="shared" si="7"/>
        <v>0</v>
      </c>
      <c r="O199" s="19">
        <f t="shared" si="12"/>
        <v>0</v>
      </c>
      <c r="P199" s="19">
        <f t="shared" si="13"/>
        <v>0</v>
      </c>
      <c r="Q199" s="23"/>
      <c r="R199" s="23"/>
      <c r="S199" s="37" t="str">
        <f t="shared" si="11"/>
        <v/>
      </c>
      <c r="T199" s="44"/>
      <c r="U199" s="45"/>
      <c r="V199" s="37" t="str">
        <f t="array" ref="V199">IFERROR(INDEX('Hàng hóa'!$F$4:$F$203,MATCH(T199,'Hàng hóa'!$B$4:$B$203,0)),"")</f>
        <v/>
      </c>
      <c r="W199" s="19">
        <f t="array" ref="W199">IFERROR(INDEX('Hàng hóa'!$H$4:$H$203,MATCH(T199,'Hàng hóa'!$B$4:$B$203,0)),0)</f>
        <v>0</v>
      </c>
      <c r="X199" s="20">
        <f t="shared" si="10"/>
        <v>0</v>
      </c>
      <c r="Y199" s="15"/>
      <c r="AA199" s="9" t="str">
        <f t="shared" si="1"/>
        <v/>
      </c>
      <c r="AB199" s="9" t="str">
        <f>IF('Hàng hóa'!K200&lt;&gt;"",'Hàng hóa'!K200,"")</f>
        <v/>
      </c>
    </row>
    <row r="200" ht="15.75" customHeight="1">
      <c r="A200" s="43"/>
      <c r="B200" s="37" t="str">
        <f t="shared" si="2"/>
        <v/>
      </c>
      <c r="C200" s="44"/>
      <c r="D200" s="45"/>
      <c r="E200" s="45"/>
      <c r="F200" s="47" t="str">
        <f>IF(C200="","",'Thiết lập'!$B$4)</f>
        <v/>
      </c>
      <c r="G200" s="19" t="str">
        <f>IF(C200="","",'Thiết lập'!$B$5)</f>
        <v/>
      </c>
      <c r="H200" s="19" t="str">
        <f>IF(C200="","",'Thiết lập'!$B$6)</f>
        <v/>
      </c>
      <c r="I200" s="19" t="str">
        <f>IF(C200="","",'Thiết lập'!$B$7)</f>
        <v/>
      </c>
      <c r="J200" s="19">
        <f t="shared" si="3"/>
        <v>0</v>
      </c>
      <c r="K200" s="19">
        <f t="shared" si="4"/>
        <v>0</v>
      </c>
      <c r="L200" s="19">
        <f t="shared" si="5"/>
        <v>0</v>
      </c>
      <c r="M200" s="19">
        <f t="shared" si="6"/>
        <v>0</v>
      </c>
      <c r="N200" s="19">
        <f t="shared" si="7"/>
        <v>0</v>
      </c>
      <c r="O200" s="19">
        <f t="shared" si="12"/>
        <v>0</v>
      </c>
      <c r="P200" s="19">
        <f t="shared" si="13"/>
        <v>0</v>
      </c>
      <c r="Q200" s="23"/>
      <c r="R200" s="23"/>
      <c r="S200" s="37" t="str">
        <f t="shared" si="11"/>
        <v/>
      </c>
      <c r="T200" s="44"/>
      <c r="U200" s="45"/>
      <c r="V200" s="37" t="str">
        <f t="array" ref="V200">IFERROR(INDEX('Hàng hóa'!$F$4:$F$203,MATCH(T200,'Hàng hóa'!$B$4:$B$203,0)),"")</f>
        <v/>
      </c>
      <c r="W200" s="19">
        <f t="array" ref="W200">IFERROR(INDEX('Hàng hóa'!$H$4:$H$203,MATCH(T200,'Hàng hóa'!$B$4:$B$203,0)),0)</f>
        <v>0</v>
      </c>
      <c r="X200" s="20">
        <f t="shared" si="10"/>
        <v>0</v>
      </c>
      <c r="Y200" s="15"/>
      <c r="AA200" s="9" t="str">
        <f t="shared" si="1"/>
        <v/>
      </c>
      <c r="AB200" s="9" t="str">
        <f>IF('Hàng hóa'!K201&lt;&gt;"",'Hàng hóa'!K201,"")</f>
        <v/>
      </c>
    </row>
    <row r="201" ht="15.75" customHeight="1">
      <c r="A201" s="43"/>
      <c r="B201" s="37" t="str">
        <f t="shared" si="2"/>
        <v/>
      </c>
      <c r="C201" s="44"/>
      <c r="D201" s="45"/>
      <c r="E201" s="45"/>
      <c r="F201" s="47" t="str">
        <f>IF(C201="","",'Thiết lập'!$B$4)</f>
        <v/>
      </c>
      <c r="G201" s="19" t="str">
        <f>IF(C201="","",'Thiết lập'!$B$5)</f>
        <v/>
      </c>
      <c r="H201" s="19" t="str">
        <f>IF(C201="","",'Thiết lập'!$B$6)</f>
        <v/>
      </c>
      <c r="I201" s="19" t="str">
        <f>IF(C201="","",'Thiết lập'!$B$7)</f>
        <v/>
      </c>
      <c r="J201" s="19">
        <f t="shared" si="3"/>
        <v>0</v>
      </c>
      <c r="K201" s="19">
        <f t="shared" si="4"/>
        <v>0</v>
      </c>
      <c r="L201" s="19">
        <f t="shared" si="5"/>
        <v>0</v>
      </c>
      <c r="M201" s="19">
        <f t="shared" si="6"/>
        <v>0</v>
      </c>
      <c r="N201" s="19">
        <f t="shared" si="7"/>
        <v>0</v>
      </c>
      <c r="O201" s="19">
        <f t="shared" si="12"/>
        <v>0</v>
      </c>
      <c r="P201" s="19">
        <f t="shared" si="13"/>
        <v>0</v>
      </c>
      <c r="Q201" s="23"/>
      <c r="R201" s="23"/>
      <c r="S201" s="37" t="str">
        <f t="shared" si="11"/>
        <v/>
      </c>
      <c r="T201" s="44"/>
      <c r="U201" s="45"/>
      <c r="V201" s="37" t="str">
        <f t="array" ref="V201">IFERROR(INDEX('Hàng hóa'!$F$4:$F$203,MATCH(T201,'Hàng hóa'!$B$4:$B$203,0)),"")</f>
        <v/>
      </c>
      <c r="W201" s="19">
        <f t="array" ref="W201">IFERROR(INDEX('Hàng hóa'!$H$4:$H$203,MATCH(T201,'Hàng hóa'!$B$4:$B$203,0)),0)</f>
        <v>0</v>
      </c>
      <c r="X201" s="20">
        <f t="shared" si="10"/>
        <v>0</v>
      </c>
      <c r="Y201" s="15"/>
      <c r="AA201" s="9" t="str">
        <f t="shared" si="1"/>
        <v/>
      </c>
      <c r="AB201" s="9" t="str">
        <f>IF('Hàng hóa'!K202&lt;&gt;"",'Hàng hóa'!K202,"")</f>
        <v/>
      </c>
    </row>
    <row r="202" ht="15.75" customHeight="1">
      <c r="A202" s="43"/>
      <c r="B202" s="37" t="str">
        <f t="shared" si="2"/>
        <v/>
      </c>
      <c r="C202" s="44"/>
      <c r="D202" s="45"/>
      <c r="E202" s="45"/>
      <c r="F202" s="47" t="str">
        <f>IF(C202="","",'Thiết lập'!$B$4)</f>
        <v/>
      </c>
      <c r="G202" s="19" t="str">
        <f>IF(C202="","",'Thiết lập'!$B$5)</f>
        <v/>
      </c>
      <c r="H202" s="19" t="str">
        <f>IF(C202="","",'Thiết lập'!$B$6)</f>
        <v/>
      </c>
      <c r="I202" s="19" t="str">
        <f>IF(C202="","",'Thiết lập'!$B$7)</f>
        <v/>
      </c>
      <c r="J202" s="19">
        <f t="shared" si="3"/>
        <v>0</v>
      </c>
      <c r="K202" s="19">
        <f t="shared" si="4"/>
        <v>0</v>
      </c>
      <c r="L202" s="19">
        <f t="shared" si="5"/>
        <v>0</v>
      </c>
      <c r="M202" s="19">
        <f t="shared" si="6"/>
        <v>0</v>
      </c>
      <c r="N202" s="19">
        <f t="shared" si="7"/>
        <v>0</v>
      </c>
      <c r="O202" s="19">
        <f t="shared" si="12"/>
        <v>0</v>
      </c>
      <c r="P202" s="19">
        <f t="shared" si="13"/>
        <v>0</v>
      </c>
      <c r="Q202" s="23"/>
      <c r="R202" s="23"/>
      <c r="S202" s="37" t="str">
        <f t="shared" si="11"/>
        <v/>
      </c>
      <c r="T202" s="44"/>
      <c r="U202" s="45"/>
      <c r="V202" s="37" t="str">
        <f t="array" ref="V202">IFERROR(INDEX('Hàng hóa'!$F$4:$F$203,MATCH(T202,'Hàng hóa'!$B$4:$B$203,0)),"")</f>
        <v/>
      </c>
      <c r="W202" s="19">
        <f t="array" ref="W202">IFERROR(INDEX('Hàng hóa'!$H$4:$H$203,MATCH(T202,'Hàng hóa'!$B$4:$B$203,0)),0)</f>
        <v>0</v>
      </c>
      <c r="X202" s="20">
        <f t="shared" si="10"/>
        <v>0</v>
      </c>
      <c r="Y202" s="15"/>
      <c r="AA202" s="9" t="str">
        <f t="shared" si="1"/>
        <v/>
      </c>
      <c r="AB202" s="9" t="str">
        <f>IF('Hàng hóa'!K203&lt;&gt;"",'Hàng hóa'!K203,"")</f>
        <v/>
      </c>
    </row>
    <row r="203" ht="15.75" customHeight="1">
      <c r="A203" s="43"/>
      <c r="B203" s="37" t="str">
        <f t="shared" si="2"/>
        <v/>
      </c>
      <c r="C203" s="44"/>
      <c r="D203" s="45"/>
      <c r="E203" s="45"/>
      <c r="F203" s="47" t="str">
        <f>IF(C203="","",'Thiết lập'!$B$4)</f>
        <v/>
      </c>
      <c r="G203" s="19" t="str">
        <f>IF(C203="","",'Thiết lập'!$B$5)</f>
        <v/>
      </c>
      <c r="H203" s="19" t="str">
        <f>IF(C203="","",'Thiết lập'!$B$6)</f>
        <v/>
      </c>
      <c r="I203" s="19" t="str">
        <f>IF(C203="","",'Thiết lập'!$B$7)</f>
        <v/>
      </c>
      <c r="J203" s="19">
        <f t="shared" si="3"/>
        <v>0</v>
      </c>
      <c r="K203" s="19">
        <f t="shared" si="4"/>
        <v>0</v>
      </c>
      <c r="L203" s="19">
        <f t="shared" si="5"/>
        <v>0</v>
      </c>
      <c r="M203" s="19">
        <f t="shared" si="6"/>
        <v>0</v>
      </c>
      <c r="N203" s="19">
        <f t="shared" si="7"/>
        <v>0</v>
      </c>
      <c r="O203" s="19">
        <f t="shared" si="12"/>
        <v>0</v>
      </c>
      <c r="P203" s="19">
        <f t="shared" si="13"/>
        <v>0</v>
      </c>
      <c r="Q203" s="23"/>
      <c r="R203" s="23"/>
      <c r="S203" s="37" t="str">
        <f t="shared" si="11"/>
        <v/>
      </c>
      <c r="T203" s="44"/>
      <c r="U203" s="45"/>
      <c r="V203" s="37" t="str">
        <f t="array" ref="V203">IFERROR(INDEX('Hàng hóa'!$F$4:$F$203,MATCH(T203,'Hàng hóa'!$B$4:$B$203,0)),"")</f>
        <v/>
      </c>
      <c r="W203" s="19">
        <f t="array" ref="W203">IFERROR(INDEX('Hàng hóa'!$H$4:$H$203,MATCH(T203,'Hàng hóa'!$B$4:$B$203,0)),0)</f>
        <v>0</v>
      </c>
      <c r="X203" s="20">
        <f t="shared" si="10"/>
        <v>0</v>
      </c>
      <c r="Y203" s="15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3"/>
      <c r="S204" s="37" t="str">
        <f t="shared" si="11"/>
        <v/>
      </c>
      <c r="T204" s="44"/>
      <c r="U204" s="45"/>
      <c r="V204" s="37" t="str">
        <f t="array" ref="V204">IFERROR(INDEX('Hàng hóa'!$F$4:$F$203,MATCH(T204,'Hàng hóa'!$B$4:$B$203,0)),"")</f>
        <v/>
      </c>
      <c r="W204" s="19">
        <f t="array" ref="W204">IFERROR(INDEX('Hàng hóa'!$H$4:$H$203,MATCH(T204,'Hàng hóa'!$B$4:$B$203,0)),0)</f>
        <v>0</v>
      </c>
      <c r="X204" s="20">
        <f t="shared" si="10"/>
        <v>0</v>
      </c>
      <c r="Y204" s="15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3"/>
      <c r="S205" s="37" t="str">
        <f t="shared" si="11"/>
        <v/>
      </c>
      <c r="T205" s="44"/>
      <c r="U205" s="45"/>
      <c r="V205" s="37" t="str">
        <f t="array" ref="V205">IFERROR(INDEX('Hàng hóa'!$F$4:$F$203,MATCH(T205,'Hàng hóa'!$B$4:$B$203,0)),"")</f>
        <v/>
      </c>
      <c r="W205" s="19">
        <f t="array" ref="W205">IFERROR(INDEX('Hàng hóa'!$H$4:$H$203,MATCH(T205,'Hàng hóa'!$B$4:$B$203,0)),0)</f>
        <v>0</v>
      </c>
      <c r="X205" s="20">
        <f t="shared" si="10"/>
        <v>0</v>
      </c>
      <c r="Y205" s="15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3"/>
      <c r="S206" s="37" t="str">
        <f t="shared" si="11"/>
        <v/>
      </c>
      <c r="T206" s="44"/>
      <c r="U206" s="45"/>
      <c r="V206" s="37" t="str">
        <f t="array" ref="V206">IFERROR(INDEX('Hàng hóa'!$F$4:$F$203,MATCH(T206,'Hàng hóa'!$B$4:$B$203,0)),"")</f>
        <v/>
      </c>
      <c r="W206" s="19">
        <f t="array" ref="W206">IFERROR(INDEX('Hàng hóa'!$H$4:$H$203,MATCH(T206,'Hàng hóa'!$B$4:$B$203,0)),0)</f>
        <v>0</v>
      </c>
      <c r="X206" s="20">
        <f t="shared" si="10"/>
        <v>0</v>
      </c>
      <c r="Y206" s="15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3"/>
      <c r="S207" s="37" t="str">
        <f t="shared" si="11"/>
        <v/>
      </c>
      <c r="T207" s="44"/>
      <c r="U207" s="45"/>
      <c r="V207" s="37" t="str">
        <f t="array" ref="V207">IFERROR(INDEX('Hàng hóa'!$F$4:$F$203,MATCH(T207,'Hàng hóa'!$B$4:$B$203,0)),"")</f>
        <v/>
      </c>
      <c r="W207" s="19">
        <f t="array" ref="W207">IFERROR(INDEX('Hàng hóa'!$H$4:$H$203,MATCH(T207,'Hàng hóa'!$B$4:$B$203,0)),0)</f>
        <v>0</v>
      </c>
      <c r="X207" s="20">
        <f t="shared" si="10"/>
        <v>0</v>
      </c>
      <c r="Y207" s="15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3"/>
      <c r="S208" s="37" t="str">
        <f t="shared" si="11"/>
        <v/>
      </c>
      <c r="T208" s="44"/>
      <c r="U208" s="45"/>
      <c r="V208" s="37" t="str">
        <f t="array" ref="V208">IFERROR(INDEX('Hàng hóa'!$F$4:$F$203,MATCH(T208,'Hàng hóa'!$B$4:$B$203,0)),"")</f>
        <v/>
      </c>
      <c r="W208" s="19">
        <f t="array" ref="W208">IFERROR(INDEX('Hàng hóa'!$H$4:$H$203,MATCH(T208,'Hàng hóa'!$B$4:$B$203,0)),0)</f>
        <v>0</v>
      </c>
      <c r="X208" s="20">
        <f t="shared" si="10"/>
        <v>0</v>
      </c>
      <c r="Y208" s="15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3"/>
      <c r="S209" s="37" t="str">
        <f t="shared" si="11"/>
        <v/>
      </c>
      <c r="T209" s="44"/>
      <c r="U209" s="45"/>
      <c r="V209" s="37" t="str">
        <f t="array" ref="V209">IFERROR(INDEX('Hàng hóa'!$F$4:$F$203,MATCH(T209,'Hàng hóa'!$B$4:$B$203,0)),"")</f>
        <v/>
      </c>
      <c r="W209" s="19">
        <f t="array" ref="W209">IFERROR(INDEX('Hàng hóa'!$H$4:$H$203,MATCH(T209,'Hàng hóa'!$B$4:$B$203,0)),0)</f>
        <v>0</v>
      </c>
      <c r="X209" s="20">
        <f t="shared" si="10"/>
        <v>0</v>
      </c>
      <c r="Y209" s="15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3"/>
      <c r="S210" s="37" t="str">
        <f t="shared" si="11"/>
        <v/>
      </c>
      <c r="T210" s="44"/>
      <c r="U210" s="45"/>
      <c r="V210" s="37" t="str">
        <f t="array" ref="V210">IFERROR(INDEX('Hàng hóa'!$F$4:$F$203,MATCH(T210,'Hàng hóa'!$B$4:$B$203,0)),"")</f>
        <v/>
      </c>
      <c r="W210" s="19">
        <f t="array" ref="W210">IFERROR(INDEX('Hàng hóa'!$H$4:$H$203,MATCH(T210,'Hàng hóa'!$B$4:$B$203,0)),0)</f>
        <v>0</v>
      </c>
      <c r="X210" s="20">
        <f t="shared" si="10"/>
        <v>0</v>
      </c>
      <c r="Y210" s="15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3"/>
      <c r="S211" s="37" t="str">
        <f t="shared" si="11"/>
        <v/>
      </c>
      <c r="T211" s="44"/>
      <c r="U211" s="45"/>
      <c r="V211" s="37" t="str">
        <f t="array" ref="V211">IFERROR(INDEX('Hàng hóa'!$F$4:$F$203,MATCH(T211,'Hàng hóa'!$B$4:$B$203,0)),"")</f>
        <v/>
      </c>
      <c r="W211" s="19">
        <f t="array" ref="W211">IFERROR(INDEX('Hàng hóa'!$H$4:$H$203,MATCH(T211,'Hàng hóa'!$B$4:$B$203,0)),0)</f>
        <v>0</v>
      </c>
      <c r="X211" s="20">
        <f t="shared" si="10"/>
        <v>0</v>
      </c>
      <c r="Y211" s="15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3"/>
      <c r="S212" s="37" t="str">
        <f t="shared" si="11"/>
        <v/>
      </c>
      <c r="T212" s="44"/>
      <c r="U212" s="45"/>
      <c r="V212" s="37" t="str">
        <f t="array" ref="V212">IFERROR(INDEX('Hàng hóa'!$F$4:$F$203,MATCH(T212,'Hàng hóa'!$B$4:$B$203,0)),"")</f>
        <v/>
      </c>
      <c r="W212" s="19">
        <f t="array" ref="W212">IFERROR(INDEX('Hàng hóa'!$H$4:$H$203,MATCH(T212,'Hàng hóa'!$B$4:$B$203,0)),0)</f>
        <v>0</v>
      </c>
      <c r="X212" s="20">
        <f t="shared" si="10"/>
        <v>0</v>
      </c>
      <c r="Y212" s="15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3"/>
      <c r="S213" s="37" t="str">
        <f t="shared" si="11"/>
        <v/>
      </c>
      <c r="T213" s="44"/>
      <c r="U213" s="45"/>
      <c r="V213" s="37" t="str">
        <f t="array" ref="V213">IFERROR(INDEX('Hàng hóa'!$F$4:$F$203,MATCH(T213,'Hàng hóa'!$B$4:$B$203,0)),"")</f>
        <v/>
      </c>
      <c r="W213" s="19">
        <f t="array" ref="W213">IFERROR(INDEX('Hàng hóa'!$H$4:$H$203,MATCH(T213,'Hàng hóa'!$B$4:$B$203,0)),0)</f>
        <v>0</v>
      </c>
      <c r="X213" s="20">
        <f t="shared" si="10"/>
        <v>0</v>
      </c>
      <c r="Y213" s="15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3"/>
      <c r="S214" s="37" t="str">
        <f t="shared" si="11"/>
        <v/>
      </c>
      <c r="T214" s="44"/>
      <c r="U214" s="45"/>
      <c r="V214" s="37" t="str">
        <f t="array" ref="V214">IFERROR(INDEX('Hàng hóa'!$F$4:$F$203,MATCH(T214,'Hàng hóa'!$B$4:$B$203,0)),"")</f>
        <v/>
      </c>
      <c r="W214" s="19">
        <f t="array" ref="W214">IFERROR(INDEX('Hàng hóa'!$H$4:$H$203,MATCH(T214,'Hàng hóa'!$B$4:$B$203,0)),0)</f>
        <v>0</v>
      </c>
      <c r="X214" s="20">
        <f t="shared" si="10"/>
        <v>0</v>
      </c>
      <c r="Y214" s="15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3"/>
      <c r="S215" s="37" t="str">
        <f t="shared" si="11"/>
        <v/>
      </c>
      <c r="T215" s="44"/>
      <c r="U215" s="45"/>
      <c r="V215" s="37" t="str">
        <f t="array" ref="V215">IFERROR(INDEX('Hàng hóa'!$F$4:$F$203,MATCH(T215,'Hàng hóa'!$B$4:$B$203,0)),"")</f>
        <v/>
      </c>
      <c r="W215" s="19">
        <f t="array" ref="W215">IFERROR(INDEX('Hàng hóa'!$H$4:$H$203,MATCH(T215,'Hàng hóa'!$B$4:$B$203,0)),0)</f>
        <v>0</v>
      </c>
      <c r="X215" s="20">
        <f t="shared" si="10"/>
        <v>0</v>
      </c>
      <c r="Y215" s="15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3"/>
      <c r="S216" s="37" t="str">
        <f t="shared" si="11"/>
        <v/>
      </c>
      <c r="T216" s="44"/>
      <c r="U216" s="45"/>
      <c r="V216" s="37" t="str">
        <f t="array" ref="V216">IFERROR(INDEX('Hàng hóa'!$F$4:$F$203,MATCH(T216,'Hàng hóa'!$B$4:$B$203,0)),"")</f>
        <v/>
      </c>
      <c r="W216" s="19">
        <f t="array" ref="W216">IFERROR(INDEX('Hàng hóa'!$H$4:$H$203,MATCH(T216,'Hàng hóa'!$B$4:$B$203,0)),0)</f>
        <v>0</v>
      </c>
      <c r="X216" s="20">
        <f t="shared" si="10"/>
        <v>0</v>
      </c>
      <c r="Y216" s="15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3"/>
      <c r="S217" s="37" t="str">
        <f t="shared" si="11"/>
        <v/>
      </c>
      <c r="T217" s="44"/>
      <c r="U217" s="45"/>
      <c r="V217" s="37" t="str">
        <f t="array" ref="V217">IFERROR(INDEX('Hàng hóa'!$F$4:$F$203,MATCH(T217,'Hàng hóa'!$B$4:$B$203,0)),"")</f>
        <v/>
      </c>
      <c r="W217" s="19">
        <f t="array" ref="W217">IFERROR(INDEX('Hàng hóa'!$H$4:$H$203,MATCH(T217,'Hàng hóa'!$B$4:$B$203,0)),0)</f>
        <v>0</v>
      </c>
      <c r="X217" s="20">
        <f t="shared" si="10"/>
        <v>0</v>
      </c>
      <c r="Y217" s="15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3"/>
      <c r="S218" s="37" t="str">
        <f t="shared" si="11"/>
        <v/>
      </c>
      <c r="T218" s="44"/>
      <c r="U218" s="45"/>
      <c r="V218" s="37" t="str">
        <f t="array" ref="V218">IFERROR(INDEX('Hàng hóa'!$F$4:$F$203,MATCH(T218,'Hàng hóa'!$B$4:$B$203,0)),"")</f>
        <v/>
      </c>
      <c r="W218" s="19">
        <f t="array" ref="W218">IFERROR(INDEX('Hàng hóa'!$H$4:$H$203,MATCH(T218,'Hàng hóa'!$B$4:$B$203,0)),0)</f>
        <v>0</v>
      </c>
      <c r="X218" s="20">
        <f t="shared" si="10"/>
        <v>0</v>
      </c>
      <c r="Y218" s="15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3"/>
      <c r="S219" s="37" t="str">
        <f t="shared" si="11"/>
        <v/>
      </c>
      <c r="T219" s="44"/>
      <c r="U219" s="45"/>
      <c r="V219" s="37" t="str">
        <f t="array" ref="V219">IFERROR(INDEX('Hàng hóa'!$F$4:$F$203,MATCH(T219,'Hàng hóa'!$B$4:$B$203,0)),"")</f>
        <v/>
      </c>
      <c r="W219" s="19">
        <f t="array" ref="W219">IFERROR(INDEX('Hàng hóa'!$H$4:$H$203,MATCH(T219,'Hàng hóa'!$B$4:$B$203,0)),0)</f>
        <v>0</v>
      </c>
      <c r="X219" s="20">
        <f t="shared" si="10"/>
        <v>0</v>
      </c>
      <c r="Y219" s="15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3"/>
      <c r="S220" s="37" t="str">
        <f t="shared" si="11"/>
        <v/>
      </c>
      <c r="T220" s="44"/>
      <c r="U220" s="45"/>
      <c r="V220" s="37" t="str">
        <f t="array" ref="V220">IFERROR(INDEX('Hàng hóa'!$F$4:$F$203,MATCH(T220,'Hàng hóa'!$B$4:$B$203,0)),"")</f>
        <v/>
      </c>
      <c r="W220" s="19">
        <f t="array" ref="W220">IFERROR(INDEX('Hàng hóa'!$H$4:$H$203,MATCH(T220,'Hàng hóa'!$B$4:$B$203,0)),0)</f>
        <v>0</v>
      </c>
      <c r="X220" s="20">
        <f t="shared" si="10"/>
        <v>0</v>
      </c>
      <c r="Y220" s="15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3"/>
      <c r="S221" s="37" t="str">
        <f t="shared" si="11"/>
        <v/>
      </c>
      <c r="T221" s="44"/>
      <c r="U221" s="45"/>
      <c r="V221" s="37" t="str">
        <f t="array" ref="V221">IFERROR(INDEX('Hàng hóa'!$F$4:$F$203,MATCH(T221,'Hàng hóa'!$B$4:$B$203,0)),"")</f>
        <v/>
      </c>
      <c r="W221" s="19">
        <f t="array" ref="W221">IFERROR(INDEX('Hàng hóa'!$H$4:$H$203,MATCH(T221,'Hàng hóa'!$B$4:$B$203,0)),0)</f>
        <v>0</v>
      </c>
      <c r="X221" s="20">
        <f t="shared" si="10"/>
        <v>0</v>
      </c>
      <c r="Y221" s="15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3"/>
      <c r="S222" s="37" t="str">
        <f t="shared" si="11"/>
        <v/>
      </c>
      <c r="T222" s="44"/>
      <c r="U222" s="45"/>
      <c r="V222" s="37" t="str">
        <f t="array" ref="V222">IFERROR(INDEX('Hàng hóa'!$F$4:$F$203,MATCH(T222,'Hàng hóa'!$B$4:$B$203,0)),"")</f>
        <v/>
      </c>
      <c r="W222" s="19">
        <f t="array" ref="W222">IFERROR(INDEX('Hàng hóa'!$H$4:$H$203,MATCH(T222,'Hàng hóa'!$B$4:$B$203,0)),0)</f>
        <v>0</v>
      </c>
      <c r="X222" s="20">
        <f t="shared" si="10"/>
        <v>0</v>
      </c>
      <c r="Y222" s="15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3"/>
      <c r="S223" s="37" t="str">
        <f t="shared" si="11"/>
        <v/>
      </c>
      <c r="T223" s="44"/>
      <c r="U223" s="45"/>
      <c r="V223" s="37" t="str">
        <f t="array" ref="V223">IFERROR(INDEX('Hàng hóa'!$F$4:$F$203,MATCH(T223,'Hàng hóa'!$B$4:$B$203,0)),"")</f>
        <v/>
      </c>
      <c r="W223" s="19">
        <f t="array" ref="W223">IFERROR(INDEX('Hàng hóa'!$H$4:$H$203,MATCH(T223,'Hàng hóa'!$B$4:$B$203,0)),0)</f>
        <v>0</v>
      </c>
      <c r="X223" s="20">
        <f t="shared" si="10"/>
        <v>0</v>
      </c>
      <c r="Y223" s="15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3"/>
      <c r="S224" s="37" t="str">
        <f t="shared" si="11"/>
        <v/>
      </c>
      <c r="T224" s="44"/>
      <c r="U224" s="45"/>
      <c r="V224" s="37" t="str">
        <f t="array" ref="V224">IFERROR(INDEX('Hàng hóa'!$F$4:$F$203,MATCH(T224,'Hàng hóa'!$B$4:$B$203,0)),"")</f>
        <v/>
      </c>
      <c r="W224" s="19">
        <f t="array" ref="W224">IFERROR(INDEX('Hàng hóa'!$H$4:$H$203,MATCH(T224,'Hàng hóa'!$B$4:$B$203,0)),0)</f>
        <v>0</v>
      </c>
      <c r="X224" s="20">
        <f t="shared" si="10"/>
        <v>0</v>
      </c>
      <c r="Y224" s="15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3"/>
      <c r="S225" s="37" t="str">
        <f t="shared" si="11"/>
        <v/>
      </c>
      <c r="T225" s="44"/>
      <c r="U225" s="45"/>
      <c r="V225" s="37" t="str">
        <f t="array" ref="V225">IFERROR(INDEX('Hàng hóa'!$F$4:$F$203,MATCH(T225,'Hàng hóa'!$B$4:$B$203,0)),"")</f>
        <v/>
      </c>
      <c r="W225" s="19">
        <f t="array" ref="W225">IFERROR(INDEX('Hàng hóa'!$H$4:$H$203,MATCH(T225,'Hàng hóa'!$B$4:$B$203,0)),0)</f>
        <v>0</v>
      </c>
      <c r="X225" s="20">
        <f t="shared" si="10"/>
        <v>0</v>
      </c>
      <c r="Y225" s="15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3"/>
      <c r="S226" s="37" t="str">
        <f t="shared" si="11"/>
        <v/>
      </c>
      <c r="T226" s="44"/>
      <c r="U226" s="45"/>
      <c r="V226" s="37" t="str">
        <f t="array" ref="V226">IFERROR(INDEX('Hàng hóa'!$F$4:$F$203,MATCH(T226,'Hàng hóa'!$B$4:$B$203,0)),"")</f>
        <v/>
      </c>
      <c r="W226" s="19">
        <f t="array" ref="W226">IFERROR(INDEX('Hàng hóa'!$H$4:$H$203,MATCH(T226,'Hàng hóa'!$B$4:$B$203,0)),0)</f>
        <v>0</v>
      </c>
      <c r="X226" s="20">
        <f t="shared" si="10"/>
        <v>0</v>
      </c>
      <c r="Y226" s="15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3"/>
      <c r="S227" s="37" t="str">
        <f t="shared" si="11"/>
        <v/>
      </c>
      <c r="T227" s="44"/>
      <c r="U227" s="45"/>
      <c r="V227" s="37" t="str">
        <f t="array" ref="V227">IFERROR(INDEX('Hàng hóa'!$F$4:$F$203,MATCH(T227,'Hàng hóa'!$B$4:$B$203,0)),"")</f>
        <v/>
      </c>
      <c r="W227" s="19">
        <f t="array" ref="W227">IFERROR(INDEX('Hàng hóa'!$H$4:$H$203,MATCH(T227,'Hàng hóa'!$B$4:$B$203,0)),0)</f>
        <v>0</v>
      </c>
      <c r="X227" s="20">
        <f t="shared" si="10"/>
        <v>0</v>
      </c>
      <c r="Y227" s="15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3"/>
      <c r="S228" s="37" t="str">
        <f t="shared" si="11"/>
        <v/>
      </c>
      <c r="T228" s="44"/>
      <c r="U228" s="45"/>
      <c r="V228" s="37" t="str">
        <f t="array" ref="V228">IFERROR(INDEX('Hàng hóa'!$F$4:$F$203,MATCH(T228,'Hàng hóa'!$B$4:$B$203,0)),"")</f>
        <v/>
      </c>
      <c r="W228" s="19">
        <f t="array" ref="W228">IFERROR(INDEX('Hàng hóa'!$H$4:$H$203,MATCH(T228,'Hàng hóa'!$B$4:$B$203,0)),0)</f>
        <v>0</v>
      </c>
      <c r="X228" s="20">
        <f t="shared" si="10"/>
        <v>0</v>
      </c>
      <c r="Y228" s="15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3"/>
      <c r="S229" s="37" t="str">
        <f t="shared" si="11"/>
        <v/>
      </c>
      <c r="T229" s="44"/>
      <c r="U229" s="45"/>
      <c r="V229" s="37" t="str">
        <f t="array" ref="V229">IFERROR(INDEX('Hàng hóa'!$F$4:$F$203,MATCH(T229,'Hàng hóa'!$B$4:$B$203,0)),"")</f>
        <v/>
      </c>
      <c r="W229" s="19">
        <f t="array" ref="W229">IFERROR(INDEX('Hàng hóa'!$H$4:$H$203,MATCH(T229,'Hàng hóa'!$B$4:$B$203,0)),0)</f>
        <v>0</v>
      </c>
      <c r="X229" s="20">
        <f t="shared" si="10"/>
        <v>0</v>
      </c>
      <c r="Y229" s="15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3"/>
      <c r="S230" s="37" t="str">
        <f t="shared" si="11"/>
        <v/>
      </c>
      <c r="T230" s="44"/>
      <c r="U230" s="45"/>
      <c r="V230" s="37" t="str">
        <f t="array" ref="V230">IFERROR(INDEX('Hàng hóa'!$F$4:$F$203,MATCH(T230,'Hàng hóa'!$B$4:$B$203,0)),"")</f>
        <v/>
      </c>
      <c r="W230" s="19">
        <f t="array" ref="W230">IFERROR(INDEX('Hàng hóa'!$H$4:$H$203,MATCH(T230,'Hàng hóa'!$B$4:$B$203,0)),0)</f>
        <v>0</v>
      </c>
      <c r="X230" s="20">
        <f t="shared" si="10"/>
        <v>0</v>
      </c>
      <c r="Y230" s="15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3"/>
      <c r="S231" s="37" t="str">
        <f t="shared" si="11"/>
        <v/>
      </c>
      <c r="T231" s="44"/>
      <c r="U231" s="45"/>
      <c r="V231" s="37" t="str">
        <f t="array" ref="V231">IFERROR(INDEX('Hàng hóa'!$F$4:$F$203,MATCH(T231,'Hàng hóa'!$B$4:$B$203,0)),"")</f>
        <v/>
      </c>
      <c r="W231" s="19">
        <f t="array" ref="W231">IFERROR(INDEX('Hàng hóa'!$H$4:$H$203,MATCH(T231,'Hàng hóa'!$B$4:$B$203,0)),0)</f>
        <v>0</v>
      </c>
      <c r="X231" s="20">
        <f t="shared" si="10"/>
        <v>0</v>
      </c>
      <c r="Y231" s="15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3"/>
      <c r="S232" s="37" t="str">
        <f t="shared" si="11"/>
        <v/>
      </c>
      <c r="T232" s="44"/>
      <c r="U232" s="45"/>
      <c r="V232" s="37" t="str">
        <f t="array" ref="V232">IFERROR(INDEX('Hàng hóa'!$F$4:$F$203,MATCH(T232,'Hàng hóa'!$B$4:$B$203,0)),"")</f>
        <v/>
      </c>
      <c r="W232" s="19">
        <f t="array" ref="W232">IFERROR(INDEX('Hàng hóa'!$H$4:$H$203,MATCH(T232,'Hàng hóa'!$B$4:$B$203,0)),0)</f>
        <v>0</v>
      </c>
      <c r="X232" s="20">
        <f t="shared" si="10"/>
        <v>0</v>
      </c>
      <c r="Y232" s="15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3"/>
      <c r="S233" s="37" t="str">
        <f t="shared" si="11"/>
        <v/>
      </c>
      <c r="T233" s="44"/>
      <c r="U233" s="45"/>
      <c r="V233" s="37" t="str">
        <f t="array" ref="V233">IFERROR(INDEX('Hàng hóa'!$F$4:$F$203,MATCH(T233,'Hàng hóa'!$B$4:$B$203,0)),"")</f>
        <v/>
      </c>
      <c r="W233" s="19">
        <f t="array" ref="W233">IFERROR(INDEX('Hàng hóa'!$H$4:$H$203,MATCH(T233,'Hàng hóa'!$B$4:$B$203,0)),0)</f>
        <v>0</v>
      </c>
      <c r="X233" s="20">
        <f t="shared" si="10"/>
        <v>0</v>
      </c>
      <c r="Y233" s="15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3"/>
      <c r="S234" s="37" t="str">
        <f t="shared" si="11"/>
        <v/>
      </c>
      <c r="T234" s="44"/>
      <c r="U234" s="45"/>
      <c r="V234" s="37" t="str">
        <f t="array" ref="V234">IFERROR(INDEX('Hàng hóa'!$F$4:$F$203,MATCH(T234,'Hàng hóa'!$B$4:$B$203,0)),"")</f>
        <v/>
      </c>
      <c r="W234" s="19">
        <f t="array" ref="W234">IFERROR(INDEX('Hàng hóa'!$H$4:$H$203,MATCH(T234,'Hàng hóa'!$B$4:$B$203,0)),0)</f>
        <v>0</v>
      </c>
      <c r="X234" s="20">
        <f t="shared" si="10"/>
        <v>0</v>
      </c>
      <c r="Y234" s="15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3"/>
      <c r="S235" s="37" t="str">
        <f t="shared" si="11"/>
        <v/>
      </c>
      <c r="T235" s="44"/>
      <c r="U235" s="45"/>
      <c r="V235" s="37" t="str">
        <f t="array" ref="V235">IFERROR(INDEX('Hàng hóa'!$F$4:$F$203,MATCH(T235,'Hàng hóa'!$B$4:$B$203,0)),"")</f>
        <v/>
      </c>
      <c r="W235" s="19">
        <f t="array" ref="W235">IFERROR(INDEX('Hàng hóa'!$H$4:$H$203,MATCH(T235,'Hàng hóa'!$B$4:$B$203,0)),0)</f>
        <v>0</v>
      </c>
      <c r="X235" s="20">
        <f t="shared" si="10"/>
        <v>0</v>
      </c>
      <c r="Y235" s="15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3"/>
      <c r="S236" s="37" t="str">
        <f t="shared" si="11"/>
        <v/>
      </c>
      <c r="T236" s="44"/>
      <c r="U236" s="45"/>
      <c r="V236" s="37" t="str">
        <f t="array" ref="V236">IFERROR(INDEX('Hàng hóa'!$F$4:$F$203,MATCH(T236,'Hàng hóa'!$B$4:$B$203,0)),"")</f>
        <v/>
      </c>
      <c r="W236" s="19">
        <f t="array" ref="W236">IFERROR(INDEX('Hàng hóa'!$H$4:$H$203,MATCH(T236,'Hàng hóa'!$B$4:$B$203,0)),0)</f>
        <v>0</v>
      </c>
      <c r="X236" s="20">
        <f t="shared" si="10"/>
        <v>0</v>
      </c>
      <c r="Y236" s="15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3"/>
      <c r="S237" s="37" t="str">
        <f t="shared" si="11"/>
        <v/>
      </c>
      <c r="T237" s="44"/>
      <c r="U237" s="45"/>
      <c r="V237" s="37" t="str">
        <f t="array" ref="V237">IFERROR(INDEX('Hàng hóa'!$F$4:$F$203,MATCH(T237,'Hàng hóa'!$B$4:$B$203,0)),"")</f>
        <v/>
      </c>
      <c r="W237" s="19">
        <f t="array" ref="W237">IFERROR(INDEX('Hàng hóa'!$H$4:$H$203,MATCH(T237,'Hàng hóa'!$B$4:$B$203,0)),0)</f>
        <v>0</v>
      </c>
      <c r="X237" s="20">
        <f t="shared" si="10"/>
        <v>0</v>
      </c>
      <c r="Y237" s="15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3"/>
      <c r="S238" s="37" t="str">
        <f t="shared" si="11"/>
        <v/>
      </c>
      <c r="T238" s="44"/>
      <c r="U238" s="45"/>
      <c r="V238" s="37" t="str">
        <f t="array" ref="V238">IFERROR(INDEX('Hàng hóa'!$F$4:$F$203,MATCH(T238,'Hàng hóa'!$B$4:$B$203,0)),"")</f>
        <v/>
      </c>
      <c r="W238" s="19">
        <f t="array" ref="W238">IFERROR(INDEX('Hàng hóa'!$H$4:$H$203,MATCH(T238,'Hàng hóa'!$B$4:$B$203,0)),0)</f>
        <v>0</v>
      </c>
      <c r="X238" s="20">
        <f t="shared" si="10"/>
        <v>0</v>
      </c>
      <c r="Y238" s="15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3"/>
      <c r="S239" s="37" t="str">
        <f t="shared" si="11"/>
        <v/>
      </c>
      <c r="T239" s="44"/>
      <c r="U239" s="45"/>
      <c r="V239" s="37" t="str">
        <f t="array" ref="V239">IFERROR(INDEX('Hàng hóa'!$F$4:$F$203,MATCH(T239,'Hàng hóa'!$B$4:$B$203,0)),"")</f>
        <v/>
      </c>
      <c r="W239" s="19">
        <f t="array" ref="W239">IFERROR(INDEX('Hàng hóa'!$H$4:$H$203,MATCH(T239,'Hàng hóa'!$B$4:$B$203,0)),0)</f>
        <v>0</v>
      </c>
      <c r="X239" s="20">
        <f t="shared" si="10"/>
        <v>0</v>
      </c>
      <c r="Y239" s="15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3"/>
      <c r="S240" s="37" t="str">
        <f t="shared" si="11"/>
        <v/>
      </c>
      <c r="T240" s="44"/>
      <c r="U240" s="45"/>
      <c r="V240" s="37" t="str">
        <f t="array" ref="V240">IFERROR(INDEX('Hàng hóa'!$F$4:$F$203,MATCH(T240,'Hàng hóa'!$B$4:$B$203,0)),"")</f>
        <v/>
      </c>
      <c r="W240" s="19">
        <f t="array" ref="W240">IFERROR(INDEX('Hàng hóa'!$H$4:$H$203,MATCH(T240,'Hàng hóa'!$B$4:$B$203,0)),0)</f>
        <v>0</v>
      </c>
      <c r="X240" s="20">
        <f t="shared" si="10"/>
        <v>0</v>
      </c>
      <c r="Y240" s="15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3"/>
      <c r="S241" s="37" t="str">
        <f t="shared" si="11"/>
        <v/>
      </c>
      <c r="T241" s="44"/>
      <c r="U241" s="45"/>
      <c r="V241" s="37" t="str">
        <f t="array" ref="V241">IFERROR(INDEX('Hàng hóa'!$F$4:$F$203,MATCH(T241,'Hàng hóa'!$B$4:$B$203,0)),"")</f>
        <v/>
      </c>
      <c r="W241" s="19">
        <f t="array" ref="W241">IFERROR(INDEX('Hàng hóa'!$H$4:$H$203,MATCH(T241,'Hàng hóa'!$B$4:$B$203,0)),0)</f>
        <v>0</v>
      </c>
      <c r="X241" s="20">
        <f t="shared" si="10"/>
        <v>0</v>
      </c>
      <c r="Y241" s="15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3"/>
      <c r="S242" s="37" t="str">
        <f t="shared" si="11"/>
        <v/>
      </c>
      <c r="T242" s="44"/>
      <c r="U242" s="45"/>
      <c r="V242" s="37" t="str">
        <f t="array" ref="V242">IFERROR(INDEX('Hàng hóa'!$F$4:$F$203,MATCH(T242,'Hàng hóa'!$B$4:$B$203,0)),"")</f>
        <v/>
      </c>
      <c r="W242" s="19">
        <f t="array" ref="W242">IFERROR(INDEX('Hàng hóa'!$H$4:$H$203,MATCH(T242,'Hàng hóa'!$B$4:$B$203,0)),0)</f>
        <v>0</v>
      </c>
      <c r="X242" s="20">
        <f t="shared" si="10"/>
        <v>0</v>
      </c>
      <c r="Y242" s="15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3"/>
      <c r="S243" s="37" t="str">
        <f t="shared" si="11"/>
        <v/>
      </c>
      <c r="T243" s="44"/>
      <c r="U243" s="45"/>
      <c r="V243" s="37" t="str">
        <f t="array" ref="V243">IFERROR(INDEX('Hàng hóa'!$F$4:$F$203,MATCH(T243,'Hàng hóa'!$B$4:$B$203,0)),"")</f>
        <v/>
      </c>
      <c r="W243" s="19">
        <f t="array" ref="W243">IFERROR(INDEX('Hàng hóa'!$H$4:$H$203,MATCH(T243,'Hàng hóa'!$B$4:$B$203,0)),0)</f>
        <v>0</v>
      </c>
      <c r="X243" s="20">
        <f t="shared" si="10"/>
        <v>0</v>
      </c>
      <c r="Y243" s="15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3"/>
      <c r="S244" s="37" t="str">
        <f t="shared" si="11"/>
        <v/>
      </c>
      <c r="T244" s="44"/>
      <c r="U244" s="45"/>
      <c r="V244" s="37" t="str">
        <f t="array" ref="V244">IFERROR(INDEX('Hàng hóa'!$F$4:$F$203,MATCH(T244,'Hàng hóa'!$B$4:$B$203,0)),"")</f>
        <v/>
      </c>
      <c r="W244" s="19">
        <f t="array" ref="W244">IFERROR(INDEX('Hàng hóa'!$H$4:$H$203,MATCH(T244,'Hàng hóa'!$B$4:$B$203,0)),0)</f>
        <v>0</v>
      </c>
      <c r="X244" s="20">
        <f t="shared" si="10"/>
        <v>0</v>
      </c>
      <c r="Y244" s="15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3"/>
      <c r="S245" s="37" t="str">
        <f t="shared" si="11"/>
        <v/>
      </c>
      <c r="T245" s="44"/>
      <c r="U245" s="45"/>
      <c r="V245" s="37" t="str">
        <f t="array" ref="V245">IFERROR(INDEX('Hàng hóa'!$F$4:$F$203,MATCH(T245,'Hàng hóa'!$B$4:$B$203,0)),"")</f>
        <v/>
      </c>
      <c r="W245" s="19">
        <f t="array" ref="W245">IFERROR(INDEX('Hàng hóa'!$H$4:$H$203,MATCH(T245,'Hàng hóa'!$B$4:$B$203,0)),0)</f>
        <v>0</v>
      </c>
      <c r="X245" s="20">
        <f t="shared" si="10"/>
        <v>0</v>
      </c>
      <c r="Y245" s="15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3"/>
      <c r="S246" s="37" t="str">
        <f t="shared" si="11"/>
        <v/>
      </c>
      <c r="T246" s="44"/>
      <c r="U246" s="45"/>
      <c r="V246" s="37" t="str">
        <f t="array" ref="V246">IFERROR(INDEX('Hàng hóa'!$F$4:$F$203,MATCH(T246,'Hàng hóa'!$B$4:$B$203,0)),"")</f>
        <v/>
      </c>
      <c r="W246" s="19">
        <f t="array" ref="W246">IFERROR(INDEX('Hàng hóa'!$H$4:$H$203,MATCH(T246,'Hàng hóa'!$B$4:$B$203,0)),0)</f>
        <v>0</v>
      </c>
      <c r="X246" s="20">
        <f t="shared" si="10"/>
        <v>0</v>
      </c>
      <c r="Y246" s="15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3"/>
      <c r="S247" s="37" t="str">
        <f t="shared" si="11"/>
        <v/>
      </c>
      <c r="T247" s="44"/>
      <c r="U247" s="45"/>
      <c r="V247" s="37" t="str">
        <f t="array" ref="V247">IFERROR(INDEX('Hàng hóa'!$F$4:$F$203,MATCH(T247,'Hàng hóa'!$B$4:$B$203,0)),"")</f>
        <v/>
      </c>
      <c r="W247" s="19">
        <f t="array" ref="W247">IFERROR(INDEX('Hàng hóa'!$H$4:$H$203,MATCH(T247,'Hàng hóa'!$B$4:$B$203,0)),0)</f>
        <v>0</v>
      </c>
      <c r="X247" s="20">
        <f t="shared" si="10"/>
        <v>0</v>
      </c>
      <c r="Y247" s="15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3"/>
      <c r="S248" s="37" t="str">
        <f t="shared" si="11"/>
        <v/>
      </c>
      <c r="T248" s="44"/>
      <c r="U248" s="45"/>
      <c r="V248" s="37" t="str">
        <f t="array" ref="V248">IFERROR(INDEX('Hàng hóa'!$F$4:$F$203,MATCH(T248,'Hàng hóa'!$B$4:$B$203,0)),"")</f>
        <v/>
      </c>
      <c r="W248" s="19">
        <f t="array" ref="W248">IFERROR(INDEX('Hàng hóa'!$H$4:$H$203,MATCH(T248,'Hàng hóa'!$B$4:$B$203,0)),0)</f>
        <v>0</v>
      </c>
      <c r="X248" s="20">
        <f t="shared" si="10"/>
        <v>0</v>
      </c>
      <c r="Y248" s="15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3"/>
      <c r="S249" s="37" t="str">
        <f t="shared" si="11"/>
        <v/>
      </c>
      <c r="T249" s="44"/>
      <c r="U249" s="45"/>
      <c r="V249" s="37" t="str">
        <f t="array" ref="V249">IFERROR(INDEX('Hàng hóa'!$F$4:$F$203,MATCH(T249,'Hàng hóa'!$B$4:$B$203,0)),"")</f>
        <v/>
      </c>
      <c r="W249" s="19">
        <f t="array" ref="W249">IFERROR(INDEX('Hàng hóa'!$H$4:$H$203,MATCH(T249,'Hàng hóa'!$B$4:$B$203,0)),0)</f>
        <v>0</v>
      </c>
      <c r="X249" s="20">
        <f t="shared" si="10"/>
        <v>0</v>
      </c>
      <c r="Y249" s="15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3"/>
      <c r="S250" s="37" t="str">
        <f t="shared" si="11"/>
        <v/>
      </c>
      <c r="T250" s="44"/>
      <c r="U250" s="45"/>
      <c r="V250" s="37" t="str">
        <f t="array" ref="V250">IFERROR(INDEX('Hàng hóa'!$F$4:$F$203,MATCH(T250,'Hàng hóa'!$B$4:$B$203,0)),"")</f>
        <v/>
      </c>
      <c r="W250" s="19">
        <f t="array" ref="W250">IFERROR(INDEX('Hàng hóa'!$H$4:$H$203,MATCH(T250,'Hàng hóa'!$B$4:$B$203,0)),0)</f>
        <v>0</v>
      </c>
      <c r="X250" s="20">
        <f t="shared" si="10"/>
        <v>0</v>
      </c>
      <c r="Y250" s="15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3"/>
      <c r="S251" s="37" t="str">
        <f t="shared" si="11"/>
        <v/>
      </c>
      <c r="T251" s="44"/>
      <c r="U251" s="45"/>
      <c r="V251" s="37" t="str">
        <f t="array" ref="V251">IFERROR(INDEX('Hàng hóa'!$F$4:$F$203,MATCH(T251,'Hàng hóa'!$B$4:$B$203,0)),"")</f>
        <v/>
      </c>
      <c r="W251" s="19">
        <f t="array" ref="W251">IFERROR(INDEX('Hàng hóa'!$H$4:$H$203,MATCH(T251,'Hàng hóa'!$B$4:$B$203,0)),0)</f>
        <v>0</v>
      </c>
      <c r="X251" s="20">
        <f t="shared" si="10"/>
        <v>0</v>
      </c>
      <c r="Y251" s="15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3"/>
      <c r="S252" s="37" t="str">
        <f t="shared" si="11"/>
        <v/>
      </c>
      <c r="T252" s="44"/>
      <c r="U252" s="45"/>
      <c r="V252" s="37" t="str">
        <f t="array" ref="V252">IFERROR(INDEX('Hàng hóa'!$F$4:$F$203,MATCH(T252,'Hàng hóa'!$B$4:$B$203,0)),"")</f>
        <v/>
      </c>
      <c r="W252" s="19">
        <f t="array" ref="W252">IFERROR(INDEX('Hàng hóa'!$H$4:$H$203,MATCH(T252,'Hàng hóa'!$B$4:$B$203,0)),0)</f>
        <v>0</v>
      </c>
      <c r="X252" s="20">
        <f t="shared" si="10"/>
        <v>0</v>
      </c>
      <c r="Y252" s="15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3"/>
      <c r="S253" s="37" t="str">
        <f t="shared" si="11"/>
        <v/>
      </c>
      <c r="T253" s="44"/>
      <c r="U253" s="45"/>
      <c r="V253" s="37" t="str">
        <f t="array" ref="V253">IFERROR(INDEX('Hàng hóa'!$F$4:$F$203,MATCH(T253,'Hàng hóa'!$B$4:$B$203,0)),"")</f>
        <v/>
      </c>
      <c r="W253" s="19">
        <f t="array" ref="W253">IFERROR(INDEX('Hàng hóa'!$H$4:$H$203,MATCH(T253,'Hàng hóa'!$B$4:$B$203,0)),0)</f>
        <v>0</v>
      </c>
      <c r="X253" s="20">
        <f t="shared" si="10"/>
        <v>0</v>
      </c>
      <c r="Y253" s="15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3"/>
      <c r="S254" s="37" t="str">
        <f t="shared" si="11"/>
        <v/>
      </c>
      <c r="T254" s="44"/>
      <c r="U254" s="45"/>
      <c r="V254" s="37" t="str">
        <f t="array" ref="V254">IFERROR(INDEX('Hàng hóa'!$F$4:$F$203,MATCH(T254,'Hàng hóa'!$B$4:$B$203,0)),"")</f>
        <v/>
      </c>
      <c r="W254" s="19">
        <f t="array" ref="W254">IFERROR(INDEX('Hàng hóa'!$H$4:$H$203,MATCH(T254,'Hàng hóa'!$B$4:$B$203,0)),0)</f>
        <v>0</v>
      </c>
      <c r="X254" s="20">
        <f t="shared" si="10"/>
        <v>0</v>
      </c>
      <c r="Y254" s="15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3"/>
      <c r="S255" s="37" t="str">
        <f t="shared" si="11"/>
        <v/>
      </c>
      <c r="T255" s="44"/>
      <c r="U255" s="45"/>
      <c r="V255" s="37" t="str">
        <f t="array" ref="V255">IFERROR(INDEX('Hàng hóa'!$F$4:$F$203,MATCH(T255,'Hàng hóa'!$B$4:$B$203,0)),"")</f>
        <v/>
      </c>
      <c r="W255" s="19">
        <f t="array" ref="W255">IFERROR(INDEX('Hàng hóa'!$H$4:$H$203,MATCH(T255,'Hàng hóa'!$B$4:$B$203,0)),0)</f>
        <v>0</v>
      </c>
      <c r="X255" s="20">
        <f t="shared" si="10"/>
        <v>0</v>
      </c>
      <c r="Y255" s="15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3"/>
      <c r="S256" s="37" t="str">
        <f t="shared" si="11"/>
        <v/>
      </c>
      <c r="T256" s="44"/>
      <c r="U256" s="45"/>
      <c r="V256" s="37" t="str">
        <f t="array" ref="V256">IFERROR(INDEX('Hàng hóa'!$F$4:$F$203,MATCH(T256,'Hàng hóa'!$B$4:$B$203,0)),"")</f>
        <v/>
      </c>
      <c r="W256" s="19">
        <f t="array" ref="W256">IFERROR(INDEX('Hàng hóa'!$H$4:$H$203,MATCH(T256,'Hàng hóa'!$B$4:$B$203,0)),0)</f>
        <v>0</v>
      </c>
      <c r="X256" s="20">
        <f t="shared" si="10"/>
        <v>0</v>
      </c>
      <c r="Y256" s="15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3"/>
      <c r="S257" s="37" t="str">
        <f t="shared" si="11"/>
        <v/>
      </c>
      <c r="T257" s="44"/>
      <c r="U257" s="45"/>
      <c r="V257" s="37" t="str">
        <f t="array" ref="V257">IFERROR(INDEX('Hàng hóa'!$F$4:$F$203,MATCH(T257,'Hàng hóa'!$B$4:$B$203,0)),"")</f>
        <v/>
      </c>
      <c r="W257" s="19">
        <f t="array" ref="W257">IFERROR(INDEX('Hàng hóa'!$H$4:$H$203,MATCH(T257,'Hàng hóa'!$B$4:$B$203,0)),0)</f>
        <v>0</v>
      </c>
      <c r="X257" s="20">
        <f t="shared" si="10"/>
        <v>0</v>
      </c>
      <c r="Y257" s="15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3"/>
      <c r="S258" s="37" t="str">
        <f t="shared" si="11"/>
        <v/>
      </c>
      <c r="T258" s="44"/>
      <c r="U258" s="45"/>
      <c r="V258" s="37" t="str">
        <f t="array" ref="V258">IFERROR(INDEX('Hàng hóa'!$F$4:$F$203,MATCH(T258,'Hàng hóa'!$B$4:$B$203,0)),"")</f>
        <v/>
      </c>
      <c r="W258" s="19">
        <f t="array" ref="W258">IFERROR(INDEX('Hàng hóa'!$H$4:$H$203,MATCH(T258,'Hàng hóa'!$B$4:$B$203,0)),0)</f>
        <v>0</v>
      </c>
      <c r="X258" s="20">
        <f t="shared" si="10"/>
        <v>0</v>
      </c>
      <c r="Y258" s="15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3"/>
      <c r="S259" s="37" t="str">
        <f t="shared" si="11"/>
        <v/>
      </c>
      <c r="T259" s="44"/>
      <c r="U259" s="45"/>
      <c r="V259" s="37" t="str">
        <f t="array" ref="V259">IFERROR(INDEX('Hàng hóa'!$F$4:$F$203,MATCH(T259,'Hàng hóa'!$B$4:$B$203,0)),"")</f>
        <v/>
      </c>
      <c r="W259" s="19">
        <f t="array" ref="W259">IFERROR(INDEX('Hàng hóa'!$H$4:$H$203,MATCH(T259,'Hàng hóa'!$B$4:$B$203,0)),0)</f>
        <v>0</v>
      </c>
      <c r="X259" s="20">
        <f t="shared" si="10"/>
        <v>0</v>
      </c>
      <c r="Y259" s="15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3"/>
      <c r="S260" s="37" t="str">
        <f t="shared" si="11"/>
        <v/>
      </c>
      <c r="T260" s="44"/>
      <c r="U260" s="45"/>
      <c r="V260" s="37" t="str">
        <f t="array" ref="V260">IFERROR(INDEX('Hàng hóa'!$F$4:$F$203,MATCH(T260,'Hàng hóa'!$B$4:$B$203,0)),"")</f>
        <v/>
      </c>
      <c r="W260" s="19">
        <f t="array" ref="W260">IFERROR(INDEX('Hàng hóa'!$H$4:$H$203,MATCH(T260,'Hàng hóa'!$B$4:$B$203,0)),0)</f>
        <v>0</v>
      </c>
      <c r="X260" s="20">
        <f t="shared" si="10"/>
        <v>0</v>
      </c>
      <c r="Y260" s="15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3"/>
      <c r="S261" s="37" t="str">
        <f t="shared" si="11"/>
        <v/>
      </c>
      <c r="T261" s="44"/>
      <c r="U261" s="45"/>
      <c r="V261" s="37" t="str">
        <f t="array" ref="V261">IFERROR(INDEX('Hàng hóa'!$F$4:$F$203,MATCH(T261,'Hàng hóa'!$B$4:$B$203,0)),"")</f>
        <v/>
      </c>
      <c r="W261" s="19">
        <f t="array" ref="W261">IFERROR(INDEX('Hàng hóa'!$H$4:$H$203,MATCH(T261,'Hàng hóa'!$B$4:$B$203,0)),0)</f>
        <v>0</v>
      </c>
      <c r="X261" s="20">
        <f t="shared" si="10"/>
        <v>0</v>
      </c>
      <c r="Y261" s="15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3"/>
      <c r="S262" s="37" t="str">
        <f t="shared" si="11"/>
        <v/>
      </c>
      <c r="T262" s="44"/>
      <c r="U262" s="45"/>
      <c r="V262" s="37" t="str">
        <f t="array" ref="V262">IFERROR(INDEX('Hàng hóa'!$F$4:$F$203,MATCH(T262,'Hàng hóa'!$B$4:$B$203,0)),"")</f>
        <v/>
      </c>
      <c r="W262" s="19">
        <f t="array" ref="W262">IFERROR(INDEX('Hàng hóa'!$H$4:$H$203,MATCH(T262,'Hàng hóa'!$B$4:$B$203,0)),0)</f>
        <v>0</v>
      </c>
      <c r="X262" s="20">
        <f t="shared" si="10"/>
        <v>0</v>
      </c>
      <c r="Y262" s="15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3"/>
      <c r="S263" s="37" t="str">
        <f t="shared" si="11"/>
        <v/>
      </c>
      <c r="T263" s="44"/>
      <c r="U263" s="45"/>
      <c r="V263" s="37" t="str">
        <f t="array" ref="V263">IFERROR(INDEX('Hàng hóa'!$F$4:$F$203,MATCH(T263,'Hàng hóa'!$B$4:$B$203,0)),"")</f>
        <v/>
      </c>
      <c r="W263" s="19">
        <f t="array" ref="W263">IFERROR(INDEX('Hàng hóa'!$H$4:$H$203,MATCH(T263,'Hàng hóa'!$B$4:$B$203,0)),0)</f>
        <v>0</v>
      </c>
      <c r="X263" s="20">
        <f t="shared" si="10"/>
        <v>0</v>
      </c>
      <c r="Y263" s="15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3"/>
      <c r="S264" s="37" t="str">
        <f t="shared" si="11"/>
        <v/>
      </c>
      <c r="T264" s="44"/>
      <c r="U264" s="45"/>
      <c r="V264" s="37" t="str">
        <f t="array" ref="V264">IFERROR(INDEX('Hàng hóa'!$F$4:$F$203,MATCH(T264,'Hàng hóa'!$B$4:$B$203,0)),"")</f>
        <v/>
      </c>
      <c r="W264" s="19">
        <f t="array" ref="W264">IFERROR(INDEX('Hàng hóa'!$H$4:$H$203,MATCH(T264,'Hàng hóa'!$B$4:$B$203,0)),0)</f>
        <v>0</v>
      </c>
      <c r="X264" s="20">
        <f t="shared" si="10"/>
        <v>0</v>
      </c>
      <c r="Y264" s="15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3"/>
      <c r="S265" s="37" t="str">
        <f t="shared" si="11"/>
        <v/>
      </c>
      <c r="T265" s="44"/>
      <c r="U265" s="45"/>
      <c r="V265" s="37" t="str">
        <f t="array" ref="V265">IFERROR(INDEX('Hàng hóa'!$F$4:$F$203,MATCH(T265,'Hàng hóa'!$B$4:$B$203,0)),"")</f>
        <v/>
      </c>
      <c r="W265" s="19">
        <f t="array" ref="W265">IFERROR(INDEX('Hàng hóa'!$H$4:$H$203,MATCH(T265,'Hàng hóa'!$B$4:$B$203,0)),0)</f>
        <v>0</v>
      </c>
      <c r="X265" s="20">
        <f t="shared" si="10"/>
        <v>0</v>
      </c>
      <c r="Y265" s="15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3"/>
      <c r="S266" s="37" t="str">
        <f t="shared" si="11"/>
        <v/>
      </c>
      <c r="T266" s="44"/>
      <c r="U266" s="45"/>
      <c r="V266" s="37" t="str">
        <f t="array" ref="V266">IFERROR(INDEX('Hàng hóa'!$F$4:$F$203,MATCH(T266,'Hàng hóa'!$B$4:$B$203,0)),"")</f>
        <v/>
      </c>
      <c r="W266" s="19">
        <f t="array" ref="W266">IFERROR(INDEX('Hàng hóa'!$H$4:$H$203,MATCH(T266,'Hàng hóa'!$B$4:$B$203,0)),0)</f>
        <v>0</v>
      </c>
      <c r="X266" s="20">
        <f t="shared" si="10"/>
        <v>0</v>
      </c>
      <c r="Y266" s="15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3"/>
      <c r="S267" s="37" t="str">
        <f t="shared" si="11"/>
        <v/>
      </c>
      <c r="T267" s="44"/>
      <c r="U267" s="45"/>
      <c r="V267" s="37" t="str">
        <f t="array" ref="V267">IFERROR(INDEX('Hàng hóa'!$F$4:$F$203,MATCH(T267,'Hàng hóa'!$B$4:$B$203,0)),"")</f>
        <v/>
      </c>
      <c r="W267" s="19">
        <f t="array" ref="W267">IFERROR(INDEX('Hàng hóa'!$H$4:$H$203,MATCH(T267,'Hàng hóa'!$B$4:$B$203,0)),0)</f>
        <v>0</v>
      </c>
      <c r="X267" s="20">
        <f t="shared" si="10"/>
        <v>0</v>
      </c>
      <c r="Y267" s="15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3"/>
      <c r="S268" s="37" t="str">
        <f t="shared" si="11"/>
        <v/>
      </c>
      <c r="T268" s="44"/>
      <c r="U268" s="45"/>
      <c r="V268" s="37" t="str">
        <f t="array" ref="V268">IFERROR(INDEX('Hàng hóa'!$F$4:$F$203,MATCH(T268,'Hàng hóa'!$B$4:$B$203,0)),"")</f>
        <v/>
      </c>
      <c r="W268" s="19">
        <f t="array" ref="W268">IFERROR(INDEX('Hàng hóa'!$H$4:$H$203,MATCH(T268,'Hàng hóa'!$B$4:$B$203,0)),0)</f>
        <v>0</v>
      </c>
      <c r="X268" s="20">
        <f t="shared" si="10"/>
        <v>0</v>
      </c>
      <c r="Y268" s="15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3"/>
      <c r="S269" s="37" t="str">
        <f t="shared" si="11"/>
        <v/>
      </c>
      <c r="T269" s="44"/>
      <c r="U269" s="45"/>
      <c r="V269" s="37" t="str">
        <f t="array" ref="V269">IFERROR(INDEX('Hàng hóa'!$F$4:$F$203,MATCH(T269,'Hàng hóa'!$B$4:$B$203,0)),"")</f>
        <v/>
      </c>
      <c r="W269" s="19">
        <f t="array" ref="W269">IFERROR(INDEX('Hàng hóa'!$H$4:$H$203,MATCH(T269,'Hàng hóa'!$B$4:$B$203,0)),0)</f>
        <v>0</v>
      </c>
      <c r="X269" s="20">
        <f t="shared" si="10"/>
        <v>0</v>
      </c>
      <c r="Y269" s="15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3"/>
      <c r="S270" s="37" t="str">
        <f t="shared" si="11"/>
        <v/>
      </c>
      <c r="T270" s="44"/>
      <c r="U270" s="45"/>
      <c r="V270" s="37" t="str">
        <f t="array" ref="V270">IFERROR(INDEX('Hàng hóa'!$F$4:$F$203,MATCH(T270,'Hàng hóa'!$B$4:$B$203,0)),"")</f>
        <v/>
      </c>
      <c r="W270" s="19">
        <f t="array" ref="W270">IFERROR(INDEX('Hàng hóa'!$H$4:$H$203,MATCH(T270,'Hàng hóa'!$B$4:$B$203,0)),0)</f>
        <v>0</v>
      </c>
      <c r="X270" s="20">
        <f t="shared" si="10"/>
        <v>0</v>
      </c>
      <c r="Y270" s="15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3"/>
      <c r="S271" s="37" t="str">
        <f t="shared" si="11"/>
        <v/>
      </c>
      <c r="T271" s="44"/>
      <c r="U271" s="45"/>
      <c r="V271" s="37" t="str">
        <f t="array" ref="V271">IFERROR(INDEX('Hàng hóa'!$F$4:$F$203,MATCH(T271,'Hàng hóa'!$B$4:$B$203,0)),"")</f>
        <v/>
      </c>
      <c r="W271" s="19">
        <f t="array" ref="W271">IFERROR(INDEX('Hàng hóa'!$H$4:$H$203,MATCH(T271,'Hàng hóa'!$B$4:$B$203,0)),0)</f>
        <v>0</v>
      </c>
      <c r="X271" s="20">
        <f t="shared" si="10"/>
        <v>0</v>
      </c>
      <c r="Y271" s="15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3"/>
      <c r="S272" s="37" t="str">
        <f t="shared" si="11"/>
        <v/>
      </c>
      <c r="T272" s="44"/>
      <c r="U272" s="45"/>
      <c r="V272" s="37" t="str">
        <f t="array" ref="V272">IFERROR(INDEX('Hàng hóa'!$F$4:$F$203,MATCH(T272,'Hàng hóa'!$B$4:$B$203,0)),"")</f>
        <v/>
      </c>
      <c r="W272" s="19">
        <f t="array" ref="W272">IFERROR(INDEX('Hàng hóa'!$H$4:$H$203,MATCH(T272,'Hàng hóa'!$B$4:$B$203,0)),0)</f>
        <v>0</v>
      </c>
      <c r="X272" s="20">
        <f t="shared" si="10"/>
        <v>0</v>
      </c>
      <c r="Y272" s="15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3"/>
      <c r="S273" s="37" t="str">
        <f t="shared" si="11"/>
        <v/>
      </c>
      <c r="T273" s="44"/>
      <c r="U273" s="45"/>
      <c r="V273" s="37" t="str">
        <f t="array" ref="V273">IFERROR(INDEX('Hàng hóa'!$F$4:$F$203,MATCH(T273,'Hàng hóa'!$B$4:$B$203,0)),"")</f>
        <v/>
      </c>
      <c r="W273" s="19">
        <f t="array" ref="W273">IFERROR(INDEX('Hàng hóa'!$H$4:$H$203,MATCH(T273,'Hàng hóa'!$B$4:$B$203,0)),0)</f>
        <v>0</v>
      </c>
      <c r="X273" s="20">
        <f t="shared" si="10"/>
        <v>0</v>
      </c>
      <c r="Y273" s="15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3"/>
      <c r="S274" s="37" t="str">
        <f t="shared" si="11"/>
        <v/>
      </c>
      <c r="T274" s="44"/>
      <c r="U274" s="45"/>
      <c r="V274" s="37" t="str">
        <f t="array" ref="V274">IFERROR(INDEX('Hàng hóa'!$F$4:$F$203,MATCH(T274,'Hàng hóa'!$B$4:$B$203,0)),"")</f>
        <v/>
      </c>
      <c r="W274" s="19">
        <f t="array" ref="W274">IFERROR(INDEX('Hàng hóa'!$H$4:$H$203,MATCH(T274,'Hàng hóa'!$B$4:$B$203,0)),0)</f>
        <v>0</v>
      </c>
      <c r="X274" s="20">
        <f t="shared" si="10"/>
        <v>0</v>
      </c>
      <c r="Y274" s="15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3"/>
      <c r="S275" s="37" t="str">
        <f t="shared" si="11"/>
        <v/>
      </c>
      <c r="T275" s="44"/>
      <c r="U275" s="45"/>
      <c r="V275" s="37" t="str">
        <f t="array" ref="V275">IFERROR(INDEX('Hàng hóa'!$F$4:$F$203,MATCH(T275,'Hàng hóa'!$B$4:$B$203,0)),"")</f>
        <v/>
      </c>
      <c r="W275" s="19">
        <f t="array" ref="W275">IFERROR(INDEX('Hàng hóa'!$H$4:$H$203,MATCH(T275,'Hàng hóa'!$B$4:$B$203,0)),0)</f>
        <v>0</v>
      </c>
      <c r="X275" s="20">
        <f t="shared" si="10"/>
        <v>0</v>
      </c>
      <c r="Y275" s="15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3"/>
      <c r="S276" s="37" t="str">
        <f t="shared" si="11"/>
        <v/>
      </c>
      <c r="T276" s="44"/>
      <c r="U276" s="45"/>
      <c r="V276" s="37" t="str">
        <f t="array" ref="V276">IFERROR(INDEX('Hàng hóa'!$F$4:$F$203,MATCH(T276,'Hàng hóa'!$B$4:$B$203,0)),"")</f>
        <v/>
      </c>
      <c r="W276" s="19">
        <f t="array" ref="W276">IFERROR(INDEX('Hàng hóa'!$H$4:$H$203,MATCH(T276,'Hàng hóa'!$B$4:$B$203,0)),0)</f>
        <v>0</v>
      </c>
      <c r="X276" s="20">
        <f t="shared" si="10"/>
        <v>0</v>
      </c>
      <c r="Y276" s="15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3"/>
      <c r="S277" s="37" t="str">
        <f t="shared" si="11"/>
        <v/>
      </c>
      <c r="T277" s="44"/>
      <c r="U277" s="45"/>
      <c r="V277" s="37" t="str">
        <f t="array" ref="V277">IFERROR(INDEX('Hàng hóa'!$F$4:$F$203,MATCH(T277,'Hàng hóa'!$B$4:$B$203,0)),"")</f>
        <v/>
      </c>
      <c r="W277" s="19">
        <f t="array" ref="W277">IFERROR(INDEX('Hàng hóa'!$H$4:$H$203,MATCH(T277,'Hàng hóa'!$B$4:$B$203,0)),0)</f>
        <v>0</v>
      </c>
      <c r="X277" s="20">
        <f t="shared" si="10"/>
        <v>0</v>
      </c>
      <c r="Y277" s="15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3"/>
      <c r="S278" s="37" t="str">
        <f t="shared" si="11"/>
        <v/>
      </c>
      <c r="T278" s="44"/>
      <c r="U278" s="45"/>
      <c r="V278" s="37" t="str">
        <f t="array" ref="V278">IFERROR(INDEX('Hàng hóa'!$F$4:$F$203,MATCH(T278,'Hàng hóa'!$B$4:$B$203,0)),"")</f>
        <v/>
      </c>
      <c r="W278" s="19">
        <f t="array" ref="W278">IFERROR(INDEX('Hàng hóa'!$H$4:$H$203,MATCH(T278,'Hàng hóa'!$B$4:$B$203,0)),0)</f>
        <v>0</v>
      </c>
      <c r="X278" s="20">
        <f t="shared" si="10"/>
        <v>0</v>
      </c>
      <c r="Y278" s="15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3"/>
      <c r="S279" s="37" t="str">
        <f t="shared" si="11"/>
        <v/>
      </c>
      <c r="T279" s="44"/>
      <c r="U279" s="45"/>
      <c r="V279" s="37" t="str">
        <f t="array" ref="V279">IFERROR(INDEX('Hàng hóa'!$F$4:$F$203,MATCH(T279,'Hàng hóa'!$B$4:$B$203,0)),"")</f>
        <v/>
      </c>
      <c r="W279" s="19">
        <f t="array" ref="W279">IFERROR(INDEX('Hàng hóa'!$H$4:$H$203,MATCH(T279,'Hàng hóa'!$B$4:$B$203,0)),0)</f>
        <v>0</v>
      </c>
      <c r="X279" s="20">
        <f t="shared" si="10"/>
        <v>0</v>
      </c>
      <c r="Y279" s="15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3"/>
      <c r="S280" s="37" t="str">
        <f t="shared" si="11"/>
        <v/>
      </c>
      <c r="T280" s="44"/>
      <c r="U280" s="45"/>
      <c r="V280" s="37" t="str">
        <f t="array" ref="V280">IFERROR(INDEX('Hàng hóa'!$F$4:$F$203,MATCH(T280,'Hàng hóa'!$B$4:$B$203,0)),"")</f>
        <v/>
      </c>
      <c r="W280" s="19">
        <f t="array" ref="W280">IFERROR(INDEX('Hàng hóa'!$H$4:$H$203,MATCH(T280,'Hàng hóa'!$B$4:$B$203,0)),0)</f>
        <v>0</v>
      </c>
      <c r="X280" s="20">
        <f t="shared" si="10"/>
        <v>0</v>
      </c>
      <c r="Y280" s="15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3"/>
      <c r="S281" s="37" t="str">
        <f t="shared" si="11"/>
        <v/>
      </c>
      <c r="T281" s="44"/>
      <c r="U281" s="45"/>
      <c r="V281" s="37" t="str">
        <f t="array" ref="V281">IFERROR(INDEX('Hàng hóa'!$F$4:$F$203,MATCH(T281,'Hàng hóa'!$B$4:$B$203,0)),"")</f>
        <v/>
      </c>
      <c r="W281" s="19">
        <f t="array" ref="W281">IFERROR(INDEX('Hàng hóa'!$H$4:$H$203,MATCH(T281,'Hàng hóa'!$B$4:$B$203,0)),0)</f>
        <v>0</v>
      </c>
      <c r="X281" s="20">
        <f t="shared" si="10"/>
        <v>0</v>
      </c>
      <c r="Y281" s="15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3"/>
      <c r="S282" s="37" t="str">
        <f t="shared" si="11"/>
        <v/>
      </c>
      <c r="T282" s="44"/>
      <c r="U282" s="45"/>
      <c r="V282" s="37" t="str">
        <f t="array" ref="V282">IFERROR(INDEX('Hàng hóa'!$F$4:$F$203,MATCH(T282,'Hàng hóa'!$B$4:$B$203,0)),"")</f>
        <v/>
      </c>
      <c r="W282" s="19">
        <f t="array" ref="W282">IFERROR(INDEX('Hàng hóa'!$H$4:$H$203,MATCH(T282,'Hàng hóa'!$B$4:$B$203,0)),0)</f>
        <v>0</v>
      </c>
      <c r="X282" s="20">
        <f t="shared" si="10"/>
        <v>0</v>
      </c>
      <c r="Y282" s="15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3"/>
      <c r="S283" s="37" t="str">
        <f t="shared" si="11"/>
        <v/>
      </c>
      <c r="T283" s="44"/>
      <c r="U283" s="45"/>
      <c r="V283" s="37" t="str">
        <f t="array" ref="V283">IFERROR(INDEX('Hàng hóa'!$F$4:$F$203,MATCH(T283,'Hàng hóa'!$B$4:$B$203,0)),"")</f>
        <v/>
      </c>
      <c r="W283" s="19">
        <f t="array" ref="W283">IFERROR(INDEX('Hàng hóa'!$H$4:$H$203,MATCH(T283,'Hàng hóa'!$B$4:$B$203,0)),0)</f>
        <v>0</v>
      </c>
      <c r="X283" s="20">
        <f t="shared" si="10"/>
        <v>0</v>
      </c>
      <c r="Y283" s="15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3"/>
      <c r="S284" s="37" t="str">
        <f t="shared" si="11"/>
        <v/>
      </c>
      <c r="T284" s="44"/>
      <c r="U284" s="45"/>
      <c r="V284" s="37" t="str">
        <f t="array" ref="V284">IFERROR(INDEX('Hàng hóa'!$F$4:$F$203,MATCH(T284,'Hàng hóa'!$B$4:$B$203,0)),"")</f>
        <v/>
      </c>
      <c r="W284" s="19">
        <f t="array" ref="W284">IFERROR(INDEX('Hàng hóa'!$H$4:$H$203,MATCH(T284,'Hàng hóa'!$B$4:$B$203,0)),0)</f>
        <v>0</v>
      </c>
      <c r="X284" s="20">
        <f t="shared" si="10"/>
        <v>0</v>
      </c>
      <c r="Y284" s="15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3"/>
      <c r="S285" s="37" t="str">
        <f t="shared" si="11"/>
        <v/>
      </c>
      <c r="T285" s="44"/>
      <c r="U285" s="45"/>
      <c r="V285" s="37" t="str">
        <f t="array" ref="V285">IFERROR(INDEX('Hàng hóa'!$F$4:$F$203,MATCH(T285,'Hàng hóa'!$B$4:$B$203,0)),"")</f>
        <v/>
      </c>
      <c r="W285" s="19">
        <f t="array" ref="W285">IFERROR(INDEX('Hàng hóa'!$H$4:$H$203,MATCH(T285,'Hàng hóa'!$B$4:$B$203,0)),0)</f>
        <v>0</v>
      </c>
      <c r="X285" s="20">
        <f t="shared" si="10"/>
        <v>0</v>
      </c>
      <c r="Y285" s="15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3"/>
      <c r="S286" s="37" t="str">
        <f t="shared" si="11"/>
        <v/>
      </c>
      <c r="T286" s="44"/>
      <c r="U286" s="45"/>
      <c r="V286" s="37" t="str">
        <f t="array" ref="V286">IFERROR(INDEX('Hàng hóa'!$F$4:$F$203,MATCH(T286,'Hàng hóa'!$B$4:$B$203,0)),"")</f>
        <v/>
      </c>
      <c r="W286" s="19">
        <f t="array" ref="W286">IFERROR(INDEX('Hàng hóa'!$H$4:$H$203,MATCH(T286,'Hàng hóa'!$B$4:$B$203,0)),0)</f>
        <v>0</v>
      </c>
      <c r="X286" s="20">
        <f t="shared" si="10"/>
        <v>0</v>
      </c>
      <c r="Y286" s="15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3"/>
      <c r="S287" s="37" t="str">
        <f t="shared" si="11"/>
        <v/>
      </c>
      <c r="T287" s="44"/>
      <c r="U287" s="45"/>
      <c r="V287" s="37" t="str">
        <f t="array" ref="V287">IFERROR(INDEX('Hàng hóa'!$F$4:$F$203,MATCH(T287,'Hàng hóa'!$B$4:$B$203,0)),"")</f>
        <v/>
      </c>
      <c r="W287" s="19">
        <f t="array" ref="W287">IFERROR(INDEX('Hàng hóa'!$H$4:$H$203,MATCH(T287,'Hàng hóa'!$B$4:$B$203,0)),0)</f>
        <v>0</v>
      </c>
      <c r="X287" s="20">
        <f t="shared" si="10"/>
        <v>0</v>
      </c>
      <c r="Y287" s="15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3"/>
      <c r="S288" s="37" t="str">
        <f t="shared" si="11"/>
        <v/>
      </c>
      <c r="T288" s="44"/>
      <c r="U288" s="45"/>
      <c r="V288" s="37" t="str">
        <f t="array" ref="V288">IFERROR(INDEX('Hàng hóa'!$F$4:$F$203,MATCH(T288,'Hàng hóa'!$B$4:$B$203,0)),"")</f>
        <v/>
      </c>
      <c r="W288" s="19">
        <f t="array" ref="W288">IFERROR(INDEX('Hàng hóa'!$H$4:$H$203,MATCH(T288,'Hàng hóa'!$B$4:$B$203,0)),0)</f>
        <v>0</v>
      </c>
      <c r="X288" s="20">
        <f t="shared" si="10"/>
        <v>0</v>
      </c>
      <c r="Y288" s="15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3"/>
      <c r="S289" s="37" t="str">
        <f t="shared" si="11"/>
        <v/>
      </c>
      <c r="T289" s="44"/>
      <c r="U289" s="45"/>
      <c r="V289" s="37" t="str">
        <f t="array" ref="V289">IFERROR(INDEX('Hàng hóa'!$F$4:$F$203,MATCH(T289,'Hàng hóa'!$B$4:$B$203,0)),"")</f>
        <v/>
      </c>
      <c r="W289" s="19">
        <f t="array" ref="W289">IFERROR(INDEX('Hàng hóa'!$H$4:$H$203,MATCH(T289,'Hàng hóa'!$B$4:$B$203,0)),0)</f>
        <v>0</v>
      </c>
      <c r="X289" s="20">
        <f t="shared" si="10"/>
        <v>0</v>
      </c>
      <c r="Y289" s="15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3"/>
      <c r="S290" s="37" t="str">
        <f t="shared" si="11"/>
        <v/>
      </c>
      <c r="T290" s="44"/>
      <c r="U290" s="45"/>
      <c r="V290" s="37" t="str">
        <f t="array" ref="V290">IFERROR(INDEX('Hàng hóa'!$F$4:$F$203,MATCH(T290,'Hàng hóa'!$B$4:$B$203,0)),"")</f>
        <v/>
      </c>
      <c r="W290" s="19">
        <f t="array" ref="W290">IFERROR(INDEX('Hàng hóa'!$H$4:$H$203,MATCH(T290,'Hàng hóa'!$B$4:$B$203,0)),0)</f>
        <v>0</v>
      </c>
      <c r="X290" s="20">
        <f t="shared" si="10"/>
        <v>0</v>
      </c>
      <c r="Y290" s="15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3"/>
      <c r="S291" s="37" t="str">
        <f t="shared" si="11"/>
        <v/>
      </c>
      <c r="T291" s="44"/>
      <c r="U291" s="45"/>
      <c r="V291" s="37" t="str">
        <f t="array" ref="V291">IFERROR(INDEX('Hàng hóa'!$F$4:$F$203,MATCH(T291,'Hàng hóa'!$B$4:$B$203,0)),"")</f>
        <v/>
      </c>
      <c r="W291" s="19">
        <f t="array" ref="W291">IFERROR(INDEX('Hàng hóa'!$H$4:$H$203,MATCH(T291,'Hàng hóa'!$B$4:$B$203,0)),0)</f>
        <v>0</v>
      </c>
      <c r="X291" s="20">
        <f t="shared" si="10"/>
        <v>0</v>
      </c>
      <c r="Y291" s="15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3"/>
      <c r="S292" s="37" t="str">
        <f t="shared" si="11"/>
        <v/>
      </c>
      <c r="T292" s="44"/>
      <c r="U292" s="45"/>
      <c r="V292" s="37" t="str">
        <f t="array" ref="V292">IFERROR(INDEX('Hàng hóa'!$F$4:$F$203,MATCH(T292,'Hàng hóa'!$B$4:$B$203,0)),"")</f>
        <v/>
      </c>
      <c r="W292" s="19">
        <f t="array" ref="W292">IFERROR(INDEX('Hàng hóa'!$H$4:$H$203,MATCH(T292,'Hàng hóa'!$B$4:$B$203,0)),0)</f>
        <v>0</v>
      </c>
      <c r="X292" s="20">
        <f t="shared" si="10"/>
        <v>0</v>
      </c>
      <c r="Y292" s="15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3"/>
      <c r="S293" s="37" t="str">
        <f t="shared" si="11"/>
        <v/>
      </c>
      <c r="T293" s="44"/>
      <c r="U293" s="45"/>
      <c r="V293" s="37" t="str">
        <f t="array" ref="V293">IFERROR(INDEX('Hàng hóa'!$F$4:$F$203,MATCH(T293,'Hàng hóa'!$B$4:$B$203,0)),"")</f>
        <v/>
      </c>
      <c r="W293" s="19">
        <f t="array" ref="W293">IFERROR(INDEX('Hàng hóa'!$H$4:$H$203,MATCH(T293,'Hàng hóa'!$B$4:$B$203,0)),0)</f>
        <v>0</v>
      </c>
      <c r="X293" s="20">
        <f t="shared" si="10"/>
        <v>0</v>
      </c>
      <c r="Y293" s="15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3"/>
      <c r="S294" s="37" t="str">
        <f t="shared" si="11"/>
        <v/>
      </c>
      <c r="T294" s="44"/>
      <c r="U294" s="45"/>
      <c r="V294" s="37" t="str">
        <f t="array" ref="V294">IFERROR(INDEX('Hàng hóa'!$F$4:$F$203,MATCH(T294,'Hàng hóa'!$B$4:$B$203,0)),"")</f>
        <v/>
      </c>
      <c r="W294" s="19">
        <f t="array" ref="W294">IFERROR(INDEX('Hàng hóa'!$H$4:$H$203,MATCH(T294,'Hàng hóa'!$B$4:$B$203,0)),0)</f>
        <v>0</v>
      </c>
      <c r="X294" s="20">
        <f t="shared" si="10"/>
        <v>0</v>
      </c>
      <c r="Y294" s="15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3"/>
      <c r="S295" s="37" t="str">
        <f t="shared" si="11"/>
        <v/>
      </c>
      <c r="T295" s="44"/>
      <c r="U295" s="45"/>
      <c r="V295" s="37" t="str">
        <f t="array" ref="V295">IFERROR(INDEX('Hàng hóa'!$F$4:$F$203,MATCH(T295,'Hàng hóa'!$B$4:$B$203,0)),"")</f>
        <v/>
      </c>
      <c r="W295" s="19">
        <f t="array" ref="W295">IFERROR(INDEX('Hàng hóa'!$H$4:$H$203,MATCH(T295,'Hàng hóa'!$B$4:$B$203,0)),0)</f>
        <v>0</v>
      </c>
      <c r="X295" s="20">
        <f t="shared" si="10"/>
        <v>0</v>
      </c>
      <c r="Y295" s="15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3"/>
      <c r="S296" s="37" t="str">
        <f t="shared" si="11"/>
        <v/>
      </c>
      <c r="T296" s="44"/>
      <c r="U296" s="45"/>
      <c r="V296" s="37" t="str">
        <f t="array" ref="V296">IFERROR(INDEX('Hàng hóa'!$F$4:$F$203,MATCH(T296,'Hàng hóa'!$B$4:$B$203,0)),"")</f>
        <v/>
      </c>
      <c r="W296" s="19">
        <f t="array" ref="W296">IFERROR(INDEX('Hàng hóa'!$H$4:$H$203,MATCH(T296,'Hàng hóa'!$B$4:$B$203,0)),0)</f>
        <v>0</v>
      </c>
      <c r="X296" s="20">
        <f t="shared" si="10"/>
        <v>0</v>
      </c>
      <c r="Y296" s="15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3"/>
      <c r="S297" s="37" t="str">
        <f t="shared" si="11"/>
        <v/>
      </c>
      <c r="T297" s="44"/>
      <c r="U297" s="45"/>
      <c r="V297" s="37" t="str">
        <f t="array" ref="V297">IFERROR(INDEX('Hàng hóa'!$F$4:$F$203,MATCH(T297,'Hàng hóa'!$B$4:$B$203,0)),"")</f>
        <v/>
      </c>
      <c r="W297" s="19">
        <f t="array" ref="W297">IFERROR(INDEX('Hàng hóa'!$H$4:$H$203,MATCH(T297,'Hàng hóa'!$B$4:$B$203,0)),0)</f>
        <v>0</v>
      </c>
      <c r="X297" s="20">
        <f t="shared" si="10"/>
        <v>0</v>
      </c>
      <c r="Y297" s="15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3"/>
      <c r="S298" s="37" t="str">
        <f t="shared" si="11"/>
        <v/>
      </c>
      <c r="T298" s="44"/>
      <c r="U298" s="45"/>
      <c r="V298" s="37" t="str">
        <f t="array" ref="V298">IFERROR(INDEX('Hàng hóa'!$F$4:$F$203,MATCH(T298,'Hàng hóa'!$B$4:$B$203,0)),"")</f>
        <v/>
      </c>
      <c r="W298" s="19">
        <f t="array" ref="W298">IFERROR(INDEX('Hàng hóa'!$H$4:$H$203,MATCH(T298,'Hàng hóa'!$B$4:$B$203,0)),0)</f>
        <v>0</v>
      </c>
      <c r="X298" s="20">
        <f t="shared" si="10"/>
        <v>0</v>
      </c>
      <c r="Y298" s="15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3"/>
      <c r="S299" s="37" t="str">
        <f t="shared" si="11"/>
        <v/>
      </c>
      <c r="T299" s="44"/>
      <c r="U299" s="45"/>
      <c r="V299" s="37" t="str">
        <f t="array" ref="V299">IFERROR(INDEX('Hàng hóa'!$F$4:$F$203,MATCH(T299,'Hàng hóa'!$B$4:$B$203,0)),"")</f>
        <v/>
      </c>
      <c r="W299" s="19">
        <f t="array" ref="W299">IFERROR(INDEX('Hàng hóa'!$H$4:$H$203,MATCH(T299,'Hàng hóa'!$B$4:$B$203,0)),0)</f>
        <v>0</v>
      </c>
      <c r="X299" s="20">
        <f t="shared" si="10"/>
        <v>0</v>
      </c>
      <c r="Y299" s="15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3"/>
      <c r="S300" s="37" t="str">
        <f t="shared" si="11"/>
        <v/>
      </c>
      <c r="T300" s="44"/>
      <c r="U300" s="45"/>
      <c r="V300" s="37" t="str">
        <f t="array" ref="V300">IFERROR(INDEX('Hàng hóa'!$F$4:$F$203,MATCH(T300,'Hàng hóa'!$B$4:$B$203,0)),"")</f>
        <v/>
      </c>
      <c r="W300" s="19">
        <f t="array" ref="W300">IFERROR(INDEX('Hàng hóa'!$H$4:$H$203,MATCH(T300,'Hàng hóa'!$B$4:$B$203,0)),0)</f>
        <v>0</v>
      </c>
      <c r="X300" s="20">
        <f t="shared" si="10"/>
        <v>0</v>
      </c>
      <c r="Y300" s="15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3"/>
      <c r="S301" s="37" t="str">
        <f t="shared" si="11"/>
        <v/>
      </c>
      <c r="T301" s="44"/>
      <c r="U301" s="45"/>
      <c r="V301" s="37" t="str">
        <f t="array" ref="V301">IFERROR(INDEX('Hàng hóa'!$F$4:$F$203,MATCH(T301,'Hàng hóa'!$B$4:$B$203,0)),"")</f>
        <v/>
      </c>
      <c r="W301" s="19">
        <f t="array" ref="W301">IFERROR(INDEX('Hàng hóa'!$H$4:$H$203,MATCH(T301,'Hàng hóa'!$B$4:$B$203,0)),0)</f>
        <v>0</v>
      </c>
      <c r="X301" s="20">
        <f t="shared" si="10"/>
        <v>0</v>
      </c>
      <c r="Y301" s="15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3"/>
      <c r="S302" s="37" t="str">
        <f t="shared" si="11"/>
        <v/>
      </c>
      <c r="T302" s="44"/>
      <c r="U302" s="45"/>
      <c r="V302" s="37" t="str">
        <f t="array" ref="V302">IFERROR(INDEX('Hàng hóa'!$F$4:$F$203,MATCH(T302,'Hàng hóa'!$B$4:$B$203,0)),"")</f>
        <v/>
      </c>
      <c r="W302" s="19">
        <f t="array" ref="W302">IFERROR(INDEX('Hàng hóa'!$H$4:$H$203,MATCH(T302,'Hàng hóa'!$B$4:$B$203,0)),0)</f>
        <v>0</v>
      </c>
      <c r="X302" s="20">
        <f t="shared" si="10"/>
        <v>0</v>
      </c>
      <c r="Y302" s="15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3"/>
      <c r="S303" s="37" t="str">
        <f t="shared" si="11"/>
        <v/>
      </c>
      <c r="T303" s="44"/>
      <c r="U303" s="45"/>
      <c r="V303" s="37" t="str">
        <f t="array" ref="V303">IFERROR(INDEX('Hàng hóa'!$F$4:$F$203,MATCH(T303,'Hàng hóa'!$B$4:$B$203,0)),"")</f>
        <v/>
      </c>
      <c r="W303" s="19">
        <f t="array" ref="W303">IFERROR(INDEX('Hàng hóa'!$H$4:$H$203,MATCH(T303,'Hàng hóa'!$B$4:$B$203,0)),0)</f>
        <v>0</v>
      </c>
      <c r="X303" s="20">
        <f t="shared" si="10"/>
        <v>0</v>
      </c>
      <c r="Y303" s="15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3"/>
      <c r="S304" s="37" t="str">
        <f t="shared" si="11"/>
        <v/>
      </c>
      <c r="T304" s="44"/>
      <c r="U304" s="45"/>
      <c r="V304" s="37" t="str">
        <f t="array" ref="V304">IFERROR(INDEX('Hàng hóa'!$F$4:$F$203,MATCH(T304,'Hàng hóa'!$B$4:$B$203,0)),"")</f>
        <v/>
      </c>
      <c r="W304" s="19">
        <f t="array" ref="W304">IFERROR(INDEX('Hàng hóa'!$H$4:$H$203,MATCH(T304,'Hàng hóa'!$B$4:$B$203,0)),0)</f>
        <v>0</v>
      </c>
      <c r="X304" s="20">
        <f t="shared" si="10"/>
        <v>0</v>
      </c>
      <c r="Y304" s="15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3"/>
      <c r="S305" s="37" t="str">
        <f t="shared" si="11"/>
        <v/>
      </c>
      <c r="T305" s="44"/>
      <c r="U305" s="45"/>
      <c r="V305" s="37" t="str">
        <f t="array" ref="V305">IFERROR(INDEX('Hàng hóa'!$F$4:$F$203,MATCH(T305,'Hàng hóa'!$B$4:$B$203,0)),"")</f>
        <v/>
      </c>
      <c r="W305" s="19">
        <f t="array" ref="W305">IFERROR(INDEX('Hàng hóa'!$H$4:$H$203,MATCH(T305,'Hàng hóa'!$B$4:$B$203,0)),0)</f>
        <v>0</v>
      </c>
      <c r="X305" s="20">
        <f t="shared" si="10"/>
        <v>0</v>
      </c>
      <c r="Y305" s="15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3"/>
      <c r="S306" s="37" t="str">
        <f t="shared" si="11"/>
        <v/>
      </c>
      <c r="T306" s="44"/>
      <c r="U306" s="45"/>
      <c r="V306" s="37" t="str">
        <f t="array" ref="V306">IFERROR(INDEX('Hàng hóa'!$F$4:$F$203,MATCH(T306,'Hàng hóa'!$B$4:$B$203,0)),"")</f>
        <v/>
      </c>
      <c r="W306" s="19">
        <f t="array" ref="W306">IFERROR(INDEX('Hàng hóa'!$H$4:$H$203,MATCH(T306,'Hàng hóa'!$B$4:$B$203,0)),0)</f>
        <v>0</v>
      </c>
      <c r="X306" s="20">
        <f t="shared" si="10"/>
        <v>0</v>
      </c>
      <c r="Y306" s="15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3"/>
      <c r="S307" s="37" t="str">
        <f t="shared" si="11"/>
        <v/>
      </c>
      <c r="T307" s="44"/>
      <c r="U307" s="45"/>
      <c r="V307" s="37" t="str">
        <f t="array" ref="V307">IFERROR(INDEX('Hàng hóa'!$F$4:$F$203,MATCH(T307,'Hàng hóa'!$B$4:$B$203,0)),"")</f>
        <v/>
      </c>
      <c r="W307" s="19">
        <f t="array" ref="W307">IFERROR(INDEX('Hàng hóa'!$H$4:$H$203,MATCH(T307,'Hàng hóa'!$B$4:$B$203,0)),0)</f>
        <v>0</v>
      </c>
      <c r="X307" s="20">
        <f t="shared" si="10"/>
        <v>0</v>
      </c>
      <c r="Y307" s="15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3"/>
      <c r="S308" s="37" t="str">
        <f t="shared" si="11"/>
        <v/>
      </c>
      <c r="T308" s="44"/>
      <c r="U308" s="45"/>
      <c r="V308" s="37" t="str">
        <f t="array" ref="V308">IFERROR(INDEX('Hàng hóa'!$F$4:$F$203,MATCH(T308,'Hàng hóa'!$B$4:$B$203,0)),"")</f>
        <v/>
      </c>
      <c r="W308" s="19">
        <f t="array" ref="W308">IFERROR(INDEX('Hàng hóa'!$H$4:$H$203,MATCH(T308,'Hàng hóa'!$B$4:$B$203,0)),0)</f>
        <v>0</v>
      </c>
      <c r="X308" s="20">
        <f t="shared" si="10"/>
        <v>0</v>
      </c>
      <c r="Y308" s="15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3"/>
      <c r="S309" s="37" t="str">
        <f t="shared" si="11"/>
        <v/>
      </c>
      <c r="T309" s="44"/>
      <c r="U309" s="45"/>
      <c r="V309" s="37" t="str">
        <f t="array" ref="V309">IFERROR(INDEX('Hàng hóa'!$F$4:$F$203,MATCH(T309,'Hàng hóa'!$B$4:$B$203,0)),"")</f>
        <v/>
      </c>
      <c r="W309" s="19">
        <f t="array" ref="W309">IFERROR(INDEX('Hàng hóa'!$H$4:$H$203,MATCH(T309,'Hàng hóa'!$B$4:$B$203,0)),0)</f>
        <v>0</v>
      </c>
      <c r="X309" s="20">
        <f t="shared" si="10"/>
        <v>0</v>
      </c>
      <c r="Y309" s="15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3"/>
      <c r="S310" s="37" t="str">
        <f t="shared" si="11"/>
        <v/>
      </c>
      <c r="T310" s="44"/>
      <c r="U310" s="45"/>
      <c r="V310" s="37" t="str">
        <f t="array" ref="V310">IFERROR(INDEX('Hàng hóa'!$F$4:$F$203,MATCH(T310,'Hàng hóa'!$B$4:$B$203,0)),"")</f>
        <v/>
      </c>
      <c r="W310" s="19">
        <f t="array" ref="W310">IFERROR(INDEX('Hàng hóa'!$H$4:$H$203,MATCH(T310,'Hàng hóa'!$B$4:$B$203,0)),0)</f>
        <v>0</v>
      </c>
      <c r="X310" s="20">
        <f t="shared" si="10"/>
        <v>0</v>
      </c>
      <c r="Y310" s="15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3"/>
      <c r="S311" s="37" t="str">
        <f t="shared" si="11"/>
        <v/>
      </c>
      <c r="T311" s="44"/>
      <c r="U311" s="45"/>
      <c r="V311" s="37" t="str">
        <f t="array" ref="V311">IFERROR(INDEX('Hàng hóa'!$F$4:$F$203,MATCH(T311,'Hàng hóa'!$B$4:$B$203,0)),"")</f>
        <v/>
      </c>
      <c r="W311" s="19">
        <f t="array" ref="W311">IFERROR(INDEX('Hàng hóa'!$H$4:$H$203,MATCH(T311,'Hàng hóa'!$B$4:$B$203,0)),0)</f>
        <v>0</v>
      </c>
      <c r="X311" s="20">
        <f t="shared" si="10"/>
        <v>0</v>
      </c>
      <c r="Y311" s="15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3"/>
      <c r="S312" s="37" t="str">
        <f t="shared" si="11"/>
        <v/>
      </c>
      <c r="T312" s="44"/>
      <c r="U312" s="45"/>
      <c r="V312" s="37" t="str">
        <f t="array" ref="V312">IFERROR(INDEX('Hàng hóa'!$F$4:$F$203,MATCH(T312,'Hàng hóa'!$B$4:$B$203,0)),"")</f>
        <v/>
      </c>
      <c r="W312" s="19">
        <f t="array" ref="W312">IFERROR(INDEX('Hàng hóa'!$H$4:$H$203,MATCH(T312,'Hàng hóa'!$B$4:$B$203,0)),0)</f>
        <v>0</v>
      </c>
      <c r="X312" s="20">
        <f t="shared" si="10"/>
        <v>0</v>
      </c>
      <c r="Y312" s="15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3"/>
      <c r="S313" s="37" t="str">
        <f t="shared" si="11"/>
        <v/>
      </c>
      <c r="T313" s="44"/>
      <c r="U313" s="45"/>
      <c r="V313" s="37" t="str">
        <f t="array" ref="V313">IFERROR(INDEX('Hàng hóa'!$F$4:$F$203,MATCH(T313,'Hàng hóa'!$B$4:$B$203,0)),"")</f>
        <v/>
      </c>
      <c r="W313" s="19">
        <f t="array" ref="W313">IFERROR(INDEX('Hàng hóa'!$H$4:$H$203,MATCH(T313,'Hàng hóa'!$B$4:$B$203,0)),0)</f>
        <v>0</v>
      </c>
      <c r="X313" s="20">
        <f t="shared" si="10"/>
        <v>0</v>
      </c>
      <c r="Y313" s="15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3"/>
      <c r="S314" s="37" t="str">
        <f t="shared" si="11"/>
        <v/>
      </c>
      <c r="T314" s="44"/>
      <c r="U314" s="45"/>
      <c r="V314" s="37" t="str">
        <f t="array" ref="V314">IFERROR(INDEX('Hàng hóa'!$F$4:$F$203,MATCH(T314,'Hàng hóa'!$B$4:$B$203,0)),"")</f>
        <v/>
      </c>
      <c r="W314" s="19">
        <f t="array" ref="W314">IFERROR(INDEX('Hàng hóa'!$H$4:$H$203,MATCH(T314,'Hàng hóa'!$B$4:$B$203,0)),0)</f>
        <v>0</v>
      </c>
      <c r="X314" s="20">
        <f t="shared" si="10"/>
        <v>0</v>
      </c>
      <c r="Y314" s="15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3"/>
      <c r="S315" s="37" t="str">
        <f t="shared" si="11"/>
        <v/>
      </c>
      <c r="T315" s="44"/>
      <c r="U315" s="45"/>
      <c r="V315" s="37" t="str">
        <f t="array" ref="V315">IFERROR(INDEX('Hàng hóa'!$F$4:$F$203,MATCH(T315,'Hàng hóa'!$B$4:$B$203,0)),"")</f>
        <v/>
      </c>
      <c r="W315" s="19">
        <f t="array" ref="W315">IFERROR(INDEX('Hàng hóa'!$H$4:$H$203,MATCH(T315,'Hàng hóa'!$B$4:$B$203,0)),0)</f>
        <v>0</v>
      </c>
      <c r="X315" s="20">
        <f t="shared" si="10"/>
        <v>0</v>
      </c>
      <c r="Y315" s="15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3"/>
      <c r="S316" s="37" t="str">
        <f t="shared" si="11"/>
        <v/>
      </c>
      <c r="T316" s="44"/>
      <c r="U316" s="45"/>
      <c r="V316" s="37" t="str">
        <f t="array" ref="V316">IFERROR(INDEX('Hàng hóa'!$F$4:$F$203,MATCH(T316,'Hàng hóa'!$B$4:$B$203,0)),"")</f>
        <v/>
      </c>
      <c r="W316" s="19">
        <f t="array" ref="W316">IFERROR(INDEX('Hàng hóa'!$H$4:$H$203,MATCH(T316,'Hàng hóa'!$B$4:$B$203,0)),0)</f>
        <v>0</v>
      </c>
      <c r="X316" s="20">
        <f t="shared" si="10"/>
        <v>0</v>
      </c>
      <c r="Y316" s="15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3"/>
      <c r="S317" s="37" t="str">
        <f t="shared" si="11"/>
        <v/>
      </c>
      <c r="T317" s="44"/>
      <c r="U317" s="45"/>
      <c r="V317" s="37" t="str">
        <f t="array" ref="V317">IFERROR(INDEX('Hàng hóa'!$F$4:$F$203,MATCH(T317,'Hàng hóa'!$B$4:$B$203,0)),"")</f>
        <v/>
      </c>
      <c r="W317" s="19">
        <f t="array" ref="W317">IFERROR(INDEX('Hàng hóa'!$H$4:$H$203,MATCH(T317,'Hàng hóa'!$B$4:$B$203,0)),0)</f>
        <v>0</v>
      </c>
      <c r="X317" s="20">
        <f t="shared" si="10"/>
        <v>0</v>
      </c>
      <c r="Y317" s="15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3"/>
      <c r="S318" s="37" t="str">
        <f t="shared" si="11"/>
        <v/>
      </c>
      <c r="T318" s="44"/>
      <c r="U318" s="45"/>
      <c r="V318" s="37" t="str">
        <f t="array" ref="V318">IFERROR(INDEX('Hàng hóa'!$F$4:$F$203,MATCH(T318,'Hàng hóa'!$B$4:$B$203,0)),"")</f>
        <v/>
      </c>
      <c r="W318" s="19">
        <f t="array" ref="W318">IFERROR(INDEX('Hàng hóa'!$H$4:$H$203,MATCH(T318,'Hàng hóa'!$B$4:$B$203,0)),0)</f>
        <v>0</v>
      </c>
      <c r="X318" s="20">
        <f t="shared" si="10"/>
        <v>0</v>
      </c>
      <c r="Y318" s="15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3"/>
      <c r="S319" s="37" t="str">
        <f t="shared" si="11"/>
        <v/>
      </c>
      <c r="T319" s="44"/>
      <c r="U319" s="45"/>
      <c r="V319" s="37" t="str">
        <f t="array" ref="V319">IFERROR(INDEX('Hàng hóa'!$F$4:$F$203,MATCH(T319,'Hàng hóa'!$B$4:$B$203,0)),"")</f>
        <v/>
      </c>
      <c r="W319" s="19">
        <f t="array" ref="W319">IFERROR(INDEX('Hàng hóa'!$H$4:$H$203,MATCH(T319,'Hàng hóa'!$B$4:$B$203,0)),0)</f>
        <v>0</v>
      </c>
      <c r="X319" s="20">
        <f t="shared" si="10"/>
        <v>0</v>
      </c>
      <c r="Y319" s="15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3"/>
      <c r="S320" s="37" t="str">
        <f t="shared" si="11"/>
        <v/>
      </c>
      <c r="T320" s="44"/>
      <c r="U320" s="45"/>
      <c r="V320" s="37" t="str">
        <f t="array" ref="V320">IFERROR(INDEX('Hàng hóa'!$F$4:$F$203,MATCH(T320,'Hàng hóa'!$B$4:$B$203,0)),"")</f>
        <v/>
      </c>
      <c r="W320" s="19">
        <f t="array" ref="W320">IFERROR(INDEX('Hàng hóa'!$H$4:$H$203,MATCH(T320,'Hàng hóa'!$B$4:$B$203,0)),0)</f>
        <v>0</v>
      </c>
      <c r="X320" s="20">
        <f t="shared" si="10"/>
        <v>0</v>
      </c>
      <c r="Y320" s="15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3"/>
      <c r="S321" s="37" t="str">
        <f t="shared" si="11"/>
        <v/>
      </c>
      <c r="T321" s="44"/>
      <c r="U321" s="45"/>
      <c r="V321" s="37" t="str">
        <f t="array" ref="V321">IFERROR(INDEX('Hàng hóa'!$F$4:$F$203,MATCH(T321,'Hàng hóa'!$B$4:$B$203,0)),"")</f>
        <v/>
      </c>
      <c r="W321" s="19">
        <f t="array" ref="W321">IFERROR(INDEX('Hàng hóa'!$H$4:$H$203,MATCH(T321,'Hàng hóa'!$B$4:$B$203,0)),0)</f>
        <v>0</v>
      </c>
      <c r="X321" s="20">
        <f t="shared" si="10"/>
        <v>0</v>
      </c>
      <c r="Y321" s="15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3"/>
      <c r="S322" s="37" t="str">
        <f t="shared" si="11"/>
        <v/>
      </c>
      <c r="T322" s="44"/>
      <c r="U322" s="45"/>
      <c r="V322" s="37" t="str">
        <f t="array" ref="V322">IFERROR(INDEX('Hàng hóa'!$F$4:$F$203,MATCH(T322,'Hàng hóa'!$B$4:$B$203,0)),"")</f>
        <v/>
      </c>
      <c r="W322" s="19">
        <f t="array" ref="W322">IFERROR(INDEX('Hàng hóa'!$H$4:$H$203,MATCH(T322,'Hàng hóa'!$B$4:$B$203,0)),0)</f>
        <v>0</v>
      </c>
      <c r="X322" s="20">
        <f t="shared" si="10"/>
        <v>0</v>
      </c>
      <c r="Y322" s="15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3"/>
      <c r="S323" s="37" t="str">
        <f t="shared" si="11"/>
        <v/>
      </c>
      <c r="T323" s="44"/>
      <c r="U323" s="45"/>
      <c r="V323" s="37" t="str">
        <f t="array" ref="V323">IFERROR(INDEX('Hàng hóa'!$F$4:$F$203,MATCH(T323,'Hàng hóa'!$B$4:$B$203,0)),"")</f>
        <v/>
      </c>
      <c r="W323" s="19">
        <f t="array" ref="W323">IFERROR(INDEX('Hàng hóa'!$H$4:$H$203,MATCH(T323,'Hàng hóa'!$B$4:$B$203,0)),0)</f>
        <v>0</v>
      </c>
      <c r="X323" s="20">
        <f t="shared" si="10"/>
        <v>0</v>
      </c>
      <c r="Y323" s="15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3"/>
      <c r="S324" s="37" t="str">
        <f t="shared" si="11"/>
        <v/>
      </c>
      <c r="T324" s="44"/>
      <c r="U324" s="45"/>
      <c r="V324" s="37" t="str">
        <f t="array" ref="V324">IFERROR(INDEX('Hàng hóa'!$F$4:$F$203,MATCH(T324,'Hàng hóa'!$B$4:$B$203,0)),"")</f>
        <v/>
      </c>
      <c r="W324" s="19">
        <f t="array" ref="W324">IFERROR(INDEX('Hàng hóa'!$H$4:$H$203,MATCH(T324,'Hàng hóa'!$B$4:$B$203,0)),0)</f>
        <v>0</v>
      </c>
      <c r="X324" s="20">
        <f t="shared" si="10"/>
        <v>0</v>
      </c>
      <c r="Y324" s="15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3"/>
      <c r="S325" s="37" t="str">
        <f t="shared" si="11"/>
        <v/>
      </c>
      <c r="T325" s="44"/>
      <c r="U325" s="45"/>
      <c r="V325" s="37" t="str">
        <f t="array" ref="V325">IFERROR(INDEX('Hàng hóa'!$F$4:$F$203,MATCH(T325,'Hàng hóa'!$B$4:$B$203,0)),"")</f>
        <v/>
      </c>
      <c r="W325" s="19">
        <f t="array" ref="W325">IFERROR(INDEX('Hàng hóa'!$H$4:$H$203,MATCH(T325,'Hàng hóa'!$B$4:$B$203,0)),0)</f>
        <v>0</v>
      </c>
      <c r="X325" s="20">
        <f t="shared" si="10"/>
        <v>0</v>
      </c>
      <c r="Y325" s="15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3"/>
      <c r="S326" s="37" t="str">
        <f t="shared" si="11"/>
        <v/>
      </c>
      <c r="T326" s="44"/>
      <c r="U326" s="45"/>
      <c r="V326" s="37" t="str">
        <f t="array" ref="V326">IFERROR(INDEX('Hàng hóa'!$F$4:$F$203,MATCH(T326,'Hàng hóa'!$B$4:$B$203,0)),"")</f>
        <v/>
      </c>
      <c r="W326" s="19">
        <f t="array" ref="W326">IFERROR(INDEX('Hàng hóa'!$H$4:$H$203,MATCH(T326,'Hàng hóa'!$B$4:$B$203,0)),0)</f>
        <v>0</v>
      </c>
      <c r="X326" s="20">
        <f t="shared" si="10"/>
        <v>0</v>
      </c>
      <c r="Y326" s="15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3"/>
      <c r="S327" s="37" t="str">
        <f t="shared" si="11"/>
        <v/>
      </c>
      <c r="T327" s="44"/>
      <c r="U327" s="45"/>
      <c r="V327" s="37" t="str">
        <f t="array" ref="V327">IFERROR(INDEX('Hàng hóa'!$F$4:$F$203,MATCH(T327,'Hàng hóa'!$B$4:$B$203,0)),"")</f>
        <v/>
      </c>
      <c r="W327" s="19">
        <f t="array" ref="W327">IFERROR(INDEX('Hàng hóa'!$H$4:$H$203,MATCH(T327,'Hàng hóa'!$B$4:$B$203,0)),0)</f>
        <v>0</v>
      </c>
      <c r="X327" s="20">
        <f t="shared" si="10"/>
        <v>0</v>
      </c>
      <c r="Y327" s="15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3"/>
      <c r="S328" s="37" t="str">
        <f t="shared" si="11"/>
        <v/>
      </c>
      <c r="T328" s="44"/>
      <c r="U328" s="45"/>
      <c r="V328" s="37" t="str">
        <f t="array" ref="V328">IFERROR(INDEX('Hàng hóa'!$F$4:$F$203,MATCH(T328,'Hàng hóa'!$B$4:$B$203,0)),"")</f>
        <v/>
      </c>
      <c r="W328" s="19">
        <f t="array" ref="W328">IFERROR(INDEX('Hàng hóa'!$H$4:$H$203,MATCH(T328,'Hàng hóa'!$B$4:$B$203,0)),0)</f>
        <v>0</v>
      </c>
      <c r="X328" s="20">
        <f t="shared" si="10"/>
        <v>0</v>
      </c>
      <c r="Y328" s="15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3"/>
      <c r="S329" s="37" t="str">
        <f t="shared" si="11"/>
        <v/>
      </c>
      <c r="T329" s="44"/>
      <c r="U329" s="45"/>
      <c r="V329" s="37" t="str">
        <f t="array" ref="V329">IFERROR(INDEX('Hàng hóa'!$F$4:$F$203,MATCH(T329,'Hàng hóa'!$B$4:$B$203,0)),"")</f>
        <v/>
      </c>
      <c r="W329" s="19">
        <f t="array" ref="W329">IFERROR(INDEX('Hàng hóa'!$H$4:$H$203,MATCH(T329,'Hàng hóa'!$B$4:$B$203,0)),0)</f>
        <v>0</v>
      </c>
      <c r="X329" s="20">
        <f t="shared" si="10"/>
        <v>0</v>
      </c>
      <c r="Y329" s="15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3"/>
      <c r="S330" s="37" t="str">
        <f t="shared" si="11"/>
        <v/>
      </c>
      <c r="T330" s="44"/>
      <c r="U330" s="45"/>
      <c r="V330" s="37" t="str">
        <f t="array" ref="V330">IFERROR(INDEX('Hàng hóa'!$F$4:$F$203,MATCH(T330,'Hàng hóa'!$B$4:$B$203,0)),"")</f>
        <v/>
      </c>
      <c r="W330" s="19">
        <f t="array" ref="W330">IFERROR(INDEX('Hàng hóa'!$H$4:$H$203,MATCH(T330,'Hàng hóa'!$B$4:$B$203,0)),0)</f>
        <v>0</v>
      </c>
      <c r="X330" s="20">
        <f t="shared" si="10"/>
        <v>0</v>
      </c>
      <c r="Y330" s="15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3"/>
      <c r="S331" s="37" t="str">
        <f t="shared" si="11"/>
        <v/>
      </c>
      <c r="T331" s="44"/>
      <c r="U331" s="45"/>
      <c r="V331" s="37" t="str">
        <f t="array" ref="V331">IFERROR(INDEX('Hàng hóa'!$F$4:$F$203,MATCH(T331,'Hàng hóa'!$B$4:$B$203,0)),"")</f>
        <v/>
      </c>
      <c r="W331" s="19">
        <f t="array" ref="W331">IFERROR(INDEX('Hàng hóa'!$H$4:$H$203,MATCH(T331,'Hàng hóa'!$B$4:$B$203,0)),0)</f>
        <v>0</v>
      </c>
      <c r="X331" s="20">
        <f t="shared" si="10"/>
        <v>0</v>
      </c>
      <c r="Y331" s="15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3"/>
      <c r="S332" s="37" t="str">
        <f t="shared" si="11"/>
        <v/>
      </c>
      <c r="T332" s="44"/>
      <c r="U332" s="45"/>
      <c r="V332" s="37" t="str">
        <f t="array" ref="V332">IFERROR(INDEX('Hàng hóa'!$F$4:$F$203,MATCH(T332,'Hàng hóa'!$B$4:$B$203,0)),"")</f>
        <v/>
      </c>
      <c r="W332" s="19">
        <f t="array" ref="W332">IFERROR(INDEX('Hàng hóa'!$H$4:$H$203,MATCH(T332,'Hàng hóa'!$B$4:$B$203,0)),0)</f>
        <v>0</v>
      </c>
      <c r="X332" s="20">
        <f t="shared" si="10"/>
        <v>0</v>
      </c>
      <c r="Y332" s="15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3"/>
      <c r="S333" s="37" t="str">
        <f t="shared" si="11"/>
        <v/>
      </c>
      <c r="T333" s="44"/>
      <c r="U333" s="45"/>
      <c r="V333" s="37" t="str">
        <f t="array" ref="V333">IFERROR(INDEX('Hàng hóa'!$F$4:$F$203,MATCH(T333,'Hàng hóa'!$B$4:$B$203,0)),"")</f>
        <v/>
      </c>
      <c r="W333" s="19">
        <f t="array" ref="W333">IFERROR(INDEX('Hàng hóa'!$H$4:$H$203,MATCH(T333,'Hàng hóa'!$B$4:$B$203,0)),0)</f>
        <v>0</v>
      </c>
      <c r="X333" s="20">
        <f t="shared" si="10"/>
        <v>0</v>
      </c>
      <c r="Y333" s="15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3"/>
      <c r="S334" s="37" t="str">
        <f t="shared" si="11"/>
        <v/>
      </c>
      <c r="T334" s="44"/>
      <c r="U334" s="45"/>
      <c r="V334" s="37" t="str">
        <f t="array" ref="V334">IFERROR(INDEX('Hàng hóa'!$F$4:$F$203,MATCH(T334,'Hàng hóa'!$B$4:$B$203,0)),"")</f>
        <v/>
      </c>
      <c r="W334" s="19">
        <f t="array" ref="W334">IFERROR(INDEX('Hàng hóa'!$H$4:$H$203,MATCH(T334,'Hàng hóa'!$B$4:$B$203,0)),0)</f>
        <v>0</v>
      </c>
      <c r="X334" s="20">
        <f t="shared" si="10"/>
        <v>0</v>
      </c>
      <c r="Y334" s="15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3"/>
      <c r="S335" s="37" t="str">
        <f t="shared" si="11"/>
        <v/>
      </c>
      <c r="T335" s="44"/>
      <c r="U335" s="45"/>
      <c r="V335" s="37" t="str">
        <f t="array" ref="V335">IFERROR(INDEX('Hàng hóa'!$F$4:$F$203,MATCH(T335,'Hàng hóa'!$B$4:$B$203,0)),"")</f>
        <v/>
      </c>
      <c r="W335" s="19">
        <f t="array" ref="W335">IFERROR(INDEX('Hàng hóa'!$H$4:$H$203,MATCH(T335,'Hàng hóa'!$B$4:$B$203,0)),0)</f>
        <v>0</v>
      </c>
      <c r="X335" s="20">
        <f t="shared" si="10"/>
        <v>0</v>
      </c>
      <c r="Y335" s="15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3"/>
      <c r="S336" s="37" t="str">
        <f t="shared" si="11"/>
        <v/>
      </c>
      <c r="T336" s="44"/>
      <c r="U336" s="45"/>
      <c r="V336" s="37" t="str">
        <f t="array" ref="V336">IFERROR(INDEX('Hàng hóa'!$F$4:$F$203,MATCH(T336,'Hàng hóa'!$B$4:$B$203,0)),"")</f>
        <v/>
      </c>
      <c r="W336" s="19">
        <f t="array" ref="W336">IFERROR(INDEX('Hàng hóa'!$H$4:$H$203,MATCH(T336,'Hàng hóa'!$B$4:$B$203,0)),0)</f>
        <v>0</v>
      </c>
      <c r="X336" s="20">
        <f t="shared" si="10"/>
        <v>0</v>
      </c>
      <c r="Y336" s="15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3"/>
      <c r="S337" s="37" t="str">
        <f t="shared" si="11"/>
        <v/>
      </c>
      <c r="T337" s="44"/>
      <c r="U337" s="45"/>
      <c r="V337" s="37" t="str">
        <f t="array" ref="V337">IFERROR(INDEX('Hàng hóa'!$F$4:$F$203,MATCH(T337,'Hàng hóa'!$B$4:$B$203,0)),"")</f>
        <v/>
      </c>
      <c r="W337" s="19">
        <f t="array" ref="W337">IFERROR(INDEX('Hàng hóa'!$H$4:$H$203,MATCH(T337,'Hàng hóa'!$B$4:$B$203,0)),0)</f>
        <v>0</v>
      </c>
      <c r="X337" s="20">
        <f t="shared" si="10"/>
        <v>0</v>
      </c>
      <c r="Y337" s="15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3"/>
      <c r="S338" s="37" t="str">
        <f t="shared" si="11"/>
        <v/>
      </c>
      <c r="T338" s="44"/>
      <c r="U338" s="45"/>
      <c r="V338" s="37" t="str">
        <f t="array" ref="V338">IFERROR(INDEX('Hàng hóa'!$F$4:$F$203,MATCH(T338,'Hàng hóa'!$B$4:$B$203,0)),"")</f>
        <v/>
      </c>
      <c r="W338" s="19">
        <f t="array" ref="W338">IFERROR(INDEX('Hàng hóa'!$H$4:$H$203,MATCH(T338,'Hàng hóa'!$B$4:$B$203,0)),0)</f>
        <v>0</v>
      </c>
      <c r="X338" s="20">
        <f t="shared" si="10"/>
        <v>0</v>
      </c>
      <c r="Y338" s="15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3"/>
      <c r="S339" s="37" t="str">
        <f t="shared" si="11"/>
        <v/>
      </c>
      <c r="T339" s="44"/>
      <c r="U339" s="45"/>
      <c r="V339" s="37" t="str">
        <f t="array" ref="V339">IFERROR(INDEX('Hàng hóa'!$F$4:$F$203,MATCH(T339,'Hàng hóa'!$B$4:$B$203,0)),"")</f>
        <v/>
      </c>
      <c r="W339" s="19">
        <f t="array" ref="W339">IFERROR(INDEX('Hàng hóa'!$H$4:$H$203,MATCH(T339,'Hàng hóa'!$B$4:$B$203,0)),0)</f>
        <v>0</v>
      </c>
      <c r="X339" s="20">
        <f t="shared" si="10"/>
        <v>0</v>
      </c>
      <c r="Y339" s="15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3"/>
      <c r="S340" s="37" t="str">
        <f t="shared" si="11"/>
        <v/>
      </c>
      <c r="T340" s="44"/>
      <c r="U340" s="45"/>
      <c r="V340" s="37" t="str">
        <f t="array" ref="V340">IFERROR(INDEX('Hàng hóa'!$F$4:$F$203,MATCH(T340,'Hàng hóa'!$B$4:$B$203,0)),"")</f>
        <v/>
      </c>
      <c r="W340" s="19">
        <f t="array" ref="W340">IFERROR(INDEX('Hàng hóa'!$H$4:$H$203,MATCH(T340,'Hàng hóa'!$B$4:$B$203,0)),0)</f>
        <v>0</v>
      </c>
      <c r="X340" s="20">
        <f t="shared" si="10"/>
        <v>0</v>
      </c>
      <c r="Y340" s="15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3"/>
      <c r="S341" s="37" t="str">
        <f t="shared" si="11"/>
        <v/>
      </c>
      <c r="T341" s="44"/>
      <c r="U341" s="45"/>
      <c r="V341" s="37" t="str">
        <f t="array" ref="V341">IFERROR(INDEX('Hàng hóa'!$F$4:$F$203,MATCH(T341,'Hàng hóa'!$B$4:$B$203,0)),"")</f>
        <v/>
      </c>
      <c r="W341" s="19">
        <f t="array" ref="W341">IFERROR(INDEX('Hàng hóa'!$H$4:$H$203,MATCH(T341,'Hàng hóa'!$B$4:$B$203,0)),0)</f>
        <v>0</v>
      </c>
      <c r="X341" s="20">
        <f t="shared" si="10"/>
        <v>0</v>
      </c>
      <c r="Y341" s="15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3"/>
      <c r="S342" s="37" t="str">
        <f t="shared" si="11"/>
        <v/>
      </c>
      <c r="T342" s="44"/>
      <c r="U342" s="45"/>
      <c r="V342" s="37" t="str">
        <f t="array" ref="V342">IFERROR(INDEX('Hàng hóa'!$F$4:$F$203,MATCH(T342,'Hàng hóa'!$B$4:$B$203,0)),"")</f>
        <v/>
      </c>
      <c r="W342" s="19">
        <f t="array" ref="W342">IFERROR(INDEX('Hàng hóa'!$H$4:$H$203,MATCH(T342,'Hàng hóa'!$B$4:$B$203,0)),0)</f>
        <v>0</v>
      </c>
      <c r="X342" s="20">
        <f t="shared" si="10"/>
        <v>0</v>
      </c>
      <c r="Y342" s="15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3"/>
      <c r="S343" s="37" t="str">
        <f t="shared" si="11"/>
        <v/>
      </c>
      <c r="T343" s="44"/>
      <c r="U343" s="45"/>
      <c r="V343" s="37" t="str">
        <f t="array" ref="V343">IFERROR(INDEX('Hàng hóa'!$F$4:$F$203,MATCH(T343,'Hàng hóa'!$B$4:$B$203,0)),"")</f>
        <v/>
      </c>
      <c r="W343" s="19">
        <f t="array" ref="W343">IFERROR(INDEX('Hàng hóa'!$H$4:$H$203,MATCH(T343,'Hàng hóa'!$B$4:$B$203,0)),0)</f>
        <v>0</v>
      </c>
      <c r="X343" s="20">
        <f t="shared" si="10"/>
        <v>0</v>
      </c>
      <c r="Y343" s="15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3"/>
      <c r="S344" s="37" t="str">
        <f t="shared" si="11"/>
        <v/>
      </c>
      <c r="T344" s="44"/>
      <c r="U344" s="45"/>
      <c r="V344" s="37" t="str">
        <f t="array" ref="V344">IFERROR(INDEX('Hàng hóa'!$F$4:$F$203,MATCH(T344,'Hàng hóa'!$B$4:$B$203,0)),"")</f>
        <v/>
      </c>
      <c r="W344" s="19">
        <f t="array" ref="W344">IFERROR(INDEX('Hàng hóa'!$H$4:$H$203,MATCH(T344,'Hàng hóa'!$B$4:$B$203,0)),0)</f>
        <v>0</v>
      </c>
      <c r="X344" s="20">
        <f t="shared" si="10"/>
        <v>0</v>
      </c>
      <c r="Y344" s="15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3"/>
      <c r="S345" s="37" t="str">
        <f t="shared" si="11"/>
        <v/>
      </c>
      <c r="T345" s="44"/>
      <c r="U345" s="45"/>
      <c r="V345" s="37" t="str">
        <f t="array" ref="V345">IFERROR(INDEX('Hàng hóa'!$F$4:$F$203,MATCH(T345,'Hàng hóa'!$B$4:$B$203,0)),"")</f>
        <v/>
      </c>
      <c r="W345" s="19">
        <f t="array" ref="W345">IFERROR(INDEX('Hàng hóa'!$H$4:$H$203,MATCH(T345,'Hàng hóa'!$B$4:$B$203,0)),0)</f>
        <v>0</v>
      </c>
      <c r="X345" s="20">
        <f t="shared" si="10"/>
        <v>0</v>
      </c>
      <c r="Y345" s="15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3"/>
      <c r="S346" s="37" t="str">
        <f t="shared" si="11"/>
        <v/>
      </c>
      <c r="T346" s="44"/>
      <c r="U346" s="45"/>
      <c r="V346" s="37" t="str">
        <f t="array" ref="V346">IFERROR(INDEX('Hàng hóa'!$F$4:$F$203,MATCH(T346,'Hàng hóa'!$B$4:$B$203,0)),"")</f>
        <v/>
      </c>
      <c r="W346" s="19">
        <f t="array" ref="W346">IFERROR(INDEX('Hàng hóa'!$H$4:$H$203,MATCH(T346,'Hàng hóa'!$B$4:$B$203,0)),0)</f>
        <v>0</v>
      </c>
      <c r="X346" s="20">
        <f t="shared" si="10"/>
        <v>0</v>
      </c>
      <c r="Y346" s="15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3"/>
      <c r="S347" s="37" t="str">
        <f t="shared" si="11"/>
        <v/>
      </c>
      <c r="T347" s="44"/>
      <c r="U347" s="45"/>
      <c r="V347" s="37" t="str">
        <f t="array" ref="V347">IFERROR(INDEX('Hàng hóa'!$F$4:$F$203,MATCH(T347,'Hàng hóa'!$B$4:$B$203,0)),"")</f>
        <v/>
      </c>
      <c r="W347" s="19">
        <f t="array" ref="W347">IFERROR(INDEX('Hàng hóa'!$H$4:$H$203,MATCH(T347,'Hàng hóa'!$B$4:$B$203,0)),0)</f>
        <v>0</v>
      </c>
      <c r="X347" s="20">
        <f t="shared" si="10"/>
        <v>0</v>
      </c>
      <c r="Y347" s="15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3"/>
      <c r="S348" s="37" t="str">
        <f t="shared" si="11"/>
        <v/>
      </c>
      <c r="T348" s="44"/>
      <c r="U348" s="45"/>
      <c r="V348" s="37" t="str">
        <f t="array" ref="V348">IFERROR(INDEX('Hàng hóa'!$F$4:$F$203,MATCH(T348,'Hàng hóa'!$B$4:$B$203,0)),"")</f>
        <v/>
      </c>
      <c r="W348" s="19">
        <f t="array" ref="W348">IFERROR(INDEX('Hàng hóa'!$H$4:$H$203,MATCH(T348,'Hàng hóa'!$B$4:$B$203,0)),0)</f>
        <v>0</v>
      </c>
      <c r="X348" s="20">
        <f t="shared" si="10"/>
        <v>0</v>
      </c>
      <c r="Y348" s="15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3"/>
      <c r="S349" s="37" t="str">
        <f t="shared" si="11"/>
        <v/>
      </c>
      <c r="T349" s="44"/>
      <c r="U349" s="45"/>
      <c r="V349" s="37" t="str">
        <f t="array" ref="V349">IFERROR(INDEX('Hàng hóa'!$F$4:$F$203,MATCH(T349,'Hàng hóa'!$B$4:$B$203,0)),"")</f>
        <v/>
      </c>
      <c r="W349" s="19">
        <f t="array" ref="W349">IFERROR(INDEX('Hàng hóa'!$H$4:$H$203,MATCH(T349,'Hàng hóa'!$B$4:$B$203,0)),0)</f>
        <v>0</v>
      </c>
      <c r="X349" s="20">
        <f t="shared" si="10"/>
        <v>0</v>
      </c>
      <c r="Y349" s="15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3"/>
      <c r="S350" s="37" t="str">
        <f t="shared" si="11"/>
        <v/>
      </c>
      <c r="T350" s="44"/>
      <c r="U350" s="45"/>
      <c r="V350" s="37" t="str">
        <f t="array" ref="V350">IFERROR(INDEX('Hàng hóa'!$F$4:$F$203,MATCH(T350,'Hàng hóa'!$B$4:$B$203,0)),"")</f>
        <v/>
      </c>
      <c r="W350" s="19">
        <f t="array" ref="W350">IFERROR(INDEX('Hàng hóa'!$H$4:$H$203,MATCH(T350,'Hàng hóa'!$B$4:$B$203,0)),0)</f>
        <v>0</v>
      </c>
      <c r="X350" s="20">
        <f t="shared" si="10"/>
        <v>0</v>
      </c>
      <c r="Y350" s="15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3"/>
      <c r="S351" s="37" t="str">
        <f t="shared" si="11"/>
        <v/>
      </c>
      <c r="T351" s="44"/>
      <c r="U351" s="45"/>
      <c r="V351" s="37" t="str">
        <f t="array" ref="V351">IFERROR(INDEX('Hàng hóa'!$F$4:$F$203,MATCH(T351,'Hàng hóa'!$B$4:$B$203,0)),"")</f>
        <v/>
      </c>
      <c r="W351" s="19">
        <f t="array" ref="W351">IFERROR(INDEX('Hàng hóa'!$H$4:$H$203,MATCH(T351,'Hàng hóa'!$B$4:$B$203,0)),0)</f>
        <v>0</v>
      </c>
      <c r="X351" s="20">
        <f t="shared" si="10"/>
        <v>0</v>
      </c>
      <c r="Y351" s="15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3"/>
      <c r="S352" s="37" t="str">
        <f t="shared" si="11"/>
        <v/>
      </c>
      <c r="T352" s="44"/>
      <c r="U352" s="45"/>
      <c r="V352" s="37" t="str">
        <f t="array" ref="V352">IFERROR(INDEX('Hàng hóa'!$F$4:$F$203,MATCH(T352,'Hàng hóa'!$B$4:$B$203,0)),"")</f>
        <v/>
      </c>
      <c r="W352" s="19">
        <f t="array" ref="W352">IFERROR(INDEX('Hàng hóa'!$H$4:$H$203,MATCH(T352,'Hàng hóa'!$B$4:$B$203,0)),0)</f>
        <v>0</v>
      </c>
      <c r="X352" s="20">
        <f t="shared" si="10"/>
        <v>0</v>
      </c>
      <c r="Y352" s="15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3"/>
      <c r="S353" s="37" t="str">
        <f t="shared" si="11"/>
        <v/>
      </c>
      <c r="T353" s="44"/>
      <c r="U353" s="45"/>
      <c r="V353" s="37" t="str">
        <f t="array" ref="V353">IFERROR(INDEX('Hàng hóa'!$F$4:$F$203,MATCH(T353,'Hàng hóa'!$B$4:$B$203,0)),"")</f>
        <v/>
      </c>
      <c r="W353" s="19">
        <f t="array" ref="W353">IFERROR(INDEX('Hàng hóa'!$H$4:$H$203,MATCH(T353,'Hàng hóa'!$B$4:$B$203,0)),0)</f>
        <v>0</v>
      </c>
      <c r="X353" s="20">
        <f t="shared" si="10"/>
        <v>0</v>
      </c>
      <c r="Y353" s="15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3"/>
      <c r="S354" s="37" t="str">
        <f t="shared" si="11"/>
        <v/>
      </c>
      <c r="T354" s="44"/>
      <c r="U354" s="45"/>
      <c r="V354" s="37" t="str">
        <f t="array" ref="V354">IFERROR(INDEX('Hàng hóa'!$F$4:$F$203,MATCH(T354,'Hàng hóa'!$B$4:$B$203,0)),"")</f>
        <v/>
      </c>
      <c r="W354" s="19">
        <f t="array" ref="W354">IFERROR(INDEX('Hàng hóa'!$H$4:$H$203,MATCH(T354,'Hàng hóa'!$B$4:$B$203,0)),0)</f>
        <v>0</v>
      </c>
      <c r="X354" s="20">
        <f t="shared" si="10"/>
        <v>0</v>
      </c>
      <c r="Y354" s="15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3"/>
      <c r="S355" s="37" t="str">
        <f t="shared" si="11"/>
        <v/>
      </c>
      <c r="T355" s="44"/>
      <c r="U355" s="45"/>
      <c r="V355" s="37" t="str">
        <f t="array" ref="V355">IFERROR(INDEX('Hàng hóa'!$F$4:$F$203,MATCH(T355,'Hàng hóa'!$B$4:$B$203,0)),"")</f>
        <v/>
      </c>
      <c r="W355" s="19">
        <f t="array" ref="W355">IFERROR(INDEX('Hàng hóa'!$H$4:$H$203,MATCH(T355,'Hàng hóa'!$B$4:$B$203,0)),0)</f>
        <v>0</v>
      </c>
      <c r="X355" s="20">
        <f t="shared" si="10"/>
        <v>0</v>
      </c>
      <c r="Y355" s="15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3"/>
      <c r="S356" s="37" t="str">
        <f t="shared" si="11"/>
        <v/>
      </c>
      <c r="T356" s="44"/>
      <c r="U356" s="45"/>
      <c r="V356" s="37" t="str">
        <f t="array" ref="V356">IFERROR(INDEX('Hàng hóa'!$F$4:$F$203,MATCH(T356,'Hàng hóa'!$B$4:$B$203,0)),"")</f>
        <v/>
      </c>
      <c r="W356" s="19">
        <f t="array" ref="W356">IFERROR(INDEX('Hàng hóa'!$H$4:$H$203,MATCH(T356,'Hàng hóa'!$B$4:$B$203,0)),0)</f>
        <v>0</v>
      </c>
      <c r="X356" s="20">
        <f t="shared" si="10"/>
        <v>0</v>
      </c>
      <c r="Y356" s="15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3"/>
      <c r="S357" s="37" t="str">
        <f t="shared" si="11"/>
        <v/>
      </c>
      <c r="T357" s="44"/>
      <c r="U357" s="45"/>
      <c r="V357" s="37" t="str">
        <f t="array" ref="V357">IFERROR(INDEX('Hàng hóa'!$F$4:$F$203,MATCH(T357,'Hàng hóa'!$B$4:$B$203,0)),"")</f>
        <v/>
      </c>
      <c r="W357" s="19">
        <f t="array" ref="W357">IFERROR(INDEX('Hàng hóa'!$H$4:$H$203,MATCH(T357,'Hàng hóa'!$B$4:$B$203,0)),0)</f>
        <v>0</v>
      </c>
      <c r="X357" s="20">
        <f t="shared" si="10"/>
        <v>0</v>
      </c>
      <c r="Y357" s="15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3"/>
      <c r="S358" s="37" t="str">
        <f t="shared" si="11"/>
        <v/>
      </c>
      <c r="T358" s="44"/>
      <c r="U358" s="45"/>
      <c r="V358" s="37" t="str">
        <f t="array" ref="V358">IFERROR(INDEX('Hàng hóa'!$F$4:$F$203,MATCH(T358,'Hàng hóa'!$B$4:$B$203,0)),"")</f>
        <v/>
      </c>
      <c r="W358" s="19">
        <f t="array" ref="W358">IFERROR(INDEX('Hàng hóa'!$H$4:$H$203,MATCH(T358,'Hàng hóa'!$B$4:$B$203,0)),0)</f>
        <v>0</v>
      </c>
      <c r="X358" s="20">
        <f t="shared" si="10"/>
        <v>0</v>
      </c>
      <c r="Y358" s="15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3"/>
      <c r="S359" s="37" t="str">
        <f t="shared" si="11"/>
        <v/>
      </c>
      <c r="T359" s="44"/>
      <c r="U359" s="45"/>
      <c r="V359" s="37" t="str">
        <f t="array" ref="V359">IFERROR(INDEX('Hàng hóa'!$F$4:$F$203,MATCH(T359,'Hàng hóa'!$B$4:$B$203,0)),"")</f>
        <v/>
      </c>
      <c r="W359" s="19">
        <f t="array" ref="W359">IFERROR(INDEX('Hàng hóa'!$H$4:$H$203,MATCH(T359,'Hàng hóa'!$B$4:$B$203,0)),0)</f>
        <v>0</v>
      </c>
      <c r="X359" s="20">
        <f t="shared" si="10"/>
        <v>0</v>
      </c>
      <c r="Y359" s="15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3"/>
      <c r="S360" s="37" t="str">
        <f t="shared" si="11"/>
        <v/>
      </c>
      <c r="T360" s="44"/>
      <c r="U360" s="45"/>
      <c r="V360" s="37" t="str">
        <f t="array" ref="V360">IFERROR(INDEX('Hàng hóa'!$F$4:$F$203,MATCH(T360,'Hàng hóa'!$B$4:$B$203,0)),"")</f>
        <v/>
      </c>
      <c r="W360" s="19">
        <f t="array" ref="W360">IFERROR(INDEX('Hàng hóa'!$H$4:$H$203,MATCH(T360,'Hàng hóa'!$B$4:$B$203,0)),0)</f>
        <v>0</v>
      </c>
      <c r="X360" s="20">
        <f t="shared" si="10"/>
        <v>0</v>
      </c>
      <c r="Y360" s="15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3"/>
      <c r="S361" s="37" t="str">
        <f t="shared" si="11"/>
        <v/>
      </c>
      <c r="T361" s="44"/>
      <c r="U361" s="45"/>
      <c r="V361" s="37" t="str">
        <f t="array" ref="V361">IFERROR(INDEX('Hàng hóa'!$F$4:$F$203,MATCH(T361,'Hàng hóa'!$B$4:$B$203,0)),"")</f>
        <v/>
      </c>
      <c r="W361" s="19">
        <f t="array" ref="W361">IFERROR(INDEX('Hàng hóa'!$H$4:$H$203,MATCH(T361,'Hàng hóa'!$B$4:$B$203,0)),0)</f>
        <v>0</v>
      </c>
      <c r="X361" s="20">
        <f t="shared" si="10"/>
        <v>0</v>
      </c>
      <c r="Y361" s="15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3"/>
      <c r="S362" s="37" t="str">
        <f t="shared" si="11"/>
        <v/>
      </c>
      <c r="T362" s="44"/>
      <c r="U362" s="45"/>
      <c r="V362" s="37" t="str">
        <f t="array" ref="V362">IFERROR(INDEX('Hàng hóa'!$F$4:$F$203,MATCH(T362,'Hàng hóa'!$B$4:$B$203,0)),"")</f>
        <v/>
      </c>
      <c r="W362" s="19">
        <f t="array" ref="W362">IFERROR(INDEX('Hàng hóa'!$H$4:$H$203,MATCH(T362,'Hàng hóa'!$B$4:$B$203,0)),0)</f>
        <v>0</v>
      </c>
      <c r="X362" s="20">
        <f t="shared" si="10"/>
        <v>0</v>
      </c>
      <c r="Y362" s="15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3"/>
      <c r="S363" s="37" t="str">
        <f t="shared" si="11"/>
        <v/>
      </c>
      <c r="T363" s="44"/>
      <c r="U363" s="45"/>
      <c r="V363" s="37" t="str">
        <f t="array" ref="V363">IFERROR(INDEX('Hàng hóa'!$F$4:$F$203,MATCH(T363,'Hàng hóa'!$B$4:$B$203,0)),"")</f>
        <v/>
      </c>
      <c r="W363" s="19">
        <f t="array" ref="W363">IFERROR(INDEX('Hàng hóa'!$H$4:$H$203,MATCH(T363,'Hàng hóa'!$B$4:$B$203,0)),0)</f>
        <v>0</v>
      </c>
      <c r="X363" s="20">
        <f t="shared" si="10"/>
        <v>0</v>
      </c>
      <c r="Y363" s="15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3"/>
      <c r="S364" s="37" t="str">
        <f t="shared" si="11"/>
        <v/>
      </c>
      <c r="T364" s="44"/>
      <c r="U364" s="45"/>
      <c r="V364" s="37" t="str">
        <f t="array" ref="V364">IFERROR(INDEX('Hàng hóa'!$F$4:$F$203,MATCH(T364,'Hàng hóa'!$B$4:$B$203,0)),"")</f>
        <v/>
      </c>
      <c r="W364" s="19">
        <f t="array" ref="W364">IFERROR(INDEX('Hàng hóa'!$H$4:$H$203,MATCH(T364,'Hàng hóa'!$B$4:$B$203,0)),0)</f>
        <v>0</v>
      </c>
      <c r="X364" s="20">
        <f t="shared" si="10"/>
        <v>0</v>
      </c>
      <c r="Y364" s="15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3"/>
      <c r="S365" s="37" t="str">
        <f t="shared" si="11"/>
        <v/>
      </c>
      <c r="T365" s="44"/>
      <c r="U365" s="45"/>
      <c r="V365" s="37" t="str">
        <f t="array" ref="V365">IFERROR(INDEX('Hàng hóa'!$F$4:$F$203,MATCH(T365,'Hàng hóa'!$B$4:$B$203,0)),"")</f>
        <v/>
      </c>
      <c r="W365" s="19">
        <f t="array" ref="W365">IFERROR(INDEX('Hàng hóa'!$H$4:$H$203,MATCH(T365,'Hàng hóa'!$B$4:$B$203,0)),0)</f>
        <v>0</v>
      </c>
      <c r="X365" s="20">
        <f t="shared" si="10"/>
        <v>0</v>
      </c>
      <c r="Y365" s="15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3"/>
      <c r="S366" s="37" t="str">
        <f t="shared" si="11"/>
        <v/>
      </c>
      <c r="T366" s="44"/>
      <c r="U366" s="45"/>
      <c r="V366" s="37" t="str">
        <f t="array" ref="V366">IFERROR(INDEX('Hàng hóa'!$F$4:$F$203,MATCH(T366,'Hàng hóa'!$B$4:$B$203,0)),"")</f>
        <v/>
      </c>
      <c r="W366" s="19">
        <f t="array" ref="W366">IFERROR(INDEX('Hàng hóa'!$H$4:$H$203,MATCH(T366,'Hàng hóa'!$B$4:$B$203,0)),0)</f>
        <v>0</v>
      </c>
      <c r="X366" s="20">
        <f t="shared" si="10"/>
        <v>0</v>
      </c>
      <c r="Y366" s="15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3"/>
      <c r="S367" s="37" t="str">
        <f t="shared" si="11"/>
        <v/>
      </c>
      <c r="T367" s="44"/>
      <c r="U367" s="45"/>
      <c r="V367" s="37" t="str">
        <f t="array" ref="V367">IFERROR(INDEX('Hàng hóa'!$F$4:$F$203,MATCH(T367,'Hàng hóa'!$B$4:$B$203,0)),"")</f>
        <v/>
      </c>
      <c r="W367" s="19">
        <f t="array" ref="W367">IFERROR(INDEX('Hàng hóa'!$H$4:$H$203,MATCH(T367,'Hàng hóa'!$B$4:$B$203,0)),0)</f>
        <v>0</v>
      </c>
      <c r="X367" s="20">
        <f t="shared" si="10"/>
        <v>0</v>
      </c>
      <c r="Y367" s="15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3"/>
      <c r="S368" s="37" t="str">
        <f t="shared" si="11"/>
        <v/>
      </c>
      <c r="T368" s="44"/>
      <c r="U368" s="45"/>
      <c r="V368" s="37" t="str">
        <f t="array" ref="V368">IFERROR(INDEX('Hàng hóa'!$F$4:$F$203,MATCH(T368,'Hàng hóa'!$B$4:$B$203,0)),"")</f>
        <v/>
      </c>
      <c r="W368" s="19">
        <f t="array" ref="W368">IFERROR(INDEX('Hàng hóa'!$H$4:$H$203,MATCH(T368,'Hàng hóa'!$B$4:$B$203,0)),0)</f>
        <v>0</v>
      </c>
      <c r="X368" s="20">
        <f t="shared" si="10"/>
        <v>0</v>
      </c>
      <c r="Y368" s="15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3"/>
      <c r="S369" s="37" t="str">
        <f t="shared" si="11"/>
        <v/>
      </c>
      <c r="T369" s="44"/>
      <c r="U369" s="45"/>
      <c r="V369" s="37" t="str">
        <f t="array" ref="V369">IFERROR(INDEX('Hàng hóa'!$F$4:$F$203,MATCH(T369,'Hàng hóa'!$B$4:$B$203,0)),"")</f>
        <v/>
      </c>
      <c r="W369" s="19">
        <f t="array" ref="W369">IFERROR(INDEX('Hàng hóa'!$H$4:$H$203,MATCH(T369,'Hàng hóa'!$B$4:$B$203,0)),0)</f>
        <v>0</v>
      </c>
      <c r="X369" s="20">
        <f t="shared" si="10"/>
        <v>0</v>
      </c>
      <c r="Y369" s="15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3"/>
      <c r="S370" s="37" t="str">
        <f t="shared" si="11"/>
        <v/>
      </c>
      <c r="T370" s="44"/>
      <c r="U370" s="45"/>
      <c r="V370" s="37" t="str">
        <f t="array" ref="V370">IFERROR(INDEX('Hàng hóa'!$F$4:$F$203,MATCH(T370,'Hàng hóa'!$B$4:$B$203,0)),"")</f>
        <v/>
      </c>
      <c r="W370" s="19">
        <f t="array" ref="W370">IFERROR(INDEX('Hàng hóa'!$H$4:$H$203,MATCH(T370,'Hàng hóa'!$B$4:$B$203,0)),0)</f>
        <v>0</v>
      </c>
      <c r="X370" s="20">
        <f t="shared" si="10"/>
        <v>0</v>
      </c>
      <c r="Y370" s="15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3"/>
      <c r="S371" s="37" t="str">
        <f t="shared" si="11"/>
        <v/>
      </c>
      <c r="T371" s="44"/>
      <c r="U371" s="45"/>
      <c r="V371" s="37" t="str">
        <f t="array" ref="V371">IFERROR(INDEX('Hàng hóa'!$F$4:$F$203,MATCH(T371,'Hàng hóa'!$B$4:$B$203,0)),"")</f>
        <v/>
      </c>
      <c r="W371" s="19">
        <f t="array" ref="W371">IFERROR(INDEX('Hàng hóa'!$H$4:$H$203,MATCH(T371,'Hàng hóa'!$B$4:$B$203,0)),0)</f>
        <v>0</v>
      </c>
      <c r="X371" s="20">
        <f t="shared" si="10"/>
        <v>0</v>
      </c>
      <c r="Y371" s="15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3"/>
      <c r="S372" s="37" t="str">
        <f t="shared" si="11"/>
        <v/>
      </c>
      <c r="T372" s="44"/>
      <c r="U372" s="45"/>
      <c r="V372" s="37" t="str">
        <f t="array" ref="V372">IFERROR(INDEX('Hàng hóa'!$F$4:$F$203,MATCH(T372,'Hàng hóa'!$B$4:$B$203,0)),"")</f>
        <v/>
      </c>
      <c r="W372" s="19">
        <f t="array" ref="W372">IFERROR(INDEX('Hàng hóa'!$H$4:$H$203,MATCH(T372,'Hàng hóa'!$B$4:$B$203,0)),0)</f>
        <v>0</v>
      </c>
      <c r="X372" s="20">
        <f t="shared" si="10"/>
        <v>0</v>
      </c>
      <c r="Y372" s="15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3"/>
      <c r="S373" s="37" t="str">
        <f t="shared" si="11"/>
        <v/>
      </c>
      <c r="T373" s="44"/>
      <c r="U373" s="45"/>
      <c r="V373" s="37" t="str">
        <f t="array" ref="V373">IFERROR(INDEX('Hàng hóa'!$F$4:$F$203,MATCH(T373,'Hàng hóa'!$B$4:$B$203,0)),"")</f>
        <v/>
      </c>
      <c r="W373" s="19">
        <f t="array" ref="W373">IFERROR(INDEX('Hàng hóa'!$H$4:$H$203,MATCH(T373,'Hàng hóa'!$B$4:$B$203,0)),0)</f>
        <v>0</v>
      </c>
      <c r="X373" s="20">
        <f t="shared" si="10"/>
        <v>0</v>
      </c>
      <c r="Y373" s="15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3"/>
      <c r="S374" s="37" t="str">
        <f t="shared" si="11"/>
        <v/>
      </c>
      <c r="T374" s="44"/>
      <c r="U374" s="45"/>
      <c r="V374" s="37" t="str">
        <f t="array" ref="V374">IFERROR(INDEX('Hàng hóa'!$F$4:$F$203,MATCH(T374,'Hàng hóa'!$B$4:$B$203,0)),"")</f>
        <v/>
      </c>
      <c r="W374" s="19">
        <f t="array" ref="W374">IFERROR(INDEX('Hàng hóa'!$H$4:$H$203,MATCH(T374,'Hàng hóa'!$B$4:$B$203,0)),0)</f>
        <v>0</v>
      </c>
      <c r="X374" s="20">
        <f t="shared" si="10"/>
        <v>0</v>
      </c>
      <c r="Y374" s="15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3"/>
      <c r="S375" s="37" t="str">
        <f t="shared" si="11"/>
        <v/>
      </c>
      <c r="T375" s="44"/>
      <c r="U375" s="45"/>
      <c r="V375" s="37" t="str">
        <f t="array" ref="V375">IFERROR(INDEX('Hàng hóa'!$F$4:$F$203,MATCH(T375,'Hàng hóa'!$B$4:$B$203,0)),"")</f>
        <v/>
      </c>
      <c r="W375" s="19">
        <f t="array" ref="W375">IFERROR(INDEX('Hàng hóa'!$H$4:$H$203,MATCH(T375,'Hàng hóa'!$B$4:$B$203,0)),0)</f>
        <v>0</v>
      </c>
      <c r="X375" s="20">
        <f t="shared" si="10"/>
        <v>0</v>
      </c>
      <c r="Y375" s="15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3"/>
      <c r="S376" s="37" t="str">
        <f t="shared" si="11"/>
        <v/>
      </c>
      <c r="T376" s="44"/>
      <c r="U376" s="45"/>
      <c r="V376" s="37" t="str">
        <f t="array" ref="V376">IFERROR(INDEX('Hàng hóa'!$F$4:$F$203,MATCH(T376,'Hàng hóa'!$B$4:$B$203,0)),"")</f>
        <v/>
      </c>
      <c r="W376" s="19">
        <f t="array" ref="W376">IFERROR(INDEX('Hàng hóa'!$H$4:$H$203,MATCH(T376,'Hàng hóa'!$B$4:$B$203,0)),0)</f>
        <v>0</v>
      </c>
      <c r="X376" s="20">
        <f t="shared" si="10"/>
        <v>0</v>
      </c>
      <c r="Y376" s="15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3"/>
      <c r="S377" s="37" t="str">
        <f t="shared" si="11"/>
        <v/>
      </c>
      <c r="T377" s="44"/>
      <c r="U377" s="45"/>
      <c r="V377" s="37" t="str">
        <f t="array" ref="V377">IFERROR(INDEX('Hàng hóa'!$F$4:$F$203,MATCH(T377,'Hàng hóa'!$B$4:$B$203,0)),"")</f>
        <v/>
      </c>
      <c r="W377" s="19">
        <f t="array" ref="W377">IFERROR(INDEX('Hàng hóa'!$H$4:$H$203,MATCH(T377,'Hàng hóa'!$B$4:$B$203,0)),0)</f>
        <v>0</v>
      </c>
      <c r="X377" s="20">
        <f t="shared" si="10"/>
        <v>0</v>
      </c>
      <c r="Y377" s="15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3"/>
      <c r="S378" s="37" t="str">
        <f t="shared" si="11"/>
        <v/>
      </c>
      <c r="T378" s="44"/>
      <c r="U378" s="45"/>
      <c r="V378" s="37" t="str">
        <f t="array" ref="V378">IFERROR(INDEX('Hàng hóa'!$F$4:$F$203,MATCH(T378,'Hàng hóa'!$B$4:$B$203,0)),"")</f>
        <v/>
      </c>
      <c r="W378" s="19">
        <f t="array" ref="W378">IFERROR(INDEX('Hàng hóa'!$H$4:$H$203,MATCH(T378,'Hàng hóa'!$B$4:$B$203,0)),0)</f>
        <v>0</v>
      </c>
      <c r="X378" s="20">
        <f t="shared" si="10"/>
        <v>0</v>
      </c>
      <c r="Y378" s="15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3"/>
      <c r="S379" s="37" t="str">
        <f t="shared" si="11"/>
        <v/>
      </c>
      <c r="T379" s="44"/>
      <c r="U379" s="45"/>
      <c r="V379" s="37" t="str">
        <f t="array" ref="V379">IFERROR(INDEX('Hàng hóa'!$F$4:$F$203,MATCH(T379,'Hàng hóa'!$B$4:$B$203,0)),"")</f>
        <v/>
      </c>
      <c r="W379" s="19">
        <f t="array" ref="W379">IFERROR(INDEX('Hàng hóa'!$H$4:$H$203,MATCH(T379,'Hàng hóa'!$B$4:$B$203,0)),0)</f>
        <v>0</v>
      </c>
      <c r="X379" s="20">
        <f t="shared" si="10"/>
        <v>0</v>
      </c>
      <c r="Y379" s="15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3"/>
      <c r="S380" s="37" t="str">
        <f t="shared" si="11"/>
        <v/>
      </c>
      <c r="T380" s="44"/>
      <c r="U380" s="45"/>
      <c r="V380" s="37" t="str">
        <f t="array" ref="V380">IFERROR(INDEX('Hàng hóa'!$F$4:$F$203,MATCH(T380,'Hàng hóa'!$B$4:$B$203,0)),"")</f>
        <v/>
      </c>
      <c r="W380" s="19">
        <f t="array" ref="W380">IFERROR(INDEX('Hàng hóa'!$H$4:$H$203,MATCH(T380,'Hàng hóa'!$B$4:$B$203,0)),0)</f>
        <v>0</v>
      </c>
      <c r="X380" s="20">
        <f t="shared" si="10"/>
        <v>0</v>
      </c>
      <c r="Y380" s="15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3"/>
      <c r="S381" s="37" t="str">
        <f t="shared" si="11"/>
        <v/>
      </c>
      <c r="T381" s="44"/>
      <c r="U381" s="45"/>
      <c r="V381" s="37" t="str">
        <f t="array" ref="V381">IFERROR(INDEX('Hàng hóa'!$F$4:$F$203,MATCH(T381,'Hàng hóa'!$B$4:$B$203,0)),"")</f>
        <v/>
      </c>
      <c r="W381" s="19">
        <f t="array" ref="W381">IFERROR(INDEX('Hàng hóa'!$H$4:$H$203,MATCH(T381,'Hàng hóa'!$B$4:$B$203,0)),0)</f>
        <v>0</v>
      </c>
      <c r="X381" s="20">
        <f t="shared" si="10"/>
        <v>0</v>
      </c>
      <c r="Y381" s="15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3"/>
      <c r="S382" s="37" t="str">
        <f t="shared" si="11"/>
        <v/>
      </c>
      <c r="T382" s="44"/>
      <c r="U382" s="45"/>
      <c r="V382" s="37" t="str">
        <f t="array" ref="V382">IFERROR(INDEX('Hàng hóa'!$F$4:$F$203,MATCH(T382,'Hàng hóa'!$B$4:$B$203,0)),"")</f>
        <v/>
      </c>
      <c r="W382" s="19">
        <f t="array" ref="W382">IFERROR(INDEX('Hàng hóa'!$H$4:$H$203,MATCH(T382,'Hàng hóa'!$B$4:$B$203,0)),0)</f>
        <v>0</v>
      </c>
      <c r="X382" s="20">
        <f t="shared" si="10"/>
        <v>0</v>
      </c>
      <c r="Y382" s="15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3"/>
      <c r="S383" s="37" t="str">
        <f t="shared" si="11"/>
        <v/>
      </c>
      <c r="T383" s="44"/>
      <c r="U383" s="45"/>
      <c r="V383" s="37" t="str">
        <f t="array" ref="V383">IFERROR(INDEX('Hàng hóa'!$F$4:$F$203,MATCH(T383,'Hàng hóa'!$B$4:$B$203,0)),"")</f>
        <v/>
      </c>
      <c r="W383" s="19">
        <f t="array" ref="W383">IFERROR(INDEX('Hàng hóa'!$H$4:$H$203,MATCH(T383,'Hàng hóa'!$B$4:$B$203,0)),0)</f>
        <v>0</v>
      </c>
      <c r="X383" s="20">
        <f t="shared" si="10"/>
        <v>0</v>
      </c>
      <c r="Y383" s="15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3"/>
      <c r="S384" s="37" t="str">
        <f t="shared" si="11"/>
        <v/>
      </c>
      <c r="T384" s="44"/>
      <c r="U384" s="45"/>
      <c r="V384" s="37" t="str">
        <f t="array" ref="V384">IFERROR(INDEX('Hàng hóa'!$F$4:$F$203,MATCH(T384,'Hàng hóa'!$B$4:$B$203,0)),"")</f>
        <v/>
      </c>
      <c r="W384" s="19">
        <f t="array" ref="W384">IFERROR(INDEX('Hàng hóa'!$H$4:$H$203,MATCH(T384,'Hàng hóa'!$B$4:$B$203,0)),0)</f>
        <v>0</v>
      </c>
      <c r="X384" s="20">
        <f t="shared" si="10"/>
        <v>0</v>
      </c>
      <c r="Y384" s="15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3"/>
      <c r="S385" s="37" t="str">
        <f t="shared" si="11"/>
        <v/>
      </c>
      <c r="T385" s="44"/>
      <c r="U385" s="45"/>
      <c r="V385" s="37" t="str">
        <f t="array" ref="V385">IFERROR(INDEX('Hàng hóa'!$F$4:$F$203,MATCH(T385,'Hàng hóa'!$B$4:$B$203,0)),"")</f>
        <v/>
      </c>
      <c r="W385" s="19">
        <f t="array" ref="W385">IFERROR(INDEX('Hàng hóa'!$H$4:$H$203,MATCH(T385,'Hàng hóa'!$B$4:$B$203,0)),0)</f>
        <v>0</v>
      </c>
      <c r="X385" s="20">
        <f t="shared" si="10"/>
        <v>0</v>
      </c>
      <c r="Y385" s="15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3"/>
      <c r="S386" s="37" t="str">
        <f t="shared" si="11"/>
        <v/>
      </c>
      <c r="T386" s="44"/>
      <c r="U386" s="45"/>
      <c r="V386" s="37" t="str">
        <f t="array" ref="V386">IFERROR(INDEX('Hàng hóa'!$F$4:$F$203,MATCH(T386,'Hàng hóa'!$B$4:$B$203,0)),"")</f>
        <v/>
      </c>
      <c r="W386" s="19">
        <f t="array" ref="W386">IFERROR(INDEX('Hàng hóa'!$H$4:$H$203,MATCH(T386,'Hàng hóa'!$B$4:$B$203,0)),0)</f>
        <v>0</v>
      </c>
      <c r="X386" s="20">
        <f t="shared" si="10"/>
        <v>0</v>
      </c>
      <c r="Y386" s="15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3"/>
      <c r="S387" s="37" t="str">
        <f t="shared" si="11"/>
        <v/>
      </c>
      <c r="T387" s="44"/>
      <c r="U387" s="45"/>
      <c r="V387" s="37" t="str">
        <f t="array" ref="V387">IFERROR(INDEX('Hàng hóa'!$F$4:$F$203,MATCH(T387,'Hàng hóa'!$B$4:$B$203,0)),"")</f>
        <v/>
      </c>
      <c r="W387" s="19">
        <f t="array" ref="W387">IFERROR(INDEX('Hàng hóa'!$H$4:$H$203,MATCH(T387,'Hàng hóa'!$B$4:$B$203,0)),0)</f>
        <v>0</v>
      </c>
      <c r="X387" s="20">
        <f t="shared" si="10"/>
        <v>0</v>
      </c>
      <c r="Y387" s="15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3"/>
      <c r="S388" s="37" t="str">
        <f t="shared" si="11"/>
        <v/>
      </c>
      <c r="T388" s="44"/>
      <c r="U388" s="45"/>
      <c r="V388" s="37" t="str">
        <f t="array" ref="V388">IFERROR(INDEX('Hàng hóa'!$F$4:$F$203,MATCH(T388,'Hàng hóa'!$B$4:$B$203,0)),"")</f>
        <v/>
      </c>
      <c r="W388" s="19">
        <f t="array" ref="W388">IFERROR(INDEX('Hàng hóa'!$H$4:$H$203,MATCH(T388,'Hàng hóa'!$B$4:$B$203,0)),0)</f>
        <v>0</v>
      </c>
      <c r="X388" s="20">
        <f t="shared" si="10"/>
        <v>0</v>
      </c>
      <c r="Y388" s="15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3"/>
      <c r="S389" s="37" t="str">
        <f t="shared" si="11"/>
        <v/>
      </c>
      <c r="T389" s="44"/>
      <c r="U389" s="45"/>
      <c r="V389" s="37" t="str">
        <f t="array" ref="V389">IFERROR(INDEX('Hàng hóa'!$F$4:$F$203,MATCH(T389,'Hàng hóa'!$B$4:$B$203,0)),"")</f>
        <v/>
      </c>
      <c r="W389" s="19">
        <f t="array" ref="W389">IFERROR(INDEX('Hàng hóa'!$H$4:$H$203,MATCH(T389,'Hàng hóa'!$B$4:$B$203,0)),0)</f>
        <v>0</v>
      </c>
      <c r="X389" s="20">
        <f t="shared" si="10"/>
        <v>0</v>
      </c>
      <c r="Y389" s="15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3"/>
      <c r="S390" s="37" t="str">
        <f t="shared" si="11"/>
        <v/>
      </c>
      <c r="T390" s="44"/>
      <c r="U390" s="45"/>
      <c r="V390" s="37" t="str">
        <f t="array" ref="V390">IFERROR(INDEX('Hàng hóa'!$F$4:$F$203,MATCH(T390,'Hàng hóa'!$B$4:$B$203,0)),"")</f>
        <v/>
      </c>
      <c r="W390" s="19">
        <f t="array" ref="W390">IFERROR(INDEX('Hàng hóa'!$H$4:$H$203,MATCH(T390,'Hàng hóa'!$B$4:$B$203,0)),0)</f>
        <v>0</v>
      </c>
      <c r="X390" s="20">
        <f t="shared" si="10"/>
        <v>0</v>
      </c>
      <c r="Y390" s="15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3"/>
      <c r="S391" s="37" t="str">
        <f t="shared" si="11"/>
        <v/>
      </c>
      <c r="T391" s="44"/>
      <c r="U391" s="45"/>
      <c r="V391" s="37" t="str">
        <f t="array" ref="V391">IFERROR(INDEX('Hàng hóa'!$F$4:$F$203,MATCH(T391,'Hàng hóa'!$B$4:$B$203,0)),"")</f>
        <v/>
      </c>
      <c r="W391" s="19">
        <f t="array" ref="W391">IFERROR(INDEX('Hàng hóa'!$H$4:$H$203,MATCH(T391,'Hàng hóa'!$B$4:$B$203,0)),0)</f>
        <v>0</v>
      </c>
      <c r="X391" s="20">
        <f t="shared" si="10"/>
        <v>0</v>
      </c>
      <c r="Y391" s="15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3"/>
      <c r="S392" s="37" t="str">
        <f t="shared" si="11"/>
        <v/>
      </c>
      <c r="T392" s="44"/>
      <c r="U392" s="45"/>
      <c r="V392" s="37" t="str">
        <f t="array" ref="V392">IFERROR(INDEX('Hàng hóa'!$F$4:$F$203,MATCH(T392,'Hàng hóa'!$B$4:$B$203,0)),"")</f>
        <v/>
      </c>
      <c r="W392" s="19">
        <f t="array" ref="W392">IFERROR(INDEX('Hàng hóa'!$H$4:$H$203,MATCH(T392,'Hàng hóa'!$B$4:$B$203,0)),0)</f>
        <v>0</v>
      </c>
      <c r="X392" s="20">
        <f t="shared" si="10"/>
        <v>0</v>
      </c>
      <c r="Y392" s="15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3"/>
      <c r="S393" s="37" t="str">
        <f t="shared" si="11"/>
        <v/>
      </c>
      <c r="T393" s="44"/>
      <c r="U393" s="45"/>
      <c r="V393" s="37" t="str">
        <f t="array" ref="V393">IFERROR(INDEX('Hàng hóa'!$F$4:$F$203,MATCH(T393,'Hàng hóa'!$B$4:$B$203,0)),"")</f>
        <v/>
      </c>
      <c r="W393" s="19">
        <f t="array" ref="W393">IFERROR(INDEX('Hàng hóa'!$H$4:$H$203,MATCH(T393,'Hàng hóa'!$B$4:$B$203,0)),0)</f>
        <v>0</v>
      </c>
      <c r="X393" s="20">
        <f t="shared" si="10"/>
        <v>0</v>
      </c>
      <c r="Y393" s="15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3"/>
      <c r="S394" s="37" t="str">
        <f t="shared" si="11"/>
        <v/>
      </c>
      <c r="T394" s="44"/>
      <c r="U394" s="45"/>
      <c r="V394" s="37" t="str">
        <f t="array" ref="V394">IFERROR(INDEX('Hàng hóa'!$F$4:$F$203,MATCH(T394,'Hàng hóa'!$B$4:$B$203,0)),"")</f>
        <v/>
      </c>
      <c r="W394" s="19">
        <f t="array" ref="W394">IFERROR(INDEX('Hàng hóa'!$H$4:$H$203,MATCH(T394,'Hàng hóa'!$B$4:$B$203,0)),0)</f>
        <v>0</v>
      </c>
      <c r="X394" s="20">
        <f t="shared" si="10"/>
        <v>0</v>
      </c>
      <c r="Y394" s="15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3"/>
      <c r="S395" s="37" t="str">
        <f t="shared" si="11"/>
        <v/>
      </c>
      <c r="T395" s="44"/>
      <c r="U395" s="45"/>
      <c r="V395" s="37" t="str">
        <f t="array" ref="V395">IFERROR(INDEX('Hàng hóa'!$F$4:$F$203,MATCH(T395,'Hàng hóa'!$B$4:$B$203,0)),"")</f>
        <v/>
      </c>
      <c r="W395" s="19">
        <f t="array" ref="W395">IFERROR(INDEX('Hàng hóa'!$H$4:$H$203,MATCH(T395,'Hàng hóa'!$B$4:$B$203,0)),0)</f>
        <v>0</v>
      </c>
      <c r="X395" s="20">
        <f t="shared" si="10"/>
        <v>0</v>
      </c>
      <c r="Y395" s="15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3"/>
      <c r="S396" s="37" t="str">
        <f t="shared" si="11"/>
        <v/>
      </c>
      <c r="T396" s="44"/>
      <c r="U396" s="45"/>
      <c r="V396" s="37" t="str">
        <f t="array" ref="V396">IFERROR(INDEX('Hàng hóa'!$F$4:$F$203,MATCH(T396,'Hàng hóa'!$B$4:$B$203,0)),"")</f>
        <v/>
      </c>
      <c r="W396" s="19">
        <f t="array" ref="W396">IFERROR(INDEX('Hàng hóa'!$H$4:$H$203,MATCH(T396,'Hàng hóa'!$B$4:$B$203,0)),0)</f>
        <v>0</v>
      </c>
      <c r="X396" s="20">
        <f t="shared" si="10"/>
        <v>0</v>
      </c>
      <c r="Y396" s="15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3"/>
      <c r="S397" s="37" t="str">
        <f t="shared" si="11"/>
        <v/>
      </c>
      <c r="T397" s="44"/>
      <c r="U397" s="45"/>
      <c r="V397" s="37" t="str">
        <f t="array" ref="V397">IFERROR(INDEX('Hàng hóa'!$F$4:$F$203,MATCH(T397,'Hàng hóa'!$B$4:$B$203,0)),"")</f>
        <v/>
      </c>
      <c r="W397" s="19">
        <f t="array" ref="W397">IFERROR(INDEX('Hàng hóa'!$H$4:$H$203,MATCH(T397,'Hàng hóa'!$B$4:$B$203,0)),0)</f>
        <v>0</v>
      </c>
      <c r="X397" s="20">
        <f t="shared" si="10"/>
        <v>0</v>
      </c>
      <c r="Y397" s="15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3"/>
      <c r="S398" s="37" t="str">
        <f t="shared" si="11"/>
        <v/>
      </c>
      <c r="T398" s="44"/>
      <c r="U398" s="45"/>
      <c r="V398" s="37" t="str">
        <f t="array" ref="V398">IFERROR(INDEX('Hàng hóa'!$F$4:$F$203,MATCH(T398,'Hàng hóa'!$B$4:$B$203,0)),"")</f>
        <v/>
      </c>
      <c r="W398" s="19">
        <f t="array" ref="W398">IFERROR(INDEX('Hàng hóa'!$H$4:$H$203,MATCH(T398,'Hàng hóa'!$B$4:$B$203,0)),0)</f>
        <v>0</v>
      </c>
      <c r="X398" s="20">
        <f t="shared" si="10"/>
        <v>0</v>
      </c>
      <c r="Y398" s="15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3"/>
      <c r="S399" s="37" t="str">
        <f t="shared" si="11"/>
        <v/>
      </c>
      <c r="T399" s="44"/>
      <c r="U399" s="45"/>
      <c r="V399" s="37" t="str">
        <f t="array" ref="V399">IFERROR(INDEX('Hàng hóa'!$F$4:$F$203,MATCH(T399,'Hàng hóa'!$B$4:$B$203,0)),"")</f>
        <v/>
      </c>
      <c r="W399" s="19">
        <f t="array" ref="W399">IFERROR(INDEX('Hàng hóa'!$H$4:$H$203,MATCH(T399,'Hàng hóa'!$B$4:$B$203,0)),0)</f>
        <v>0</v>
      </c>
      <c r="X399" s="20">
        <f t="shared" si="10"/>
        <v>0</v>
      </c>
      <c r="Y399" s="15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3"/>
      <c r="S400" s="37" t="str">
        <f t="shared" si="11"/>
        <v/>
      </c>
      <c r="T400" s="44"/>
      <c r="U400" s="45"/>
      <c r="V400" s="37" t="str">
        <f t="array" ref="V400">IFERROR(INDEX('Hàng hóa'!$F$4:$F$203,MATCH(T400,'Hàng hóa'!$B$4:$B$203,0)),"")</f>
        <v/>
      </c>
      <c r="W400" s="19">
        <f t="array" ref="W400">IFERROR(INDEX('Hàng hóa'!$H$4:$H$203,MATCH(T400,'Hàng hóa'!$B$4:$B$203,0)),0)</f>
        <v>0</v>
      </c>
      <c r="X400" s="20">
        <f t="shared" si="10"/>
        <v>0</v>
      </c>
      <c r="Y400" s="15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3"/>
      <c r="S401" s="37" t="str">
        <f t="shared" si="11"/>
        <v/>
      </c>
      <c r="T401" s="44"/>
      <c r="U401" s="45"/>
      <c r="V401" s="37" t="str">
        <f t="array" ref="V401">IFERROR(INDEX('Hàng hóa'!$F$4:$F$203,MATCH(T401,'Hàng hóa'!$B$4:$B$203,0)),"")</f>
        <v/>
      </c>
      <c r="W401" s="19">
        <f t="array" ref="W401">IFERROR(INDEX('Hàng hóa'!$H$4:$H$203,MATCH(T401,'Hàng hóa'!$B$4:$B$203,0)),0)</f>
        <v>0</v>
      </c>
      <c r="X401" s="20">
        <f t="shared" si="10"/>
        <v>0</v>
      </c>
      <c r="Y401" s="15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3"/>
      <c r="S402" s="37" t="str">
        <f t="shared" si="11"/>
        <v/>
      </c>
      <c r="T402" s="44"/>
      <c r="U402" s="45"/>
      <c r="V402" s="37" t="str">
        <f t="array" ref="V402">IFERROR(INDEX('Hàng hóa'!$F$4:$F$203,MATCH(T402,'Hàng hóa'!$B$4:$B$203,0)),"")</f>
        <v/>
      </c>
      <c r="W402" s="19">
        <f t="array" ref="W402">IFERROR(INDEX('Hàng hóa'!$H$4:$H$203,MATCH(T402,'Hàng hóa'!$B$4:$B$203,0)),0)</f>
        <v>0</v>
      </c>
      <c r="X402" s="20">
        <f t="shared" si="10"/>
        <v>0</v>
      </c>
      <c r="Y402" s="15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3"/>
      <c r="S403" s="37" t="str">
        <f t="shared" si="11"/>
        <v/>
      </c>
      <c r="T403" s="44"/>
      <c r="U403" s="45"/>
      <c r="V403" s="37" t="str">
        <f t="array" ref="V403">IFERROR(INDEX('Hàng hóa'!$F$4:$F$203,MATCH(T403,'Hàng hóa'!$B$4:$B$203,0)),"")</f>
        <v/>
      </c>
      <c r="W403" s="19">
        <f t="array" ref="W403">IFERROR(INDEX('Hàng hóa'!$H$4:$H$203,MATCH(T403,'Hàng hóa'!$B$4:$B$203,0)),0)</f>
        <v>0</v>
      </c>
      <c r="X403" s="20">
        <f t="shared" si="10"/>
        <v>0</v>
      </c>
      <c r="Y403" s="15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3"/>
      <c r="S404" s="37" t="str">
        <f t="shared" si="11"/>
        <v/>
      </c>
      <c r="T404" s="44"/>
      <c r="U404" s="45"/>
      <c r="V404" s="37" t="str">
        <f t="array" ref="V404">IFERROR(INDEX('Hàng hóa'!$F$4:$F$203,MATCH(T404,'Hàng hóa'!$B$4:$B$203,0)),"")</f>
        <v/>
      </c>
      <c r="W404" s="19">
        <f t="array" ref="W404">IFERROR(INDEX('Hàng hóa'!$H$4:$H$203,MATCH(T404,'Hàng hóa'!$B$4:$B$203,0)),0)</f>
        <v>0</v>
      </c>
      <c r="X404" s="20">
        <f t="shared" si="10"/>
        <v>0</v>
      </c>
      <c r="Y404" s="15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3"/>
      <c r="S405" s="37" t="str">
        <f t="shared" si="11"/>
        <v/>
      </c>
      <c r="T405" s="44"/>
      <c r="U405" s="45"/>
      <c r="V405" s="37" t="str">
        <f t="array" ref="V405">IFERROR(INDEX('Hàng hóa'!$F$4:$F$203,MATCH(T405,'Hàng hóa'!$B$4:$B$203,0)),"")</f>
        <v/>
      </c>
      <c r="W405" s="19">
        <f t="array" ref="W405">IFERROR(INDEX('Hàng hóa'!$H$4:$H$203,MATCH(T405,'Hàng hóa'!$B$4:$B$203,0)),0)</f>
        <v>0</v>
      </c>
      <c r="X405" s="20">
        <f t="shared" si="10"/>
        <v>0</v>
      </c>
      <c r="Y405" s="15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3"/>
      <c r="S406" s="37" t="str">
        <f t="shared" si="11"/>
        <v/>
      </c>
      <c r="T406" s="44"/>
      <c r="U406" s="45"/>
      <c r="V406" s="37" t="str">
        <f t="array" ref="V406">IFERROR(INDEX('Hàng hóa'!$F$4:$F$203,MATCH(T406,'Hàng hóa'!$B$4:$B$203,0)),"")</f>
        <v/>
      </c>
      <c r="W406" s="19">
        <f t="array" ref="W406">IFERROR(INDEX('Hàng hóa'!$H$4:$H$203,MATCH(T406,'Hàng hóa'!$B$4:$B$203,0)),0)</f>
        <v>0</v>
      </c>
      <c r="X406" s="20">
        <f t="shared" si="10"/>
        <v>0</v>
      </c>
      <c r="Y406" s="15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3"/>
      <c r="S407" s="37" t="str">
        <f t="shared" si="11"/>
        <v/>
      </c>
      <c r="T407" s="44"/>
      <c r="U407" s="45"/>
      <c r="V407" s="37" t="str">
        <f t="array" ref="V407">IFERROR(INDEX('Hàng hóa'!$F$4:$F$203,MATCH(T407,'Hàng hóa'!$B$4:$B$203,0)),"")</f>
        <v/>
      </c>
      <c r="W407" s="19">
        <f t="array" ref="W407">IFERROR(INDEX('Hàng hóa'!$H$4:$H$203,MATCH(T407,'Hàng hóa'!$B$4:$B$203,0)),0)</f>
        <v>0</v>
      </c>
      <c r="X407" s="20">
        <f t="shared" si="10"/>
        <v>0</v>
      </c>
      <c r="Y407" s="15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3"/>
      <c r="S408" s="37" t="str">
        <f t="shared" si="11"/>
        <v/>
      </c>
      <c r="T408" s="44"/>
      <c r="U408" s="45"/>
      <c r="V408" s="37" t="str">
        <f t="array" ref="V408">IFERROR(INDEX('Hàng hóa'!$F$4:$F$203,MATCH(T408,'Hàng hóa'!$B$4:$B$203,0)),"")</f>
        <v/>
      </c>
      <c r="W408" s="19">
        <f t="array" ref="W408">IFERROR(INDEX('Hàng hóa'!$H$4:$H$203,MATCH(T408,'Hàng hóa'!$B$4:$B$203,0)),0)</f>
        <v>0</v>
      </c>
      <c r="X408" s="20">
        <f t="shared" si="10"/>
        <v>0</v>
      </c>
      <c r="Y408" s="15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3"/>
      <c r="S409" s="37" t="str">
        <f t="shared" si="11"/>
        <v/>
      </c>
      <c r="T409" s="44"/>
      <c r="U409" s="45"/>
      <c r="V409" s="37" t="str">
        <f t="array" ref="V409">IFERROR(INDEX('Hàng hóa'!$F$4:$F$203,MATCH(T409,'Hàng hóa'!$B$4:$B$203,0)),"")</f>
        <v/>
      </c>
      <c r="W409" s="19">
        <f t="array" ref="W409">IFERROR(INDEX('Hàng hóa'!$H$4:$H$203,MATCH(T409,'Hàng hóa'!$B$4:$B$203,0)),0)</f>
        <v>0</v>
      </c>
      <c r="X409" s="20">
        <f t="shared" si="10"/>
        <v>0</v>
      </c>
      <c r="Y409" s="15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3"/>
      <c r="S410" s="37" t="str">
        <f t="shared" si="11"/>
        <v/>
      </c>
      <c r="T410" s="44"/>
      <c r="U410" s="45"/>
      <c r="V410" s="37" t="str">
        <f t="array" ref="V410">IFERROR(INDEX('Hàng hóa'!$F$4:$F$203,MATCH(T410,'Hàng hóa'!$B$4:$B$203,0)),"")</f>
        <v/>
      </c>
      <c r="W410" s="19">
        <f t="array" ref="W410">IFERROR(INDEX('Hàng hóa'!$H$4:$H$203,MATCH(T410,'Hàng hóa'!$B$4:$B$203,0)),0)</f>
        <v>0</v>
      </c>
      <c r="X410" s="20">
        <f t="shared" si="10"/>
        <v>0</v>
      </c>
      <c r="Y410" s="15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3"/>
      <c r="S411" s="37" t="str">
        <f t="shared" si="11"/>
        <v/>
      </c>
      <c r="T411" s="44"/>
      <c r="U411" s="45"/>
      <c r="V411" s="37" t="str">
        <f t="array" ref="V411">IFERROR(INDEX('Hàng hóa'!$F$4:$F$203,MATCH(T411,'Hàng hóa'!$B$4:$B$203,0)),"")</f>
        <v/>
      </c>
      <c r="W411" s="19">
        <f t="array" ref="W411">IFERROR(INDEX('Hàng hóa'!$H$4:$H$203,MATCH(T411,'Hàng hóa'!$B$4:$B$203,0)),0)</f>
        <v>0</v>
      </c>
      <c r="X411" s="20">
        <f t="shared" si="10"/>
        <v>0</v>
      </c>
      <c r="Y411" s="15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3"/>
      <c r="S412" s="37" t="str">
        <f t="shared" si="11"/>
        <v/>
      </c>
      <c r="T412" s="44"/>
      <c r="U412" s="45"/>
      <c r="V412" s="37" t="str">
        <f t="array" ref="V412">IFERROR(INDEX('Hàng hóa'!$F$4:$F$203,MATCH(T412,'Hàng hóa'!$B$4:$B$203,0)),"")</f>
        <v/>
      </c>
      <c r="W412" s="19">
        <f t="array" ref="W412">IFERROR(INDEX('Hàng hóa'!$H$4:$H$203,MATCH(T412,'Hàng hóa'!$B$4:$B$203,0)),0)</f>
        <v>0</v>
      </c>
      <c r="X412" s="20">
        <f t="shared" si="10"/>
        <v>0</v>
      </c>
      <c r="Y412" s="15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3"/>
      <c r="S413" s="37" t="str">
        <f t="shared" si="11"/>
        <v/>
      </c>
      <c r="T413" s="44"/>
      <c r="U413" s="45"/>
      <c r="V413" s="37" t="str">
        <f t="array" ref="V413">IFERROR(INDEX('Hàng hóa'!$F$4:$F$203,MATCH(T413,'Hàng hóa'!$B$4:$B$203,0)),"")</f>
        <v/>
      </c>
      <c r="W413" s="19">
        <f t="array" ref="W413">IFERROR(INDEX('Hàng hóa'!$H$4:$H$203,MATCH(T413,'Hàng hóa'!$B$4:$B$203,0)),0)</f>
        <v>0</v>
      </c>
      <c r="X413" s="20">
        <f t="shared" si="10"/>
        <v>0</v>
      </c>
      <c r="Y413" s="15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3"/>
      <c r="S414" s="37" t="str">
        <f t="shared" si="11"/>
        <v/>
      </c>
      <c r="T414" s="44"/>
      <c r="U414" s="45"/>
      <c r="V414" s="37" t="str">
        <f t="array" ref="V414">IFERROR(INDEX('Hàng hóa'!$F$4:$F$203,MATCH(T414,'Hàng hóa'!$B$4:$B$203,0)),"")</f>
        <v/>
      </c>
      <c r="W414" s="19">
        <f t="array" ref="W414">IFERROR(INDEX('Hàng hóa'!$H$4:$H$203,MATCH(T414,'Hàng hóa'!$B$4:$B$203,0)),0)</f>
        <v>0</v>
      </c>
      <c r="X414" s="20">
        <f t="shared" si="10"/>
        <v>0</v>
      </c>
      <c r="Y414" s="15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3"/>
      <c r="S415" s="37" t="str">
        <f t="shared" si="11"/>
        <v/>
      </c>
      <c r="T415" s="44"/>
      <c r="U415" s="45"/>
      <c r="V415" s="37" t="str">
        <f t="array" ref="V415">IFERROR(INDEX('Hàng hóa'!$F$4:$F$203,MATCH(T415,'Hàng hóa'!$B$4:$B$203,0)),"")</f>
        <v/>
      </c>
      <c r="W415" s="19">
        <f t="array" ref="W415">IFERROR(INDEX('Hàng hóa'!$H$4:$H$203,MATCH(T415,'Hàng hóa'!$B$4:$B$203,0)),0)</f>
        <v>0</v>
      </c>
      <c r="X415" s="20">
        <f t="shared" si="10"/>
        <v>0</v>
      </c>
      <c r="Y415" s="15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3"/>
      <c r="S416" s="37" t="str">
        <f t="shared" si="11"/>
        <v/>
      </c>
      <c r="T416" s="44"/>
      <c r="U416" s="45"/>
      <c r="V416" s="37" t="str">
        <f t="array" ref="V416">IFERROR(INDEX('Hàng hóa'!$F$4:$F$203,MATCH(T416,'Hàng hóa'!$B$4:$B$203,0)),"")</f>
        <v/>
      </c>
      <c r="W416" s="19">
        <f t="array" ref="W416">IFERROR(INDEX('Hàng hóa'!$H$4:$H$203,MATCH(T416,'Hàng hóa'!$B$4:$B$203,0)),0)</f>
        <v>0</v>
      </c>
      <c r="X416" s="20">
        <f t="shared" si="10"/>
        <v>0</v>
      </c>
      <c r="Y416" s="15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3"/>
      <c r="S417" s="37" t="str">
        <f t="shared" si="11"/>
        <v/>
      </c>
      <c r="T417" s="44"/>
      <c r="U417" s="45"/>
      <c r="V417" s="37" t="str">
        <f t="array" ref="V417">IFERROR(INDEX('Hàng hóa'!$F$4:$F$203,MATCH(T417,'Hàng hóa'!$B$4:$B$203,0)),"")</f>
        <v/>
      </c>
      <c r="W417" s="19">
        <f t="array" ref="W417">IFERROR(INDEX('Hàng hóa'!$H$4:$H$203,MATCH(T417,'Hàng hóa'!$B$4:$B$203,0)),0)</f>
        <v>0</v>
      </c>
      <c r="X417" s="20">
        <f t="shared" si="10"/>
        <v>0</v>
      </c>
      <c r="Y417" s="15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3"/>
      <c r="S418" s="37" t="str">
        <f t="shared" si="11"/>
        <v/>
      </c>
      <c r="T418" s="44"/>
      <c r="U418" s="45"/>
      <c r="V418" s="37" t="str">
        <f t="array" ref="V418">IFERROR(INDEX('Hàng hóa'!$F$4:$F$203,MATCH(T418,'Hàng hóa'!$B$4:$B$203,0)),"")</f>
        <v/>
      </c>
      <c r="W418" s="19">
        <f t="array" ref="W418">IFERROR(INDEX('Hàng hóa'!$H$4:$H$203,MATCH(T418,'Hàng hóa'!$B$4:$B$203,0)),0)</f>
        <v>0</v>
      </c>
      <c r="X418" s="20">
        <f t="shared" si="10"/>
        <v>0</v>
      </c>
      <c r="Y418" s="15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3"/>
      <c r="S419" s="37" t="str">
        <f t="shared" si="11"/>
        <v/>
      </c>
      <c r="T419" s="44"/>
      <c r="U419" s="45"/>
      <c r="V419" s="37" t="str">
        <f t="array" ref="V419">IFERROR(INDEX('Hàng hóa'!$F$4:$F$203,MATCH(T419,'Hàng hóa'!$B$4:$B$203,0)),"")</f>
        <v/>
      </c>
      <c r="W419" s="19">
        <f t="array" ref="W419">IFERROR(INDEX('Hàng hóa'!$H$4:$H$203,MATCH(T419,'Hàng hóa'!$B$4:$B$203,0)),0)</f>
        <v>0</v>
      </c>
      <c r="X419" s="20">
        <f t="shared" si="10"/>
        <v>0</v>
      </c>
      <c r="Y419" s="15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3"/>
      <c r="S420" s="37" t="str">
        <f t="shared" si="11"/>
        <v/>
      </c>
      <c r="T420" s="44"/>
      <c r="U420" s="45"/>
      <c r="V420" s="37" t="str">
        <f t="array" ref="V420">IFERROR(INDEX('Hàng hóa'!$F$4:$F$203,MATCH(T420,'Hàng hóa'!$B$4:$B$203,0)),"")</f>
        <v/>
      </c>
      <c r="W420" s="19">
        <f t="array" ref="W420">IFERROR(INDEX('Hàng hóa'!$H$4:$H$203,MATCH(T420,'Hàng hóa'!$B$4:$B$203,0)),0)</f>
        <v>0</v>
      </c>
      <c r="X420" s="20">
        <f t="shared" si="10"/>
        <v>0</v>
      </c>
      <c r="Y420" s="15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3"/>
      <c r="S421" s="37" t="str">
        <f t="shared" si="11"/>
        <v/>
      </c>
      <c r="T421" s="44"/>
      <c r="U421" s="45"/>
      <c r="V421" s="37" t="str">
        <f t="array" ref="V421">IFERROR(INDEX('Hàng hóa'!$F$4:$F$203,MATCH(T421,'Hàng hóa'!$B$4:$B$203,0)),"")</f>
        <v/>
      </c>
      <c r="W421" s="19">
        <f t="array" ref="W421">IFERROR(INDEX('Hàng hóa'!$H$4:$H$203,MATCH(T421,'Hàng hóa'!$B$4:$B$203,0)),0)</f>
        <v>0</v>
      </c>
      <c r="X421" s="20">
        <f t="shared" si="10"/>
        <v>0</v>
      </c>
      <c r="Y421" s="15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3"/>
      <c r="S422" s="37" t="str">
        <f t="shared" si="11"/>
        <v/>
      </c>
      <c r="T422" s="44"/>
      <c r="U422" s="45"/>
      <c r="V422" s="37" t="str">
        <f t="array" ref="V422">IFERROR(INDEX('Hàng hóa'!$F$4:$F$203,MATCH(T422,'Hàng hóa'!$B$4:$B$203,0)),"")</f>
        <v/>
      </c>
      <c r="W422" s="19">
        <f t="array" ref="W422">IFERROR(INDEX('Hàng hóa'!$H$4:$H$203,MATCH(T422,'Hàng hóa'!$B$4:$B$203,0)),0)</f>
        <v>0</v>
      </c>
      <c r="X422" s="20">
        <f t="shared" si="10"/>
        <v>0</v>
      </c>
      <c r="Y422" s="15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3"/>
      <c r="S423" s="37" t="str">
        <f t="shared" si="11"/>
        <v/>
      </c>
      <c r="T423" s="44"/>
      <c r="U423" s="45"/>
      <c r="V423" s="37" t="str">
        <f t="array" ref="V423">IFERROR(INDEX('Hàng hóa'!$F$4:$F$203,MATCH(T423,'Hàng hóa'!$B$4:$B$203,0)),"")</f>
        <v/>
      </c>
      <c r="W423" s="19">
        <f t="array" ref="W423">IFERROR(INDEX('Hàng hóa'!$H$4:$H$203,MATCH(T423,'Hàng hóa'!$B$4:$B$203,0)),0)</f>
        <v>0</v>
      </c>
      <c r="X423" s="20">
        <f t="shared" si="10"/>
        <v>0</v>
      </c>
      <c r="Y423" s="15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3"/>
      <c r="S424" s="37" t="str">
        <f t="shared" si="11"/>
        <v/>
      </c>
      <c r="T424" s="44"/>
      <c r="U424" s="45"/>
      <c r="V424" s="37" t="str">
        <f t="array" ref="V424">IFERROR(INDEX('Hàng hóa'!$F$4:$F$203,MATCH(T424,'Hàng hóa'!$B$4:$B$203,0)),"")</f>
        <v/>
      </c>
      <c r="W424" s="19">
        <f t="array" ref="W424">IFERROR(INDEX('Hàng hóa'!$H$4:$H$203,MATCH(T424,'Hàng hóa'!$B$4:$B$203,0)),0)</f>
        <v>0</v>
      </c>
      <c r="X424" s="20">
        <f t="shared" si="10"/>
        <v>0</v>
      </c>
      <c r="Y424" s="15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3"/>
      <c r="S425" s="37" t="str">
        <f t="shared" si="11"/>
        <v/>
      </c>
      <c r="T425" s="44"/>
      <c r="U425" s="45"/>
      <c r="V425" s="37" t="str">
        <f t="array" ref="V425">IFERROR(INDEX('Hàng hóa'!$F$4:$F$203,MATCH(T425,'Hàng hóa'!$B$4:$B$203,0)),"")</f>
        <v/>
      </c>
      <c r="W425" s="19">
        <f t="array" ref="W425">IFERROR(INDEX('Hàng hóa'!$H$4:$H$203,MATCH(T425,'Hàng hóa'!$B$4:$B$203,0)),0)</f>
        <v>0</v>
      </c>
      <c r="X425" s="20">
        <f t="shared" si="10"/>
        <v>0</v>
      </c>
      <c r="Y425" s="15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3"/>
      <c r="S426" s="37" t="str">
        <f t="shared" si="11"/>
        <v/>
      </c>
      <c r="T426" s="44"/>
      <c r="U426" s="45"/>
      <c r="V426" s="37" t="str">
        <f t="array" ref="V426">IFERROR(INDEX('Hàng hóa'!$F$4:$F$203,MATCH(T426,'Hàng hóa'!$B$4:$B$203,0)),"")</f>
        <v/>
      </c>
      <c r="W426" s="19">
        <f t="array" ref="W426">IFERROR(INDEX('Hàng hóa'!$H$4:$H$203,MATCH(T426,'Hàng hóa'!$B$4:$B$203,0)),0)</f>
        <v>0</v>
      </c>
      <c r="X426" s="20">
        <f t="shared" si="10"/>
        <v>0</v>
      </c>
      <c r="Y426" s="15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3"/>
      <c r="S427" s="37" t="str">
        <f t="shared" si="11"/>
        <v/>
      </c>
      <c r="T427" s="44"/>
      <c r="U427" s="45"/>
      <c r="V427" s="37" t="str">
        <f t="array" ref="V427">IFERROR(INDEX('Hàng hóa'!$F$4:$F$203,MATCH(T427,'Hàng hóa'!$B$4:$B$203,0)),"")</f>
        <v/>
      </c>
      <c r="W427" s="19">
        <f t="array" ref="W427">IFERROR(INDEX('Hàng hóa'!$H$4:$H$203,MATCH(T427,'Hàng hóa'!$B$4:$B$203,0)),0)</f>
        <v>0</v>
      </c>
      <c r="X427" s="20">
        <f t="shared" si="10"/>
        <v>0</v>
      </c>
      <c r="Y427" s="15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3"/>
      <c r="S428" s="37" t="str">
        <f t="shared" si="11"/>
        <v/>
      </c>
      <c r="T428" s="44"/>
      <c r="U428" s="45"/>
      <c r="V428" s="37" t="str">
        <f t="array" ref="V428">IFERROR(INDEX('Hàng hóa'!$F$4:$F$203,MATCH(T428,'Hàng hóa'!$B$4:$B$203,0)),"")</f>
        <v/>
      </c>
      <c r="W428" s="19">
        <f t="array" ref="W428">IFERROR(INDEX('Hàng hóa'!$H$4:$H$203,MATCH(T428,'Hàng hóa'!$B$4:$B$203,0)),0)</f>
        <v>0</v>
      </c>
      <c r="X428" s="20">
        <f t="shared" si="10"/>
        <v>0</v>
      </c>
      <c r="Y428" s="15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3"/>
      <c r="S429" s="37" t="str">
        <f t="shared" si="11"/>
        <v/>
      </c>
      <c r="T429" s="44"/>
      <c r="U429" s="45"/>
      <c r="V429" s="37" t="str">
        <f t="array" ref="V429">IFERROR(INDEX('Hàng hóa'!$F$4:$F$203,MATCH(T429,'Hàng hóa'!$B$4:$B$203,0)),"")</f>
        <v/>
      </c>
      <c r="W429" s="19">
        <f t="array" ref="W429">IFERROR(INDEX('Hàng hóa'!$H$4:$H$203,MATCH(T429,'Hàng hóa'!$B$4:$B$203,0)),0)</f>
        <v>0</v>
      </c>
      <c r="X429" s="20">
        <f t="shared" si="10"/>
        <v>0</v>
      </c>
      <c r="Y429" s="15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3"/>
      <c r="S430" s="37" t="str">
        <f t="shared" si="11"/>
        <v/>
      </c>
      <c r="T430" s="44"/>
      <c r="U430" s="45"/>
      <c r="V430" s="37" t="str">
        <f t="array" ref="V430">IFERROR(INDEX('Hàng hóa'!$F$4:$F$203,MATCH(T430,'Hàng hóa'!$B$4:$B$203,0)),"")</f>
        <v/>
      </c>
      <c r="W430" s="19">
        <f t="array" ref="W430">IFERROR(INDEX('Hàng hóa'!$H$4:$H$203,MATCH(T430,'Hàng hóa'!$B$4:$B$203,0)),0)</f>
        <v>0</v>
      </c>
      <c r="X430" s="20">
        <f t="shared" si="10"/>
        <v>0</v>
      </c>
      <c r="Y430" s="15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3"/>
      <c r="S431" s="37" t="str">
        <f t="shared" si="11"/>
        <v/>
      </c>
      <c r="T431" s="44"/>
      <c r="U431" s="45"/>
      <c r="V431" s="37" t="str">
        <f t="array" ref="V431">IFERROR(INDEX('Hàng hóa'!$F$4:$F$203,MATCH(T431,'Hàng hóa'!$B$4:$B$203,0)),"")</f>
        <v/>
      </c>
      <c r="W431" s="19">
        <f t="array" ref="W431">IFERROR(INDEX('Hàng hóa'!$H$4:$H$203,MATCH(T431,'Hàng hóa'!$B$4:$B$203,0)),0)</f>
        <v>0</v>
      </c>
      <c r="X431" s="20">
        <f t="shared" si="10"/>
        <v>0</v>
      </c>
      <c r="Y431" s="15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3"/>
      <c r="S432" s="37" t="str">
        <f t="shared" si="11"/>
        <v/>
      </c>
      <c r="T432" s="44"/>
      <c r="U432" s="45"/>
      <c r="V432" s="37" t="str">
        <f t="array" ref="V432">IFERROR(INDEX('Hàng hóa'!$F$4:$F$203,MATCH(T432,'Hàng hóa'!$B$4:$B$203,0)),"")</f>
        <v/>
      </c>
      <c r="W432" s="19">
        <f t="array" ref="W432">IFERROR(INDEX('Hàng hóa'!$H$4:$H$203,MATCH(T432,'Hàng hóa'!$B$4:$B$203,0)),0)</f>
        <v>0</v>
      </c>
      <c r="X432" s="20">
        <f t="shared" si="10"/>
        <v>0</v>
      </c>
      <c r="Y432" s="15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3"/>
      <c r="S433" s="37" t="str">
        <f t="shared" si="11"/>
        <v/>
      </c>
      <c r="T433" s="44"/>
      <c r="U433" s="45"/>
      <c r="V433" s="37" t="str">
        <f t="array" ref="V433">IFERROR(INDEX('Hàng hóa'!$F$4:$F$203,MATCH(T433,'Hàng hóa'!$B$4:$B$203,0)),"")</f>
        <v/>
      </c>
      <c r="W433" s="19">
        <f t="array" ref="W433">IFERROR(INDEX('Hàng hóa'!$H$4:$H$203,MATCH(T433,'Hàng hóa'!$B$4:$B$203,0)),0)</f>
        <v>0</v>
      </c>
      <c r="X433" s="20">
        <f t="shared" si="10"/>
        <v>0</v>
      </c>
      <c r="Y433" s="15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3"/>
      <c r="S434" s="37" t="str">
        <f t="shared" si="11"/>
        <v/>
      </c>
      <c r="T434" s="44"/>
      <c r="U434" s="45"/>
      <c r="V434" s="37" t="str">
        <f t="array" ref="V434">IFERROR(INDEX('Hàng hóa'!$F$4:$F$203,MATCH(T434,'Hàng hóa'!$B$4:$B$203,0)),"")</f>
        <v/>
      </c>
      <c r="W434" s="19">
        <f t="array" ref="W434">IFERROR(INDEX('Hàng hóa'!$H$4:$H$203,MATCH(T434,'Hàng hóa'!$B$4:$B$203,0)),0)</f>
        <v>0</v>
      </c>
      <c r="X434" s="20">
        <f t="shared" si="10"/>
        <v>0</v>
      </c>
      <c r="Y434" s="15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3"/>
      <c r="S435" s="37" t="str">
        <f t="shared" si="11"/>
        <v/>
      </c>
      <c r="T435" s="44"/>
      <c r="U435" s="45"/>
      <c r="V435" s="37" t="str">
        <f t="array" ref="V435">IFERROR(INDEX('Hàng hóa'!$F$4:$F$203,MATCH(T435,'Hàng hóa'!$B$4:$B$203,0)),"")</f>
        <v/>
      </c>
      <c r="W435" s="19">
        <f t="array" ref="W435">IFERROR(INDEX('Hàng hóa'!$H$4:$H$203,MATCH(T435,'Hàng hóa'!$B$4:$B$203,0)),0)</f>
        <v>0</v>
      </c>
      <c r="X435" s="20">
        <f t="shared" si="10"/>
        <v>0</v>
      </c>
      <c r="Y435" s="15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3"/>
      <c r="S436" s="37" t="str">
        <f t="shared" si="11"/>
        <v/>
      </c>
      <c r="T436" s="44"/>
      <c r="U436" s="45"/>
      <c r="V436" s="37" t="str">
        <f t="array" ref="V436">IFERROR(INDEX('Hàng hóa'!$F$4:$F$203,MATCH(T436,'Hàng hóa'!$B$4:$B$203,0)),"")</f>
        <v/>
      </c>
      <c r="W436" s="19">
        <f t="array" ref="W436">IFERROR(INDEX('Hàng hóa'!$H$4:$H$203,MATCH(T436,'Hàng hóa'!$B$4:$B$203,0)),0)</f>
        <v>0</v>
      </c>
      <c r="X436" s="20">
        <f t="shared" si="10"/>
        <v>0</v>
      </c>
      <c r="Y436" s="15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3"/>
      <c r="S437" s="37" t="str">
        <f t="shared" si="11"/>
        <v/>
      </c>
      <c r="T437" s="44"/>
      <c r="U437" s="45"/>
      <c r="V437" s="37" t="str">
        <f t="array" ref="V437">IFERROR(INDEX('Hàng hóa'!$F$4:$F$203,MATCH(T437,'Hàng hóa'!$B$4:$B$203,0)),"")</f>
        <v/>
      </c>
      <c r="W437" s="19">
        <f t="array" ref="W437">IFERROR(INDEX('Hàng hóa'!$H$4:$H$203,MATCH(T437,'Hàng hóa'!$B$4:$B$203,0)),0)</f>
        <v>0</v>
      </c>
      <c r="X437" s="20">
        <f t="shared" si="10"/>
        <v>0</v>
      </c>
      <c r="Y437" s="15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3"/>
      <c r="S438" s="37" t="str">
        <f t="shared" si="11"/>
        <v/>
      </c>
      <c r="T438" s="44"/>
      <c r="U438" s="45"/>
      <c r="V438" s="37" t="str">
        <f t="array" ref="V438">IFERROR(INDEX('Hàng hóa'!$F$4:$F$203,MATCH(T438,'Hàng hóa'!$B$4:$B$203,0)),"")</f>
        <v/>
      </c>
      <c r="W438" s="19">
        <f t="array" ref="W438">IFERROR(INDEX('Hàng hóa'!$H$4:$H$203,MATCH(T438,'Hàng hóa'!$B$4:$B$203,0)),0)</f>
        <v>0</v>
      </c>
      <c r="X438" s="20">
        <f t="shared" si="10"/>
        <v>0</v>
      </c>
      <c r="Y438" s="15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3"/>
      <c r="S439" s="37" t="str">
        <f t="shared" si="11"/>
        <v/>
      </c>
      <c r="T439" s="44"/>
      <c r="U439" s="45"/>
      <c r="V439" s="37" t="str">
        <f t="array" ref="V439">IFERROR(INDEX('Hàng hóa'!$F$4:$F$203,MATCH(T439,'Hàng hóa'!$B$4:$B$203,0)),"")</f>
        <v/>
      </c>
      <c r="W439" s="19">
        <f t="array" ref="W439">IFERROR(INDEX('Hàng hóa'!$H$4:$H$203,MATCH(T439,'Hàng hóa'!$B$4:$B$203,0)),0)</f>
        <v>0</v>
      </c>
      <c r="X439" s="20">
        <f t="shared" si="10"/>
        <v>0</v>
      </c>
      <c r="Y439" s="15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3"/>
      <c r="S440" s="37" t="str">
        <f t="shared" si="11"/>
        <v/>
      </c>
      <c r="T440" s="44"/>
      <c r="U440" s="45"/>
      <c r="V440" s="37" t="str">
        <f t="array" ref="V440">IFERROR(INDEX('Hàng hóa'!$F$4:$F$203,MATCH(T440,'Hàng hóa'!$B$4:$B$203,0)),"")</f>
        <v/>
      </c>
      <c r="W440" s="19">
        <f t="array" ref="W440">IFERROR(INDEX('Hàng hóa'!$H$4:$H$203,MATCH(T440,'Hàng hóa'!$B$4:$B$203,0)),0)</f>
        <v>0</v>
      </c>
      <c r="X440" s="20">
        <f t="shared" si="10"/>
        <v>0</v>
      </c>
      <c r="Y440" s="15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3"/>
      <c r="S441" s="37" t="str">
        <f t="shared" si="11"/>
        <v/>
      </c>
      <c r="T441" s="44"/>
      <c r="U441" s="45"/>
      <c r="V441" s="37" t="str">
        <f t="array" ref="V441">IFERROR(INDEX('Hàng hóa'!$F$4:$F$203,MATCH(T441,'Hàng hóa'!$B$4:$B$203,0)),"")</f>
        <v/>
      </c>
      <c r="W441" s="19">
        <f t="array" ref="W441">IFERROR(INDEX('Hàng hóa'!$H$4:$H$203,MATCH(T441,'Hàng hóa'!$B$4:$B$203,0)),0)</f>
        <v>0</v>
      </c>
      <c r="X441" s="20">
        <f t="shared" si="10"/>
        <v>0</v>
      </c>
      <c r="Y441" s="15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3"/>
      <c r="S442" s="37" t="str">
        <f t="shared" si="11"/>
        <v/>
      </c>
      <c r="T442" s="44"/>
      <c r="U442" s="45"/>
      <c r="V442" s="37" t="str">
        <f t="array" ref="V442">IFERROR(INDEX('Hàng hóa'!$F$4:$F$203,MATCH(T442,'Hàng hóa'!$B$4:$B$203,0)),"")</f>
        <v/>
      </c>
      <c r="W442" s="19">
        <f t="array" ref="W442">IFERROR(INDEX('Hàng hóa'!$H$4:$H$203,MATCH(T442,'Hàng hóa'!$B$4:$B$203,0)),0)</f>
        <v>0</v>
      </c>
      <c r="X442" s="20">
        <f t="shared" si="10"/>
        <v>0</v>
      </c>
      <c r="Y442" s="15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3"/>
      <c r="S443" s="37" t="str">
        <f t="shared" si="11"/>
        <v/>
      </c>
      <c r="T443" s="44"/>
      <c r="U443" s="45"/>
      <c r="V443" s="37" t="str">
        <f t="array" ref="V443">IFERROR(INDEX('Hàng hóa'!$F$4:$F$203,MATCH(T443,'Hàng hóa'!$B$4:$B$203,0)),"")</f>
        <v/>
      </c>
      <c r="W443" s="19">
        <f t="array" ref="W443">IFERROR(INDEX('Hàng hóa'!$H$4:$H$203,MATCH(T443,'Hàng hóa'!$B$4:$B$203,0)),0)</f>
        <v>0</v>
      </c>
      <c r="X443" s="20">
        <f t="shared" si="10"/>
        <v>0</v>
      </c>
      <c r="Y443" s="15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3"/>
      <c r="S444" s="37" t="str">
        <f t="shared" si="11"/>
        <v/>
      </c>
      <c r="T444" s="44"/>
      <c r="U444" s="45"/>
      <c r="V444" s="37" t="str">
        <f t="array" ref="V444">IFERROR(INDEX('Hàng hóa'!$F$4:$F$203,MATCH(T444,'Hàng hóa'!$B$4:$B$203,0)),"")</f>
        <v/>
      </c>
      <c r="W444" s="19">
        <f t="array" ref="W444">IFERROR(INDEX('Hàng hóa'!$H$4:$H$203,MATCH(T444,'Hàng hóa'!$B$4:$B$203,0)),0)</f>
        <v>0</v>
      </c>
      <c r="X444" s="20">
        <f t="shared" si="10"/>
        <v>0</v>
      </c>
      <c r="Y444" s="15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3"/>
      <c r="S445" s="37" t="str">
        <f t="shared" si="11"/>
        <v/>
      </c>
      <c r="T445" s="44"/>
      <c r="U445" s="45"/>
      <c r="V445" s="37" t="str">
        <f t="array" ref="V445">IFERROR(INDEX('Hàng hóa'!$F$4:$F$203,MATCH(T445,'Hàng hóa'!$B$4:$B$203,0)),"")</f>
        <v/>
      </c>
      <c r="W445" s="19">
        <f t="array" ref="W445">IFERROR(INDEX('Hàng hóa'!$H$4:$H$203,MATCH(T445,'Hàng hóa'!$B$4:$B$203,0)),0)</f>
        <v>0</v>
      </c>
      <c r="X445" s="20">
        <f t="shared" si="10"/>
        <v>0</v>
      </c>
      <c r="Y445" s="15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3"/>
      <c r="S446" s="37" t="str">
        <f t="shared" si="11"/>
        <v/>
      </c>
      <c r="T446" s="44"/>
      <c r="U446" s="45"/>
      <c r="V446" s="37" t="str">
        <f t="array" ref="V446">IFERROR(INDEX('Hàng hóa'!$F$4:$F$203,MATCH(T446,'Hàng hóa'!$B$4:$B$203,0)),"")</f>
        <v/>
      </c>
      <c r="W446" s="19">
        <f t="array" ref="W446">IFERROR(INDEX('Hàng hóa'!$H$4:$H$203,MATCH(T446,'Hàng hóa'!$B$4:$B$203,0)),0)</f>
        <v>0</v>
      </c>
      <c r="X446" s="20">
        <f t="shared" si="10"/>
        <v>0</v>
      </c>
      <c r="Y446" s="15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3"/>
      <c r="S447" s="37" t="str">
        <f t="shared" si="11"/>
        <v/>
      </c>
      <c r="T447" s="44"/>
      <c r="U447" s="45"/>
      <c r="V447" s="37" t="str">
        <f t="array" ref="V447">IFERROR(INDEX('Hàng hóa'!$F$4:$F$203,MATCH(T447,'Hàng hóa'!$B$4:$B$203,0)),"")</f>
        <v/>
      </c>
      <c r="W447" s="19">
        <f t="array" ref="W447">IFERROR(INDEX('Hàng hóa'!$H$4:$H$203,MATCH(T447,'Hàng hóa'!$B$4:$B$203,0)),0)</f>
        <v>0</v>
      </c>
      <c r="X447" s="20">
        <f t="shared" si="10"/>
        <v>0</v>
      </c>
      <c r="Y447" s="15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3"/>
      <c r="S448" s="37" t="str">
        <f t="shared" si="11"/>
        <v/>
      </c>
      <c r="T448" s="44"/>
      <c r="U448" s="45"/>
      <c r="V448" s="37" t="str">
        <f t="array" ref="V448">IFERROR(INDEX('Hàng hóa'!$F$4:$F$203,MATCH(T448,'Hàng hóa'!$B$4:$B$203,0)),"")</f>
        <v/>
      </c>
      <c r="W448" s="19">
        <f t="array" ref="W448">IFERROR(INDEX('Hàng hóa'!$H$4:$H$203,MATCH(T448,'Hàng hóa'!$B$4:$B$203,0)),0)</f>
        <v>0</v>
      </c>
      <c r="X448" s="20">
        <f t="shared" si="10"/>
        <v>0</v>
      </c>
      <c r="Y448" s="15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3"/>
      <c r="S449" s="37" t="str">
        <f t="shared" si="11"/>
        <v/>
      </c>
      <c r="T449" s="44"/>
      <c r="U449" s="45"/>
      <c r="V449" s="37" t="str">
        <f t="array" ref="V449">IFERROR(INDEX('Hàng hóa'!$F$4:$F$203,MATCH(T449,'Hàng hóa'!$B$4:$B$203,0)),"")</f>
        <v/>
      </c>
      <c r="W449" s="19">
        <f t="array" ref="W449">IFERROR(INDEX('Hàng hóa'!$H$4:$H$203,MATCH(T449,'Hàng hóa'!$B$4:$B$203,0)),0)</f>
        <v>0</v>
      </c>
      <c r="X449" s="20">
        <f t="shared" si="10"/>
        <v>0</v>
      </c>
      <c r="Y449" s="15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3"/>
      <c r="S450" s="37" t="str">
        <f t="shared" si="11"/>
        <v/>
      </c>
      <c r="T450" s="44"/>
      <c r="U450" s="45"/>
      <c r="V450" s="37" t="str">
        <f t="array" ref="V450">IFERROR(INDEX('Hàng hóa'!$F$4:$F$203,MATCH(T450,'Hàng hóa'!$B$4:$B$203,0)),"")</f>
        <v/>
      </c>
      <c r="W450" s="19">
        <f t="array" ref="W450">IFERROR(INDEX('Hàng hóa'!$H$4:$H$203,MATCH(T450,'Hàng hóa'!$B$4:$B$203,0)),0)</f>
        <v>0</v>
      </c>
      <c r="X450" s="20">
        <f t="shared" si="10"/>
        <v>0</v>
      </c>
      <c r="Y450" s="15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3"/>
      <c r="S451" s="37" t="str">
        <f t="shared" si="11"/>
        <v/>
      </c>
      <c r="T451" s="44"/>
      <c r="U451" s="45"/>
      <c r="V451" s="37" t="str">
        <f t="array" ref="V451">IFERROR(INDEX('Hàng hóa'!$F$4:$F$203,MATCH(T451,'Hàng hóa'!$B$4:$B$203,0)),"")</f>
        <v/>
      </c>
      <c r="W451" s="19">
        <f t="array" ref="W451">IFERROR(INDEX('Hàng hóa'!$H$4:$H$203,MATCH(T451,'Hàng hóa'!$B$4:$B$203,0)),0)</f>
        <v>0</v>
      </c>
      <c r="X451" s="20">
        <f t="shared" si="10"/>
        <v>0</v>
      </c>
      <c r="Y451" s="15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3"/>
      <c r="S452" s="37" t="str">
        <f t="shared" si="11"/>
        <v/>
      </c>
      <c r="T452" s="44"/>
      <c r="U452" s="45"/>
      <c r="V452" s="37" t="str">
        <f t="array" ref="V452">IFERROR(INDEX('Hàng hóa'!$F$4:$F$203,MATCH(T452,'Hàng hóa'!$B$4:$B$203,0)),"")</f>
        <v/>
      </c>
      <c r="W452" s="19">
        <f t="array" ref="W452">IFERROR(INDEX('Hàng hóa'!$H$4:$H$203,MATCH(T452,'Hàng hóa'!$B$4:$B$203,0)),0)</f>
        <v>0</v>
      </c>
      <c r="X452" s="20">
        <f t="shared" si="10"/>
        <v>0</v>
      </c>
      <c r="Y452" s="15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3"/>
      <c r="S453" s="37" t="str">
        <f t="shared" si="11"/>
        <v/>
      </c>
      <c r="T453" s="44"/>
      <c r="U453" s="45"/>
      <c r="V453" s="37" t="str">
        <f t="array" ref="V453">IFERROR(INDEX('Hàng hóa'!$F$4:$F$203,MATCH(T453,'Hàng hóa'!$B$4:$B$203,0)),"")</f>
        <v/>
      </c>
      <c r="W453" s="19">
        <f t="array" ref="W453">IFERROR(INDEX('Hàng hóa'!$H$4:$H$203,MATCH(T453,'Hàng hóa'!$B$4:$B$203,0)),0)</f>
        <v>0</v>
      </c>
      <c r="X453" s="20">
        <f t="shared" si="10"/>
        <v>0</v>
      </c>
      <c r="Y453" s="15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3"/>
      <c r="S454" s="37" t="str">
        <f t="shared" si="11"/>
        <v/>
      </c>
      <c r="T454" s="44"/>
      <c r="U454" s="45"/>
      <c r="V454" s="37" t="str">
        <f t="array" ref="V454">IFERROR(INDEX('Hàng hóa'!$F$4:$F$203,MATCH(T454,'Hàng hóa'!$B$4:$B$203,0)),"")</f>
        <v/>
      </c>
      <c r="W454" s="19">
        <f t="array" ref="W454">IFERROR(INDEX('Hàng hóa'!$H$4:$H$203,MATCH(T454,'Hàng hóa'!$B$4:$B$203,0)),0)</f>
        <v>0</v>
      </c>
      <c r="X454" s="20">
        <f t="shared" si="10"/>
        <v>0</v>
      </c>
      <c r="Y454" s="15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3"/>
      <c r="S455" s="37" t="str">
        <f t="shared" si="11"/>
        <v/>
      </c>
      <c r="T455" s="44"/>
      <c r="U455" s="45"/>
      <c r="V455" s="37" t="str">
        <f t="array" ref="V455">IFERROR(INDEX('Hàng hóa'!$F$4:$F$203,MATCH(T455,'Hàng hóa'!$B$4:$B$203,0)),"")</f>
        <v/>
      </c>
      <c r="W455" s="19">
        <f t="array" ref="W455">IFERROR(INDEX('Hàng hóa'!$H$4:$H$203,MATCH(T455,'Hàng hóa'!$B$4:$B$203,0)),0)</f>
        <v>0</v>
      </c>
      <c r="X455" s="20">
        <f t="shared" si="10"/>
        <v>0</v>
      </c>
      <c r="Y455" s="15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3"/>
      <c r="S456" s="37" t="str">
        <f t="shared" si="11"/>
        <v/>
      </c>
      <c r="T456" s="44"/>
      <c r="U456" s="45"/>
      <c r="V456" s="37" t="str">
        <f t="array" ref="V456">IFERROR(INDEX('Hàng hóa'!$F$4:$F$203,MATCH(T456,'Hàng hóa'!$B$4:$B$203,0)),"")</f>
        <v/>
      </c>
      <c r="W456" s="19">
        <f t="array" ref="W456">IFERROR(INDEX('Hàng hóa'!$H$4:$H$203,MATCH(T456,'Hàng hóa'!$B$4:$B$203,0)),0)</f>
        <v>0</v>
      </c>
      <c r="X456" s="20">
        <f t="shared" si="10"/>
        <v>0</v>
      </c>
      <c r="Y456" s="15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3"/>
      <c r="S457" s="37" t="str">
        <f t="shared" si="11"/>
        <v/>
      </c>
      <c r="T457" s="44"/>
      <c r="U457" s="45"/>
      <c r="V457" s="37" t="str">
        <f t="array" ref="V457">IFERROR(INDEX('Hàng hóa'!$F$4:$F$203,MATCH(T457,'Hàng hóa'!$B$4:$B$203,0)),"")</f>
        <v/>
      </c>
      <c r="W457" s="19">
        <f t="array" ref="W457">IFERROR(INDEX('Hàng hóa'!$H$4:$H$203,MATCH(T457,'Hàng hóa'!$B$4:$B$203,0)),0)</f>
        <v>0</v>
      </c>
      <c r="X457" s="20">
        <f t="shared" si="10"/>
        <v>0</v>
      </c>
      <c r="Y457" s="15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3"/>
      <c r="S458" s="37" t="str">
        <f t="shared" si="11"/>
        <v/>
      </c>
      <c r="T458" s="44"/>
      <c r="U458" s="45"/>
      <c r="V458" s="37" t="str">
        <f t="array" ref="V458">IFERROR(INDEX('Hàng hóa'!$F$4:$F$203,MATCH(T458,'Hàng hóa'!$B$4:$B$203,0)),"")</f>
        <v/>
      </c>
      <c r="W458" s="19">
        <f t="array" ref="W458">IFERROR(INDEX('Hàng hóa'!$H$4:$H$203,MATCH(T458,'Hàng hóa'!$B$4:$B$203,0)),0)</f>
        <v>0</v>
      </c>
      <c r="X458" s="20">
        <f t="shared" si="10"/>
        <v>0</v>
      </c>
      <c r="Y458" s="15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3"/>
      <c r="S459" s="37" t="str">
        <f t="shared" si="11"/>
        <v/>
      </c>
      <c r="T459" s="44"/>
      <c r="U459" s="45"/>
      <c r="V459" s="37" t="str">
        <f t="array" ref="V459">IFERROR(INDEX('Hàng hóa'!$F$4:$F$203,MATCH(T459,'Hàng hóa'!$B$4:$B$203,0)),"")</f>
        <v/>
      </c>
      <c r="W459" s="19">
        <f t="array" ref="W459">IFERROR(INDEX('Hàng hóa'!$H$4:$H$203,MATCH(T459,'Hàng hóa'!$B$4:$B$203,0)),0)</f>
        <v>0</v>
      </c>
      <c r="X459" s="20">
        <f t="shared" si="10"/>
        <v>0</v>
      </c>
      <c r="Y459" s="15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3"/>
      <c r="S460" s="37" t="str">
        <f t="shared" si="11"/>
        <v/>
      </c>
      <c r="T460" s="44"/>
      <c r="U460" s="45"/>
      <c r="V460" s="37" t="str">
        <f t="array" ref="V460">IFERROR(INDEX('Hàng hóa'!$F$4:$F$203,MATCH(T460,'Hàng hóa'!$B$4:$B$203,0)),"")</f>
        <v/>
      </c>
      <c r="W460" s="19">
        <f t="array" ref="W460">IFERROR(INDEX('Hàng hóa'!$H$4:$H$203,MATCH(T460,'Hàng hóa'!$B$4:$B$203,0)),0)</f>
        <v>0</v>
      </c>
      <c r="X460" s="20">
        <f t="shared" si="10"/>
        <v>0</v>
      </c>
      <c r="Y460" s="15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3"/>
      <c r="S461" s="37" t="str">
        <f t="shared" si="11"/>
        <v/>
      </c>
      <c r="T461" s="44"/>
      <c r="U461" s="45"/>
      <c r="V461" s="37" t="str">
        <f t="array" ref="V461">IFERROR(INDEX('Hàng hóa'!$F$4:$F$203,MATCH(T461,'Hàng hóa'!$B$4:$B$203,0)),"")</f>
        <v/>
      </c>
      <c r="W461" s="19">
        <f t="array" ref="W461">IFERROR(INDEX('Hàng hóa'!$H$4:$H$203,MATCH(T461,'Hàng hóa'!$B$4:$B$203,0)),0)</f>
        <v>0</v>
      </c>
      <c r="X461" s="20">
        <f t="shared" si="10"/>
        <v>0</v>
      </c>
      <c r="Y461" s="15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3"/>
      <c r="S462" s="37" t="str">
        <f t="shared" si="11"/>
        <v/>
      </c>
      <c r="T462" s="44"/>
      <c r="U462" s="45"/>
      <c r="V462" s="37" t="str">
        <f t="array" ref="V462">IFERROR(INDEX('Hàng hóa'!$F$4:$F$203,MATCH(T462,'Hàng hóa'!$B$4:$B$203,0)),"")</f>
        <v/>
      </c>
      <c r="W462" s="19">
        <f t="array" ref="W462">IFERROR(INDEX('Hàng hóa'!$H$4:$H$203,MATCH(T462,'Hàng hóa'!$B$4:$B$203,0)),0)</f>
        <v>0</v>
      </c>
      <c r="X462" s="20">
        <f t="shared" si="10"/>
        <v>0</v>
      </c>
      <c r="Y462" s="15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3"/>
      <c r="S463" s="37" t="str">
        <f t="shared" si="11"/>
        <v/>
      </c>
      <c r="T463" s="44"/>
      <c r="U463" s="45"/>
      <c r="V463" s="37" t="str">
        <f t="array" ref="V463">IFERROR(INDEX('Hàng hóa'!$F$4:$F$203,MATCH(T463,'Hàng hóa'!$B$4:$B$203,0)),"")</f>
        <v/>
      </c>
      <c r="W463" s="19">
        <f t="array" ref="W463">IFERROR(INDEX('Hàng hóa'!$H$4:$H$203,MATCH(T463,'Hàng hóa'!$B$4:$B$203,0)),0)</f>
        <v>0</v>
      </c>
      <c r="X463" s="20">
        <f t="shared" si="10"/>
        <v>0</v>
      </c>
      <c r="Y463" s="15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3"/>
      <c r="S464" s="37" t="str">
        <f t="shared" si="11"/>
        <v/>
      </c>
      <c r="T464" s="44"/>
      <c r="U464" s="45"/>
      <c r="V464" s="37" t="str">
        <f t="array" ref="V464">IFERROR(INDEX('Hàng hóa'!$F$4:$F$203,MATCH(T464,'Hàng hóa'!$B$4:$B$203,0)),"")</f>
        <v/>
      </c>
      <c r="W464" s="19">
        <f t="array" ref="W464">IFERROR(INDEX('Hàng hóa'!$H$4:$H$203,MATCH(T464,'Hàng hóa'!$B$4:$B$203,0)),0)</f>
        <v>0</v>
      </c>
      <c r="X464" s="20">
        <f t="shared" si="10"/>
        <v>0</v>
      </c>
      <c r="Y464" s="15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3"/>
      <c r="S465" s="37" t="str">
        <f t="shared" si="11"/>
        <v/>
      </c>
      <c r="T465" s="44"/>
      <c r="U465" s="45"/>
      <c r="V465" s="37" t="str">
        <f t="array" ref="V465">IFERROR(INDEX('Hàng hóa'!$F$4:$F$203,MATCH(T465,'Hàng hóa'!$B$4:$B$203,0)),"")</f>
        <v/>
      </c>
      <c r="W465" s="19">
        <f t="array" ref="W465">IFERROR(INDEX('Hàng hóa'!$H$4:$H$203,MATCH(T465,'Hàng hóa'!$B$4:$B$203,0)),0)</f>
        <v>0</v>
      </c>
      <c r="X465" s="20">
        <f t="shared" si="10"/>
        <v>0</v>
      </c>
      <c r="Y465" s="15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3"/>
      <c r="S466" s="37" t="str">
        <f t="shared" si="11"/>
        <v/>
      </c>
      <c r="T466" s="44"/>
      <c r="U466" s="45"/>
      <c r="V466" s="37" t="str">
        <f t="array" ref="V466">IFERROR(INDEX('Hàng hóa'!$F$4:$F$203,MATCH(T466,'Hàng hóa'!$B$4:$B$203,0)),"")</f>
        <v/>
      </c>
      <c r="W466" s="19">
        <f t="array" ref="W466">IFERROR(INDEX('Hàng hóa'!$H$4:$H$203,MATCH(T466,'Hàng hóa'!$B$4:$B$203,0)),0)</f>
        <v>0</v>
      </c>
      <c r="X466" s="20">
        <f t="shared" si="10"/>
        <v>0</v>
      </c>
      <c r="Y466" s="15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3"/>
      <c r="S467" s="37" t="str">
        <f t="shared" si="11"/>
        <v/>
      </c>
      <c r="T467" s="44"/>
      <c r="U467" s="45"/>
      <c r="V467" s="37" t="str">
        <f t="array" ref="V467">IFERROR(INDEX('Hàng hóa'!$F$4:$F$203,MATCH(T467,'Hàng hóa'!$B$4:$B$203,0)),"")</f>
        <v/>
      </c>
      <c r="W467" s="19">
        <f t="array" ref="W467">IFERROR(INDEX('Hàng hóa'!$H$4:$H$203,MATCH(T467,'Hàng hóa'!$B$4:$B$203,0)),0)</f>
        <v>0</v>
      </c>
      <c r="X467" s="20">
        <f t="shared" si="10"/>
        <v>0</v>
      </c>
      <c r="Y467" s="15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3"/>
      <c r="S468" s="37" t="str">
        <f t="shared" si="11"/>
        <v/>
      </c>
      <c r="T468" s="44"/>
      <c r="U468" s="45"/>
      <c r="V468" s="37" t="str">
        <f t="array" ref="V468">IFERROR(INDEX('Hàng hóa'!$F$4:$F$203,MATCH(T468,'Hàng hóa'!$B$4:$B$203,0)),"")</f>
        <v/>
      </c>
      <c r="W468" s="19">
        <f t="array" ref="W468">IFERROR(INDEX('Hàng hóa'!$H$4:$H$203,MATCH(T468,'Hàng hóa'!$B$4:$B$203,0)),0)</f>
        <v>0</v>
      </c>
      <c r="X468" s="20">
        <f t="shared" si="10"/>
        <v>0</v>
      </c>
      <c r="Y468" s="15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3"/>
      <c r="S469" s="37" t="str">
        <f t="shared" si="11"/>
        <v/>
      </c>
      <c r="T469" s="44"/>
      <c r="U469" s="45"/>
      <c r="V469" s="37" t="str">
        <f t="array" ref="V469">IFERROR(INDEX('Hàng hóa'!$F$4:$F$203,MATCH(T469,'Hàng hóa'!$B$4:$B$203,0)),"")</f>
        <v/>
      </c>
      <c r="W469" s="19">
        <f t="array" ref="W469">IFERROR(INDEX('Hàng hóa'!$H$4:$H$203,MATCH(T469,'Hàng hóa'!$B$4:$B$203,0)),0)</f>
        <v>0</v>
      </c>
      <c r="X469" s="20">
        <f t="shared" si="10"/>
        <v>0</v>
      </c>
      <c r="Y469" s="15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3"/>
      <c r="S470" s="37" t="str">
        <f t="shared" si="11"/>
        <v/>
      </c>
      <c r="T470" s="44"/>
      <c r="U470" s="45"/>
      <c r="V470" s="37" t="str">
        <f t="array" ref="V470">IFERROR(INDEX('Hàng hóa'!$F$4:$F$203,MATCH(T470,'Hàng hóa'!$B$4:$B$203,0)),"")</f>
        <v/>
      </c>
      <c r="W470" s="19">
        <f t="array" ref="W470">IFERROR(INDEX('Hàng hóa'!$H$4:$H$203,MATCH(T470,'Hàng hóa'!$B$4:$B$203,0)),0)</f>
        <v>0</v>
      </c>
      <c r="X470" s="20">
        <f t="shared" si="10"/>
        <v>0</v>
      </c>
      <c r="Y470" s="15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3"/>
      <c r="S471" s="37" t="str">
        <f t="shared" si="11"/>
        <v/>
      </c>
      <c r="T471" s="44"/>
      <c r="U471" s="45"/>
      <c r="V471" s="37" t="str">
        <f t="array" ref="V471">IFERROR(INDEX('Hàng hóa'!$F$4:$F$203,MATCH(T471,'Hàng hóa'!$B$4:$B$203,0)),"")</f>
        <v/>
      </c>
      <c r="W471" s="19">
        <f t="array" ref="W471">IFERROR(INDEX('Hàng hóa'!$H$4:$H$203,MATCH(T471,'Hàng hóa'!$B$4:$B$203,0)),0)</f>
        <v>0</v>
      </c>
      <c r="X471" s="20">
        <f t="shared" si="10"/>
        <v>0</v>
      </c>
      <c r="Y471" s="15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3"/>
      <c r="S472" s="37" t="str">
        <f t="shared" si="11"/>
        <v/>
      </c>
      <c r="T472" s="44"/>
      <c r="U472" s="45"/>
      <c r="V472" s="37" t="str">
        <f t="array" ref="V472">IFERROR(INDEX('Hàng hóa'!$F$4:$F$203,MATCH(T472,'Hàng hóa'!$B$4:$B$203,0)),"")</f>
        <v/>
      </c>
      <c r="W472" s="19">
        <f t="array" ref="W472">IFERROR(INDEX('Hàng hóa'!$H$4:$H$203,MATCH(T472,'Hàng hóa'!$B$4:$B$203,0)),0)</f>
        <v>0</v>
      </c>
      <c r="X472" s="20">
        <f t="shared" si="10"/>
        <v>0</v>
      </c>
      <c r="Y472" s="15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3"/>
      <c r="S473" s="37" t="str">
        <f t="shared" si="11"/>
        <v/>
      </c>
      <c r="T473" s="44"/>
      <c r="U473" s="45"/>
      <c r="V473" s="37" t="str">
        <f t="array" ref="V473">IFERROR(INDEX('Hàng hóa'!$F$4:$F$203,MATCH(T473,'Hàng hóa'!$B$4:$B$203,0)),"")</f>
        <v/>
      </c>
      <c r="W473" s="19">
        <f t="array" ref="W473">IFERROR(INDEX('Hàng hóa'!$H$4:$H$203,MATCH(T473,'Hàng hóa'!$B$4:$B$203,0)),0)</f>
        <v>0</v>
      </c>
      <c r="X473" s="20">
        <f t="shared" si="10"/>
        <v>0</v>
      </c>
      <c r="Y473" s="15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3"/>
      <c r="S474" s="37" t="str">
        <f t="shared" si="11"/>
        <v/>
      </c>
      <c r="T474" s="44"/>
      <c r="U474" s="45"/>
      <c r="V474" s="37" t="str">
        <f t="array" ref="V474">IFERROR(INDEX('Hàng hóa'!$F$4:$F$203,MATCH(T474,'Hàng hóa'!$B$4:$B$203,0)),"")</f>
        <v/>
      </c>
      <c r="W474" s="19">
        <f t="array" ref="W474">IFERROR(INDEX('Hàng hóa'!$H$4:$H$203,MATCH(T474,'Hàng hóa'!$B$4:$B$203,0)),0)</f>
        <v>0</v>
      </c>
      <c r="X474" s="20">
        <f t="shared" si="10"/>
        <v>0</v>
      </c>
      <c r="Y474" s="15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3"/>
      <c r="S475" s="37" t="str">
        <f t="shared" si="11"/>
        <v/>
      </c>
      <c r="T475" s="44"/>
      <c r="U475" s="45"/>
      <c r="V475" s="37" t="str">
        <f t="array" ref="V475">IFERROR(INDEX('Hàng hóa'!$F$4:$F$203,MATCH(T475,'Hàng hóa'!$B$4:$B$203,0)),"")</f>
        <v/>
      </c>
      <c r="W475" s="19">
        <f t="array" ref="W475">IFERROR(INDEX('Hàng hóa'!$H$4:$H$203,MATCH(T475,'Hàng hóa'!$B$4:$B$203,0)),0)</f>
        <v>0</v>
      </c>
      <c r="X475" s="20">
        <f t="shared" si="10"/>
        <v>0</v>
      </c>
      <c r="Y475" s="15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3"/>
      <c r="S476" s="37" t="str">
        <f t="shared" si="11"/>
        <v/>
      </c>
      <c r="T476" s="44"/>
      <c r="U476" s="45"/>
      <c r="V476" s="37" t="str">
        <f t="array" ref="V476">IFERROR(INDEX('Hàng hóa'!$F$4:$F$203,MATCH(T476,'Hàng hóa'!$B$4:$B$203,0)),"")</f>
        <v/>
      </c>
      <c r="W476" s="19">
        <f t="array" ref="W476">IFERROR(INDEX('Hàng hóa'!$H$4:$H$203,MATCH(T476,'Hàng hóa'!$B$4:$B$203,0)),0)</f>
        <v>0</v>
      </c>
      <c r="X476" s="20">
        <f t="shared" si="10"/>
        <v>0</v>
      </c>
      <c r="Y476" s="15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3"/>
      <c r="S477" s="37" t="str">
        <f t="shared" si="11"/>
        <v/>
      </c>
      <c r="T477" s="44"/>
      <c r="U477" s="45"/>
      <c r="V477" s="37" t="str">
        <f t="array" ref="V477">IFERROR(INDEX('Hàng hóa'!$F$4:$F$203,MATCH(T477,'Hàng hóa'!$B$4:$B$203,0)),"")</f>
        <v/>
      </c>
      <c r="W477" s="19">
        <f t="array" ref="W477">IFERROR(INDEX('Hàng hóa'!$H$4:$H$203,MATCH(T477,'Hàng hóa'!$B$4:$B$203,0)),0)</f>
        <v>0</v>
      </c>
      <c r="X477" s="20">
        <f t="shared" si="10"/>
        <v>0</v>
      </c>
      <c r="Y477" s="15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3"/>
      <c r="S478" s="37" t="str">
        <f t="shared" si="11"/>
        <v/>
      </c>
      <c r="T478" s="44"/>
      <c r="U478" s="45"/>
      <c r="V478" s="37" t="str">
        <f t="array" ref="V478">IFERROR(INDEX('Hàng hóa'!$F$4:$F$203,MATCH(T478,'Hàng hóa'!$B$4:$B$203,0)),"")</f>
        <v/>
      </c>
      <c r="W478" s="19">
        <f t="array" ref="W478">IFERROR(INDEX('Hàng hóa'!$H$4:$H$203,MATCH(T478,'Hàng hóa'!$B$4:$B$203,0)),0)</f>
        <v>0</v>
      </c>
      <c r="X478" s="20">
        <f t="shared" si="10"/>
        <v>0</v>
      </c>
      <c r="Y478" s="15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3"/>
      <c r="S479" s="37" t="str">
        <f t="shared" si="11"/>
        <v/>
      </c>
      <c r="T479" s="44"/>
      <c r="U479" s="45"/>
      <c r="V479" s="37" t="str">
        <f t="array" ref="V479">IFERROR(INDEX('Hàng hóa'!$F$4:$F$203,MATCH(T479,'Hàng hóa'!$B$4:$B$203,0)),"")</f>
        <v/>
      </c>
      <c r="W479" s="19">
        <f t="array" ref="W479">IFERROR(INDEX('Hàng hóa'!$H$4:$H$203,MATCH(T479,'Hàng hóa'!$B$4:$B$203,0)),0)</f>
        <v>0</v>
      </c>
      <c r="X479" s="20">
        <f t="shared" si="10"/>
        <v>0</v>
      </c>
      <c r="Y479" s="15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3"/>
      <c r="S480" s="37" t="str">
        <f t="shared" si="11"/>
        <v/>
      </c>
      <c r="T480" s="44"/>
      <c r="U480" s="45"/>
      <c r="V480" s="37" t="str">
        <f t="array" ref="V480">IFERROR(INDEX('Hàng hóa'!$F$4:$F$203,MATCH(T480,'Hàng hóa'!$B$4:$B$203,0)),"")</f>
        <v/>
      </c>
      <c r="W480" s="19">
        <f t="array" ref="W480">IFERROR(INDEX('Hàng hóa'!$H$4:$H$203,MATCH(T480,'Hàng hóa'!$B$4:$B$203,0)),0)</f>
        <v>0</v>
      </c>
      <c r="X480" s="20">
        <f t="shared" si="10"/>
        <v>0</v>
      </c>
      <c r="Y480" s="15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3"/>
      <c r="S481" s="37" t="str">
        <f t="shared" si="11"/>
        <v/>
      </c>
      <c r="T481" s="44"/>
      <c r="U481" s="45"/>
      <c r="V481" s="37" t="str">
        <f t="array" ref="V481">IFERROR(INDEX('Hàng hóa'!$F$4:$F$203,MATCH(T481,'Hàng hóa'!$B$4:$B$203,0)),"")</f>
        <v/>
      </c>
      <c r="W481" s="19">
        <f t="array" ref="W481">IFERROR(INDEX('Hàng hóa'!$H$4:$H$203,MATCH(T481,'Hàng hóa'!$B$4:$B$203,0)),0)</f>
        <v>0</v>
      </c>
      <c r="X481" s="20">
        <f t="shared" si="10"/>
        <v>0</v>
      </c>
      <c r="Y481" s="15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3"/>
      <c r="S482" s="37" t="str">
        <f t="shared" si="11"/>
        <v/>
      </c>
      <c r="T482" s="44"/>
      <c r="U482" s="45"/>
      <c r="V482" s="37" t="str">
        <f t="array" ref="V482">IFERROR(INDEX('Hàng hóa'!$F$4:$F$203,MATCH(T482,'Hàng hóa'!$B$4:$B$203,0)),"")</f>
        <v/>
      </c>
      <c r="W482" s="19">
        <f t="array" ref="W482">IFERROR(INDEX('Hàng hóa'!$H$4:$H$203,MATCH(T482,'Hàng hóa'!$B$4:$B$203,0)),0)</f>
        <v>0</v>
      </c>
      <c r="X482" s="20">
        <f t="shared" si="10"/>
        <v>0</v>
      </c>
      <c r="Y482" s="15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3"/>
      <c r="S483" s="37" t="str">
        <f t="shared" si="11"/>
        <v/>
      </c>
      <c r="T483" s="44"/>
      <c r="U483" s="45"/>
      <c r="V483" s="37" t="str">
        <f t="array" ref="V483">IFERROR(INDEX('Hàng hóa'!$F$4:$F$203,MATCH(T483,'Hàng hóa'!$B$4:$B$203,0)),"")</f>
        <v/>
      </c>
      <c r="W483" s="19">
        <f t="array" ref="W483">IFERROR(INDEX('Hàng hóa'!$H$4:$H$203,MATCH(T483,'Hàng hóa'!$B$4:$B$203,0)),0)</f>
        <v>0</v>
      </c>
      <c r="X483" s="20">
        <f t="shared" si="10"/>
        <v>0</v>
      </c>
      <c r="Y483" s="15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3"/>
      <c r="S484" s="37" t="str">
        <f t="shared" si="11"/>
        <v/>
      </c>
      <c r="T484" s="44"/>
      <c r="U484" s="45"/>
      <c r="V484" s="37" t="str">
        <f t="array" ref="V484">IFERROR(INDEX('Hàng hóa'!$F$4:$F$203,MATCH(T484,'Hàng hóa'!$B$4:$B$203,0)),"")</f>
        <v/>
      </c>
      <c r="W484" s="19">
        <f t="array" ref="W484">IFERROR(INDEX('Hàng hóa'!$H$4:$H$203,MATCH(T484,'Hàng hóa'!$B$4:$B$203,0)),0)</f>
        <v>0</v>
      </c>
      <c r="X484" s="20">
        <f t="shared" si="10"/>
        <v>0</v>
      </c>
      <c r="Y484" s="15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3"/>
      <c r="S485" s="37" t="str">
        <f t="shared" si="11"/>
        <v/>
      </c>
      <c r="T485" s="44"/>
      <c r="U485" s="45"/>
      <c r="V485" s="37" t="str">
        <f t="array" ref="V485">IFERROR(INDEX('Hàng hóa'!$F$4:$F$203,MATCH(T485,'Hàng hóa'!$B$4:$B$203,0)),"")</f>
        <v/>
      </c>
      <c r="W485" s="19">
        <f t="array" ref="W485">IFERROR(INDEX('Hàng hóa'!$H$4:$H$203,MATCH(T485,'Hàng hóa'!$B$4:$B$203,0)),0)</f>
        <v>0</v>
      </c>
      <c r="X485" s="20">
        <f t="shared" si="10"/>
        <v>0</v>
      </c>
      <c r="Y485" s="15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3"/>
      <c r="S486" s="37" t="str">
        <f t="shared" si="11"/>
        <v/>
      </c>
      <c r="T486" s="44"/>
      <c r="U486" s="45"/>
      <c r="V486" s="37" t="str">
        <f t="array" ref="V486">IFERROR(INDEX('Hàng hóa'!$F$4:$F$203,MATCH(T486,'Hàng hóa'!$B$4:$B$203,0)),"")</f>
        <v/>
      </c>
      <c r="W486" s="19">
        <f t="array" ref="W486">IFERROR(INDEX('Hàng hóa'!$H$4:$H$203,MATCH(T486,'Hàng hóa'!$B$4:$B$203,0)),0)</f>
        <v>0</v>
      </c>
      <c r="X486" s="20">
        <f t="shared" si="10"/>
        <v>0</v>
      </c>
      <c r="Y486" s="15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3"/>
      <c r="S487" s="37" t="str">
        <f t="shared" si="11"/>
        <v/>
      </c>
      <c r="T487" s="44"/>
      <c r="U487" s="45"/>
      <c r="V487" s="37" t="str">
        <f t="array" ref="V487">IFERROR(INDEX('Hàng hóa'!$F$4:$F$203,MATCH(T487,'Hàng hóa'!$B$4:$B$203,0)),"")</f>
        <v/>
      </c>
      <c r="W487" s="19">
        <f t="array" ref="W487">IFERROR(INDEX('Hàng hóa'!$H$4:$H$203,MATCH(T487,'Hàng hóa'!$B$4:$B$203,0)),0)</f>
        <v>0</v>
      </c>
      <c r="X487" s="20">
        <f t="shared" si="10"/>
        <v>0</v>
      </c>
      <c r="Y487" s="15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3"/>
      <c r="S488" s="37" t="str">
        <f t="shared" si="11"/>
        <v/>
      </c>
      <c r="T488" s="44"/>
      <c r="U488" s="45"/>
      <c r="V488" s="37" t="str">
        <f t="array" ref="V488">IFERROR(INDEX('Hàng hóa'!$F$4:$F$203,MATCH(T488,'Hàng hóa'!$B$4:$B$203,0)),"")</f>
        <v/>
      </c>
      <c r="W488" s="19">
        <f t="array" ref="W488">IFERROR(INDEX('Hàng hóa'!$H$4:$H$203,MATCH(T488,'Hàng hóa'!$B$4:$B$203,0)),0)</f>
        <v>0</v>
      </c>
      <c r="X488" s="20">
        <f t="shared" si="10"/>
        <v>0</v>
      </c>
      <c r="Y488" s="15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3"/>
      <c r="S489" s="37" t="str">
        <f t="shared" si="11"/>
        <v/>
      </c>
      <c r="T489" s="44"/>
      <c r="U489" s="45"/>
      <c r="V489" s="37" t="str">
        <f t="array" ref="V489">IFERROR(INDEX('Hàng hóa'!$F$4:$F$203,MATCH(T489,'Hàng hóa'!$B$4:$B$203,0)),"")</f>
        <v/>
      </c>
      <c r="W489" s="19">
        <f t="array" ref="W489">IFERROR(INDEX('Hàng hóa'!$H$4:$H$203,MATCH(T489,'Hàng hóa'!$B$4:$B$203,0)),0)</f>
        <v>0</v>
      </c>
      <c r="X489" s="20">
        <f t="shared" si="10"/>
        <v>0</v>
      </c>
      <c r="Y489" s="15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3"/>
      <c r="S490" s="37" t="str">
        <f t="shared" si="11"/>
        <v/>
      </c>
      <c r="T490" s="44"/>
      <c r="U490" s="45"/>
      <c r="V490" s="37" t="str">
        <f t="array" ref="V490">IFERROR(INDEX('Hàng hóa'!$F$4:$F$203,MATCH(T490,'Hàng hóa'!$B$4:$B$203,0)),"")</f>
        <v/>
      </c>
      <c r="W490" s="19">
        <f t="array" ref="W490">IFERROR(INDEX('Hàng hóa'!$H$4:$H$203,MATCH(T490,'Hàng hóa'!$B$4:$B$203,0)),0)</f>
        <v>0</v>
      </c>
      <c r="X490" s="20">
        <f t="shared" si="10"/>
        <v>0</v>
      </c>
      <c r="Y490" s="15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3"/>
      <c r="S491" s="37" t="str">
        <f t="shared" si="11"/>
        <v/>
      </c>
      <c r="T491" s="44"/>
      <c r="U491" s="45"/>
      <c r="V491" s="37" t="str">
        <f t="array" ref="V491">IFERROR(INDEX('Hàng hóa'!$F$4:$F$203,MATCH(T491,'Hàng hóa'!$B$4:$B$203,0)),"")</f>
        <v/>
      </c>
      <c r="W491" s="19">
        <f t="array" ref="W491">IFERROR(INDEX('Hàng hóa'!$H$4:$H$203,MATCH(T491,'Hàng hóa'!$B$4:$B$203,0)),0)</f>
        <v>0</v>
      </c>
      <c r="X491" s="20">
        <f t="shared" si="10"/>
        <v>0</v>
      </c>
      <c r="Y491" s="15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3"/>
      <c r="S492" s="37" t="str">
        <f t="shared" si="11"/>
        <v/>
      </c>
      <c r="T492" s="44"/>
      <c r="U492" s="45"/>
      <c r="V492" s="37" t="str">
        <f t="array" ref="V492">IFERROR(INDEX('Hàng hóa'!$F$4:$F$203,MATCH(T492,'Hàng hóa'!$B$4:$B$203,0)),"")</f>
        <v/>
      </c>
      <c r="W492" s="19">
        <f t="array" ref="W492">IFERROR(INDEX('Hàng hóa'!$H$4:$H$203,MATCH(T492,'Hàng hóa'!$B$4:$B$203,0)),0)</f>
        <v>0</v>
      </c>
      <c r="X492" s="20">
        <f t="shared" si="10"/>
        <v>0</v>
      </c>
      <c r="Y492" s="15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3"/>
      <c r="S493" s="37" t="str">
        <f t="shared" si="11"/>
        <v/>
      </c>
      <c r="T493" s="44"/>
      <c r="U493" s="45"/>
      <c r="V493" s="37" t="str">
        <f t="array" ref="V493">IFERROR(INDEX('Hàng hóa'!$F$4:$F$203,MATCH(T493,'Hàng hóa'!$B$4:$B$203,0)),"")</f>
        <v/>
      </c>
      <c r="W493" s="19">
        <f t="array" ref="W493">IFERROR(INDEX('Hàng hóa'!$H$4:$H$203,MATCH(T493,'Hàng hóa'!$B$4:$B$203,0)),0)</f>
        <v>0</v>
      </c>
      <c r="X493" s="20">
        <f t="shared" si="10"/>
        <v>0</v>
      </c>
      <c r="Y493" s="15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3"/>
      <c r="S494" s="37" t="str">
        <f t="shared" si="11"/>
        <v/>
      </c>
      <c r="T494" s="44"/>
      <c r="U494" s="45"/>
      <c r="V494" s="37" t="str">
        <f t="array" ref="V494">IFERROR(INDEX('Hàng hóa'!$F$4:$F$203,MATCH(T494,'Hàng hóa'!$B$4:$B$203,0)),"")</f>
        <v/>
      </c>
      <c r="W494" s="19">
        <f t="array" ref="W494">IFERROR(INDEX('Hàng hóa'!$H$4:$H$203,MATCH(T494,'Hàng hóa'!$B$4:$B$203,0)),0)</f>
        <v>0</v>
      </c>
      <c r="X494" s="20">
        <f t="shared" si="10"/>
        <v>0</v>
      </c>
      <c r="Y494" s="15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3"/>
      <c r="S495" s="37" t="str">
        <f t="shared" si="11"/>
        <v/>
      </c>
      <c r="T495" s="44"/>
      <c r="U495" s="45"/>
      <c r="V495" s="37" t="str">
        <f t="array" ref="V495">IFERROR(INDEX('Hàng hóa'!$F$4:$F$203,MATCH(T495,'Hàng hóa'!$B$4:$B$203,0)),"")</f>
        <v/>
      </c>
      <c r="W495" s="19">
        <f t="array" ref="W495">IFERROR(INDEX('Hàng hóa'!$H$4:$H$203,MATCH(T495,'Hàng hóa'!$B$4:$B$203,0)),0)</f>
        <v>0</v>
      </c>
      <c r="X495" s="20">
        <f t="shared" si="10"/>
        <v>0</v>
      </c>
      <c r="Y495" s="15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3"/>
      <c r="S496" s="37" t="str">
        <f t="shared" si="11"/>
        <v/>
      </c>
      <c r="T496" s="44"/>
      <c r="U496" s="45"/>
      <c r="V496" s="37" t="str">
        <f t="array" ref="V496">IFERROR(INDEX('Hàng hóa'!$F$4:$F$203,MATCH(T496,'Hàng hóa'!$B$4:$B$203,0)),"")</f>
        <v/>
      </c>
      <c r="W496" s="19">
        <f t="array" ref="W496">IFERROR(INDEX('Hàng hóa'!$H$4:$H$203,MATCH(T496,'Hàng hóa'!$B$4:$B$203,0)),0)</f>
        <v>0</v>
      </c>
      <c r="X496" s="20">
        <f t="shared" si="10"/>
        <v>0</v>
      </c>
      <c r="Y496" s="15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3"/>
      <c r="S497" s="37" t="str">
        <f t="shared" si="11"/>
        <v/>
      </c>
      <c r="T497" s="44"/>
      <c r="U497" s="45"/>
      <c r="V497" s="37" t="str">
        <f t="array" ref="V497">IFERROR(INDEX('Hàng hóa'!$F$4:$F$203,MATCH(T497,'Hàng hóa'!$B$4:$B$203,0)),"")</f>
        <v/>
      </c>
      <c r="W497" s="19">
        <f t="array" ref="W497">IFERROR(INDEX('Hàng hóa'!$H$4:$H$203,MATCH(T497,'Hàng hóa'!$B$4:$B$203,0)),0)</f>
        <v>0</v>
      </c>
      <c r="X497" s="20">
        <f t="shared" si="10"/>
        <v>0</v>
      </c>
      <c r="Y497" s="15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3"/>
      <c r="S498" s="37" t="str">
        <f t="shared" si="11"/>
        <v/>
      </c>
      <c r="T498" s="44"/>
      <c r="U498" s="45"/>
      <c r="V498" s="37" t="str">
        <f t="array" ref="V498">IFERROR(INDEX('Hàng hóa'!$F$4:$F$203,MATCH(T498,'Hàng hóa'!$B$4:$B$203,0)),"")</f>
        <v/>
      </c>
      <c r="W498" s="19">
        <f t="array" ref="W498">IFERROR(INDEX('Hàng hóa'!$H$4:$H$203,MATCH(T498,'Hàng hóa'!$B$4:$B$203,0)),0)</f>
        <v>0</v>
      </c>
      <c r="X498" s="20">
        <f t="shared" si="10"/>
        <v>0</v>
      </c>
      <c r="Y498" s="15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3"/>
      <c r="S499" s="37" t="str">
        <f t="shared" si="11"/>
        <v/>
      </c>
      <c r="T499" s="44"/>
      <c r="U499" s="45"/>
      <c r="V499" s="37" t="str">
        <f t="array" ref="V499">IFERROR(INDEX('Hàng hóa'!$F$4:$F$203,MATCH(T499,'Hàng hóa'!$B$4:$B$203,0)),"")</f>
        <v/>
      </c>
      <c r="W499" s="19">
        <f t="array" ref="W499">IFERROR(INDEX('Hàng hóa'!$H$4:$H$203,MATCH(T499,'Hàng hóa'!$B$4:$B$203,0)),0)</f>
        <v>0</v>
      </c>
      <c r="X499" s="20">
        <f t="shared" si="10"/>
        <v>0</v>
      </c>
      <c r="Y499" s="15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3"/>
      <c r="S500" s="37" t="str">
        <f t="shared" si="11"/>
        <v/>
      </c>
      <c r="T500" s="44"/>
      <c r="U500" s="45"/>
      <c r="V500" s="37" t="str">
        <f t="array" ref="V500">IFERROR(INDEX('Hàng hóa'!$F$4:$F$203,MATCH(T500,'Hàng hóa'!$B$4:$B$203,0)),"")</f>
        <v/>
      </c>
      <c r="W500" s="19">
        <f t="array" ref="W500">IFERROR(INDEX('Hàng hóa'!$H$4:$H$203,MATCH(T500,'Hàng hóa'!$B$4:$B$203,0)),0)</f>
        <v>0</v>
      </c>
      <c r="X500" s="20">
        <f t="shared" si="10"/>
        <v>0</v>
      </c>
      <c r="Y500" s="15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3"/>
      <c r="S501" s="37" t="str">
        <f t="shared" si="11"/>
        <v/>
      </c>
      <c r="T501" s="44"/>
      <c r="U501" s="45"/>
      <c r="V501" s="37" t="str">
        <f t="array" ref="V501">IFERROR(INDEX('Hàng hóa'!$F$4:$F$203,MATCH(T501,'Hàng hóa'!$B$4:$B$203,0)),"")</f>
        <v/>
      </c>
      <c r="W501" s="19">
        <f t="array" ref="W501">IFERROR(INDEX('Hàng hóa'!$H$4:$H$203,MATCH(T501,'Hàng hóa'!$B$4:$B$203,0)),0)</f>
        <v>0</v>
      </c>
      <c r="X501" s="20">
        <f t="shared" si="10"/>
        <v>0</v>
      </c>
      <c r="Y501" s="15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3"/>
      <c r="S502" s="37" t="str">
        <f t="shared" si="11"/>
        <v/>
      </c>
      <c r="T502" s="44"/>
      <c r="U502" s="45"/>
      <c r="V502" s="37" t="str">
        <f t="array" ref="V502">IFERROR(INDEX('Hàng hóa'!$F$4:$F$203,MATCH(T502,'Hàng hóa'!$B$4:$B$203,0)),"")</f>
        <v/>
      </c>
      <c r="W502" s="19">
        <f t="array" ref="W502">IFERROR(INDEX('Hàng hóa'!$H$4:$H$203,MATCH(T502,'Hàng hóa'!$B$4:$B$203,0)),0)</f>
        <v>0</v>
      </c>
      <c r="X502" s="20">
        <f t="shared" si="10"/>
        <v>0</v>
      </c>
      <c r="Y502" s="15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3"/>
      <c r="S503" s="37" t="str">
        <f t="shared" si="11"/>
        <v/>
      </c>
      <c r="T503" s="44"/>
      <c r="U503" s="45"/>
      <c r="V503" s="37" t="str">
        <f t="array" ref="V503">IFERROR(INDEX('Hàng hóa'!$F$4:$F$203,MATCH(T503,'Hàng hóa'!$B$4:$B$203,0)),"")</f>
        <v/>
      </c>
      <c r="W503" s="19">
        <f t="array" ref="W503">IFERROR(INDEX('Hàng hóa'!$H$4:$H$203,MATCH(T503,'Hàng hóa'!$B$4:$B$203,0)),0)</f>
        <v>0</v>
      </c>
      <c r="X503" s="20">
        <f t="shared" si="10"/>
        <v>0</v>
      </c>
      <c r="Y503" s="15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3"/>
      <c r="S504" s="37" t="str">
        <f t="shared" si="11"/>
        <v/>
      </c>
      <c r="T504" s="44"/>
      <c r="U504" s="45"/>
      <c r="V504" s="37" t="str">
        <f t="array" ref="V504">IFERROR(INDEX('Hàng hóa'!$F$4:$F$203,MATCH(T504,'Hàng hóa'!$B$4:$B$203,0)),"")</f>
        <v/>
      </c>
      <c r="W504" s="19">
        <f t="array" ref="W504">IFERROR(INDEX('Hàng hóa'!$H$4:$H$203,MATCH(T504,'Hàng hóa'!$B$4:$B$203,0)),0)</f>
        <v>0</v>
      </c>
      <c r="X504" s="20">
        <f t="shared" si="10"/>
        <v>0</v>
      </c>
      <c r="Y504" s="15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3"/>
      <c r="S505" s="37" t="str">
        <f t="shared" si="11"/>
        <v/>
      </c>
      <c r="T505" s="44"/>
      <c r="U505" s="45"/>
      <c r="V505" s="37" t="str">
        <f t="array" ref="V505">IFERROR(INDEX('Hàng hóa'!$F$4:$F$203,MATCH(T505,'Hàng hóa'!$B$4:$B$203,0)),"")</f>
        <v/>
      </c>
      <c r="W505" s="19">
        <f t="array" ref="W505">IFERROR(INDEX('Hàng hóa'!$H$4:$H$203,MATCH(T505,'Hàng hóa'!$B$4:$B$203,0)),0)</f>
        <v>0</v>
      </c>
      <c r="X505" s="20">
        <f t="shared" si="10"/>
        <v>0</v>
      </c>
      <c r="Y505" s="15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3"/>
      <c r="S506" s="37" t="str">
        <f t="shared" si="11"/>
        <v/>
      </c>
      <c r="T506" s="44"/>
      <c r="U506" s="45"/>
      <c r="V506" s="37" t="str">
        <f t="array" ref="V506">IFERROR(INDEX('Hàng hóa'!$F$4:$F$203,MATCH(T506,'Hàng hóa'!$B$4:$B$203,0)),"")</f>
        <v/>
      </c>
      <c r="W506" s="19">
        <f t="array" ref="W506">IFERROR(INDEX('Hàng hóa'!$H$4:$H$203,MATCH(T506,'Hàng hóa'!$B$4:$B$203,0)),0)</f>
        <v>0</v>
      </c>
      <c r="X506" s="20">
        <f t="shared" si="10"/>
        <v>0</v>
      </c>
      <c r="Y506" s="15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3"/>
      <c r="S507" s="37" t="str">
        <f t="shared" si="11"/>
        <v/>
      </c>
      <c r="T507" s="44"/>
      <c r="U507" s="45"/>
      <c r="V507" s="37" t="str">
        <f t="array" ref="V507">IFERROR(INDEX('Hàng hóa'!$F$4:$F$203,MATCH(T507,'Hàng hóa'!$B$4:$B$203,0)),"")</f>
        <v/>
      </c>
      <c r="W507" s="19">
        <f t="array" ref="W507">IFERROR(INDEX('Hàng hóa'!$H$4:$H$203,MATCH(T507,'Hàng hóa'!$B$4:$B$203,0)),0)</f>
        <v>0</v>
      </c>
      <c r="X507" s="20">
        <f t="shared" si="10"/>
        <v>0</v>
      </c>
      <c r="Y507" s="15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3"/>
      <c r="S508" s="37" t="str">
        <f t="shared" si="11"/>
        <v/>
      </c>
      <c r="T508" s="44"/>
      <c r="U508" s="45"/>
      <c r="V508" s="37" t="str">
        <f t="array" ref="V508">IFERROR(INDEX('Hàng hóa'!$F$4:$F$203,MATCH(T508,'Hàng hóa'!$B$4:$B$203,0)),"")</f>
        <v/>
      </c>
      <c r="W508" s="19">
        <f t="array" ref="W508">IFERROR(INDEX('Hàng hóa'!$H$4:$H$203,MATCH(T508,'Hàng hóa'!$B$4:$B$203,0)),0)</f>
        <v>0</v>
      </c>
      <c r="X508" s="20">
        <f t="shared" si="10"/>
        <v>0</v>
      </c>
      <c r="Y508" s="15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3"/>
      <c r="S509" s="37" t="str">
        <f t="shared" si="11"/>
        <v/>
      </c>
      <c r="T509" s="44"/>
      <c r="U509" s="45"/>
      <c r="V509" s="37" t="str">
        <f t="array" ref="V509">IFERROR(INDEX('Hàng hóa'!$F$4:$F$203,MATCH(T509,'Hàng hóa'!$B$4:$B$203,0)),"")</f>
        <v/>
      </c>
      <c r="W509" s="19">
        <f t="array" ref="W509">IFERROR(INDEX('Hàng hóa'!$H$4:$H$203,MATCH(T509,'Hàng hóa'!$B$4:$B$203,0)),0)</f>
        <v>0</v>
      </c>
      <c r="X509" s="20">
        <f t="shared" si="10"/>
        <v>0</v>
      </c>
      <c r="Y509" s="15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3"/>
      <c r="S510" s="37" t="str">
        <f t="shared" si="11"/>
        <v/>
      </c>
      <c r="T510" s="44"/>
      <c r="U510" s="45"/>
      <c r="V510" s="37" t="str">
        <f t="array" ref="V510">IFERROR(INDEX('Hàng hóa'!$F$4:$F$203,MATCH(T510,'Hàng hóa'!$B$4:$B$203,0)),"")</f>
        <v/>
      </c>
      <c r="W510" s="19">
        <f t="array" ref="W510">IFERROR(INDEX('Hàng hóa'!$H$4:$H$203,MATCH(T510,'Hàng hóa'!$B$4:$B$203,0)),0)</f>
        <v>0</v>
      </c>
      <c r="X510" s="20">
        <f t="shared" si="10"/>
        <v>0</v>
      </c>
      <c r="Y510" s="15"/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Q1"/>
    <mergeCell ref="A2:Q2"/>
    <mergeCell ref="R10:Y10"/>
  </mergeCells>
  <dataValidations>
    <dataValidation type="list" allowBlank="1" sqref="T12:T510">
      <formula1>$AB$3:$AB$202</formula1>
    </dataValidation>
    <dataValidation type="list" allowBlank="1" sqref="U3 R12:R510">
      <formula1>$AA$3:$AA$202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5.0"/>
    <col customWidth="1" min="3" max="3" width="14.0"/>
    <col customWidth="1" min="4" max="4" width="15.0"/>
    <col customWidth="1" min="5" max="5" width="13.0"/>
    <col customWidth="1" min="6" max="6" width="15.0"/>
    <col customWidth="1" min="7" max="7" width="14.0"/>
    <col customWidth="1" min="8" max="8" width="19.0"/>
    <col customWidth="1" min="9" max="11" width="18.0"/>
    <col customWidth="1" min="12" max="12" width="22.0"/>
    <col customWidth="1" min="13" max="13" width="28.0"/>
    <col customWidth="1" min="14" max="14" width="8.63"/>
    <col customWidth="1" min="15" max="15" width="13.63"/>
    <col customWidth="1" min="16" max="26" width="8.63"/>
  </cols>
  <sheetData>
    <row r="1">
      <c r="A1" s="1" t="s">
        <v>228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4" t="s">
        <v>229</v>
      </c>
      <c r="N2" s="2"/>
      <c r="O2" s="18" t="s">
        <v>139</v>
      </c>
      <c r="P2" s="2"/>
      <c r="Q2" s="2"/>
      <c r="R2" s="2"/>
      <c r="S2" s="2"/>
      <c r="T2" s="2"/>
      <c r="U2" s="2"/>
      <c r="V2" s="2"/>
      <c r="W2" s="2"/>
    </row>
    <row r="3">
      <c r="A3" s="4" t="s">
        <v>230</v>
      </c>
      <c r="B3" s="4" t="s">
        <v>146</v>
      </c>
      <c r="C3" s="4" t="s">
        <v>33</v>
      </c>
      <c r="D3" s="4" t="s">
        <v>136</v>
      </c>
      <c r="E3" s="4" t="s">
        <v>231</v>
      </c>
      <c r="F3" s="4" t="s">
        <v>149</v>
      </c>
      <c r="G3" s="4" t="s">
        <v>232</v>
      </c>
      <c r="H3" s="4" t="s">
        <v>233</v>
      </c>
      <c r="I3" s="4" t="s">
        <v>234</v>
      </c>
      <c r="J3" s="4" t="s">
        <v>235</v>
      </c>
      <c r="K3" s="4" t="s">
        <v>236</v>
      </c>
      <c r="L3" s="4" t="s">
        <v>237</v>
      </c>
      <c r="M3" s="4" t="s">
        <v>32</v>
      </c>
      <c r="N3" s="2"/>
      <c r="O3" s="18" t="str">
        <f>IF('Hàng hóa'!K4&lt;&gt;"",'Hàng hóa'!K4,"")</f>
        <v>Sữa tươi</v>
      </c>
      <c r="P3" s="2"/>
      <c r="Q3" s="2"/>
      <c r="R3" s="2"/>
      <c r="S3" s="2"/>
      <c r="T3" s="2"/>
      <c r="U3" s="2"/>
      <c r="V3" s="2"/>
      <c r="W3" s="2"/>
    </row>
    <row r="4">
      <c r="A4" s="11">
        <v>46224.0</v>
      </c>
      <c r="B4" s="23" t="s">
        <v>164</v>
      </c>
      <c r="C4" s="37" t="str">
        <f t="array" ref="C4">IFERROR(INDEX('Hàng hóa'!$A$4:$A$203,MATCH(B4,'Hàng hóa'!$B$4:$B$203,0)),"")</f>
        <v>NL001</v>
      </c>
      <c r="D4" s="37" t="str">
        <f t="array" ref="D4">IFERROR(INDEX('Hàng hóa'!$C$4:$C$203,MATCH(B4,'Hàng hóa'!$B$4:$B$203,0)),"")</f>
        <v>Nguyên liệu</v>
      </c>
      <c r="E4" s="56">
        <v>20.0</v>
      </c>
      <c r="F4" s="37">
        <f t="array" ref="F4">IFERROR(INDEX('Hàng hóa'!$E$4:$E$203,MATCH(B4,'Hàng hóa'!$B$4:$B$203,0)),0)</f>
        <v>1</v>
      </c>
      <c r="G4" s="37" t="str">
        <f t="array" ref="G4">IFERROR(INDEX('Hàng hóa'!$F$4:$F$203,MATCH(B4,'Hàng hóa'!$B$4:$B$203,0)),"")</f>
        <v>lít</v>
      </c>
      <c r="H4" s="19">
        <f t="array" ref="H4">IFERROR(INDEX('Hàng hóa'!$G$4:$G$203,MATCH(B4,'Hàng hóa'!$B$4:$B$203,0)),0)</f>
        <v>25000</v>
      </c>
      <c r="I4" s="7">
        <v>25000.0</v>
      </c>
      <c r="J4" s="47">
        <f t="shared" ref="J4:J503" si="1">IF(OR(B4="",E4=""),0,E4*F4)</f>
        <v>20</v>
      </c>
      <c r="K4" s="19">
        <f t="shared" ref="K4:K503" si="2">IF(OR(B4="",E4=""),0,E4*IF(I4&gt;0,I4,H4))</f>
        <v>500000</v>
      </c>
      <c r="L4" s="23"/>
      <c r="M4" s="23"/>
      <c r="N4" s="2"/>
      <c r="O4" s="18" t="str">
        <f>IF('Hàng hóa'!K5&lt;&gt;"",'Hàng hóa'!K5,"")</f>
        <v>Whipping cream</v>
      </c>
      <c r="P4" s="2"/>
      <c r="Q4" s="2"/>
      <c r="R4" s="2"/>
      <c r="S4" s="2"/>
      <c r="T4" s="2"/>
      <c r="U4" s="2"/>
      <c r="V4" s="2"/>
      <c r="W4" s="2"/>
    </row>
    <row r="5">
      <c r="A5" s="11">
        <v>46223.0</v>
      </c>
      <c r="B5" s="23" t="s">
        <v>173</v>
      </c>
      <c r="C5" s="37" t="str">
        <f t="array" ref="C5">IFERROR(INDEX('Hàng hóa'!$A$4:$A$203,MATCH(B5,'Hàng hóa'!$B$4:$B$203,0)),"")</f>
        <v>NL002</v>
      </c>
      <c r="D5" s="37" t="str">
        <f t="array" ref="D5">IFERROR(INDEX('Hàng hóa'!$C$4:$C$203,MATCH(B5,'Hàng hóa'!$B$4:$B$203,0)),"")</f>
        <v>Nguyên liệu</v>
      </c>
      <c r="E5" s="56">
        <v>2.0</v>
      </c>
      <c r="F5" s="37">
        <f t="array" ref="F5">IFERROR(INDEX('Hàng hóa'!$E$4:$E$203,MATCH(B5,'Hàng hóa'!$B$4:$B$203,0)),0)</f>
        <v>1</v>
      </c>
      <c r="G5" s="37" t="str">
        <f t="array" ref="G5">IFERROR(INDEX('Hàng hóa'!$F$4:$F$203,MATCH(B5,'Hàng hóa'!$B$4:$B$203,0)),"")</f>
        <v>lít</v>
      </c>
      <c r="H5" s="19">
        <f t="array" ref="H5">IFERROR(INDEX('Hàng hóa'!$G$4:$G$203,MATCH(B5,'Hàng hóa'!$B$4:$B$203,0)),0)</f>
        <v>158000</v>
      </c>
      <c r="I5" s="7">
        <v>79000.0</v>
      </c>
      <c r="J5" s="47">
        <f t="shared" si="1"/>
        <v>2</v>
      </c>
      <c r="K5" s="19">
        <f t="shared" si="2"/>
        <v>158000</v>
      </c>
      <c r="L5" s="23"/>
      <c r="M5" s="23"/>
      <c r="N5" s="2"/>
      <c r="O5" s="18" t="str">
        <f>IF('Hàng hóa'!K6&lt;&gt;"",'Hàng hóa'!K6,"")</f>
        <v>Đường</v>
      </c>
      <c r="P5" s="2"/>
      <c r="Q5" s="2"/>
      <c r="R5" s="2"/>
      <c r="S5" s="2"/>
      <c r="T5" s="2"/>
      <c r="U5" s="2"/>
      <c r="V5" s="2"/>
      <c r="W5" s="2"/>
    </row>
    <row r="6">
      <c r="A6" s="11">
        <v>46224.0</v>
      </c>
      <c r="B6" s="23" t="s">
        <v>180</v>
      </c>
      <c r="C6" s="37" t="str">
        <f t="array" ref="C6">IFERROR(INDEX('Hàng hóa'!$A$4:$A$203,MATCH(B6,'Hàng hóa'!$B$4:$B$203,0)),"")</f>
        <v>NL003</v>
      </c>
      <c r="D6" s="37" t="str">
        <f t="array" ref="D6">IFERROR(INDEX('Hàng hóa'!$C$4:$C$203,MATCH(B6,'Hàng hóa'!$B$4:$B$203,0)),"")</f>
        <v>Nguyên liệu</v>
      </c>
      <c r="E6" s="56">
        <v>3.0</v>
      </c>
      <c r="F6" s="37">
        <f t="array" ref="F6">IFERROR(INDEX('Hàng hóa'!$E$4:$E$203,MATCH(B6,'Hàng hóa'!$B$4:$B$203,0)),0)</f>
        <v>1</v>
      </c>
      <c r="G6" s="37" t="str">
        <f t="array" ref="G6">IFERROR(INDEX('Hàng hóa'!$F$4:$F$203,MATCH(B6,'Hàng hóa'!$B$4:$B$203,0)),"")</f>
        <v>kg</v>
      </c>
      <c r="H6" s="19">
        <f t="array" ref="H6">IFERROR(INDEX('Hàng hóa'!$G$4:$G$203,MATCH(B6,'Hàng hóa'!$B$4:$B$203,0)),0)</f>
        <v>22000</v>
      </c>
      <c r="I6" s="7">
        <v>22000.0</v>
      </c>
      <c r="J6" s="47">
        <f t="shared" si="1"/>
        <v>3</v>
      </c>
      <c r="K6" s="19">
        <f t="shared" si="2"/>
        <v>66000</v>
      </c>
      <c r="L6" s="23"/>
      <c r="M6" s="23"/>
      <c r="N6" s="2"/>
      <c r="O6" s="18" t="str">
        <f>IF('Hàng hóa'!K7&lt;&gt;"",'Hàng hóa'!K7,"")</f>
        <v>Ly size M</v>
      </c>
      <c r="P6" s="2"/>
      <c r="Q6" s="2"/>
      <c r="R6" s="2"/>
      <c r="S6" s="2"/>
      <c r="T6" s="2"/>
      <c r="U6" s="2"/>
      <c r="V6" s="2"/>
      <c r="W6" s="2"/>
    </row>
    <row r="7">
      <c r="A7" s="11">
        <v>46224.0</v>
      </c>
      <c r="B7" s="23" t="s">
        <v>70</v>
      </c>
      <c r="C7" s="37" t="str">
        <f t="array" ref="C7">IFERROR(INDEX('Hàng hóa'!$A$4:$A$203,MATCH(B7,'Hàng hóa'!$B$4:$B$203,0)),"")</f>
        <v>BB001</v>
      </c>
      <c r="D7" s="37" t="str">
        <f t="array" ref="D7">IFERROR(INDEX('Hàng hóa'!$C$4:$C$203,MATCH(B7,'Hàng hóa'!$B$4:$B$203,0)),"")</f>
        <v>Bao bì</v>
      </c>
      <c r="E7" s="56">
        <v>1.0</v>
      </c>
      <c r="F7" s="37">
        <f t="array" ref="F7">IFERROR(INDEX('Hàng hóa'!$E$4:$E$203,MATCH(B7,'Hàng hóa'!$B$4:$B$203,0)),0)</f>
        <v>50</v>
      </c>
      <c r="G7" s="37" t="str">
        <f t="array" ref="G7">IFERROR(INDEX('Hàng hóa'!$F$4:$F$203,MATCH(B7,'Hàng hóa'!$B$4:$B$203,0)),"")</f>
        <v>cái</v>
      </c>
      <c r="H7" s="19">
        <f t="array" ref="H7">IFERROR(INDEX('Hàng hóa'!$G$4:$G$203,MATCH(B7,'Hàng hóa'!$B$4:$B$203,0)),0)</f>
        <v>15000</v>
      </c>
      <c r="I7" s="12">
        <v>15000.0</v>
      </c>
      <c r="J7" s="47">
        <f t="shared" si="1"/>
        <v>50</v>
      </c>
      <c r="K7" s="19">
        <f t="shared" si="2"/>
        <v>15000</v>
      </c>
      <c r="L7" s="23"/>
      <c r="M7" s="23"/>
      <c r="N7" s="2"/>
      <c r="O7" s="18" t="str">
        <f>IF('Hàng hóa'!K8&lt;&gt;"",'Hàng hóa'!K8,"")</f>
        <v>Nắp size M</v>
      </c>
      <c r="P7" s="2"/>
      <c r="Q7" s="2"/>
      <c r="R7" s="2"/>
      <c r="S7" s="2"/>
      <c r="T7" s="2"/>
      <c r="U7" s="2"/>
      <c r="V7" s="2"/>
      <c r="W7" s="2"/>
    </row>
    <row r="8">
      <c r="A8" s="11">
        <v>46224.0</v>
      </c>
      <c r="B8" s="23" t="s">
        <v>97</v>
      </c>
      <c r="C8" s="37" t="str">
        <f t="array" ref="C8">IFERROR(INDEX('Hàng hóa'!$A$4:$A$203,MATCH(B8,'Hàng hóa'!$B$4:$B$203,0)),"")</f>
        <v>BB002</v>
      </c>
      <c r="D8" s="37" t="str">
        <f t="array" ref="D8">IFERROR(INDEX('Hàng hóa'!$C$4:$C$203,MATCH(B8,'Hàng hóa'!$B$4:$B$203,0)),"")</f>
        <v>Bao bì</v>
      </c>
      <c r="E8" s="56">
        <v>1.0</v>
      </c>
      <c r="F8" s="37">
        <f t="array" ref="F8">IFERROR(INDEX('Hàng hóa'!$E$4:$E$203,MATCH(B8,'Hàng hóa'!$B$4:$B$203,0)),0)</f>
        <v>50</v>
      </c>
      <c r="G8" s="37" t="str">
        <f t="array" ref="G8">IFERROR(INDEX('Hàng hóa'!$F$4:$F$203,MATCH(B8,'Hàng hóa'!$B$4:$B$203,0)),"")</f>
        <v>cái</v>
      </c>
      <c r="H8" s="19">
        <f t="array" ref="H8">IFERROR(INDEX('Hàng hóa'!$G$4:$G$203,MATCH(B8,'Hàng hóa'!$B$4:$B$203,0)),0)</f>
        <v>12000</v>
      </c>
      <c r="I8" s="12">
        <v>12000.0</v>
      </c>
      <c r="J8" s="47">
        <f t="shared" si="1"/>
        <v>50</v>
      </c>
      <c r="K8" s="19">
        <f t="shared" si="2"/>
        <v>12000</v>
      </c>
      <c r="L8" s="23"/>
      <c r="M8" s="23"/>
      <c r="N8" s="2"/>
      <c r="O8" s="18" t="str">
        <f>IF('Hàng hóa'!K9&lt;&gt;"",'Hàng hóa'!K9,"")</f>
        <v>Ly size L</v>
      </c>
      <c r="P8" s="2"/>
      <c r="Q8" s="2"/>
      <c r="R8" s="2"/>
      <c r="S8" s="2"/>
      <c r="T8" s="2"/>
      <c r="U8" s="2"/>
      <c r="V8" s="2"/>
      <c r="W8" s="2"/>
    </row>
    <row r="9">
      <c r="A9" s="11">
        <v>46224.0</v>
      </c>
      <c r="B9" s="23" t="s">
        <v>102</v>
      </c>
      <c r="C9" s="37" t="str">
        <f t="array" ref="C9">IFERROR(INDEX('Hàng hóa'!$A$4:$A$203,MATCH(B9,'Hàng hóa'!$B$4:$B$203,0)),"")</f>
        <v>BB003</v>
      </c>
      <c r="D9" s="37" t="str">
        <f t="array" ref="D9">IFERROR(INDEX('Hàng hóa'!$C$4:$C$203,MATCH(B9,'Hàng hóa'!$B$4:$B$203,0)),"")</f>
        <v>Bao bì</v>
      </c>
      <c r="E9" s="56">
        <v>1.0</v>
      </c>
      <c r="F9" s="37">
        <f t="array" ref="F9">IFERROR(INDEX('Hàng hóa'!$E$4:$E$203,MATCH(B9,'Hàng hóa'!$B$4:$B$203,0)),0)</f>
        <v>50</v>
      </c>
      <c r="G9" s="37" t="str">
        <f t="array" ref="G9">IFERROR(INDEX('Hàng hóa'!$F$4:$F$203,MATCH(B9,'Hàng hóa'!$B$4:$B$203,0)),"")</f>
        <v>cái</v>
      </c>
      <c r="H9" s="19">
        <f t="array" ref="H9">IFERROR(INDEX('Hàng hóa'!$G$4:$G$203,MATCH(B9,'Hàng hóa'!$B$4:$B$203,0)),0)</f>
        <v>22000</v>
      </c>
      <c r="I9" s="12">
        <v>15000.0</v>
      </c>
      <c r="J9" s="47">
        <f t="shared" si="1"/>
        <v>50</v>
      </c>
      <c r="K9" s="19">
        <f t="shared" si="2"/>
        <v>15000</v>
      </c>
      <c r="L9" s="23"/>
      <c r="M9" s="23"/>
      <c r="N9" s="2"/>
      <c r="O9" s="18" t="str">
        <f>IF('Hàng hóa'!K10&lt;&gt;"",'Hàng hóa'!K10,"")</f>
        <v>Nắp size L</v>
      </c>
      <c r="P9" s="2"/>
      <c r="Q9" s="2"/>
      <c r="R9" s="2"/>
      <c r="S9" s="2"/>
      <c r="T9" s="2"/>
      <c r="U9" s="2"/>
      <c r="V9" s="2"/>
      <c r="W9" s="2"/>
    </row>
    <row r="10">
      <c r="A10" s="11">
        <v>46224.0</v>
      </c>
      <c r="B10" s="23" t="s">
        <v>104</v>
      </c>
      <c r="C10" s="37" t="str">
        <f t="array" ref="C10">IFERROR(INDEX('Hàng hóa'!$A$4:$A$203,MATCH(B10,'Hàng hóa'!$B$4:$B$203,0)),"")</f>
        <v>BB004</v>
      </c>
      <c r="D10" s="37" t="str">
        <f t="array" ref="D10">IFERROR(INDEX('Hàng hóa'!$C$4:$C$203,MATCH(B10,'Hàng hóa'!$B$4:$B$203,0)),"")</f>
        <v>Bao bì</v>
      </c>
      <c r="E10" s="56">
        <v>1.0</v>
      </c>
      <c r="F10" s="37">
        <f t="array" ref="F10">IFERROR(INDEX('Hàng hóa'!$E$4:$E$203,MATCH(B10,'Hàng hóa'!$B$4:$B$203,0)),0)</f>
        <v>50</v>
      </c>
      <c r="G10" s="37" t="str">
        <f t="array" ref="G10">IFERROR(INDEX('Hàng hóa'!$F$4:$F$203,MATCH(B10,'Hàng hóa'!$B$4:$B$203,0)),"")</f>
        <v>cái</v>
      </c>
      <c r="H10" s="19">
        <f t="array" ref="H10">IFERROR(INDEX('Hàng hóa'!$G$4:$G$203,MATCH(B10,'Hàng hóa'!$B$4:$B$203,0)),0)</f>
        <v>12000</v>
      </c>
      <c r="I10" s="12">
        <v>12000.0</v>
      </c>
      <c r="J10" s="47">
        <f t="shared" si="1"/>
        <v>50</v>
      </c>
      <c r="K10" s="19">
        <f t="shared" si="2"/>
        <v>12000</v>
      </c>
      <c r="L10" s="23"/>
      <c r="M10" s="23"/>
      <c r="N10" s="2"/>
      <c r="O10" s="18" t="str">
        <f>IF('Hàng hóa'!K11&lt;&gt;"",'Hàng hóa'!K11,"")</f>
        <v>Ống hút</v>
      </c>
      <c r="P10" s="2"/>
      <c r="Q10" s="2"/>
      <c r="R10" s="2"/>
      <c r="S10" s="2"/>
      <c r="T10" s="2"/>
      <c r="U10" s="2"/>
      <c r="V10" s="2"/>
      <c r="W10" s="2"/>
    </row>
    <row r="11">
      <c r="A11" s="11">
        <v>46224.0</v>
      </c>
      <c r="B11" s="23" t="s">
        <v>105</v>
      </c>
      <c r="C11" s="37" t="str">
        <f t="array" ref="C11">IFERROR(INDEX('Hàng hóa'!$A$4:$A$203,MATCH(B11,'Hàng hóa'!$B$4:$B$203,0)),"")</f>
        <v>BB005</v>
      </c>
      <c r="D11" s="37" t="str">
        <f t="array" ref="D11">IFERROR(INDEX('Hàng hóa'!$C$4:$C$203,MATCH(B11,'Hàng hóa'!$B$4:$B$203,0)),"")</f>
        <v>Bao bì</v>
      </c>
      <c r="E11" s="56">
        <v>1.0</v>
      </c>
      <c r="F11" s="37">
        <f t="array" ref="F11">IFERROR(INDEX('Hàng hóa'!$E$4:$E$203,MATCH(B11,'Hàng hóa'!$B$4:$B$203,0)),0)</f>
        <v>100</v>
      </c>
      <c r="G11" s="37" t="str">
        <f t="array" ref="G11">IFERROR(INDEX('Hàng hóa'!$F$4:$F$203,MATCH(B11,'Hàng hóa'!$B$4:$B$203,0)),"")</f>
        <v>cái</v>
      </c>
      <c r="H11" s="19">
        <f t="array" ref="H11">IFERROR(INDEX('Hàng hóa'!$G$4:$G$203,MATCH(B11,'Hàng hóa'!$B$4:$B$203,0)),0)</f>
        <v>25000</v>
      </c>
      <c r="I11" s="7">
        <v>25000.0</v>
      </c>
      <c r="J11" s="47">
        <f t="shared" si="1"/>
        <v>100</v>
      </c>
      <c r="K11" s="19">
        <f t="shared" si="2"/>
        <v>25000</v>
      </c>
      <c r="L11" s="23"/>
      <c r="M11" s="23"/>
      <c r="N11" s="2"/>
      <c r="O11" s="18" t="str">
        <f>IF('Hàng hóa'!K12&lt;&gt;"",'Hàng hóa'!K12,"")</f>
        <v>Muỗng</v>
      </c>
      <c r="P11" s="2"/>
      <c r="Q11" s="2"/>
      <c r="R11" s="2"/>
      <c r="S11" s="2"/>
      <c r="T11" s="2"/>
      <c r="U11" s="2"/>
      <c r="V11" s="2"/>
      <c r="W11" s="2"/>
    </row>
    <row r="12">
      <c r="A12" s="11">
        <v>46224.0</v>
      </c>
      <c r="B12" s="23" t="s">
        <v>106</v>
      </c>
      <c r="C12" s="37" t="str">
        <f t="array" ref="C12">IFERROR(INDEX('Hàng hóa'!$A$4:$A$203,MATCH(B12,'Hàng hóa'!$B$4:$B$203,0)),"")</f>
        <v>BB006</v>
      </c>
      <c r="D12" s="37" t="str">
        <f t="array" ref="D12">IFERROR(INDEX('Hàng hóa'!$C$4:$C$203,MATCH(B12,'Hàng hóa'!$B$4:$B$203,0)),"")</f>
        <v>Bao bì</v>
      </c>
      <c r="E12" s="56">
        <v>1.0</v>
      </c>
      <c r="F12" s="37">
        <f t="array" ref="F12">IFERROR(INDEX('Hàng hóa'!$E$4:$E$203,MATCH(B12,'Hàng hóa'!$B$4:$B$203,0)),0)</f>
        <v>100</v>
      </c>
      <c r="G12" s="37" t="str">
        <f t="array" ref="G12">IFERROR(INDEX('Hàng hóa'!$F$4:$F$203,MATCH(B12,'Hàng hóa'!$B$4:$B$203,0)),"")</f>
        <v>cái</v>
      </c>
      <c r="H12" s="19">
        <f t="array" ref="H12">IFERROR(INDEX('Hàng hóa'!$G$4:$G$203,MATCH(B12,'Hàng hóa'!$B$4:$B$203,0)),0)</f>
        <v>11000</v>
      </c>
      <c r="I12" s="7">
        <v>11000.0</v>
      </c>
      <c r="J12" s="47">
        <f t="shared" si="1"/>
        <v>100</v>
      </c>
      <c r="K12" s="19">
        <f t="shared" si="2"/>
        <v>11000</v>
      </c>
      <c r="L12" s="23"/>
      <c r="M12" s="23"/>
      <c r="N12" s="2"/>
      <c r="O12" s="18" t="str">
        <f>IF('Hàng hóa'!K13&lt;&gt;"",'Hàng hóa'!K13,"")</f>
        <v>Túi mang đi</v>
      </c>
      <c r="P12" s="2"/>
      <c r="Q12" s="2"/>
      <c r="R12" s="2"/>
      <c r="S12" s="2"/>
      <c r="T12" s="2"/>
      <c r="U12" s="2"/>
      <c r="V12" s="2"/>
      <c r="W12" s="2"/>
    </row>
    <row r="13">
      <c r="A13" s="11">
        <v>46224.0</v>
      </c>
      <c r="B13" s="23" t="s">
        <v>107</v>
      </c>
      <c r="C13" s="37" t="str">
        <f t="array" ref="C13">IFERROR(INDEX('Hàng hóa'!$A$4:$A$203,MATCH(B13,'Hàng hóa'!$B$4:$B$203,0)),"")</f>
        <v>BB007</v>
      </c>
      <c r="D13" s="37" t="str">
        <f t="array" ref="D13">IFERROR(INDEX('Hàng hóa'!$C$4:$C$203,MATCH(B13,'Hàng hóa'!$B$4:$B$203,0)),"")</f>
        <v>Bao bì</v>
      </c>
      <c r="E13" s="56">
        <v>1.0</v>
      </c>
      <c r="F13" s="37">
        <f t="array" ref="F13">IFERROR(INDEX('Hàng hóa'!$E$4:$E$203,MATCH(B13,'Hàng hóa'!$B$4:$B$203,0)),0)</f>
        <v>100</v>
      </c>
      <c r="G13" s="37" t="str">
        <f t="array" ref="G13">IFERROR(INDEX('Hàng hóa'!$F$4:$F$203,MATCH(B13,'Hàng hóa'!$B$4:$B$203,0)),"")</f>
        <v>cái</v>
      </c>
      <c r="H13" s="19">
        <f t="array" ref="H13">IFERROR(INDEX('Hàng hóa'!$G$4:$G$203,MATCH(B13,'Hàng hóa'!$B$4:$B$203,0)),0)</f>
        <v>54000</v>
      </c>
      <c r="I13" s="7">
        <v>54000.0</v>
      </c>
      <c r="J13" s="47">
        <f t="shared" si="1"/>
        <v>100</v>
      </c>
      <c r="K13" s="19">
        <f t="shared" si="2"/>
        <v>54000</v>
      </c>
      <c r="L13" s="23"/>
      <c r="M13" s="23"/>
      <c r="N13" s="2"/>
      <c r="O13" s="18" t="str">
        <f>IF('Hàng hóa'!K14&lt;&gt;"",'Hàng hóa'!K14,"")</f>
        <v/>
      </c>
      <c r="P13" s="2"/>
      <c r="Q13" s="2"/>
      <c r="R13" s="2"/>
      <c r="S13" s="2"/>
      <c r="T13" s="2"/>
      <c r="U13" s="2"/>
      <c r="V13" s="2"/>
      <c r="W13" s="2"/>
    </row>
    <row r="14">
      <c r="A14" s="11">
        <v>46225.0</v>
      </c>
      <c r="B14" s="53" t="s">
        <v>180</v>
      </c>
      <c r="C14" s="37" t="str">
        <f t="array" ref="C14">IFERROR(INDEX('Hàng hóa'!$A$4:$A$203,MATCH(B14,'Hàng hóa'!$B$4:$B$203,0)),"")</f>
        <v>NL003</v>
      </c>
      <c r="D14" s="37" t="str">
        <f t="array" ref="D14">IFERROR(INDEX('Hàng hóa'!$C$4:$C$203,MATCH(B14,'Hàng hóa'!$B$4:$B$203,0)),"")</f>
        <v>Nguyên liệu</v>
      </c>
      <c r="E14" s="56">
        <v>6.0</v>
      </c>
      <c r="F14" s="37">
        <f t="array" ref="F14">IFERROR(INDEX('Hàng hóa'!$E$4:$E$203,MATCH(B14,'Hàng hóa'!$B$4:$B$203,0)),0)</f>
        <v>1</v>
      </c>
      <c r="G14" s="37" t="str">
        <f t="array" ref="G14">IFERROR(INDEX('Hàng hóa'!$F$4:$F$203,MATCH(B14,'Hàng hóa'!$B$4:$B$203,0)),"")</f>
        <v>kg</v>
      </c>
      <c r="H14" s="19">
        <f t="array" ref="H14">IFERROR(INDEX('Hàng hóa'!$G$4:$G$203,MATCH(B14,'Hàng hóa'!$B$4:$B$203,0)),0)</f>
        <v>22000</v>
      </c>
      <c r="I14" s="7">
        <v>27000.0</v>
      </c>
      <c r="J14" s="47">
        <f t="shared" si="1"/>
        <v>6</v>
      </c>
      <c r="K14" s="19">
        <f t="shared" si="2"/>
        <v>162000</v>
      </c>
      <c r="L14" s="23"/>
      <c r="M14" s="23"/>
      <c r="N14" s="2"/>
      <c r="O14" s="18" t="str">
        <f>IF('Hàng hóa'!K15&lt;&gt;"",'Hàng hóa'!K15,"")</f>
        <v>Oreo</v>
      </c>
      <c r="P14" s="2"/>
      <c r="Q14" s="2"/>
      <c r="R14" s="2"/>
      <c r="S14" s="2"/>
      <c r="T14" s="2"/>
      <c r="U14" s="2"/>
      <c r="V14" s="2"/>
      <c r="W14" s="2"/>
    </row>
    <row r="15">
      <c r="A15" s="11">
        <v>46224.0</v>
      </c>
      <c r="B15" s="23" t="s">
        <v>130</v>
      </c>
      <c r="C15" s="37" t="str">
        <f t="array" ref="C15">IFERROR(INDEX('Hàng hóa'!$A$4:$A$203,MATCH(B15,'Hàng hóa'!$B$4:$B$203,0)),"")</f>
        <v>TP001</v>
      </c>
      <c r="D15" s="37" t="str">
        <f t="array" ref="D15">IFERROR(INDEX('Hàng hóa'!$C$4:$C$203,MATCH(B15,'Hàng hóa'!$B$4:$B$203,0)),"")</f>
        <v>Topping</v>
      </c>
      <c r="E15" s="56">
        <v>1.0</v>
      </c>
      <c r="F15" s="37">
        <f t="array" ref="F15">IFERROR(INDEX('Hàng hóa'!$E$4:$E$203,MATCH(B15,'Hàng hóa'!$B$4:$B$203,0)),0)</f>
        <v>400</v>
      </c>
      <c r="G15" s="37" t="str">
        <f t="array" ref="G15">IFERROR(INDEX('Hàng hóa'!$F$4:$F$203,MATCH(B15,'Hàng hóa'!$B$4:$B$203,0)),"")</f>
        <v>gram</v>
      </c>
      <c r="H15" s="19">
        <f t="array" ref="H15">IFERROR(INDEX('Hàng hóa'!$G$4:$G$203,MATCH(B15,'Hàng hóa'!$B$4:$B$203,0)),0)</f>
        <v>95000</v>
      </c>
      <c r="I15" s="7">
        <v>95000.0</v>
      </c>
      <c r="J15" s="47">
        <f t="shared" si="1"/>
        <v>400</v>
      </c>
      <c r="K15" s="19">
        <f t="shared" si="2"/>
        <v>95000</v>
      </c>
      <c r="L15" s="23"/>
      <c r="M15" s="23"/>
      <c r="N15" s="2"/>
      <c r="O15" s="18" t="str">
        <f>IF('Hàng hóa'!K16&lt;&gt;"",'Hàng hóa'!K16,"")</f>
        <v>Dừa non</v>
      </c>
      <c r="P15" s="2"/>
      <c r="Q15" s="2"/>
      <c r="R15" s="2"/>
      <c r="S15" s="2"/>
      <c r="T15" s="2"/>
      <c r="U15" s="2"/>
      <c r="V15" s="2"/>
      <c r="W15" s="2"/>
    </row>
    <row r="16">
      <c r="A16" s="11">
        <v>46224.0</v>
      </c>
      <c r="B16" s="23" t="s">
        <v>170</v>
      </c>
      <c r="C16" s="37" t="str">
        <f t="array" ref="C16">IFERROR(INDEX('Hàng hóa'!$A$4:$A$203,MATCH(B16,'Hàng hóa'!$B$4:$B$203,0)),"")</f>
        <v>TP002</v>
      </c>
      <c r="D16" s="37" t="str">
        <f t="array" ref="D16">IFERROR(INDEX('Hàng hóa'!$C$4:$C$203,MATCH(B16,'Hàng hóa'!$B$4:$B$203,0)),"")</f>
        <v>Topping</v>
      </c>
      <c r="E16" s="56">
        <v>3.0</v>
      </c>
      <c r="F16" s="37">
        <f t="array" ref="F16">IFERROR(INDEX('Hàng hóa'!$E$4:$E$203,MATCH(B16,'Hàng hóa'!$B$4:$B$203,0)),0)</f>
        <v>275</v>
      </c>
      <c r="G16" s="37" t="str">
        <f t="array" ref="G16">IFERROR(INDEX('Hàng hóa'!$F$4:$F$203,MATCH(B16,'Hàng hóa'!$B$4:$B$203,0)),"")</f>
        <v>gram</v>
      </c>
      <c r="H16" s="19">
        <f t="array" ref="H16">IFERROR(INDEX('Hàng hóa'!$G$4:$G$203,MATCH(B16,'Hàng hóa'!$B$4:$B$203,0)),0)</f>
        <v>29000</v>
      </c>
      <c r="I16" s="7">
        <v>29000.0</v>
      </c>
      <c r="J16" s="47">
        <f t="shared" si="1"/>
        <v>825</v>
      </c>
      <c r="K16" s="19">
        <f t="shared" si="2"/>
        <v>87000</v>
      </c>
      <c r="L16" s="23"/>
      <c r="M16" s="23"/>
      <c r="N16" s="2"/>
      <c r="O16" s="18" t="str">
        <f>IF('Hàng hóa'!K17&lt;&gt;"",'Hàng hóa'!K17,"")</f>
        <v>Dâu giòn</v>
      </c>
      <c r="P16" s="2"/>
      <c r="Q16" s="2"/>
      <c r="R16" s="2"/>
      <c r="S16" s="2"/>
      <c r="T16" s="2"/>
      <c r="U16" s="2"/>
      <c r="V16" s="2"/>
      <c r="W16" s="2"/>
    </row>
    <row r="17">
      <c r="A17" s="11">
        <v>46224.0</v>
      </c>
      <c r="B17" s="23" t="s">
        <v>182</v>
      </c>
      <c r="C17" s="37" t="str">
        <f t="array" ref="C17">IFERROR(INDEX('Hàng hóa'!$A$4:$A$203,MATCH(B17,'Hàng hóa'!$B$4:$B$203,0)),"")</f>
        <v>TP003</v>
      </c>
      <c r="D17" s="37" t="str">
        <f t="array" ref="D17">IFERROR(INDEX('Hàng hóa'!$C$4:$C$203,MATCH(B17,'Hàng hóa'!$B$4:$B$203,0)),"")</f>
        <v>Topping</v>
      </c>
      <c r="E17" s="56">
        <v>1.0</v>
      </c>
      <c r="F17" s="37">
        <f t="array" ref="F17">IFERROR(INDEX('Hàng hóa'!$E$4:$E$203,MATCH(B17,'Hàng hóa'!$B$4:$B$203,0)),0)</f>
        <v>1</v>
      </c>
      <c r="G17" s="37" t="str">
        <f t="array" ref="G17">IFERROR(INDEX('Hàng hóa'!$F$4:$F$203,MATCH(B17,'Hàng hóa'!$B$4:$B$203,0)),"")</f>
        <v>kg</v>
      </c>
      <c r="H17" s="19">
        <f t="array" ref="H17">IFERROR(INDEX('Hàng hóa'!$G$4:$G$203,MATCH(B17,'Hàng hóa'!$B$4:$B$203,0)),0)</f>
        <v>556100</v>
      </c>
      <c r="I17" s="12">
        <v>396000.0</v>
      </c>
      <c r="J17" s="47">
        <f t="shared" si="1"/>
        <v>1</v>
      </c>
      <c r="K17" s="19">
        <f t="shared" si="2"/>
        <v>396000</v>
      </c>
      <c r="L17" s="23"/>
      <c r="M17" s="23"/>
      <c r="N17" s="2"/>
      <c r="O17" s="18" t="str">
        <f>IF('Hàng hóa'!K18&lt;&gt;"",'Hàng hóa'!K18,"")</f>
        <v>Sữa chua sấy</v>
      </c>
      <c r="P17" s="2"/>
      <c r="Q17" s="2"/>
      <c r="R17" s="2"/>
      <c r="S17" s="2"/>
      <c r="T17" s="2"/>
      <c r="U17" s="2"/>
      <c r="V17" s="2"/>
      <c r="W17" s="2"/>
    </row>
    <row r="18">
      <c r="A18" s="11">
        <v>46224.0</v>
      </c>
      <c r="B18" s="23" t="s">
        <v>194</v>
      </c>
      <c r="C18" s="37" t="str">
        <f t="array" ref="C18">IFERROR(INDEX('Hàng hóa'!$A$4:$A$203,MATCH(B18,'Hàng hóa'!$B$4:$B$203,0)),"")</f>
        <v>TP004</v>
      </c>
      <c r="D18" s="37" t="str">
        <f t="array" ref="D18">IFERROR(INDEX('Hàng hóa'!$C$4:$C$203,MATCH(B18,'Hàng hóa'!$B$4:$B$203,0)),"")</f>
        <v>Topping</v>
      </c>
      <c r="E18" s="56">
        <v>1.0</v>
      </c>
      <c r="F18" s="37">
        <f t="array" ref="F18">IFERROR(INDEX('Hàng hóa'!$E$4:$E$203,MATCH(B18,'Hàng hóa'!$B$4:$B$203,0)),0)</f>
        <v>1</v>
      </c>
      <c r="G18" s="37" t="str">
        <f t="array" ref="G18">IFERROR(INDEX('Hàng hóa'!$F$4:$F$203,MATCH(B18,'Hàng hóa'!$B$4:$B$203,0)),"")</f>
        <v>kg</v>
      </c>
      <c r="H18" s="19">
        <f t="array" ref="H18">IFERROR(INDEX('Hàng hóa'!$G$4:$G$203,MATCH(B18,'Hàng hóa'!$B$4:$B$203,0)),0)</f>
        <v>323700</v>
      </c>
      <c r="I18" s="7">
        <v>323700.0</v>
      </c>
      <c r="J18" s="47">
        <f t="shared" si="1"/>
        <v>1</v>
      </c>
      <c r="K18" s="19">
        <f t="shared" si="2"/>
        <v>323700</v>
      </c>
      <c r="L18" s="23"/>
      <c r="M18" s="23"/>
      <c r="N18" s="2"/>
      <c r="O18" s="18" t="str">
        <f>IF('Hàng hóa'!K19&lt;&gt;"",'Hàng hóa'!K19,"")</f>
        <v>Choco Ball</v>
      </c>
      <c r="P18" s="2"/>
      <c r="Q18" s="2"/>
      <c r="R18" s="2"/>
      <c r="S18" s="2"/>
      <c r="T18" s="2"/>
      <c r="U18" s="2"/>
      <c r="V18" s="2"/>
      <c r="W18" s="2"/>
    </row>
    <row r="19">
      <c r="A19" s="11">
        <v>46224.0</v>
      </c>
      <c r="B19" s="23" t="s">
        <v>201</v>
      </c>
      <c r="C19" s="37" t="str">
        <f t="array" ref="C19">IFERROR(INDEX('Hàng hóa'!$A$4:$A$203,MATCH(B19,'Hàng hóa'!$B$4:$B$203,0)),"")</f>
        <v>TP005</v>
      </c>
      <c r="D19" s="37" t="str">
        <f t="array" ref="D19">IFERROR(INDEX('Hàng hóa'!$C$4:$C$203,MATCH(B19,'Hàng hóa'!$B$4:$B$203,0)),"")</f>
        <v>Topping</v>
      </c>
      <c r="E19" s="56">
        <v>3.0</v>
      </c>
      <c r="F19" s="37">
        <f t="array" ref="F19">IFERROR(INDEX('Hàng hóa'!$E$4:$E$203,MATCH(B19,'Hàng hóa'!$B$4:$B$203,0)),0)</f>
        <v>0.3</v>
      </c>
      <c r="G19" s="37" t="str">
        <f t="array" ref="G19">IFERROR(INDEX('Hàng hóa'!$F$4:$F$203,MATCH(B19,'Hàng hóa'!$B$4:$B$203,0)),"")</f>
        <v>kg</v>
      </c>
      <c r="H19" s="19">
        <f t="array" ref="H19">IFERROR(INDEX('Hàng hóa'!$G$4:$G$203,MATCH(B19,'Hàng hóa'!$B$4:$B$203,0)),0)</f>
        <v>107000</v>
      </c>
      <c r="I19" s="7">
        <v>85600.0</v>
      </c>
      <c r="J19" s="47">
        <f t="shared" si="1"/>
        <v>0.9</v>
      </c>
      <c r="K19" s="19">
        <f t="shared" si="2"/>
        <v>256800</v>
      </c>
      <c r="L19" s="23"/>
      <c r="M19" s="23"/>
      <c r="N19" s="2"/>
      <c r="O19" s="18" t="str">
        <f>IF('Hàng hóa'!K20&lt;&gt;"",'Hàng hóa'!K20,"")</f>
        <v>Màng Wrap nhỏ</v>
      </c>
      <c r="P19" s="2"/>
      <c r="Q19" s="2"/>
      <c r="R19" s="2"/>
      <c r="S19" s="2"/>
      <c r="T19" s="2"/>
      <c r="U19" s="2"/>
      <c r="V19" s="2"/>
      <c r="W19" s="2"/>
    </row>
    <row r="20">
      <c r="A20" s="11">
        <v>46223.0</v>
      </c>
      <c r="B20" s="53" t="s">
        <v>223</v>
      </c>
      <c r="C20" s="37" t="str">
        <f t="array" ref="C20">IFERROR(INDEX('Hàng hóa'!$A$4:$A$203,MATCH(B20,'Hàng hóa'!$B$4:$B$203,0)),"")</f>
        <v>BB-017</v>
      </c>
      <c r="D20" s="37" t="str">
        <f t="array" ref="D20">IFERROR(INDEX('Hàng hóa'!$C$4:$C$203,MATCH(B20,'Hàng hóa'!$B$4:$B$203,0)),"")</f>
        <v>Bao bì</v>
      </c>
      <c r="E20" s="56">
        <v>1.0</v>
      </c>
      <c r="F20" s="37">
        <f t="array" ref="F20">IFERROR(INDEX('Hàng hóa'!$E$4:$E$203,MATCH(B20,'Hàng hóa'!$B$4:$B$203,0)),0)</f>
        <v>1</v>
      </c>
      <c r="G20" s="37" t="str">
        <f t="array" ref="G20">IFERROR(INDEX('Hàng hóa'!$F$4:$F$203,MATCH(B20,'Hàng hóa'!$B$4:$B$203,0)),"")</f>
        <v>cuộn</v>
      </c>
      <c r="H20" s="19">
        <f t="array" ref="H20">IFERROR(INDEX('Hàng hóa'!$G$4:$G$203,MATCH(B20,'Hàng hóa'!$B$4:$B$203,0)),0)</f>
        <v>19000</v>
      </c>
      <c r="I20" s="12">
        <v>19000.0</v>
      </c>
      <c r="J20" s="47">
        <f t="shared" si="1"/>
        <v>1</v>
      </c>
      <c r="K20" s="19">
        <f t="shared" si="2"/>
        <v>19000</v>
      </c>
      <c r="L20" s="23"/>
      <c r="M20" s="23"/>
      <c r="N20" s="2"/>
      <c r="O20" s="18" t="str">
        <f>IF('Hàng hóa'!K21&lt;&gt;"",'Hàng hóa'!K21,"")</f>
        <v/>
      </c>
      <c r="P20" s="2"/>
      <c r="Q20" s="2"/>
      <c r="R20" s="2"/>
      <c r="S20" s="2"/>
      <c r="T20" s="2"/>
      <c r="U20" s="2"/>
      <c r="V20" s="2"/>
      <c r="W20" s="2"/>
    </row>
    <row r="21" ht="15.75" customHeight="1">
      <c r="A21" s="11">
        <v>46225.0</v>
      </c>
      <c r="B21" s="53" t="s">
        <v>164</v>
      </c>
      <c r="C21" s="37" t="str">
        <f t="array" ref="C21">IFERROR(INDEX('Hàng hóa'!$A$4:$A$203,MATCH(B21,'Hàng hóa'!$B$4:$B$203,0)),"")</f>
        <v>NL001</v>
      </c>
      <c r="D21" s="37" t="str">
        <f t="array" ref="D21">IFERROR(INDEX('Hàng hóa'!$C$4:$C$203,MATCH(B21,'Hàng hóa'!$B$4:$B$203,0)),"")</f>
        <v>Nguyên liệu</v>
      </c>
      <c r="E21" s="56">
        <v>20.0</v>
      </c>
      <c r="F21" s="37">
        <f t="array" ref="F21">IFERROR(INDEX('Hàng hóa'!$E$4:$E$203,MATCH(B21,'Hàng hóa'!$B$4:$B$203,0)),0)</f>
        <v>1</v>
      </c>
      <c r="G21" s="37" t="str">
        <f t="array" ref="G21">IFERROR(INDEX('Hàng hóa'!$F$4:$F$203,MATCH(B21,'Hàng hóa'!$B$4:$B$203,0)),"")</f>
        <v>lít</v>
      </c>
      <c r="H21" s="19">
        <f t="array" ref="H21">IFERROR(INDEX('Hàng hóa'!$G$4:$G$203,MATCH(B21,'Hàng hóa'!$B$4:$B$203,0)),0)</f>
        <v>25000</v>
      </c>
      <c r="I21" s="12">
        <v>23500.0</v>
      </c>
      <c r="J21" s="47">
        <f t="shared" si="1"/>
        <v>20</v>
      </c>
      <c r="K21" s="19">
        <f t="shared" si="2"/>
        <v>470000</v>
      </c>
      <c r="L21" s="23"/>
      <c r="M21" s="23"/>
      <c r="N21" s="2"/>
      <c r="O21" s="18" t="str">
        <f>IF('Hàng hóa'!K22&lt;&gt;"",'Hàng hóa'!K22,"")</f>
        <v/>
      </c>
      <c r="P21" s="2"/>
      <c r="Q21" s="2"/>
      <c r="R21" s="2"/>
      <c r="S21" s="2"/>
      <c r="T21" s="2"/>
      <c r="U21" s="2"/>
      <c r="V21" s="2"/>
      <c r="W21" s="2"/>
    </row>
    <row r="22" ht="15.75" customHeight="1">
      <c r="A22" s="43"/>
      <c r="B22" s="23"/>
      <c r="C22" s="37" t="str">
        <f t="array" ref="C22">IFERROR(INDEX('Hàng hóa'!$A$4:$A$203,MATCH(B22,'Hàng hóa'!$B$4:$B$203,0)),"")</f>
        <v/>
      </c>
      <c r="D22" s="37" t="str">
        <f t="array" ref="D22">IFERROR(INDEX('Hàng hóa'!$C$4:$C$203,MATCH(B22,'Hàng hóa'!$B$4:$B$203,0)),"")</f>
        <v/>
      </c>
      <c r="E22" s="44"/>
      <c r="F22" s="37">
        <f t="array" ref="F22">IFERROR(INDEX('Hàng hóa'!$E$4:$E$203,MATCH(B22,'Hàng hóa'!$B$4:$B$203,0)),0)</f>
        <v>0</v>
      </c>
      <c r="G22" s="37" t="str">
        <f t="array" ref="G22">IFERROR(INDEX('Hàng hóa'!$F$4:$F$203,MATCH(B22,'Hàng hóa'!$B$4:$B$203,0)),"")</f>
        <v/>
      </c>
      <c r="H22" s="19">
        <f t="array" ref="H22">IFERROR(INDEX('Hàng hóa'!$G$4:$G$203,MATCH(B22,'Hàng hóa'!$B$4:$B$203,0)),0)</f>
        <v>0</v>
      </c>
      <c r="I22" s="7"/>
      <c r="J22" s="47">
        <f t="shared" si="1"/>
        <v>0</v>
      </c>
      <c r="K22" s="19">
        <f t="shared" si="2"/>
        <v>0</v>
      </c>
      <c r="L22" s="23"/>
      <c r="M22" s="23"/>
      <c r="N22" s="2"/>
      <c r="O22" s="18" t="str">
        <f>IF('Hàng hóa'!K23&lt;&gt;"",'Hàng hóa'!K23,"")</f>
        <v/>
      </c>
      <c r="P22" s="2"/>
      <c r="Q22" s="2"/>
      <c r="R22" s="2"/>
      <c r="S22" s="2"/>
      <c r="T22" s="2"/>
      <c r="U22" s="2"/>
      <c r="V22" s="2"/>
      <c r="W22" s="2"/>
    </row>
    <row r="23" ht="15.75" customHeight="1">
      <c r="A23" s="43"/>
      <c r="B23" s="23"/>
      <c r="C23" s="37" t="str">
        <f t="array" ref="C23">IFERROR(INDEX('Hàng hóa'!$A$4:$A$203,MATCH(B23,'Hàng hóa'!$B$4:$B$203,0)),"")</f>
        <v/>
      </c>
      <c r="D23" s="37" t="str">
        <f t="array" ref="D23">IFERROR(INDEX('Hàng hóa'!$C$4:$C$203,MATCH(B23,'Hàng hóa'!$B$4:$B$203,0)),"")</f>
        <v/>
      </c>
      <c r="E23" s="44"/>
      <c r="F23" s="37">
        <f t="array" ref="F23">IFERROR(INDEX('Hàng hóa'!$E$4:$E$203,MATCH(B23,'Hàng hóa'!$B$4:$B$203,0)),0)</f>
        <v>0</v>
      </c>
      <c r="G23" s="37" t="str">
        <f t="array" ref="G23">IFERROR(INDEX('Hàng hóa'!$F$4:$F$203,MATCH(B23,'Hàng hóa'!$B$4:$B$203,0)),"")</f>
        <v/>
      </c>
      <c r="H23" s="19">
        <f t="array" ref="H23">IFERROR(INDEX('Hàng hóa'!$G$4:$G$203,MATCH(B23,'Hàng hóa'!$B$4:$B$203,0)),0)</f>
        <v>0</v>
      </c>
      <c r="I23" s="7"/>
      <c r="J23" s="47">
        <f t="shared" si="1"/>
        <v>0</v>
      </c>
      <c r="K23" s="19">
        <f t="shared" si="2"/>
        <v>0</v>
      </c>
      <c r="L23" s="23"/>
      <c r="M23" s="23"/>
      <c r="N23" s="2"/>
      <c r="O23" s="18" t="str">
        <f>IF('Hàng hóa'!K24&lt;&gt;"",'Hàng hóa'!K24,"")</f>
        <v/>
      </c>
      <c r="P23" s="2"/>
      <c r="Q23" s="2"/>
      <c r="R23" s="2"/>
      <c r="S23" s="2"/>
      <c r="T23" s="2"/>
      <c r="U23" s="2"/>
      <c r="V23" s="2"/>
      <c r="W23" s="2"/>
    </row>
    <row r="24" ht="15.75" customHeight="1">
      <c r="A24" s="43"/>
      <c r="B24" s="23"/>
      <c r="C24" s="37" t="str">
        <f t="array" ref="C24">IFERROR(INDEX('Hàng hóa'!$A$4:$A$203,MATCH(B24,'Hàng hóa'!$B$4:$B$203,0)),"")</f>
        <v/>
      </c>
      <c r="D24" s="37" t="str">
        <f t="array" ref="D24">IFERROR(INDEX('Hàng hóa'!$C$4:$C$203,MATCH(B24,'Hàng hóa'!$B$4:$B$203,0)),"")</f>
        <v/>
      </c>
      <c r="E24" s="44"/>
      <c r="F24" s="37">
        <f t="array" ref="F24">IFERROR(INDEX('Hàng hóa'!$E$4:$E$203,MATCH(B24,'Hàng hóa'!$B$4:$B$203,0)),0)</f>
        <v>0</v>
      </c>
      <c r="G24" s="37" t="str">
        <f t="array" ref="G24">IFERROR(INDEX('Hàng hóa'!$F$4:$F$203,MATCH(B24,'Hàng hóa'!$B$4:$B$203,0)),"")</f>
        <v/>
      </c>
      <c r="H24" s="19">
        <f t="array" ref="H24">IFERROR(INDEX('Hàng hóa'!$G$4:$G$203,MATCH(B24,'Hàng hóa'!$B$4:$B$203,0)),0)</f>
        <v>0</v>
      </c>
      <c r="I24" s="7"/>
      <c r="J24" s="47">
        <f t="shared" si="1"/>
        <v>0</v>
      </c>
      <c r="K24" s="19">
        <f t="shared" si="2"/>
        <v>0</v>
      </c>
      <c r="L24" s="23"/>
      <c r="M24" s="23"/>
      <c r="N24" s="2"/>
      <c r="O24" s="18" t="str">
        <f>IF('Hàng hóa'!K25&lt;&gt;"",'Hàng hóa'!K25,"")</f>
        <v/>
      </c>
      <c r="P24" s="2"/>
      <c r="Q24" s="2"/>
      <c r="R24" s="2"/>
      <c r="S24" s="2"/>
      <c r="T24" s="2"/>
      <c r="U24" s="2"/>
      <c r="V24" s="2"/>
      <c r="W24" s="2"/>
    </row>
    <row r="25" ht="15.75" customHeight="1">
      <c r="A25" s="43"/>
      <c r="B25" s="23"/>
      <c r="C25" s="37" t="str">
        <f t="array" ref="C25">IFERROR(INDEX('Hàng hóa'!$A$4:$A$203,MATCH(B25,'Hàng hóa'!$B$4:$B$203,0)),"")</f>
        <v/>
      </c>
      <c r="D25" s="37" t="str">
        <f t="array" ref="D25">IFERROR(INDEX('Hàng hóa'!$C$4:$C$203,MATCH(B25,'Hàng hóa'!$B$4:$B$203,0)),"")</f>
        <v/>
      </c>
      <c r="E25" s="44"/>
      <c r="F25" s="37">
        <f t="array" ref="F25">IFERROR(INDEX('Hàng hóa'!$E$4:$E$203,MATCH(B25,'Hàng hóa'!$B$4:$B$203,0)),0)</f>
        <v>0</v>
      </c>
      <c r="G25" s="37" t="str">
        <f t="array" ref="G25">IFERROR(INDEX('Hàng hóa'!$F$4:$F$203,MATCH(B25,'Hàng hóa'!$B$4:$B$203,0)),"")</f>
        <v/>
      </c>
      <c r="H25" s="19">
        <f t="array" ref="H25">IFERROR(INDEX('Hàng hóa'!$G$4:$G$203,MATCH(B25,'Hàng hóa'!$B$4:$B$203,0)),0)</f>
        <v>0</v>
      </c>
      <c r="I25" s="7"/>
      <c r="J25" s="47">
        <f t="shared" si="1"/>
        <v>0</v>
      </c>
      <c r="K25" s="19">
        <f t="shared" si="2"/>
        <v>0</v>
      </c>
      <c r="L25" s="23"/>
      <c r="M25" s="23"/>
      <c r="N25" s="2"/>
      <c r="O25" s="18" t="str">
        <f>IF('Hàng hóa'!K26&lt;&gt;"",'Hàng hóa'!K26,"")</f>
        <v/>
      </c>
      <c r="P25" s="2"/>
      <c r="Q25" s="2"/>
      <c r="R25" s="2"/>
      <c r="S25" s="2"/>
      <c r="T25" s="2"/>
      <c r="U25" s="2"/>
      <c r="V25" s="2"/>
      <c r="W25" s="2"/>
    </row>
    <row r="26" ht="15.75" customHeight="1">
      <c r="A26" s="43"/>
      <c r="B26" s="23"/>
      <c r="C26" s="37" t="str">
        <f t="array" ref="C26">IFERROR(INDEX('Hàng hóa'!$A$4:$A$203,MATCH(B26,'Hàng hóa'!$B$4:$B$203,0)),"")</f>
        <v/>
      </c>
      <c r="D26" s="37" t="str">
        <f t="array" ref="D26">IFERROR(INDEX('Hàng hóa'!$C$4:$C$203,MATCH(B26,'Hàng hóa'!$B$4:$B$203,0)),"")</f>
        <v/>
      </c>
      <c r="E26" s="44"/>
      <c r="F26" s="37">
        <f t="array" ref="F26">IFERROR(INDEX('Hàng hóa'!$E$4:$E$203,MATCH(B26,'Hàng hóa'!$B$4:$B$203,0)),0)</f>
        <v>0</v>
      </c>
      <c r="G26" s="37" t="str">
        <f t="array" ref="G26">IFERROR(INDEX('Hàng hóa'!$F$4:$F$203,MATCH(B26,'Hàng hóa'!$B$4:$B$203,0)),"")</f>
        <v/>
      </c>
      <c r="H26" s="19">
        <f t="array" ref="H26">IFERROR(INDEX('Hàng hóa'!$G$4:$G$203,MATCH(B26,'Hàng hóa'!$B$4:$B$203,0)),0)</f>
        <v>0</v>
      </c>
      <c r="I26" s="7"/>
      <c r="J26" s="47">
        <f t="shared" si="1"/>
        <v>0</v>
      </c>
      <c r="K26" s="19">
        <f t="shared" si="2"/>
        <v>0</v>
      </c>
      <c r="L26" s="23"/>
      <c r="M26" s="23"/>
      <c r="N26" s="2"/>
      <c r="O26" s="18" t="str">
        <f>IF('Hàng hóa'!K27&lt;&gt;"",'Hàng hóa'!K27,"")</f>
        <v/>
      </c>
      <c r="P26" s="2"/>
      <c r="Q26" s="2"/>
      <c r="R26" s="2"/>
      <c r="S26" s="2"/>
      <c r="T26" s="2"/>
      <c r="U26" s="2"/>
      <c r="V26" s="2"/>
      <c r="W26" s="2"/>
    </row>
    <row r="27" ht="15.75" customHeight="1">
      <c r="A27" s="43"/>
      <c r="B27" s="23"/>
      <c r="C27" s="37" t="str">
        <f t="array" ref="C27">IFERROR(INDEX('Hàng hóa'!$A$4:$A$203,MATCH(B27,'Hàng hóa'!$B$4:$B$203,0)),"")</f>
        <v/>
      </c>
      <c r="D27" s="37" t="str">
        <f t="array" ref="D27">IFERROR(INDEX('Hàng hóa'!$C$4:$C$203,MATCH(B27,'Hàng hóa'!$B$4:$B$203,0)),"")</f>
        <v/>
      </c>
      <c r="E27" s="44"/>
      <c r="F27" s="37">
        <f t="array" ref="F27">IFERROR(INDEX('Hàng hóa'!$E$4:$E$203,MATCH(B27,'Hàng hóa'!$B$4:$B$203,0)),0)</f>
        <v>0</v>
      </c>
      <c r="G27" s="37" t="str">
        <f t="array" ref="G27">IFERROR(INDEX('Hàng hóa'!$F$4:$F$203,MATCH(B27,'Hàng hóa'!$B$4:$B$203,0)),"")</f>
        <v/>
      </c>
      <c r="H27" s="19">
        <f t="array" ref="H27">IFERROR(INDEX('Hàng hóa'!$G$4:$G$203,MATCH(B27,'Hàng hóa'!$B$4:$B$203,0)),0)</f>
        <v>0</v>
      </c>
      <c r="I27" s="7"/>
      <c r="J27" s="47">
        <f t="shared" si="1"/>
        <v>0</v>
      </c>
      <c r="K27" s="19">
        <f t="shared" si="2"/>
        <v>0</v>
      </c>
      <c r="L27" s="23"/>
      <c r="M27" s="23"/>
      <c r="N27" s="2"/>
      <c r="O27" s="18" t="str">
        <f>IF('Hàng hóa'!K28&lt;&gt;"",'Hàng hóa'!K28,"")</f>
        <v/>
      </c>
      <c r="P27" s="2"/>
      <c r="Q27" s="2"/>
      <c r="R27" s="2"/>
      <c r="S27" s="2"/>
      <c r="T27" s="2"/>
      <c r="U27" s="2"/>
      <c r="V27" s="2"/>
      <c r="W27" s="2"/>
    </row>
    <row r="28" ht="15.75" customHeight="1">
      <c r="A28" s="43"/>
      <c r="B28" s="23"/>
      <c r="C28" s="37" t="str">
        <f t="array" ref="C28">IFERROR(INDEX('Hàng hóa'!$A$4:$A$203,MATCH(B28,'Hàng hóa'!$B$4:$B$203,0)),"")</f>
        <v/>
      </c>
      <c r="D28" s="37" t="str">
        <f t="array" ref="D28">IFERROR(INDEX('Hàng hóa'!$C$4:$C$203,MATCH(B28,'Hàng hóa'!$B$4:$B$203,0)),"")</f>
        <v/>
      </c>
      <c r="E28" s="44"/>
      <c r="F28" s="37">
        <f t="array" ref="F28">IFERROR(INDEX('Hàng hóa'!$E$4:$E$203,MATCH(B28,'Hàng hóa'!$B$4:$B$203,0)),0)</f>
        <v>0</v>
      </c>
      <c r="G28" s="37" t="str">
        <f t="array" ref="G28">IFERROR(INDEX('Hàng hóa'!$F$4:$F$203,MATCH(B28,'Hàng hóa'!$B$4:$B$203,0)),"")</f>
        <v/>
      </c>
      <c r="H28" s="19">
        <f t="array" ref="H28">IFERROR(INDEX('Hàng hóa'!$G$4:$G$203,MATCH(B28,'Hàng hóa'!$B$4:$B$203,0)),0)</f>
        <v>0</v>
      </c>
      <c r="I28" s="7"/>
      <c r="J28" s="47">
        <f t="shared" si="1"/>
        <v>0</v>
      </c>
      <c r="K28" s="19">
        <f t="shared" si="2"/>
        <v>0</v>
      </c>
      <c r="L28" s="23"/>
      <c r="M28" s="23"/>
      <c r="N28" s="2"/>
      <c r="O28" s="18" t="str">
        <f>IF('Hàng hóa'!K29&lt;&gt;"",'Hàng hóa'!K29,"")</f>
        <v/>
      </c>
      <c r="P28" s="2"/>
      <c r="Q28" s="2"/>
      <c r="R28" s="2"/>
      <c r="S28" s="2"/>
      <c r="T28" s="2"/>
      <c r="U28" s="2"/>
      <c r="V28" s="2"/>
      <c r="W28" s="2"/>
    </row>
    <row r="29" ht="15.75" customHeight="1">
      <c r="A29" s="43"/>
      <c r="B29" s="23"/>
      <c r="C29" s="37" t="str">
        <f t="array" ref="C29">IFERROR(INDEX('Hàng hóa'!$A$4:$A$203,MATCH(B29,'Hàng hóa'!$B$4:$B$203,0)),"")</f>
        <v/>
      </c>
      <c r="D29" s="37" t="str">
        <f t="array" ref="D29">IFERROR(INDEX('Hàng hóa'!$C$4:$C$203,MATCH(B29,'Hàng hóa'!$B$4:$B$203,0)),"")</f>
        <v/>
      </c>
      <c r="E29" s="44"/>
      <c r="F29" s="37">
        <f t="array" ref="F29">IFERROR(INDEX('Hàng hóa'!$E$4:$E$203,MATCH(B29,'Hàng hóa'!$B$4:$B$203,0)),0)</f>
        <v>0</v>
      </c>
      <c r="G29" s="37" t="str">
        <f t="array" ref="G29">IFERROR(INDEX('Hàng hóa'!$F$4:$F$203,MATCH(B29,'Hàng hóa'!$B$4:$B$203,0)),"")</f>
        <v/>
      </c>
      <c r="H29" s="19">
        <f t="array" ref="H29">IFERROR(INDEX('Hàng hóa'!$G$4:$G$203,MATCH(B29,'Hàng hóa'!$B$4:$B$203,0)),0)</f>
        <v>0</v>
      </c>
      <c r="I29" s="7"/>
      <c r="J29" s="47">
        <f t="shared" si="1"/>
        <v>0</v>
      </c>
      <c r="K29" s="19">
        <f t="shared" si="2"/>
        <v>0</v>
      </c>
      <c r="L29" s="23"/>
      <c r="M29" s="23"/>
      <c r="N29" s="2"/>
      <c r="O29" s="18" t="str">
        <f>IF('Hàng hóa'!K30&lt;&gt;"",'Hàng hóa'!K30,"")</f>
        <v/>
      </c>
      <c r="P29" s="2"/>
      <c r="Q29" s="2"/>
      <c r="R29" s="2"/>
      <c r="S29" s="2"/>
      <c r="T29" s="2"/>
      <c r="U29" s="2"/>
      <c r="V29" s="2"/>
      <c r="W29" s="2"/>
    </row>
    <row r="30" ht="15.75" customHeight="1">
      <c r="A30" s="43"/>
      <c r="B30" s="23"/>
      <c r="C30" s="37" t="str">
        <f t="array" ref="C30">IFERROR(INDEX('Hàng hóa'!$A$4:$A$203,MATCH(B30,'Hàng hóa'!$B$4:$B$203,0)),"")</f>
        <v/>
      </c>
      <c r="D30" s="37" t="str">
        <f t="array" ref="D30">IFERROR(INDEX('Hàng hóa'!$C$4:$C$203,MATCH(B30,'Hàng hóa'!$B$4:$B$203,0)),"")</f>
        <v/>
      </c>
      <c r="E30" s="44"/>
      <c r="F30" s="37">
        <f t="array" ref="F30">IFERROR(INDEX('Hàng hóa'!$E$4:$E$203,MATCH(B30,'Hàng hóa'!$B$4:$B$203,0)),0)</f>
        <v>0</v>
      </c>
      <c r="G30" s="37" t="str">
        <f t="array" ref="G30">IFERROR(INDEX('Hàng hóa'!$F$4:$F$203,MATCH(B30,'Hàng hóa'!$B$4:$B$203,0)),"")</f>
        <v/>
      </c>
      <c r="H30" s="19">
        <f t="array" ref="H30">IFERROR(INDEX('Hàng hóa'!$G$4:$G$203,MATCH(B30,'Hàng hóa'!$B$4:$B$203,0)),0)</f>
        <v>0</v>
      </c>
      <c r="I30" s="7"/>
      <c r="J30" s="47">
        <f t="shared" si="1"/>
        <v>0</v>
      </c>
      <c r="K30" s="19">
        <f t="shared" si="2"/>
        <v>0</v>
      </c>
      <c r="L30" s="23"/>
      <c r="M30" s="23"/>
      <c r="N30" s="2"/>
      <c r="O30" s="18" t="str">
        <f>IF('Hàng hóa'!K31&lt;&gt;"",'Hàng hóa'!K31,"")</f>
        <v/>
      </c>
      <c r="P30" s="2"/>
      <c r="Q30" s="2"/>
      <c r="R30" s="2"/>
      <c r="S30" s="2"/>
      <c r="T30" s="2"/>
      <c r="U30" s="2"/>
      <c r="V30" s="2"/>
      <c r="W30" s="2"/>
    </row>
    <row r="31" ht="15.75" customHeight="1">
      <c r="A31" s="43"/>
      <c r="B31" s="23"/>
      <c r="C31" s="37" t="str">
        <f t="array" ref="C31">IFERROR(INDEX('Hàng hóa'!$A$4:$A$203,MATCH(B31,'Hàng hóa'!$B$4:$B$203,0)),"")</f>
        <v/>
      </c>
      <c r="D31" s="37" t="str">
        <f t="array" ref="D31">IFERROR(INDEX('Hàng hóa'!$C$4:$C$203,MATCH(B31,'Hàng hóa'!$B$4:$B$203,0)),"")</f>
        <v/>
      </c>
      <c r="E31" s="44"/>
      <c r="F31" s="37">
        <f t="array" ref="F31">IFERROR(INDEX('Hàng hóa'!$E$4:$E$203,MATCH(B31,'Hàng hóa'!$B$4:$B$203,0)),0)</f>
        <v>0</v>
      </c>
      <c r="G31" s="37" t="str">
        <f t="array" ref="G31">IFERROR(INDEX('Hàng hóa'!$F$4:$F$203,MATCH(B31,'Hàng hóa'!$B$4:$B$203,0)),"")</f>
        <v/>
      </c>
      <c r="H31" s="19">
        <f t="array" ref="H31">IFERROR(INDEX('Hàng hóa'!$G$4:$G$203,MATCH(B31,'Hàng hóa'!$B$4:$B$203,0)),0)</f>
        <v>0</v>
      </c>
      <c r="I31" s="7"/>
      <c r="J31" s="47">
        <f t="shared" si="1"/>
        <v>0</v>
      </c>
      <c r="K31" s="19">
        <f t="shared" si="2"/>
        <v>0</v>
      </c>
      <c r="L31" s="23"/>
      <c r="M31" s="23"/>
      <c r="N31" s="2"/>
      <c r="O31" s="18" t="str">
        <f>IF('Hàng hóa'!K32&lt;&gt;"",'Hàng hóa'!K32,"")</f>
        <v/>
      </c>
      <c r="P31" s="2"/>
      <c r="Q31" s="2"/>
      <c r="R31" s="2"/>
      <c r="S31" s="2"/>
      <c r="T31" s="2"/>
      <c r="U31" s="2"/>
      <c r="V31" s="2"/>
      <c r="W31" s="2"/>
    </row>
    <row r="32" ht="15.75" customHeight="1">
      <c r="A32" s="43"/>
      <c r="B32" s="23"/>
      <c r="C32" s="37" t="str">
        <f t="array" ref="C32">IFERROR(INDEX('Hàng hóa'!$A$4:$A$203,MATCH(B32,'Hàng hóa'!$B$4:$B$203,0)),"")</f>
        <v/>
      </c>
      <c r="D32" s="37" t="str">
        <f t="array" ref="D32">IFERROR(INDEX('Hàng hóa'!$C$4:$C$203,MATCH(B32,'Hàng hóa'!$B$4:$B$203,0)),"")</f>
        <v/>
      </c>
      <c r="E32" s="44"/>
      <c r="F32" s="37">
        <f t="array" ref="F32">IFERROR(INDEX('Hàng hóa'!$E$4:$E$203,MATCH(B32,'Hàng hóa'!$B$4:$B$203,0)),0)</f>
        <v>0</v>
      </c>
      <c r="G32" s="37" t="str">
        <f t="array" ref="G32">IFERROR(INDEX('Hàng hóa'!$F$4:$F$203,MATCH(B32,'Hàng hóa'!$B$4:$B$203,0)),"")</f>
        <v/>
      </c>
      <c r="H32" s="19">
        <f t="array" ref="H32">IFERROR(INDEX('Hàng hóa'!$G$4:$G$203,MATCH(B32,'Hàng hóa'!$B$4:$B$203,0)),0)</f>
        <v>0</v>
      </c>
      <c r="I32" s="7"/>
      <c r="J32" s="47">
        <f t="shared" si="1"/>
        <v>0</v>
      </c>
      <c r="K32" s="19">
        <f t="shared" si="2"/>
        <v>0</v>
      </c>
      <c r="L32" s="23"/>
      <c r="M32" s="23"/>
      <c r="N32" s="2"/>
      <c r="O32" s="18" t="str">
        <f>IF('Hàng hóa'!K33&lt;&gt;"",'Hàng hóa'!K33,"")</f>
        <v/>
      </c>
      <c r="P32" s="2"/>
      <c r="Q32" s="2"/>
      <c r="R32" s="2"/>
      <c r="S32" s="2"/>
      <c r="T32" s="2"/>
      <c r="U32" s="2"/>
      <c r="V32" s="2"/>
      <c r="W32" s="2"/>
    </row>
    <row r="33" ht="15.75" customHeight="1">
      <c r="A33" s="43"/>
      <c r="B33" s="23"/>
      <c r="C33" s="37" t="str">
        <f t="array" ref="C33">IFERROR(INDEX('Hàng hóa'!$A$4:$A$203,MATCH(B33,'Hàng hóa'!$B$4:$B$203,0)),"")</f>
        <v/>
      </c>
      <c r="D33" s="37" t="str">
        <f t="array" ref="D33">IFERROR(INDEX('Hàng hóa'!$C$4:$C$203,MATCH(B33,'Hàng hóa'!$B$4:$B$203,0)),"")</f>
        <v/>
      </c>
      <c r="E33" s="44"/>
      <c r="F33" s="37">
        <f t="array" ref="F33">IFERROR(INDEX('Hàng hóa'!$E$4:$E$203,MATCH(B33,'Hàng hóa'!$B$4:$B$203,0)),0)</f>
        <v>0</v>
      </c>
      <c r="G33" s="37" t="str">
        <f t="array" ref="G33">IFERROR(INDEX('Hàng hóa'!$F$4:$F$203,MATCH(B33,'Hàng hóa'!$B$4:$B$203,0)),"")</f>
        <v/>
      </c>
      <c r="H33" s="19">
        <f t="array" ref="H33">IFERROR(INDEX('Hàng hóa'!$G$4:$G$203,MATCH(B33,'Hàng hóa'!$B$4:$B$203,0)),0)</f>
        <v>0</v>
      </c>
      <c r="I33" s="7"/>
      <c r="J33" s="47">
        <f t="shared" si="1"/>
        <v>0</v>
      </c>
      <c r="K33" s="19">
        <f t="shared" si="2"/>
        <v>0</v>
      </c>
      <c r="L33" s="23"/>
      <c r="M33" s="23"/>
      <c r="N33" s="2"/>
      <c r="O33" s="18" t="str">
        <f>IF('Hàng hóa'!K34&lt;&gt;"",'Hàng hóa'!K34,"")</f>
        <v/>
      </c>
      <c r="P33" s="2"/>
      <c r="Q33" s="2"/>
      <c r="R33" s="2"/>
      <c r="S33" s="2"/>
      <c r="T33" s="2"/>
      <c r="U33" s="2"/>
      <c r="V33" s="2"/>
      <c r="W33" s="2"/>
    </row>
    <row r="34" ht="15.75" customHeight="1">
      <c r="A34" s="43"/>
      <c r="B34" s="23"/>
      <c r="C34" s="37" t="str">
        <f t="array" ref="C34">IFERROR(INDEX('Hàng hóa'!$A$4:$A$203,MATCH(B34,'Hàng hóa'!$B$4:$B$203,0)),"")</f>
        <v/>
      </c>
      <c r="D34" s="37" t="str">
        <f t="array" ref="D34">IFERROR(INDEX('Hàng hóa'!$C$4:$C$203,MATCH(B34,'Hàng hóa'!$B$4:$B$203,0)),"")</f>
        <v/>
      </c>
      <c r="E34" s="44"/>
      <c r="F34" s="37">
        <f t="array" ref="F34">IFERROR(INDEX('Hàng hóa'!$E$4:$E$203,MATCH(B34,'Hàng hóa'!$B$4:$B$203,0)),0)</f>
        <v>0</v>
      </c>
      <c r="G34" s="37" t="str">
        <f t="array" ref="G34">IFERROR(INDEX('Hàng hóa'!$F$4:$F$203,MATCH(B34,'Hàng hóa'!$B$4:$B$203,0)),"")</f>
        <v/>
      </c>
      <c r="H34" s="19">
        <f t="array" ref="H34">IFERROR(INDEX('Hàng hóa'!$G$4:$G$203,MATCH(B34,'Hàng hóa'!$B$4:$B$203,0)),0)</f>
        <v>0</v>
      </c>
      <c r="I34" s="7"/>
      <c r="J34" s="47">
        <f t="shared" si="1"/>
        <v>0</v>
      </c>
      <c r="K34" s="19">
        <f t="shared" si="2"/>
        <v>0</v>
      </c>
      <c r="L34" s="23"/>
      <c r="M34" s="23"/>
      <c r="N34" s="2"/>
      <c r="O34" s="18" t="str">
        <f>IF('Hàng hóa'!K35&lt;&gt;"",'Hàng hóa'!K35,"")</f>
        <v/>
      </c>
      <c r="P34" s="2"/>
      <c r="Q34" s="2"/>
      <c r="R34" s="2"/>
      <c r="S34" s="2"/>
      <c r="T34" s="2"/>
      <c r="U34" s="2"/>
      <c r="V34" s="2"/>
      <c r="W34" s="2"/>
    </row>
    <row r="35" ht="15.75" customHeight="1">
      <c r="A35" s="43"/>
      <c r="B35" s="23"/>
      <c r="C35" s="37" t="str">
        <f t="array" ref="C35">IFERROR(INDEX('Hàng hóa'!$A$4:$A$203,MATCH(B35,'Hàng hóa'!$B$4:$B$203,0)),"")</f>
        <v/>
      </c>
      <c r="D35" s="37" t="str">
        <f t="array" ref="D35">IFERROR(INDEX('Hàng hóa'!$C$4:$C$203,MATCH(B35,'Hàng hóa'!$B$4:$B$203,0)),"")</f>
        <v/>
      </c>
      <c r="E35" s="44"/>
      <c r="F35" s="37">
        <f t="array" ref="F35">IFERROR(INDEX('Hàng hóa'!$E$4:$E$203,MATCH(B35,'Hàng hóa'!$B$4:$B$203,0)),0)</f>
        <v>0</v>
      </c>
      <c r="G35" s="37" t="str">
        <f t="array" ref="G35">IFERROR(INDEX('Hàng hóa'!$F$4:$F$203,MATCH(B35,'Hàng hóa'!$B$4:$B$203,0)),"")</f>
        <v/>
      </c>
      <c r="H35" s="19">
        <f t="array" ref="H35">IFERROR(INDEX('Hàng hóa'!$G$4:$G$203,MATCH(B35,'Hàng hóa'!$B$4:$B$203,0)),0)</f>
        <v>0</v>
      </c>
      <c r="I35" s="7"/>
      <c r="J35" s="47">
        <f t="shared" si="1"/>
        <v>0</v>
      </c>
      <c r="K35" s="19">
        <f t="shared" si="2"/>
        <v>0</v>
      </c>
      <c r="L35" s="23"/>
      <c r="M35" s="23"/>
      <c r="N35" s="2"/>
      <c r="O35" s="18" t="str">
        <f>IF('Hàng hóa'!K36&lt;&gt;"",'Hàng hóa'!K36,"")</f>
        <v/>
      </c>
      <c r="P35" s="2"/>
      <c r="Q35" s="2"/>
      <c r="R35" s="2"/>
      <c r="S35" s="2"/>
      <c r="T35" s="2"/>
      <c r="U35" s="2"/>
      <c r="V35" s="2"/>
      <c r="W35" s="2"/>
    </row>
    <row r="36" ht="15.75" customHeight="1">
      <c r="A36" s="43"/>
      <c r="B36" s="23"/>
      <c r="C36" s="37" t="str">
        <f t="array" ref="C36">IFERROR(INDEX('Hàng hóa'!$A$4:$A$203,MATCH(B36,'Hàng hóa'!$B$4:$B$203,0)),"")</f>
        <v/>
      </c>
      <c r="D36" s="37" t="str">
        <f t="array" ref="D36">IFERROR(INDEX('Hàng hóa'!$C$4:$C$203,MATCH(B36,'Hàng hóa'!$B$4:$B$203,0)),"")</f>
        <v/>
      </c>
      <c r="E36" s="44"/>
      <c r="F36" s="37">
        <f t="array" ref="F36">IFERROR(INDEX('Hàng hóa'!$E$4:$E$203,MATCH(B36,'Hàng hóa'!$B$4:$B$203,0)),0)</f>
        <v>0</v>
      </c>
      <c r="G36" s="37" t="str">
        <f t="array" ref="G36">IFERROR(INDEX('Hàng hóa'!$F$4:$F$203,MATCH(B36,'Hàng hóa'!$B$4:$B$203,0)),"")</f>
        <v/>
      </c>
      <c r="H36" s="19">
        <f t="array" ref="H36">IFERROR(INDEX('Hàng hóa'!$G$4:$G$203,MATCH(B36,'Hàng hóa'!$B$4:$B$203,0)),0)</f>
        <v>0</v>
      </c>
      <c r="I36" s="7"/>
      <c r="J36" s="47">
        <f t="shared" si="1"/>
        <v>0</v>
      </c>
      <c r="K36" s="19">
        <f t="shared" si="2"/>
        <v>0</v>
      </c>
      <c r="L36" s="23"/>
      <c r="M36" s="23"/>
      <c r="N36" s="2"/>
      <c r="O36" s="18" t="str">
        <f>IF('Hàng hóa'!K37&lt;&gt;"",'Hàng hóa'!K37,"")</f>
        <v/>
      </c>
      <c r="P36" s="2"/>
      <c r="Q36" s="2"/>
      <c r="R36" s="2"/>
      <c r="S36" s="2"/>
      <c r="T36" s="2"/>
      <c r="U36" s="2"/>
      <c r="V36" s="2"/>
      <c r="W36" s="2"/>
    </row>
    <row r="37" ht="15.75" customHeight="1">
      <c r="A37" s="43"/>
      <c r="B37" s="23"/>
      <c r="C37" s="37" t="str">
        <f t="array" ref="C37">IFERROR(INDEX('Hàng hóa'!$A$4:$A$203,MATCH(B37,'Hàng hóa'!$B$4:$B$203,0)),"")</f>
        <v/>
      </c>
      <c r="D37" s="37" t="str">
        <f t="array" ref="D37">IFERROR(INDEX('Hàng hóa'!$C$4:$C$203,MATCH(B37,'Hàng hóa'!$B$4:$B$203,0)),"")</f>
        <v/>
      </c>
      <c r="E37" s="44"/>
      <c r="F37" s="37">
        <f t="array" ref="F37">IFERROR(INDEX('Hàng hóa'!$E$4:$E$203,MATCH(B37,'Hàng hóa'!$B$4:$B$203,0)),0)</f>
        <v>0</v>
      </c>
      <c r="G37" s="37" t="str">
        <f t="array" ref="G37">IFERROR(INDEX('Hàng hóa'!$F$4:$F$203,MATCH(B37,'Hàng hóa'!$B$4:$B$203,0)),"")</f>
        <v/>
      </c>
      <c r="H37" s="19">
        <f t="array" ref="H37">IFERROR(INDEX('Hàng hóa'!$G$4:$G$203,MATCH(B37,'Hàng hóa'!$B$4:$B$203,0)),0)</f>
        <v>0</v>
      </c>
      <c r="I37" s="7"/>
      <c r="J37" s="47">
        <f t="shared" si="1"/>
        <v>0</v>
      </c>
      <c r="K37" s="19">
        <f t="shared" si="2"/>
        <v>0</v>
      </c>
      <c r="L37" s="23"/>
      <c r="M37" s="23"/>
      <c r="N37" s="2"/>
      <c r="O37" s="18" t="str">
        <f>IF('Hàng hóa'!K38&lt;&gt;"",'Hàng hóa'!K38,"")</f>
        <v/>
      </c>
      <c r="P37" s="2"/>
      <c r="Q37" s="2"/>
      <c r="R37" s="2"/>
      <c r="S37" s="2"/>
      <c r="T37" s="2"/>
      <c r="U37" s="2"/>
      <c r="V37" s="2"/>
      <c r="W37" s="2"/>
    </row>
    <row r="38" ht="15.75" customHeight="1">
      <c r="A38" s="43"/>
      <c r="B38" s="23"/>
      <c r="C38" s="37" t="str">
        <f t="array" ref="C38">IFERROR(INDEX('Hàng hóa'!$A$4:$A$203,MATCH(B38,'Hàng hóa'!$B$4:$B$203,0)),"")</f>
        <v/>
      </c>
      <c r="D38" s="37" t="str">
        <f t="array" ref="D38">IFERROR(INDEX('Hàng hóa'!$C$4:$C$203,MATCH(B38,'Hàng hóa'!$B$4:$B$203,0)),"")</f>
        <v/>
      </c>
      <c r="E38" s="44"/>
      <c r="F38" s="37">
        <f t="array" ref="F38">IFERROR(INDEX('Hàng hóa'!$E$4:$E$203,MATCH(B38,'Hàng hóa'!$B$4:$B$203,0)),0)</f>
        <v>0</v>
      </c>
      <c r="G38" s="37" t="str">
        <f t="array" ref="G38">IFERROR(INDEX('Hàng hóa'!$F$4:$F$203,MATCH(B38,'Hàng hóa'!$B$4:$B$203,0)),"")</f>
        <v/>
      </c>
      <c r="H38" s="19">
        <f t="array" ref="H38">IFERROR(INDEX('Hàng hóa'!$G$4:$G$203,MATCH(B38,'Hàng hóa'!$B$4:$B$203,0)),0)</f>
        <v>0</v>
      </c>
      <c r="I38" s="7"/>
      <c r="J38" s="47">
        <f t="shared" si="1"/>
        <v>0</v>
      </c>
      <c r="K38" s="19">
        <f t="shared" si="2"/>
        <v>0</v>
      </c>
      <c r="L38" s="23"/>
      <c r="M38" s="23"/>
      <c r="N38" s="2"/>
      <c r="O38" s="18" t="str">
        <f>IF('Hàng hóa'!K39&lt;&gt;"",'Hàng hóa'!K39,"")</f>
        <v/>
      </c>
      <c r="P38" s="2"/>
      <c r="Q38" s="2"/>
      <c r="R38" s="2"/>
      <c r="S38" s="2"/>
      <c r="T38" s="2"/>
      <c r="U38" s="2"/>
      <c r="V38" s="2"/>
      <c r="W38" s="2"/>
    </row>
    <row r="39" ht="15.75" customHeight="1">
      <c r="A39" s="43"/>
      <c r="B39" s="23"/>
      <c r="C39" s="37" t="str">
        <f t="array" ref="C39">IFERROR(INDEX('Hàng hóa'!$A$4:$A$203,MATCH(B39,'Hàng hóa'!$B$4:$B$203,0)),"")</f>
        <v/>
      </c>
      <c r="D39" s="37" t="str">
        <f t="array" ref="D39">IFERROR(INDEX('Hàng hóa'!$C$4:$C$203,MATCH(B39,'Hàng hóa'!$B$4:$B$203,0)),"")</f>
        <v/>
      </c>
      <c r="E39" s="44"/>
      <c r="F39" s="37">
        <f t="array" ref="F39">IFERROR(INDEX('Hàng hóa'!$E$4:$E$203,MATCH(B39,'Hàng hóa'!$B$4:$B$203,0)),0)</f>
        <v>0</v>
      </c>
      <c r="G39" s="37" t="str">
        <f t="array" ref="G39">IFERROR(INDEX('Hàng hóa'!$F$4:$F$203,MATCH(B39,'Hàng hóa'!$B$4:$B$203,0)),"")</f>
        <v/>
      </c>
      <c r="H39" s="19">
        <f t="array" ref="H39">IFERROR(INDEX('Hàng hóa'!$G$4:$G$203,MATCH(B39,'Hàng hóa'!$B$4:$B$203,0)),0)</f>
        <v>0</v>
      </c>
      <c r="I39" s="7"/>
      <c r="J39" s="47">
        <f t="shared" si="1"/>
        <v>0</v>
      </c>
      <c r="K39" s="19">
        <f t="shared" si="2"/>
        <v>0</v>
      </c>
      <c r="L39" s="23"/>
      <c r="M39" s="23"/>
      <c r="N39" s="2"/>
      <c r="O39" s="18" t="str">
        <f>IF('Hàng hóa'!K40&lt;&gt;"",'Hàng hóa'!K40,"")</f>
        <v/>
      </c>
      <c r="P39" s="2"/>
      <c r="Q39" s="2"/>
      <c r="R39" s="2"/>
      <c r="S39" s="2"/>
      <c r="T39" s="2"/>
      <c r="U39" s="2"/>
      <c r="V39" s="2"/>
      <c r="W39" s="2"/>
    </row>
    <row r="40" ht="15.75" customHeight="1">
      <c r="A40" s="43"/>
      <c r="B40" s="23"/>
      <c r="C40" s="37" t="str">
        <f t="array" ref="C40">IFERROR(INDEX('Hàng hóa'!$A$4:$A$203,MATCH(B40,'Hàng hóa'!$B$4:$B$203,0)),"")</f>
        <v/>
      </c>
      <c r="D40" s="37" t="str">
        <f t="array" ref="D40">IFERROR(INDEX('Hàng hóa'!$C$4:$C$203,MATCH(B40,'Hàng hóa'!$B$4:$B$203,0)),"")</f>
        <v/>
      </c>
      <c r="E40" s="44"/>
      <c r="F40" s="37">
        <f t="array" ref="F40">IFERROR(INDEX('Hàng hóa'!$E$4:$E$203,MATCH(B40,'Hàng hóa'!$B$4:$B$203,0)),0)</f>
        <v>0</v>
      </c>
      <c r="G40" s="37" t="str">
        <f t="array" ref="G40">IFERROR(INDEX('Hàng hóa'!$F$4:$F$203,MATCH(B40,'Hàng hóa'!$B$4:$B$203,0)),"")</f>
        <v/>
      </c>
      <c r="H40" s="19">
        <f t="array" ref="H40">IFERROR(INDEX('Hàng hóa'!$G$4:$G$203,MATCH(B40,'Hàng hóa'!$B$4:$B$203,0)),0)</f>
        <v>0</v>
      </c>
      <c r="I40" s="7"/>
      <c r="J40" s="47">
        <f t="shared" si="1"/>
        <v>0</v>
      </c>
      <c r="K40" s="19">
        <f t="shared" si="2"/>
        <v>0</v>
      </c>
      <c r="L40" s="23"/>
      <c r="M40" s="23"/>
      <c r="N40" s="2"/>
      <c r="O40" s="18" t="str">
        <f>IF('Hàng hóa'!K41&lt;&gt;"",'Hàng hóa'!K41,"")</f>
        <v/>
      </c>
      <c r="P40" s="2"/>
      <c r="Q40" s="2"/>
      <c r="R40" s="2"/>
      <c r="S40" s="2"/>
      <c r="T40" s="2"/>
      <c r="U40" s="2"/>
      <c r="V40" s="2"/>
      <c r="W40" s="2"/>
    </row>
    <row r="41" ht="15.75" customHeight="1">
      <c r="A41" s="43"/>
      <c r="B41" s="23"/>
      <c r="C41" s="37" t="str">
        <f t="array" ref="C41">IFERROR(INDEX('Hàng hóa'!$A$4:$A$203,MATCH(B41,'Hàng hóa'!$B$4:$B$203,0)),"")</f>
        <v/>
      </c>
      <c r="D41" s="37" t="str">
        <f t="array" ref="D41">IFERROR(INDEX('Hàng hóa'!$C$4:$C$203,MATCH(B41,'Hàng hóa'!$B$4:$B$203,0)),"")</f>
        <v/>
      </c>
      <c r="E41" s="44"/>
      <c r="F41" s="37">
        <f t="array" ref="F41">IFERROR(INDEX('Hàng hóa'!$E$4:$E$203,MATCH(B41,'Hàng hóa'!$B$4:$B$203,0)),0)</f>
        <v>0</v>
      </c>
      <c r="G41" s="37" t="str">
        <f t="array" ref="G41">IFERROR(INDEX('Hàng hóa'!$F$4:$F$203,MATCH(B41,'Hàng hóa'!$B$4:$B$203,0)),"")</f>
        <v/>
      </c>
      <c r="H41" s="19">
        <f t="array" ref="H41">IFERROR(INDEX('Hàng hóa'!$G$4:$G$203,MATCH(B41,'Hàng hóa'!$B$4:$B$203,0)),0)</f>
        <v>0</v>
      </c>
      <c r="I41" s="7"/>
      <c r="J41" s="47">
        <f t="shared" si="1"/>
        <v>0</v>
      </c>
      <c r="K41" s="19">
        <f t="shared" si="2"/>
        <v>0</v>
      </c>
      <c r="L41" s="23"/>
      <c r="M41" s="23"/>
      <c r="N41" s="2"/>
      <c r="O41" s="18" t="str">
        <f>IF('Hàng hóa'!K42&lt;&gt;"",'Hàng hóa'!K42,"")</f>
        <v/>
      </c>
      <c r="P41" s="2"/>
      <c r="Q41" s="2"/>
      <c r="R41" s="2"/>
      <c r="S41" s="2"/>
      <c r="T41" s="2"/>
      <c r="U41" s="2"/>
      <c r="V41" s="2"/>
      <c r="W41" s="2"/>
    </row>
    <row r="42" ht="15.75" customHeight="1">
      <c r="A42" s="43"/>
      <c r="B42" s="23"/>
      <c r="C42" s="37" t="str">
        <f t="array" ref="C42">IFERROR(INDEX('Hàng hóa'!$A$4:$A$203,MATCH(B42,'Hàng hóa'!$B$4:$B$203,0)),"")</f>
        <v/>
      </c>
      <c r="D42" s="37" t="str">
        <f t="array" ref="D42">IFERROR(INDEX('Hàng hóa'!$C$4:$C$203,MATCH(B42,'Hàng hóa'!$B$4:$B$203,0)),"")</f>
        <v/>
      </c>
      <c r="E42" s="44"/>
      <c r="F42" s="37">
        <f t="array" ref="F42">IFERROR(INDEX('Hàng hóa'!$E$4:$E$203,MATCH(B42,'Hàng hóa'!$B$4:$B$203,0)),0)</f>
        <v>0</v>
      </c>
      <c r="G42" s="37" t="str">
        <f t="array" ref="G42">IFERROR(INDEX('Hàng hóa'!$F$4:$F$203,MATCH(B42,'Hàng hóa'!$B$4:$B$203,0)),"")</f>
        <v/>
      </c>
      <c r="H42" s="19">
        <f t="array" ref="H42">IFERROR(INDEX('Hàng hóa'!$G$4:$G$203,MATCH(B42,'Hàng hóa'!$B$4:$B$203,0)),0)</f>
        <v>0</v>
      </c>
      <c r="I42" s="7"/>
      <c r="J42" s="47">
        <f t="shared" si="1"/>
        <v>0</v>
      </c>
      <c r="K42" s="19">
        <f t="shared" si="2"/>
        <v>0</v>
      </c>
      <c r="L42" s="23"/>
      <c r="M42" s="23"/>
      <c r="N42" s="2"/>
      <c r="O42" s="18" t="str">
        <f>IF('Hàng hóa'!K43&lt;&gt;"",'Hàng hóa'!K43,"")</f>
        <v/>
      </c>
      <c r="P42" s="2"/>
      <c r="Q42" s="2"/>
      <c r="R42" s="2"/>
      <c r="S42" s="2"/>
      <c r="T42" s="2"/>
      <c r="U42" s="2"/>
      <c r="V42" s="2"/>
      <c r="W42" s="2"/>
    </row>
    <row r="43" ht="15.75" customHeight="1">
      <c r="A43" s="43"/>
      <c r="B43" s="23"/>
      <c r="C43" s="37" t="str">
        <f t="array" ref="C43">IFERROR(INDEX('Hàng hóa'!$A$4:$A$203,MATCH(B43,'Hàng hóa'!$B$4:$B$203,0)),"")</f>
        <v/>
      </c>
      <c r="D43" s="37" t="str">
        <f t="array" ref="D43">IFERROR(INDEX('Hàng hóa'!$C$4:$C$203,MATCH(B43,'Hàng hóa'!$B$4:$B$203,0)),"")</f>
        <v/>
      </c>
      <c r="E43" s="44"/>
      <c r="F43" s="37">
        <f t="array" ref="F43">IFERROR(INDEX('Hàng hóa'!$E$4:$E$203,MATCH(B43,'Hàng hóa'!$B$4:$B$203,0)),0)</f>
        <v>0</v>
      </c>
      <c r="G43" s="37" t="str">
        <f t="array" ref="G43">IFERROR(INDEX('Hàng hóa'!$F$4:$F$203,MATCH(B43,'Hàng hóa'!$B$4:$B$203,0)),"")</f>
        <v/>
      </c>
      <c r="H43" s="19">
        <f t="array" ref="H43">IFERROR(INDEX('Hàng hóa'!$G$4:$G$203,MATCH(B43,'Hàng hóa'!$B$4:$B$203,0)),0)</f>
        <v>0</v>
      </c>
      <c r="I43" s="7"/>
      <c r="J43" s="47">
        <f t="shared" si="1"/>
        <v>0</v>
      </c>
      <c r="K43" s="19">
        <f t="shared" si="2"/>
        <v>0</v>
      </c>
      <c r="L43" s="23"/>
      <c r="M43" s="23"/>
      <c r="N43" s="2"/>
      <c r="O43" s="18" t="str">
        <f>IF('Hàng hóa'!K44&lt;&gt;"",'Hàng hóa'!K44,"")</f>
        <v/>
      </c>
      <c r="P43" s="2"/>
      <c r="Q43" s="2"/>
      <c r="R43" s="2"/>
      <c r="S43" s="2"/>
      <c r="T43" s="2"/>
      <c r="U43" s="2"/>
      <c r="V43" s="2"/>
      <c r="W43" s="2"/>
    </row>
    <row r="44" ht="15.75" customHeight="1">
      <c r="A44" s="43"/>
      <c r="B44" s="23"/>
      <c r="C44" s="37" t="str">
        <f t="array" ref="C44">IFERROR(INDEX('Hàng hóa'!$A$4:$A$203,MATCH(B44,'Hàng hóa'!$B$4:$B$203,0)),"")</f>
        <v/>
      </c>
      <c r="D44" s="37" t="str">
        <f t="array" ref="D44">IFERROR(INDEX('Hàng hóa'!$C$4:$C$203,MATCH(B44,'Hàng hóa'!$B$4:$B$203,0)),"")</f>
        <v/>
      </c>
      <c r="E44" s="44"/>
      <c r="F44" s="37">
        <f t="array" ref="F44">IFERROR(INDEX('Hàng hóa'!$E$4:$E$203,MATCH(B44,'Hàng hóa'!$B$4:$B$203,0)),0)</f>
        <v>0</v>
      </c>
      <c r="G44" s="37" t="str">
        <f t="array" ref="G44">IFERROR(INDEX('Hàng hóa'!$F$4:$F$203,MATCH(B44,'Hàng hóa'!$B$4:$B$203,0)),"")</f>
        <v/>
      </c>
      <c r="H44" s="19">
        <f t="array" ref="H44">IFERROR(INDEX('Hàng hóa'!$G$4:$G$203,MATCH(B44,'Hàng hóa'!$B$4:$B$203,0)),0)</f>
        <v>0</v>
      </c>
      <c r="I44" s="7"/>
      <c r="J44" s="47">
        <f t="shared" si="1"/>
        <v>0</v>
      </c>
      <c r="K44" s="19">
        <f t="shared" si="2"/>
        <v>0</v>
      </c>
      <c r="L44" s="23"/>
      <c r="M44" s="23"/>
      <c r="N44" s="2"/>
      <c r="O44" s="18" t="str">
        <f>IF('Hàng hóa'!K45&lt;&gt;"",'Hàng hóa'!K45,"")</f>
        <v/>
      </c>
      <c r="P44" s="2"/>
      <c r="Q44" s="2"/>
      <c r="R44" s="2"/>
      <c r="S44" s="2"/>
      <c r="T44" s="2"/>
      <c r="U44" s="2"/>
      <c r="V44" s="2"/>
      <c r="W44" s="2"/>
    </row>
    <row r="45" ht="15.75" customHeight="1">
      <c r="A45" s="43"/>
      <c r="B45" s="23"/>
      <c r="C45" s="37" t="str">
        <f t="array" ref="C45">IFERROR(INDEX('Hàng hóa'!$A$4:$A$203,MATCH(B45,'Hàng hóa'!$B$4:$B$203,0)),"")</f>
        <v/>
      </c>
      <c r="D45" s="37" t="str">
        <f t="array" ref="D45">IFERROR(INDEX('Hàng hóa'!$C$4:$C$203,MATCH(B45,'Hàng hóa'!$B$4:$B$203,0)),"")</f>
        <v/>
      </c>
      <c r="E45" s="44"/>
      <c r="F45" s="37">
        <f t="array" ref="F45">IFERROR(INDEX('Hàng hóa'!$E$4:$E$203,MATCH(B45,'Hàng hóa'!$B$4:$B$203,0)),0)</f>
        <v>0</v>
      </c>
      <c r="G45" s="37" t="str">
        <f t="array" ref="G45">IFERROR(INDEX('Hàng hóa'!$F$4:$F$203,MATCH(B45,'Hàng hóa'!$B$4:$B$203,0)),"")</f>
        <v/>
      </c>
      <c r="H45" s="19">
        <f t="array" ref="H45">IFERROR(INDEX('Hàng hóa'!$G$4:$G$203,MATCH(B45,'Hàng hóa'!$B$4:$B$203,0)),0)</f>
        <v>0</v>
      </c>
      <c r="I45" s="7"/>
      <c r="J45" s="47">
        <f t="shared" si="1"/>
        <v>0</v>
      </c>
      <c r="K45" s="19">
        <f t="shared" si="2"/>
        <v>0</v>
      </c>
      <c r="L45" s="23"/>
      <c r="M45" s="23"/>
      <c r="N45" s="2"/>
      <c r="O45" s="18" t="str">
        <f>IF('Hàng hóa'!K46&lt;&gt;"",'Hàng hóa'!K46,"")</f>
        <v/>
      </c>
      <c r="P45" s="2"/>
      <c r="Q45" s="2"/>
      <c r="R45" s="2"/>
      <c r="S45" s="2"/>
      <c r="T45" s="2"/>
      <c r="U45" s="2"/>
      <c r="V45" s="2"/>
      <c r="W45" s="2"/>
    </row>
    <row r="46" ht="15.75" customHeight="1">
      <c r="A46" s="43"/>
      <c r="B46" s="23"/>
      <c r="C46" s="37" t="str">
        <f t="array" ref="C46">IFERROR(INDEX('Hàng hóa'!$A$4:$A$203,MATCH(B46,'Hàng hóa'!$B$4:$B$203,0)),"")</f>
        <v/>
      </c>
      <c r="D46" s="37" t="str">
        <f t="array" ref="D46">IFERROR(INDEX('Hàng hóa'!$C$4:$C$203,MATCH(B46,'Hàng hóa'!$B$4:$B$203,0)),"")</f>
        <v/>
      </c>
      <c r="E46" s="44"/>
      <c r="F46" s="37">
        <f t="array" ref="F46">IFERROR(INDEX('Hàng hóa'!$E$4:$E$203,MATCH(B46,'Hàng hóa'!$B$4:$B$203,0)),0)</f>
        <v>0</v>
      </c>
      <c r="G46" s="37" t="str">
        <f t="array" ref="G46">IFERROR(INDEX('Hàng hóa'!$F$4:$F$203,MATCH(B46,'Hàng hóa'!$B$4:$B$203,0)),"")</f>
        <v/>
      </c>
      <c r="H46" s="19">
        <f t="array" ref="H46">IFERROR(INDEX('Hàng hóa'!$G$4:$G$203,MATCH(B46,'Hàng hóa'!$B$4:$B$203,0)),0)</f>
        <v>0</v>
      </c>
      <c r="I46" s="7"/>
      <c r="J46" s="47">
        <f t="shared" si="1"/>
        <v>0</v>
      </c>
      <c r="K46" s="19">
        <f t="shared" si="2"/>
        <v>0</v>
      </c>
      <c r="L46" s="23"/>
      <c r="M46" s="23"/>
      <c r="N46" s="2"/>
      <c r="O46" s="18" t="str">
        <f>IF('Hàng hóa'!K47&lt;&gt;"",'Hàng hóa'!K47,"")</f>
        <v/>
      </c>
      <c r="P46" s="2"/>
      <c r="Q46" s="2"/>
      <c r="R46" s="2"/>
      <c r="S46" s="2"/>
      <c r="T46" s="2"/>
      <c r="U46" s="2"/>
      <c r="V46" s="2"/>
      <c r="W46" s="2"/>
    </row>
    <row r="47" ht="15.75" customHeight="1">
      <c r="A47" s="43"/>
      <c r="B47" s="23"/>
      <c r="C47" s="37" t="str">
        <f t="array" ref="C47">IFERROR(INDEX('Hàng hóa'!$A$4:$A$203,MATCH(B47,'Hàng hóa'!$B$4:$B$203,0)),"")</f>
        <v/>
      </c>
      <c r="D47" s="37" t="str">
        <f t="array" ref="D47">IFERROR(INDEX('Hàng hóa'!$C$4:$C$203,MATCH(B47,'Hàng hóa'!$B$4:$B$203,0)),"")</f>
        <v/>
      </c>
      <c r="E47" s="44"/>
      <c r="F47" s="37">
        <f t="array" ref="F47">IFERROR(INDEX('Hàng hóa'!$E$4:$E$203,MATCH(B47,'Hàng hóa'!$B$4:$B$203,0)),0)</f>
        <v>0</v>
      </c>
      <c r="G47" s="37" t="str">
        <f t="array" ref="G47">IFERROR(INDEX('Hàng hóa'!$F$4:$F$203,MATCH(B47,'Hàng hóa'!$B$4:$B$203,0)),"")</f>
        <v/>
      </c>
      <c r="H47" s="19">
        <f t="array" ref="H47">IFERROR(INDEX('Hàng hóa'!$G$4:$G$203,MATCH(B47,'Hàng hóa'!$B$4:$B$203,0)),0)</f>
        <v>0</v>
      </c>
      <c r="I47" s="7"/>
      <c r="J47" s="47">
        <f t="shared" si="1"/>
        <v>0</v>
      </c>
      <c r="K47" s="19">
        <f t="shared" si="2"/>
        <v>0</v>
      </c>
      <c r="L47" s="23"/>
      <c r="M47" s="23"/>
      <c r="N47" s="2"/>
      <c r="O47" s="18" t="str">
        <f>IF('Hàng hóa'!K48&lt;&gt;"",'Hàng hóa'!K48,"")</f>
        <v/>
      </c>
      <c r="P47" s="2"/>
      <c r="Q47" s="2"/>
      <c r="R47" s="2"/>
      <c r="S47" s="2"/>
      <c r="T47" s="2"/>
      <c r="U47" s="2"/>
      <c r="V47" s="2"/>
      <c r="W47" s="2"/>
    </row>
    <row r="48" ht="15.75" customHeight="1">
      <c r="A48" s="43"/>
      <c r="B48" s="23"/>
      <c r="C48" s="37" t="str">
        <f t="array" ref="C48">IFERROR(INDEX('Hàng hóa'!$A$4:$A$203,MATCH(B48,'Hàng hóa'!$B$4:$B$203,0)),"")</f>
        <v/>
      </c>
      <c r="D48" s="37" t="str">
        <f t="array" ref="D48">IFERROR(INDEX('Hàng hóa'!$C$4:$C$203,MATCH(B48,'Hàng hóa'!$B$4:$B$203,0)),"")</f>
        <v/>
      </c>
      <c r="E48" s="44"/>
      <c r="F48" s="37">
        <f t="array" ref="F48">IFERROR(INDEX('Hàng hóa'!$E$4:$E$203,MATCH(B48,'Hàng hóa'!$B$4:$B$203,0)),0)</f>
        <v>0</v>
      </c>
      <c r="G48" s="37" t="str">
        <f t="array" ref="G48">IFERROR(INDEX('Hàng hóa'!$F$4:$F$203,MATCH(B48,'Hàng hóa'!$B$4:$B$203,0)),"")</f>
        <v/>
      </c>
      <c r="H48" s="19">
        <f t="array" ref="H48">IFERROR(INDEX('Hàng hóa'!$G$4:$G$203,MATCH(B48,'Hàng hóa'!$B$4:$B$203,0)),0)</f>
        <v>0</v>
      </c>
      <c r="I48" s="7"/>
      <c r="J48" s="47">
        <f t="shared" si="1"/>
        <v>0</v>
      </c>
      <c r="K48" s="19">
        <f t="shared" si="2"/>
        <v>0</v>
      </c>
      <c r="L48" s="23"/>
      <c r="M48" s="23"/>
      <c r="N48" s="2"/>
      <c r="O48" s="18" t="str">
        <f>IF('Hàng hóa'!K49&lt;&gt;"",'Hàng hóa'!K49,"")</f>
        <v/>
      </c>
      <c r="P48" s="2"/>
      <c r="Q48" s="2"/>
      <c r="R48" s="2"/>
      <c r="S48" s="2"/>
      <c r="T48" s="2"/>
      <c r="U48" s="2"/>
      <c r="V48" s="2"/>
      <c r="W48" s="2"/>
    </row>
    <row r="49" ht="15.75" customHeight="1">
      <c r="A49" s="43"/>
      <c r="B49" s="23"/>
      <c r="C49" s="37" t="str">
        <f t="array" ref="C49">IFERROR(INDEX('Hàng hóa'!$A$4:$A$203,MATCH(B49,'Hàng hóa'!$B$4:$B$203,0)),"")</f>
        <v/>
      </c>
      <c r="D49" s="37" t="str">
        <f t="array" ref="D49">IFERROR(INDEX('Hàng hóa'!$C$4:$C$203,MATCH(B49,'Hàng hóa'!$B$4:$B$203,0)),"")</f>
        <v/>
      </c>
      <c r="E49" s="44"/>
      <c r="F49" s="37">
        <f t="array" ref="F49">IFERROR(INDEX('Hàng hóa'!$E$4:$E$203,MATCH(B49,'Hàng hóa'!$B$4:$B$203,0)),0)</f>
        <v>0</v>
      </c>
      <c r="G49" s="37" t="str">
        <f t="array" ref="G49">IFERROR(INDEX('Hàng hóa'!$F$4:$F$203,MATCH(B49,'Hàng hóa'!$B$4:$B$203,0)),"")</f>
        <v/>
      </c>
      <c r="H49" s="19">
        <f t="array" ref="H49">IFERROR(INDEX('Hàng hóa'!$G$4:$G$203,MATCH(B49,'Hàng hóa'!$B$4:$B$203,0)),0)</f>
        <v>0</v>
      </c>
      <c r="I49" s="7"/>
      <c r="J49" s="47">
        <f t="shared" si="1"/>
        <v>0</v>
      </c>
      <c r="K49" s="19">
        <f t="shared" si="2"/>
        <v>0</v>
      </c>
      <c r="L49" s="23"/>
      <c r="M49" s="23"/>
      <c r="N49" s="2"/>
      <c r="O49" s="18" t="str">
        <f>IF('Hàng hóa'!K50&lt;&gt;"",'Hàng hóa'!K50,"")</f>
        <v/>
      </c>
      <c r="P49" s="2"/>
      <c r="Q49" s="2"/>
      <c r="R49" s="2"/>
      <c r="S49" s="2"/>
      <c r="T49" s="2"/>
      <c r="U49" s="2"/>
      <c r="V49" s="2"/>
      <c r="W49" s="2"/>
    </row>
    <row r="50" ht="15.75" customHeight="1">
      <c r="A50" s="43"/>
      <c r="B50" s="23"/>
      <c r="C50" s="37" t="str">
        <f t="array" ref="C50">IFERROR(INDEX('Hàng hóa'!$A$4:$A$203,MATCH(B50,'Hàng hóa'!$B$4:$B$203,0)),"")</f>
        <v/>
      </c>
      <c r="D50" s="37" t="str">
        <f t="array" ref="D50">IFERROR(INDEX('Hàng hóa'!$C$4:$C$203,MATCH(B50,'Hàng hóa'!$B$4:$B$203,0)),"")</f>
        <v/>
      </c>
      <c r="E50" s="44"/>
      <c r="F50" s="37">
        <f t="array" ref="F50">IFERROR(INDEX('Hàng hóa'!$E$4:$E$203,MATCH(B50,'Hàng hóa'!$B$4:$B$203,0)),0)</f>
        <v>0</v>
      </c>
      <c r="G50" s="37" t="str">
        <f t="array" ref="G50">IFERROR(INDEX('Hàng hóa'!$F$4:$F$203,MATCH(B50,'Hàng hóa'!$B$4:$B$203,0)),"")</f>
        <v/>
      </c>
      <c r="H50" s="19">
        <f t="array" ref="H50">IFERROR(INDEX('Hàng hóa'!$G$4:$G$203,MATCH(B50,'Hàng hóa'!$B$4:$B$203,0)),0)</f>
        <v>0</v>
      </c>
      <c r="I50" s="7"/>
      <c r="J50" s="47">
        <f t="shared" si="1"/>
        <v>0</v>
      </c>
      <c r="K50" s="19">
        <f t="shared" si="2"/>
        <v>0</v>
      </c>
      <c r="L50" s="23"/>
      <c r="M50" s="23"/>
      <c r="N50" s="2"/>
      <c r="O50" s="18" t="str">
        <f>IF('Hàng hóa'!K51&lt;&gt;"",'Hàng hóa'!K51,"")</f>
        <v/>
      </c>
      <c r="P50" s="2"/>
      <c r="Q50" s="2"/>
      <c r="R50" s="2"/>
      <c r="S50" s="2"/>
      <c r="T50" s="2"/>
      <c r="U50" s="2"/>
      <c r="V50" s="2"/>
      <c r="W50" s="2"/>
    </row>
    <row r="51" ht="15.75" customHeight="1">
      <c r="A51" s="43"/>
      <c r="B51" s="23"/>
      <c r="C51" s="37" t="str">
        <f t="array" ref="C51">IFERROR(INDEX('Hàng hóa'!$A$4:$A$203,MATCH(B51,'Hàng hóa'!$B$4:$B$203,0)),"")</f>
        <v/>
      </c>
      <c r="D51" s="37" t="str">
        <f t="array" ref="D51">IFERROR(INDEX('Hàng hóa'!$C$4:$C$203,MATCH(B51,'Hàng hóa'!$B$4:$B$203,0)),"")</f>
        <v/>
      </c>
      <c r="E51" s="44"/>
      <c r="F51" s="37">
        <f t="array" ref="F51">IFERROR(INDEX('Hàng hóa'!$E$4:$E$203,MATCH(B51,'Hàng hóa'!$B$4:$B$203,0)),0)</f>
        <v>0</v>
      </c>
      <c r="G51" s="37" t="str">
        <f t="array" ref="G51">IFERROR(INDEX('Hàng hóa'!$F$4:$F$203,MATCH(B51,'Hàng hóa'!$B$4:$B$203,0)),"")</f>
        <v/>
      </c>
      <c r="H51" s="19">
        <f t="array" ref="H51">IFERROR(INDEX('Hàng hóa'!$G$4:$G$203,MATCH(B51,'Hàng hóa'!$B$4:$B$203,0)),0)</f>
        <v>0</v>
      </c>
      <c r="I51" s="7"/>
      <c r="J51" s="47">
        <f t="shared" si="1"/>
        <v>0</v>
      </c>
      <c r="K51" s="19">
        <f t="shared" si="2"/>
        <v>0</v>
      </c>
      <c r="L51" s="23"/>
      <c r="M51" s="23"/>
      <c r="N51" s="2"/>
      <c r="O51" s="18" t="str">
        <f>IF('Hàng hóa'!K52&lt;&gt;"",'Hàng hóa'!K52,"")</f>
        <v/>
      </c>
      <c r="P51" s="2"/>
      <c r="Q51" s="2"/>
      <c r="R51" s="2"/>
      <c r="S51" s="2"/>
      <c r="T51" s="2"/>
      <c r="U51" s="2"/>
      <c r="V51" s="2"/>
      <c r="W51" s="2"/>
    </row>
    <row r="52" ht="15.75" customHeight="1">
      <c r="A52" s="43"/>
      <c r="B52" s="23"/>
      <c r="C52" s="37" t="str">
        <f t="array" ref="C52">IFERROR(INDEX('Hàng hóa'!$A$4:$A$203,MATCH(B52,'Hàng hóa'!$B$4:$B$203,0)),"")</f>
        <v/>
      </c>
      <c r="D52" s="37" t="str">
        <f t="array" ref="D52">IFERROR(INDEX('Hàng hóa'!$C$4:$C$203,MATCH(B52,'Hàng hóa'!$B$4:$B$203,0)),"")</f>
        <v/>
      </c>
      <c r="E52" s="44"/>
      <c r="F52" s="37">
        <f t="array" ref="F52">IFERROR(INDEX('Hàng hóa'!$E$4:$E$203,MATCH(B52,'Hàng hóa'!$B$4:$B$203,0)),0)</f>
        <v>0</v>
      </c>
      <c r="G52" s="37" t="str">
        <f t="array" ref="G52">IFERROR(INDEX('Hàng hóa'!$F$4:$F$203,MATCH(B52,'Hàng hóa'!$B$4:$B$203,0)),"")</f>
        <v/>
      </c>
      <c r="H52" s="19">
        <f t="array" ref="H52">IFERROR(INDEX('Hàng hóa'!$G$4:$G$203,MATCH(B52,'Hàng hóa'!$B$4:$B$203,0)),0)</f>
        <v>0</v>
      </c>
      <c r="I52" s="7"/>
      <c r="J52" s="47">
        <f t="shared" si="1"/>
        <v>0</v>
      </c>
      <c r="K52" s="19">
        <f t="shared" si="2"/>
        <v>0</v>
      </c>
      <c r="L52" s="23"/>
      <c r="M52" s="23"/>
      <c r="N52" s="2"/>
      <c r="O52" s="18" t="str">
        <f>IF('Hàng hóa'!K53&lt;&gt;"",'Hàng hóa'!K53,"")</f>
        <v/>
      </c>
      <c r="P52" s="2"/>
      <c r="Q52" s="2"/>
      <c r="R52" s="2"/>
      <c r="S52" s="2"/>
      <c r="T52" s="2"/>
      <c r="U52" s="2"/>
      <c r="V52" s="2"/>
      <c r="W52" s="2"/>
    </row>
    <row r="53" ht="15.75" customHeight="1">
      <c r="A53" s="43"/>
      <c r="B53" s="23"/>
      <c r="C53" s="37" t="str">
        <f t="array" ref="C53">IFERROR(INDEX('Hàng hóa'!$A$4:$A$203,MATCH(B53,'Hàng hóa'!$B$4:$B$203,0)),"")</f>
        <v/>
      </c>
      <c r="D53" s="37" t="str">
        <f t="array" ref="D53">IFERROR(INDEX('Hàng hóa'!$C$4:$C$203,MATCH(B53,'Hàng hóa'!$B$4:$B$203,0)),"")</f>
        <v/>
      </c>
      <c r="E53" s="44"/>
      <c r="F53" s="37">
        <f t="array" ref="F53">IFERROR(INDEX('Hàng hóa'!$E$4:$E$203,MATCH(B53,'Hàng hóa'!$B$4:$B$203,0)),0)</f>
        <v>0</v>
      </c>
      <c r="G53" s="37" t="str">
        <f t="array" ref="G53">IFERROR(INDEX('Hàng hóa'!$F$4:$F$203,MATCH(B53,'Hàng hóa'!$B$4:$B$203,0)),"")</f>
        <v/>
      </c>
      <c r="H53" s="19">
        <f t="array" ref="H53">IFERROR(INDEX('Hàng hóa'!$G$4:$G$203,MATCH(B53,'Hàng hóa'!$B$4:$B$203,0)),0)</f>
        <v>0</v>
      </c>
      <c r="I53" s="7"/>
      <c r="J53" s="47">
        <f t="shared" si="1"/>
        <v>0</v>
      </c>
      <c r="K53" s="19">
        <f t="shared" si="2"/>
        <v>0</v>
      </c>
      <c r="L53" s="23"/>
      <c r="M53" s="23"/>
      <c r="N53" s="2"/>
      <c r="O53" s="18" t="str">
        <f>IF('Hàng hóa'!K54&lt;&gt;"",'Hàng hóa'!K54,"")</f>
        <v/>
      </c>
      <c r="P53" s="2"/>
      <c r="Q53" s="2"/>
      <c r="R53" s="2"/>
      <c r="S53" s="2"/>
      <c r="T53" s="2"/>
      <c r="U53" s="2"/>
      <c r="V53" s="2"/>
      <c r="W53" s="2"/>
    </row>
    <row r="54" ht="15.75" customHeight="1">
      <c r="A54" s="43"/>
      <c r="B54" s="23"/>
      <c r="C54" s="37" t="str">
        <f t="array" ref="C54">IFERROR(INDEX('Hàng hóa'!$A$4:$A$203,MATCH(B54,'Hàng hóa'!$B$4:$B$203,0)),"")</f>
        <v/>
      </c>
      <c r="D54" s="37" t="str">
        <f t="array" ref="D54">IFERROR(INDEX('Hàng hóa'!$C$4:$C$203,MATCH(B54,'Hàng hóa'!$B$4:$B$203,0)),"")</f>
        <v/>
      </c>
      <c r="E54" s="44"/>
      <c r="F54" s="37">
        <f t="array" ref="F54">IFERROR(INDEX('Hàng hóa'!$E$4:$E$203,MATCH(B54,'Hàng hóa'!$B$4:$B$203,0)),0)</f>
        <v>0</v>
      </c>
      <c r="G54" s="37" t="str">
        <f t="array" ref="G54">IFERROR(INDEX('Hàng hóa'!$F$4:$F$203,MATCH(B54,'Hàng hóa'!$B$4:$B$203,0)),"")</f>
        <v/>
      </c>
      <c r="H54" s="19">
        <f t="array" ref="H54">IFERROR(INDEX('Hàng hóa'!$G$4:$G$203,MATCH(B54,'Hàng hóa'!$B$4:$B$203,0)),0)</f>
        <v>0</v>
      </c>
      <c r="I54" s="7"/>
      <c r="J54" s="47">
        <f t="shared" si="1"/>
        <v>0</v>
      </c>
      <c r="K54" s="19">
        <f t="shared" si="2"/>
        <v>0</v>
      </c>
      <c r="L54" s="23"/>
      <c r="M54" s="23"/>
      <c r="N54" s="2"/>
      <c r="O54" s="18" t="str">
        <f>IF('Hàng hóa'!K55&lt;&gt;"",'Hàng hóa'!K55,"")</f>
        <v/>
      </c>
      <c r="P54" s="2"/>
      <c r="Q54" s="2"/>
      <c r="R54" s="2"/>
      <c r="S54" s="2"/>
      <c r="T54" s="2"/>
      <c r="U54" s="2"/>
      <c r="V54" s="2"/>
      <c r="W54" s="2"/>
    </row>
    <row r="55" ht="15.75" customHeight="1">
      <c r="A55" s="43"/>
      <c r="B55" s="23"/>
      <c r="C55" s="37" t="str">
        <f t="array" ref="C55">IFERROR(INDEX('Hàng hóa'!$A$4:$A$203,MATCH(B55,'Hàng hóa'!$B$4:$B$203,0)),"")</f>
        <v/>
      </c>
      <c r="D55" s="37" t="str">
        <f t="array" ref="D55">IFERROR(INDEX('Hàng hóa'!$C$4:$C$203,MATCH(B55,'Hàng hóa'!$B$4:$B$203,0)),"")</f>
        <v/>
      </c>
      <c r="E55" s="44"/>
      <c r="F55" s="37">
        <f t="array" ref="F55">IFERROR(INDEX('Hàng hóa'!$E$4:$E$203,MATCH(B55,'Hàng hóa'!$B$4:$B$203,0)),0)</f>
        <v>0</v>
      </c>
      <c r="G55" s="37" t="str">
        <f t="array" ref="G55">IFERROR(INDEX('Hàng hóa'!$F$4:$F$203,MATCH(B55,'Hàng hóa'!$B$4:$B$203,0)),"")</f>
        <v/>
      </c>
      <c r="H55" s="19">
        <f t="array" ref="H55">IFERROR(INDEX('Hàng hóa'!$G$4:$G$203,MATCH(B55,'Hàng hóa'!$B$4:$B$203,0)),0)</f>
        <v>0</v>
      </c>
      <c r="I55" s="7"/>
      <c r="J55" s="47">
        <f t="shared" si="1"/>
        <v>0</v>
      </c>
      <c r="K55" s="19">
        <f t="shared" si="2"/>
        <v>0</v>
      </c>
      <c r="L55" s="23"/>
      <c r="M55" s="23"/>
      <c r="N55" s="2"/>
      <c r="O55" s="18" t="str">
        <f>IF('Hàng hóa'!K56&lt;&gt;"",'Hàng hóa'!K56,"")</f>
        <v/>
      </c>
      <c r="P55" s="2"/>
      <c r="Q55" s="2"/>
      <c r="R55" s="2"/>
      <c r="S55" s="2"/>
      <c r="T55" s="2"/>
      <c r="U55" s="2"/>
      <c r="V55" s="2"/>
      <c r="W55" s="2"/>
    </row>
    <row r="56" ht="15.75" customHeight="1">
      <c r="A56" s="43"/>
      <c r="B56" s="23"/>
      <c r="C56" s="37" t="str">
        <f t="array" ref="C56">IFERROR(INDEX('Hàng hóa'!$A$4:$A$203,MATCH(B56,'Hàng hóa'!$B$4:$B$203,0)),"")</f>
        <v/>
      </c>
      <c r="D56" s="37" t="str">
        <f t="array" ref="D56">IFERROR(INDEX('Hàng hóa'!$C$4:$C$203,MATCH(B56,'Hàng hóa'!$B$4:$B$203,0)),"")</f>
        <v/>
      </c>
      <c r="E56" s="44"/>
      <c r="F56" s="37">
        <f t="array" ref="F56">IFERROR(INDEX('Hàng hóa'!$E$4:$E$203,MATCH(B56,'Hàng hóa'!$B$4:$B$203,0)),0)</f>
        <v>0</v>
      </c>
      <c r="G56" s="37" t="str">
        <f t="array" ref="G56">IFERROR(INDEX('Hàng hóa'!$F$4:$F$203,MATCH(B56,'Hàng hóa'!$B$4:$B$203,0)),"")</f>
        <v/>
      </c>
      <c r="H56" s="19">
        <f t="array" ref="H56">IFERROR(INDEX('Hàng hóa'!$G$4:$G$203,MATCH(B56,'Hàng hóa'!$B$4:$B$203,0)),0)</f>
        <v>0</v>
      </c>
      <c r="I56" s="7"/>
      <c r="J56" s="47">
        <f t="shared" si="1"/>
        <v>0</v>
      </c>
      <c r="K56" s="19">
        <f t="shared" si="2"/>
        <v>0</v>
      </c>
      <c r="L56" s="23"/>
      <c r="M56" s="23"/>
      <c r="N56" s="2"/>
      <c r="O56" s="18" t="str">
        <f>IF('Hàng hóa'!K57&lt;&gt;"",'Hàng hóa'!K57,"")</f>
        <v/>
      </c>
      <c r="P56" s="2"/>
      <c r="Q56" s="2"/>
      <c r="R56" s="2"/>
      <c r="S56" s="2"/>
      <c r="T56" s="2"/>
      <c r="U56" s="2"/>
      <c r="V56" s="2"/>
      <c r="W56" s="2"/>
    </row>
    <row r="57" ht="15.75" customHeight="1">
      <c r="A57" s="43"/>
      <c r="B57" s="23"/>
      <c r="C57" s="37" t="str">
        <f t="array" ref="C57">IFERROR(INDEX('Hàng hóa'!$A$4:$A$203,MATCH(B57,'Hàng hóa'!$B$4:$B$203,0)),"")</f>
        <v/>
      </c>
      <c r="D57" s="37" t="str">
        <f t="array" ref="D57">IFERROR(INDEX('Hàng hóa'!$C$4:$C$203,MATCH(B57,'Hàng hóa'!$B$4:$B$203,0)),"")</f>
        <v/>
      </c>
      <c r="E57" s="44"/>
      <c r="F57" s="37">
        <f t="array" ref="F57">IFERROR(INDEX('Hàng hóa'!$E$4:$E$203,MATCH(B57,'Hàng hóa'!$B$4:$B$203,0)),0)</f>
        <v>0</v>
      </c>
      <c r="G57" s="37" t="str">
        <f t="array" ref="G57">IFERROR(INDEX('Hàng hóa'!$F$4:$F$203,MATCH(B57,'Hàng hóa'!$B$4:$B$203,0)),"")</f>
        <v/>
      </c>
      <c r="H57" s="19">
        <f t="array" ref="H57">IFERROR(INDEX('Hàng hóa'!$G$4:$G$203,MATCH(B57,'Hàng hóa'!$B$4:$B$203,0)),0)</f>
        <v>0</v>
      </c>
      <c r="I57" s="7"/>
      <c r="J57" s="47">
        <f t="shared" si="1"/>
        <v>0</v>
      </c>
      <c r="K57" s="19">
        <f t="shared" si="2"/>
        <v>0</v>
      </c>
      <c r="L57" s="23"/>
      <c r="M57" s="23"/>
      <c r="N57" s="2"/>
      <c r="O57" s="18" t="str">
        <f>IF('Hàng hóa'!K58&lt;&gt;"",'Hàng hóa'!K58,"")</f>
        <v/>
      </c>
      <c r="P57" s="2"/>
      <c r="Q57" s="2"/>
      <c r="R57" s="2"/>
      <c r="S57" s="2"/>
      <c r="T57" s="2"/>
      <c r="U57" s="2"/>
      <c r="V57" s="2"/>
      <c r="W57" s="2"/>
    </row>
    <row r="58" ht="15.75" customHeight="1">
      <c r="A58" s="43"/>
      <c r="B58" s="23"/>
      <c r="C58" s="37" t="str">
        <f t="array" ref="C58">IFERROR(INDEX('Hàng hóa'!$A$4:$A$203,MATCH(B58,'Hàng hóa'!$B$4:$B$203,0)),"")</f>
        <v/>
      </c>
      <c r="D58" s="37" t="str">
        <f t="array" ref="D58">IFERROR(INDEX('Hàng hóa'!$C$4:$C$203,MATCH(B58,'Hàng hóa'!$B$4:$B$203,0)),"")</f>
        <v/>
      </c>
      <c r="E58" s="44"/>
      <c r="F58" s="37">
        <f t="array" ref="F58">IFERROR(INDEX('Hàng hóa'!$E$4:$E$203,MATCH(B58,'Hàng hóa'!$B$4:$B$203,0)),0)</f>
        <v>0</v>
      </c>
      <c r="G58" s="37" t="str">
        <f t="array" ref="G58">IFERROR(INDEX('Hàng hóa'!$F$4:$F$203,MATCH(B58,'Hàng hóa'!$B$4:$B$203,0)),"")</f>
        <v/>
      </c>
      <c r="H58" s="19">
        <f t="array" ref="H58">IFERROR(INDEX('Hàng hóa'!$G$4:$G$203,MATCH(B58,'Hàng hóa'!$B$4:$B$203,0)),0)</f>
        <v>0</v>
      </c>
      <c r="I58" s="7"/>
      <c r="J58" s="47">
        <f t="shared" si="1"/>
        <v>0</v>
      </c>
      <c r="K58" s="19">
        <f t="shared" si="2"/>
        <v>0</v>
      </c>
      <c r="L58" s="23"/>
      <c r="M58" s="23"/>
      <c r="N58" s="2"/>
      <c r="O58" s="18" t="str">
        <f>IF('Hàng hóa'!K59&lt;&gt;"",'Hàng hóa'!K59,"")</f>
        <v/>
      </c>
      <c r="P58" s="2"/>
      <c r="Q58" s="2"/>
      <c r="R58" s="2"/>
      <c r="S58" s="2"/>
      <c r="T58" s="2"/>
      <c r="U58" s="2"/>
      <c r="V58" s="2"/>
      <c r="W58" s="2"/>
    </row>
    <row r="59" ht="15.75" customHeight="1">
      <c r="A59" s="43"/>
      <c r="B59" s="23"/>
      <c r="C59" s="37" t="str">
        <f t="array" ref="C59">IFERROR(INDEX('Hàng hóa'!$A$4:$A$203,MATCH(B59,'Hàng hóa'!$B$4:$B$203,0)),"")</f>
        <v/>
      </c>
      <c r="D59" s="37" t="str">
        <f t="array" ref="D59">IFERROR(INDEX('Hàng hóa'!$C$4:$C$203,MATCH(B59,'Hàng hóa'!$B$4:$B$203,0)),"")</f>
        <v/>
      </c>
      <c r="E59" s="44"/>
      <c r="F59" s="37">
        <f t="array" ref="F59">IFERROR(INDEX('Hàng hóa'!$E$4:$E$203,MATCH(B59,'Hàng hóa'!$B$4:$B$203,0)),0)</f>
        <v>0</v>
      </c>
      <c r="G59" s="37" t="str">
        <f t="array" ref="G59">IFERROR(INDEX('Hàng hóa'!$F$4:$F$203,MATCH(B59,'Hàng hóa'!$B$4:$B$203,0)),"")</f>
        <v/>
      </c>
      <c r="H59" s="19">
        <f t="array" ref="H59">IFERROR(INDEX('Hàng hóa'!$G$4:$G$203,MATCH(B59,'Hàng hóa'!$B$4:$B$203,0)),0)</f>
        <v>0</v>
      </c>
      <c r="I59" s="7"/>
      <c r="J59" s="47">
        <f t="shared" si="1"/>
        <v>0</v>
      </c>
      <c r="K59" s="19">
        <f t="shared" si="2"/>
        <v>0</v>
      </c>
      <c r="L59" s="23"/>
      <c r="M59" s="23"/>
      <c r="N59" s="2"/>
      <c r="O59" s="18" t="str">
        <f>IF('Hàng hóa'!K60&lt;&gt;"",'Hàng hóa'!K60,"")</f>
        <v/>
      </c>
      <c r="P59" s="2"/>
      <c r="Q59" s="2"/>
      <c r="R59" s="2"/>
      <c r="S59" s="2"/>
      <c r="T59" s="2"/>
      <c r="U59" s="2"/>
      <c r="V59" s="2"/>
      <c r="W59" s="2"/>
    </row>
    <row r="60" ht="15.75" customHeight="1">
      <c r="A60" s="43"/>
      <c r="B60" s="23"/>
      <c r="C60" s="37" t="str">
        <f t="array" ref="C60">IFERROR(INDEX('Hàng hóa'!$A$4:$A$203,MATCH(B60,'Hàng hóa'!$B$4:$B$203,0)),"")</f>
        <v/>
      </c>
      <c r="D60" s="37" t="str">
        <f t="array" ref="D60">IFERROR(INDEX('Hàng hóa'!$C$4:$C$203,MATCH(B60,'Hàng hóa'!$B$4:$B$203,0)),"")</f>
        <v/>
      </c>
      <c r="E60" s="44"/>
      <c r="F60" s="37">
        <f t="array" ref="F60">IFERROR(INDEX('Hàng hóa'!$E$4:$E$203,MATCH(B60,'Hàng hóa'!$B$4:$B$203,0)),0)</f>
        <v>0</v>
      </c>
      <c r="G60" s="37" t="str">
        <f t="array" ref="G60">IFERROR(INDEX('Hàng hóa'!$F$4:$F$203,MATCH(B60,'Hàng hóa'!$B$4:$B$203,0)),"")</f>
        <v/>
      </c>
      <c r="H60" s="19">
        <f t="array" ref="H60">IFERROR(INDEX('Hàng hóa'!$G$4:$G$203,MATCH(B60,'Hàng hóa'!$B$4:$B$203,0)),0)</f>
        <v>0</v>
      </c>
      <c r="I60" s="7"/>
      <c r="J60" s="47">
        <f t="shared" si="1"/>
        <v>0</v>
      </c>
      <c r="K60" s="19">
        <f t="shared" si="2"/>
        <v>0</v>
      </c>
      <c r="L60" s="23"/>
      <c r="M60" s="23"/>
      <c r="N60" s="2"/>
      <c r="O60" s="18" t="str">
        <f>IF('Hàng hóa'!K61&lt;&gt;"",'Hàng hóa'!K61,"")</f>
        <v/>
      </c>
      <c r="P60" s="2"/>
      <c r="Q60" s="2"/>
      <c r="R60" s="2"/>
      <c r="S60" s="2"/>
      <c r="T60" s="2"/>
      <c r="U60" s="2"/>
      <c r="V60" s="2"/>
      <c r="W60" s="2"/>
    </row>
    <row r="61" ht="15.75" customHeight="1">
      <c r="A61" s="43"/>
      <c r="B61" s="23"/>
      <c r="C61" s="37" t="str">
        <f t="array" ref="C61">IFERROR(INDEX('Hàng hóa'!$A$4:$A$203,MATCH(B61,'Hàng hóa'!$B$4:$B$203,0)),"")</f>
        <v/>
      </c>
      <c r="D61" s="37" t="str">
        <f t="array" ref="D61">IFERROR(INDEX('Hàng hóa'!$C$4:$C$203,MATCH(B61,'Hàng hóa'!$B$4:$B$203,0)),"")</f>
        <v/>
      </c>
      <c r="E61" s="44"/>
      <c r="F61" s="37">
        <f t="array" ref="F61">IFERROR(INDEX('Hàng hóa'!$E$4:$E$203,MATCH(B61,'Hàng hóa'!$B$4:$B$203,0)),0)</f>
        <v>0</v>
      </c>
      <c r="G61" s="37" t="str">
        <f t="array" ref="G61">IFERROR(INDEX('Hàng hóa'!$F$4:$F$203,MATCH(B61,'Hàng hóa'!$B$4:$B$203,0)),"")</f>
        <v/>
      </c>
      <c r="H61" s="19">
        <f t="array" ref="H61">IFERROR(INDEX('Hàng hóa'!$G$4:$G$203,MATCH(B61,'Hàng hóa'!$B$4:$B$203,0)),0)</f>
        <v>0</v>
      </c>
      <c r="I61" s="7"/>
      <c r="J61" s="47">
        <f t="shared" si="1"/>
        <v>0</v>
      </c>
      <c r="K61" s="19">
        <f t="shared" si="2"/>
        <v>0</v>
      </c>
      <c r="L61" s="23"/>
      <c r="M61" s="23"/>
      <c r="N61" s="2"/>
      <c r="O61" s="18" t="str">
        <f>IF('Hàng hóa'!K62&lt;&gt;"",'Hàng hóa'!K62,"")</f>
        <v/>
      </c>
      <c r="P61" s="2"/>
      <c r="Q61" s="2"/>
      <c r="R61" s="2"/>
      <c r="S61" s="2"/>
      <c r="T61" s="2"/>
      <c r="U61" s="2"/>
      <c r="V61" s="2"/>
      <c r="W61" s="2"/>
    </row>
    <row r="62" ht="15.75" customHeight="1">
      <c r="A62" s="43"/>
      <c r="B62" s="23"/>
      <c r="C62" s="37" t="str">
        <f t="array" ref="C62">IFERROR(INDEX('Hàng hóa'!$A$4:$A$203,MATCH(B62,'Hàng hóa'!$B$4:$B$203,0)),"")</f>
        <v/>
      </c>
      <c r="D62" s="37" t="str">
        <f t="array" ref="D62">IFERROR(INDEX('Hàng hóa'!$C$4:$C$203,MATCH(B62,'Hàng hóa'!$B$4:$B$203,0)),"")</f>
        <v/>
      </c>
      <c r="E62" s="44"/>
      <c r="F62" s="37">
        <f t="array" ref="F62">IFERROR(INDEX('Hàng hóa'!$E$4:$E$203,MATCH(B62,'Hàng hóa'!$B$4:$B$203,0)),0)</f>
        <v>0</v>
      </c>
      <c r="G62" s="37" t="str">
        <f t="array" ref="G62">IFERROR(INDEX('Hàng hóa'!$F$4:$F$203,MATCH(B62,'Hàng hóa'!$B$4:$B$203,0)),"")</f>
        <v/>
      </c>
      <c r="H62" s="19">
        <f t="array" ref="H62">IFERROR(INDEX('Hàng hóa'!$G$4:$G$203,MATCH(B62,'Hàng hóa'!$B$4:$B$203,0)),0)</f>
        <v>0</v>
      </c>
      <c r="I62" s="7"/>
      <c r="J62" s="47">
        <f t="shared" si="1"/>
        <v>0</v>
      </c>
      <c r="K62" s="19">
        <f t="shared" si="2"/>
        <v>0</v>
      </c>
      <c r="L62" s="23"/>
      <c r="M62" s="23"/>
      <c r="N62" s="2"/>
      <c r="O62" s="18" t="str">
        <f>IF('Hàng hóa'!K63&lt;&gt;"",'Hàng hóa'!K63,"")</f>
        <v/>
      </c>
      <c r="P62" s="2"/>
      <c r="Q62" s="2"/>
      <c r="R62" s="2"/>
      <c r="S62" s="2"/>
      <c r="T62" s="2"/>
      <c r="U62" s="2"/>
      <c r="V62" s="2"/>
      <c r="W62" s="2"/>
    </row>
    <row r="63" ht="15.75" customHeight="1">
      <c r="A63" s="43"/>
      <c r="B63" s="23"/>
      <c r="C63" s="37" t="str">
        <f t="array" ref="C63">IFERROR(INDEX('Hàng hóa'!$A$4:$A$203,MATCH(B63,'Hàng hóa'!$B$4:$B$203,0)),"")</f>
        <v/>
      </c>
      <c r="D63" s="37" t="str">
        <f t="array" ref="D63">IFERROR(INDEX('Hàng hóa'!$C$4:$C$203,MATCH(B63,'Hàng hóa'!$B$4:$B$203,0)),"")</f>
        <v/>
      </c>
      <c r="E63" s="44"/>
      <c r="F63" s="37">
        <f t="array" ref="F63">IFERROR(INDEX('Hàng hóa'!$E$4:$E$203,MATCH(B63,'Hàng hóa'!$B$4:$B$203,0)),0)</f>
        <v>0</v>
      </c>
      <c r="G63" s="37" t="str">
        <f t="array" ref="G63">IFERROR(INDEX('Hàng hóa'!$F$4:$F$203,MATCH(B63,'Hàng hóa'!$B$4:$B$203,0)),"")</f>
        <v/>
      </c>
      <c r="H63" s="19">
        <f t="array" ref="H63">IFERROR(INDEX('Hàng hóa'!$G$4:$G$203,MATCH(B63,'Hàng hóa'!$B$4:$B$203,0)),0)</f>
        <v>0</v>
      </c>
      <c r="I63" s="7"/>
      <c r="J63" s="47">
        <f t="shared" si="1"/>
        <v>0</v>
      </c>
      <c r="K63" s="19">
        <f t="shared" si="2"/>
        <v>0</v>
      </c>
      <c r="L63" s="23"/>
      <c r="M63" s="23"/>
      <c r="N63" s="2"/>
      <c r="O63" s="18" t="str">
        <f>IF('Hàng hóa'!K64&lt;&gt;"",'Hàng hóa'!K64,"")</f>
        <v/>
      </c>
      <c r="P63" s="2"/>
      <c r="Q63" s="2"/>
      <c r="R63" s="2"/>
      <c r="S63" s="2"/>
      <c r="T63" s="2"/>
      <c r="U63" s="2"/>
      <c r="V63" s="2"/>
      <c r="W63" s="2"/>
    </row>
    <row r="64" ht="15.75" customHeight="1">
      <c r="A64" s="43"/>
      <c r="B64" s="23"/>
      <c r="C64" s="37" t="str">
        <f t="array" ref="C64">IFERROR(INDEX('Hàng hóa'!$A$4:$A$203,MATCH(B64,'Hàng hóa'!$B$4:$B$203,0)),"")</f>
        <v/>
      </c>
      <c r="D64" s="37" t="str">
        <f t="array" ref="D64">IFERROR(INDEX('Hàng hóa'!$C$4:$C$203,MATCH(B64,'Hàng hóa'!$B$4:$B$203,0)),"")</f>
        <v/>
      </c>
      <c r="E64" s="44"/>
      <c r="F64" s="37">
        <f t="array" ref="F64">IFERROR(INDEX('Hàng hóa'!$E$4:$E$203,MATCH(B64,'Hàng hóa'!$B$4:$B$203,0)),0)</f>
        <v>0</v>
      </c>
      <c r="G64" s="37" t="str">
        <f t="array" ref="G64">IFERROR(INDEX('Hàng hóa'!$F$4:$F$203,MATCH(B64,'Hàng hóa'!$B$4:$B$203,0)),"")</f>
        <v/>
      </c>
      <c r="H64" s="19">
        <f t="array" ref="H64">IFERROR(INDEX('Hàng hóa'!$G$4:$G$203,MATCH(B64,'Hàng hóa'!$B$4:$B$203,0)),0)</f>
        <v>0</v>
      </c>
      <c r="I64" s="7"/>
      <c r="J64" s="47">
        <f t="shared" si="1"/>
        <v>0</v>
      </c>
      <c r="K64" s="19">
        <f t="shared" si="2"/>
        <v>0</v>
      </c>
      <c r="L64" s="23"/>
      <c r="M64" s="23"/>
      <c r="N64" s="2"/>
      <c r="O64" s="18" t="str">
        <f>IF('Hàng hóa'!K65&lt;&gt;"",'Hàng hóa'!K65,"")</f>
        <v/>
      </c>
      <c r="P64" s="2"/>
      <c r="Q64" s="2"/>
      <c r="R64" s="2"/>
      <c r="S64" s="2"/>
      <c r="T64" s="2"/>
      <c r="U64" s="2"/>
      <c r="V64" s="2"/>
      <c r="W64" s="2"/>
    </row>
    <row r="65" ht="15.75" customHeight="1">
      <c r="A65" s="43"/>
      <c r="B65" s="23"/>
      <c r="C65" s="37" t="str">
        <f t="array" ref="C65">IFERROR(INDEX('Hàng hóa'!$A$4:$A$203,MATCH(B65,'Hàng hóa'!$B$4:$B$203,0)),"")</f>
        <v/>
      </c>
      <c r="D65" s="37" t="str">
        <f t="array" ref="D65">IFERROR(INDEX('Hàng hóa'!$C$4:$C$203,MATCH(B65,'Hàng hóa'!$B$4:$B$203,0)),"")</f>
        <v/>
      </c>
      <c r="E65" s="44"/>
      <c r="F65" s="37">
        <f t="array" ref="F65">IFERROR(INDEX('Hàng hóa'!$E$4:$E$203,MATCH(B65,'Hàng hóa'!$B$4:$B$203,0)),0)</f>
        <v>0</v>
      </c>
      <c r="G65" s="37" t="str">
        <f t="array" ref="G65">IFERROR(INDEX('Hàng hóa'!$F$4:$F$203,MATCH(B65,'Hàng hóa'!$B$4:$B$203,0)),"")</f>
        <v/>
      </c>
      <c r="H65" s="19">
        <f t="array" ref="H65">IFERROR(INDEX('Hàng hóa'!$G$4:$G$203,MATCH(B65,'Hàng hóa'!$B$4:$B$203,0)),0)</f>
        <v>0</v>
      </c>
      <c r="I65" s="7"/>
      <c r="J65" s="47">
        <f t="shared" si="1"/>
        <v>0</v>
      </c>
      <c r="K65" s="19">
        <f t="shared" si="2"/>
        <v>0</v>
      </c>
      <c r="L65" s="23"/>
      <c r="M65" s="23"/>
      <c r="N65" s="2"/>
      <c r="O65" s="18" t="str">
        <f>IF('Hàng hóa'!K66&lt;&gt;"",'Hàng hóa'!K66,"")</f>
        <v/>
      </c>
      <c r="P65" s="2"/>
      <c r="Q65" s="2"/>
      <c r="R65" s="2"/>
      <c r="S65" s="2"/>
      <c r="T65" s="2"/>
      <c r="U65" s="2"/>
      <c r="V65" s="2"/>
      <c r="W65" s="2"/>
    </row>
    <row r="66" ht="15.75" customHeight="1">
      <c r="A66" s="43"/>
      <c r="B66" s="23"/>
      <c r="C66" s="37" t="str">
        <f t="array" ref="C66">IFERROR(INDEX('Hàng hóa'!$A$4:$A$203,MATCH(B66,'Hàng hóa'!$B$4:$B$203,0)),"")</f>
        <v/>
      </c>
      <c r="D66" s="37" t="str">
        <f t="array" ref="D66">IFERROR(INDEX('Hàng hóa'!$C$4:$C$203,MATCH(B66,'Hàng hóa'!$B$4:$B$203,0)),"")</f>
        <v/>
      </c>
      <c r="E66" s="44"/>
      <c r="F66" s="37">
        <f t="array" ref="F66">IFERROR(INDEX('Hàng hóa'!$E$4:$E$203,MATCH(B66,'Hàng hóa'!$B$4:$B$203,0)),0)</f>
        <v>0</v>
      </c>
      <c r="G66" s="37" t="str">
        <f t="array" ref="G66">IFERROR(INDEX('Hàng hóa'!$F$4:$F$203,MATCH(B66,'Hàng hóa'!$B$4:$B$203,0)),"")</f>
        <v/>
      </c>
      <c r="H66" s="19">
        <f t="array" ref="H66">IFERROR(INDEX('Hàng hóa'!$G$4:$G$203,MATCH(B66,'Hàng hóa'!$B$4:$B$203,0)),0)</f>
        <v>0</v>
      </c>
      <c r="I66" s="7"/>
      <c r="J66" s="47">
        <f t="shared" si="1"/>
        <v>0</v>
      </c>
      <c r="K66" s="19">
        <f t="shared" si="2"/>
        <v>0</v>
      </c>
      <c r="L66" s="23"/>
      <c r="M66" s="23"/>
      <c r="N66" s="2"/>
      <c r="O66" s="18" t="str">
        <f>IF('Hàng hóa'!K67&lt;&gt;"",'Hàng hóa'!K67,"")</f>
        <v/>
      </c>
      <c r="P66" s="2"/>
      <c r="Q66" s="2"/>
      <c r="R66" s="2"/>
      <c r="S66" s="2"/>
      <c r="T66" s="2"/>
      <c r="U66" s="2"/>
      <c r="V66" s="2"/>
      <c r="W66" s="2"/>
    </row>
    <row r="67" ht="15.75" customHeight="1">
      <c r="A67" s="43"/>
      <c r="B67" s="23"/>
      <c r="C67" s="37" t="str">
        <f t="array" ref="C67">IFERROR(INDEX('Hàng hóa'!$A$4:$A$203,MATCH(B67,'Hàng hóa'!$B$4:$B$203,0)),"")</f>
        <v/>
      </c>
      <c r="D67" s="37" t="str">
        <f t="array" ref="D67">IFERROR(INDEX('Hàng hóa'!$C$4:$C$203,MATCH(B67,'Hàng hóa'!$B$4:$B$203,0)),"")</f>
        <v/>
      </c>
      <c r="E67" s="44"/>
      <c r="F67" s="37">
        <f t="array" ref="F67">IFERROR(INDEX('Hàng hóa'!$E$4:$E$203,MATCH(B67,'Hàng hóa'!$B$4:$B$203,0)),0)</f>
        <v>0</v>
      </c>
      <c r="G67" s="37" t="str">
        <f t="array" ref="G67">IFERROR(INDEX('Hàng hóa'!$F$4:$F$203,MATCH(B67,'Hàng hóa'!$B$4:$B$203,0)),"")</f>
        <v/>
      </c>
      <c r="H67" s="19">
        <f t="array" ref="H67">IFERROR(INDEX('Hàng hóa'!$G$4:$G$203,MATCH(B67,'Hàng hóa'!$B$4:$B$203,0)),0)</f>
        <v>0</v>
      </c>
      <c r="I67" s="7"/>
      <c r="J67" s="47">
        <f t="shared" si="1"/>
        <v>0</v>
      </c>
      <c r="K67" s="19">
        <f t="shared" si="2"/>
        <v>0</v>
      </c>
      <c r="L67" s="23"/>
      <c r="M67" s="23"/>
      <c r="N67" s="2"/>
      <c r="O67" s="18" t="str">
        <f>IF('Hàng hóa'!K68&lt;&gt;"",'Hàng hóa'!K68,"")</f>
        <v/>
      </c>
      <c r="P67" s="2"/>
      <c r="Q67" s="2"/>
      <c r="R67" s="2"/>
      <c r="S67" s="2"/>
      <c r="T67" s="2"/>
      <c r="U67" s="2"/>
      <c r="V67" s="2"/>
      <c r="W67" s="2"/>
    </row>
    <row r="68" ht="15.75" customHeight="1">
      <c r="A68" s="43"/>
      <c r="B68" s="23"/>
      <c r="C68" s="37" t="str">
        <f t="array" ref="C68">IFERROR(INDEX('Hàng hóa'!$A$4:$A$203,MATCH(B68,'Hàng hóa'!$B$4:$B$203,0)),"")</f>
        <v/>
      </c>
      <c r="D68" s="37" t="str">
        <f t="array" ref="D68">IFERROR(INDEX('Hàng hóa'!$C$4:$C$203,MATCH(B68,'Hàng hóa'!$B$4:$B$203,0)),"")</f>
        <v/>
      </c>
      <c r="E68" s="44"/>
      <c r="F68" s="37">
        <f t="array" ref="F68">IFERROR(INDEX('Hàng hóa'!$E$4:$E$203,MATCH(B68,'Hàng hóa'!$B$4:$B$203,0)),0)</f>
        <v>0</v>
      </c>
      <c r="G68" s="37" t="str">
        <f t="array" ref="G68">IFERROR(INDEX('Hàng hóa'!$F$4:$F$203,MATCH(B68,'Hàng hóa'!$B$4:$B$203,0)),"")</f>
        <v/>
      </c>
      <c r="H68" s="19">
        <f t="array" ref="H68">IFERROR(INDEX('Hàng hóa'!$G$4:$G$203,MATCH(B68,'Hàng hóa'!$B$4:$B$203,0)),0)</f>
        <v>0</v>
      </c>
      <c r="I68" s="7"/>
      <c r="J68" s="47">
        <f t="shared" si="1"/>
        <v>0</v>
      </c>
      <c r="K68" s="19">
        <f t="shared" si="2"/>
        <v>0</v>
      </c>
      <c r="L68" s="23"/>
      <c r="M68" s="23"/>
      <c r="N68" s="2"/>
      <c r="O68" s="18" t="str">
        <f>IF('Hàng hóa'!K69&lt;&gt;"",'Hàng hóa'!K69,"")</f>
        <v/>
      </c>
      <c r="P68" s="2"/>
      <c r="Q68" s="2"/>
      <c r="R68" s="2"/>
      <c r="S68" s="2"/>
      <c r="T68" s="2"/>
      <c r="U68" s="2"/>
      <c r="V68" s="2"/>
      <c r="W68" s="2"/>
    </row>
    <row r="69" ht="15.75" customHeight="1">
      <c r="A69" s="43"/>
      <c r="B69" s="23"/>
      <c r="C69" s="37" t="str">
        <f t="array" ref="C69">IFERROR(INDEX('Hàng hóa'!$A$4:$A$203,MATCH(B69,'Hàng hóa'!$B$4:$B$203,0)),"")</f>
        <v/>
      </c>
      <c r="D69" s="37" t="str">
        <f t="array" ref="D69">IFERROR(INDEX('Hàng hóa'!$C$4:$C$203,MATCH(B69,'Hàng hóa'!$B$4:$B$203,0)),"")</f>
        <v/>
      </c>
      <c r="E69" s="44"/>
      <c r="F69" s="37">
        <f t="array" ref="F69">IFERROR(INDEX('Hàng hóa'!$E$4:$E$203,MATCH(B69,'Hàng hóa'!$B$4:$B$203,0)),0)</f>
        <v>0</v>
      </c>
      <c r="G69" s="37" t="str">
        <f t="array" ref="G69">IFERROR(INDEX('Hàng hóa'!$F$4:$F$203,MATCH(B69,'Hàng hóa'!$B$4:$B$203,0)),"")</f>
        <v/>
      </c>
      <c r="H69" s="19">
        <f t="array" ref="H69">IFERROR(INDEX('Hàng hóa'!$G$4:$G$203,MATCH(B69,'Hàng hóa'!$B$4:$B$203,0)),0)</f>
        <v>0</v>
      </c>
      <c r="I69" s="7"/>
      <c r="J69" s="47">
        <f t="shared" si="1"/>
        <v>0</v>
      </c>
      <c r="K69" s="19">
        <f t="shared" si="2"/>
        <v>0</v>
      </c>
      <c r="L69" s="23"/>
      <c r="M69" s="23"/>
      <c r="N69" s="2"/>
      <c r="O69" s="18" t="str">
        <f>IF('Hàng hóa'!K70&lt;&gt;"",'Hàng hóa'!K70,"")</f>
        <v/>
      </c>
      <c r="P69" s="2"/>
      <c r="Q69" s="2"/>
      <c r="R69" s="2"/>
      <c r="S69" s="2"/>
      <c r="T69" s="2"/>
      <c r="U69" s="2"/>
      <c r="V69" s="2"/>
      <c r="W69" s="2"/>
    </row>
    <row r="70" ht="15.75" customHeight="1">
      <c r="A70" s="43"/>
      <c r="B70" s="23"/>
      <c r="C70" s="37" t="str">
        <f t="array" ref="C70">IFERROR(INDEX('Hàng hóa'!$A$4:$A$203,MATCH(B70,'Hàng hóa'!$B$4:$B$203,0)),"")</f>
        <v/>
      </c>
      <c r="D70" s="37" t="str">
        <f t="array" ref="D70">IFERROR(INDEX('Hàng hóa'!$C$4:$C$203,MATCH(B70,'Hàng hóa'!$B$4:$B$203,0)),"")</f>
        <v/>
      </c>
      <c r="E70" s="44"/>
      <c r="F70" s="37">
        <f t="array" ref="F70">IFERROR(INDEX('Hàng hóa'!$E$4:$E$203,MATCH(B70,'Hàng hóa'!$B$4:$B$203,0)),0)</f>
        <v>0</v>
      </c>
      <c r="G70" s="37" t="str">
        <f t="array" ref="G70">IFERROR(INDEX('Hàng hóa'!$F$4:$F$203,MATCH(B70,'Hàng hóa'!$B$4:$B$203,0)),"")</f>
        <v/>
      </c>
      <c r="H70" s="19">
        <f t="array" ref="H70">IFERROR(INDEX('Hàng hóa'!$G$4:$G$203,MATCH(B70,'Hàng hóa'!$B$4:$B$203,0)),0)</f>
        <v>0</v>
      </c>
      <c r="I70" s="7"/>
      <c r="J70" s="47">
        <f t="shared" si="1"/>
        <v>0</v>
      </c>
      <c r="K70" s="19">
        <f t="shared" si="2"/>
        <v>0</v>
      </c>
      <c r="L70" s="23"/>
      <c r="M70" s="23"/>
      <c r="N70" s="2"/>
      <c r="O70" s="18" t="str">
        <f>IF('Hàng hóa'!K71&lt;&gt;"",'Hàng hóa'!K71,"")</f>
        <v/>
      </c>
      <c r="P70" s="2"/>
      <c r="Q70" s="2"/>
      <c r="R70" s="2"/>
      <c r="S70" s="2"/>
      <c r="T70" s="2"/>
      <c r="U70" s="2"/>
      <c r="V70" s="2"/>
      <c r="W70" s="2"/>
    </row>
    <row r="71" ht="15.75" customHeight="1">
      <c r="A71" s="43"/>
      <c r="B71" s="23"/>
      <c r="C71" s="37" t="str">
        <f t="array" ref="C71">IFERROR(INDEX('Hàng hóa'!$A$4:$A$203,MATCH(B71,'Hàng hóa'!$B$4:$B$203,0)),"")</f>
        <v/>
      </c>
      <c r="D71" s="37" t="str">
        <f t="array" ref="D71">IFERROR(INDEX('Hàng hóa'!$C$4:$C$203,MATCH(B71,'Hàng hóa'!$B$4:$B$203,0)),"")</f>
        <v/>
      </c>
      <c r="E71" s="44"/>
      <c r="F71" s="37">
        <f t="array" ref="F71">IFERROR(INDEX('Hàng hóa'!$E$4:$E$203,MATCH(B71,'Hàng hóa'!$B$4:$B$203,0)),0)</f>
        <v>0</v>
      </c>
      <c r="G71" s="37" t="str">
        <f t="array" ref="G71">IFERROR(INDEX('Hàng hóa'!$F$4:$F$203,MATCH(B71,'Hàng hóa'!$B$4:$B$203,0)),"")</f>
        <v/>
      </c>
      <c r="H71" s="19">
        <f t="array" ref="H71">IFERROR(INDEX('Hàng hóa'!$G$4:$G$203,MATCH(B71,'Hàng hóa'!$B$4:$B$203,0)),0)</f>
        <v>0</v>
      </c>
      <c r="I71" s="7"/>
      <c r="J71" s="47">
        <f t="shared" si="1"/>
        <v>0</v>
      </c>
      <c r="K71" s="19">
        <f t="shared" si="2"/>
        <v>0</v>
      </c>
      <c r="L71" s="23"/>
      <c r="M71" s="23"/>
      <c r="N71" s="2"/>
      <c r="O71" s="18" t="str">
        <f>IF('Hàng hóa'!K72&lt;&gt;"",'Hàng hóa'!K72,"")</f>
        <v/>
      </c>
      <c r="P71" s="2"/>
      <c r="Q71" s="2"/>
      <c r="R71" s="2"/>
      <c r="S71" s="2"/>
      <c r="T71" s="2"/>
      <c r="U71" s="2"/>
      <c r="V71" s="2"/>
      <c r="W71" s="2"/>
    </row>
    <row r="72" ht="15.75" customHeight="1">
      <c r="A72" s="43"/>
      <c r="B72" s="23"/>
      <c r="C72" s="37" t="str">
        <f t="array" ref="C72">IFERROR(INDEX('Hàng hóa'!$A$4:$A$203,MATCH(B72,'Hàng hóa'!$B$4:$B$203,0)),"")</f>
        <v/>
      </c>
      <c r="D72" s="37" t="str">
        <f t="array" ref="D72">IFERROR(INDEX('Hàng hóa'!$C$4:$C$203,MATCH(B72,'Hàng hóa'!$B$4:$B$203,0)),"")</f>
        <v/>
      </c>
      <c r="E72" s="44"/>
      <c r="F72" s="37">
        <f t="array" ref="F72">IFERROR(INDEX('Hàng hóa'!$E$4:$E$203,MATCH(B72,'Hàng hóa'!$B$4:$B$203,0)),0)</f>
        <v>0</v>
      </c>
      <c r="G72" s="37" t="str">
        <f t="array" ref="G72">IFERROR(INDEX('Hàng hóa'!$F$4:$F$203,MATCH(B72,'Hàng hóa'!$B$4:$B$203,0)),"")</f>
        <v/>
      </c>
      <c r="H72" s="19">
        <f t="array" ref="H72">IFERROR(INDEX('Hàng hóa'!$G$4:$G$203,MATCH(B72,'Hàng hóa'!$B$4:$B$203,0)),0)</f>
        <v>0</v>
      </c>
      <c r="I72" s="7"/>
      <c r="J72" s="47">
        <f t="shared" si="1"/>
        <v>0</v>
      </c>
      <c r="K72" s="19">
        <f t="shared" si="2"/>
        <v>0</v>
      </c>
      <c r="L72" s="23"/>
      <c r="M72" s="23"/>
      <c r="N72" s="2"/>
      <c r="O72" s="18" t="str">
        <f>IF('Hàng hóa'!K73&lt;&gt;"",'Hàng hóa'!K73,"")</f>
        <v/>
      </c>
      <c r="P72" s="2"/>
      <c r="Q72" s="2"/>
      <c r="R72" s="2"/>
      <c r="S72" s="2"/>
      <c r="T72" s="2"/>
      <c r="U72" s="2"/>
      <c r="V72" s="2"/>
      <c r="W72" s="2"/>
    </row>
    <row r="73" ht="15.75" customHeight="1">
      <c r="A73" s="43"/>
      <c r="B73" s="23"/>
      <c r="C73" s="37" t="str">
        <f t="array" ref="C73">IFERROR(INDEX('Hàng hóa'!$A$4:$A$203,MATCH(B73,'Hàng hóa'!$B$4:$B$203,0)),"")</f>
        <v/>
      </c>
      <c r="D73" s="37" t="str">
        <f t="array" ref="D73">IFERROR(INDEX('Hàng hóa'!$C$4:$C$203,MATCH(B73,'Hàng hóa'!$B$4:$B$203,0)),"")</f>
        <v/>
      </c>
      <c r="E73" s="44"/>
      <c r="F73" s="37">
        <f t="array" ref="F73">IFERROR(INDEX('Hàng hóa'!$E$4:$E$203,MATCH(B73,'Hàng hóa'!$B$4:$B$203,0)),0)</f>
        <v>0</v>
      </c>
      <c r="G73" s="37" t="str">
        <f t="array" ref="G73">IFERROR(INDEX('Hàng hóa'!$F$4:$F$203,MATCH(B73,'Hàng hóa'!$B$4:$B$203,0)),"")</f>
        <v/>
      </c>
      <c r="H73" s="19">
        <f t="array" ref="H73">IFERROR(INDEX('Hàng hóa'!$G$4:$G$203,MATCH(B73,'Hàng hóa'!$B$4:$B$203,0)),0)</f>
        <v>0</v>
      </c>
      <c r="I73" s="7"/>
      <c r="J73" s="47">
        <f t="shared" si="1"/>
        <v>0</v>
      </c>
      <c r="K73" s="19">
        <f t="shared" si="2"/>
        <v>0</v>
      </c>
      <c r="L73" s="23"/>
      <c r="M73" s="23"/>
      <c r="N73" s="2"/>
      <c r="O73" s="18" t="str">
        <f>IF('Hàng hóa'!K74&lt;&gt;"",'Hàng hóa'!K74,"")</f>
        <v/>
      </c>
      <c r="P73" s="2"/>
      <c r="Q73" s="2"/>
      <c r="R73" s="2"/>
      <c r="S73" s="2"/>
      <c r="T73" s="2"/>
      <c r="U73" s="2"/>
      <c r="V73" s="2"/>
      <c r="W73" s="2"/>
    </row>
    <row r="74" ht="15.75" customHeight="1">
      <c r="A74" s="43"/>
      <c r="B74" s="23"/>
      <c r="C74" s="37" t="str">
        <f t="array" ref="C74">IFERROR(INDEX('Hàng hóa'!$A$4:$A$203,MATCH(B74,'Hàng hóa'!$B$4:$B$203,0)),"")</f>
        <v/>
      </c>
      <c r="D74" s="37" t="str">
        <f t="array" ref="D74">IFERROR(INDEX('Hàng hóa'!$C$4:$C$203,MATCH(B74,'Hàng hóa'!$B$4:$B$203,0)),"")</f>
        <v/>
      </c>
      <c r="E74" s="44"/>
      <c r="F74" s="37">
        <f t="array" ref="F74">IFERROR(INDEX('Hàng hóa'!$E$4:$E$203,MATCH(B74,'Hàng hóa'!$B$4:$B$203,0)),0)</f>
        <v>0</v>
      </c>
      <c r="G74" s="37" t="str">
        <f t="array" ref="G74">IFERROR(INDEX('Hàng hóa'!$F$4:$F$203,MATCH(B74,'Hàng hóa'!$B$4:$B$203,0)),"")</f>
        <v/>
      </c>
      <c r="H74" s="19">
        <f t="array" ref="H74">IFERROR(INDEX('Hàng hóa'!$G$4:$G$203,MATCH(B74,'Hàng hóa'!$B$4:$B$203,0)),0)</f>
        <v>0</v>
      </c>
      <c r="I74" s="7"/>
      <c r="J74" s="47">
        <f t="shared" si="1"/>
        <v>0</v>
      </c>
      <c r="K74" s="19">
        <f t="shared" si="2"/>
        <v>0</v>
      </c>
      <c r="L74" s="23"/>
      <c r="M74" s="23"/>
      <c r="N74" s="2"/>
      <c r="O74" s="18" t="str">
        <f>IF('Hàng hóa'!K75&lt;&gt;"",'Hàng hóa'!K75,"")</f>
        <v/>
      </c>
      <c r="P74" s="2"/>
      <c r="Q74" s="2"/>
      <c r="R74" s="2"/>
      <c r="S74" s="2"/>
      <c r="T74" s="2"/>
      <c r="U74" s="2"/>
      <c r="V74" s="2"/>
      <c r="W74" s="2"/>
    </row>
    <row r="75" ht="15.75" customHeight="1">
      <c r="A75" s="43"/>
      <c r="B75" s="23"/>
      <c r="C75" s="37" t="str">
        <f t="array" ref="C75">IFERROR(INDEX('Hàng hóa'!$A$4:$A$203,MATCH(B75,'Hàng hóa'!$B$4:$B$203,0)),"")</f>
        <v/>
      </c>
      <c r="D75" s="37" t="str">
        <f t="array" ref="D75">IFERROR(INDEX('Hàng hóa'!$C$4:$C$203,MATCH(B75,'Hàng hóa'!$B$4:$B$203,0)),"")</f>
        <v/>
      </c>
      <c r="E75" s="44"/>
      <c r="F75" s="37">
        <f t="array" ref="F75">IFERROR(INDEX('Hàng hóa'!$E$4:$E$203,MATCH(B75,'Hàng hóa'!$B$4:$B$203,0)),0)</f>
        <v>0</v>
      </c>
      <c r="G75" s="37" t="str">
        <f t="array" ref="G75">IFERROR(INDEX('Hàng hóa'!$F$4:$F$203,MATCH(B75,'Hàng hóa'!$B$4:$B$203,0)),"")</f>
        <v/>
      </c>
      <c r="H75" s="19">
        <f t="array" ref="H75">IFERROR(INDEX('Hàng hóa'!$G$4:$G$203,MATCH(B75,'Hàng hóa'!$B$4:$B$203,0)),0)</f>
        <v>0</v>
      </c>
      <c r="I75" s="7"/>
      <c r="J75" s="47">
        <f t="shared" si="1"/>
        <v>0</v>
      </c>
      <c r="K75" s="19">
        <f t="shared" si="2"/>
        <v>0</v>
      </c>
      <c r="L75" s="23"/>
      <c r="M75" s="23"/>
      <c r="N75" s="2"/>
      <c r="O75" s="18" t="str">
        <f>IF('Hàng hóa'!K76&lt;&gt;"",'Hàng hóa'!K76,"")</f>
        <v/>
      </c>
      <c r="P75" s="2"/>
      <c r="Q75" s="2"/>
      <c r="R75" s="2"/>
      <c r="S75" s="2"/>
      <c r="T75" s="2"/>
      <c r="U75" s="2"/>
      <c r="V75" s="2"/>
      <c r="W75" s="2"/>
    </row>
    <row r="76" ht="15.75" customHeight="1">
      <c r="A76" s="43"/>
      <c r="B76" s="23"/>
      <c r="C76" s="37" t="str">
        <f t="array" ref="C76">IFERROR(INDEX('Hàng hóa'!$A$4:$A$203,MATCH(B76,'Hàng hóa'!$B$4:$B$203,0)),"")</f>
        <v/>
      </c>
      <c r="D76" s="37" t="str">
        <f t="array" ref="D76">IFERROR(INDEX('Hàng hóa'!$C$4:$C$203,MATCH(B76,'Hàng hóa'!$B$4:$B$203,0)),"")</f>
        <v/>
      </c>
      <c r="E76" s="44"/>
      <c r="F76" s="37">
        <f t="array" ref="F76">IFERROR(INDEX('Hàng hóa'!$E$4:$E$203,MATCH(B76,'Hàng hóa'!$B$4:$B$203,0)),0)</f>
        <v>0</v>
      </c>
      <c r="G76" s="37" t="str">
        <f t="array" ref="G76">IFERROR(INDEX('Hàng hóa'!$F$4:$F$203,MATCH(B76,'Hàng hóa'!$B$4:$B$203,0)),"")</f>
        <v/>
      </c>
      <c r="H76" s="19">
        <f t="array" ref="H76">IFERROR(INDEX('Hàng hóa'!$G$4:$G$203,MATCH(B76,'Hàng hóa'!$B$4:$B$203,0)),0)</f>
        <v>0</v>
      </c>
      <c r="I76" s="7"/>
      <c r="J76" s="47">
        <f t="shared" si="1"/>
        <v>0</v>
      </c>
      <c r="K76" s="19">
        <f t="shared" si="2"/>
        <v>0</v>
      </c>
      <c r="L76" s="23"/>
      <c r="M76" s="23"/>
      <c r="N76" s="2"/>
      <c r="O76" s="18" t="str">
        <f>IF('Hàng hóa'!K77&lt;&gt;"",'Hàng hóa'!K77,"")</f>
        <v/>
      </c>
      <c r="P76" s="2"/>
      <c r="Q76" s="2"/>
      <c r="R76" s="2"/>
      <c r="S76" s="2"/>
      <c r="T76" s="2"/>
      <c r="U76" s="2"/>
      <c r="V76" s="2"/>
      <c r="W76" s="2"/>
    </row>
    <row r="77" ht="15.75" customHeight="1">
      <c r="A77" s="43"/>
      <c r="B77" s="23"/>
      <c r="C77" s="37" t="str">
        <f t="array" ref="C77">IFERROR(INDEX('Hàng hóa'!$A$4:$A$203,MATCH(B77,'Hàng hóa'!$B$4:$B$203,0)),"")</f>
        <v/>
      </c>
      <c r="D77" s="37" t="str">
        <f t="array" ref="D77">IFERROR(INDEX('Hàng hóa'!$C$4:$C$203,MATCH(B77,'Hàng hóa'!$B$4:$B$203,0)),"")</f>
        <v/>
      </c>
      <c r="E77" s="44"/>
      <c r="F77" s="37">
        <f t="array" ref="F77">IFERROR(INDEX('Hàng hóa'!$E$4:$E$203,MATCH(B77,'Hàng hóa'!$B$4:$B$203,0)),0)</f>
        <v>0</v>
      </c>
      <c r="G77" s="37" t="str">
        <f t="array" ref="G77">IFERROR(INDEX('Hàng hóa'!$F$4:$F$203,MATCH(B77,'Hàng hóa'!$B$4:$B$203,0)),"")</f>
        <v/>
      </c>
      <c r="H77" s="19">
        <f t="array" ref="H77">IFERROR(INDEX('Hàng hóa'!$G$4:$G$203,MATCH(B77,'Hàng hóa'!$B$4:$B$203,0)),0)</f>
        <v>0</v>
      </c>
      <c r="I77" s="7"/>
      <c r="J77" s="47">
        <f t="shared" si="1"/>
        <v>0</v>
      </c>
      <c r="K77" s="19">
        <f t="shared" si="2"/>
        <v>0</v>
      </c>
      <c r="L77" s="23"/>
      <c r="M77" s="23"/>
      <c r="N77" s="2"/>
      <c r="O77" s="18" t="str">
        <f>IF('Hàng hóa'!K78&lt;&gt;"",'Hàng hóa'!K78,"")</f>
        <v/>
      </c>
      <c r="P77" s="2"/>
      <c r="Q77" s="2"/>
      <c r="R77" s="2"/>
      <c r="S77" s="2"/>
      <c r="T77" s="2"/>
      <c r="U77" s="2"/>
      <c r="V77" s="2"/>
      <c r="W77" s="2"/>
    </row>
    <row r="78" ht="15.75" customHeight="1">
      <c r="A78" s="43"/>
      <c r="B78" s="23"/>
      <c r="C78" s="37" t="str">
        <f t="array" ref="C78">IFERROR(INDEX('Hàng hóa'!$A$4:$A$203,MATCH(B78,'Hàng hóa'!$B$4:$B$203,0)),"")</f>
        <v/>
      </c>
      <c r="D78" s="37" t="str">
        <f t="array" ref="D78">IFERROR(INDEX('Hàng hóa'!$C$4:$C$203,MATCH(B78,'Hàng hóa'!$B$4:$B$203,0)),"")</f>
        <v/>
      </c>
      <c r="E78" s="44"/>
      <c r="F78" s="37">
        <f t="array" ref="F78">IFERROR(INDEX('Hàng hóa'!$E$4:$E$203,MATCH(B78,'Hàng hóa'!$B$4:$B$203,0)),0)</f>
        <v>0</v>
      </c>
      <c r="G78" s="37" t="str">
        <f t="array" ref="G78">IFERROR(INDEX('Hàng hóa'!$F$4:$F$203,MATCH(B78,'Hàng hóa'!$B$4:$B$203,0)),"")</f>
        <v/>
      </c>
      <c r="H78" s="19">
        <f t="array" ref="H78">IFERROR(INDEX('Hàng hóa'!$G$4:$G$203,MATCH(B78,'Hàng hóa'!$B$4:$B$203,0)),0)</f>
        <v>0</v>
      </c>
      <c r="I78" s="7"/>
      <c r="J78" s="47">
        <f t="shared" si="1"/>
        <v>0</v>
      </c>
      <c r="K78" s="19">
        <f t="shared" si="2"/>
        <v>0</v>
      </c>
      <c r="L78" s="23"/>
      <c r="M78" s="23"/>
      <c r="N78" s="2"/>
      <c r="O78" s="18" t="str">
        <f>IF('Hàng hóa'!K79&lt;&gt;"",'Hàng hóa'!K79,"")</f>
        <v/>
      </c>
      <c r="P78" s="2"/>
      <c r="Q78" s="2"/>
      <c r="R78" s="2"/>
      <c r="S78" s="2"/>
      <c r="T78" s="2"/>
      <c r="U78" s="2"/>
      <c r="V78" s="2"/>
      <c r="W78" s="2"/>
    </row>
    <row r="79" ht="15.75" customHeight="1">
      <c r="A79" s="43"/>
      <c r="B79" s="23"/>
      <c r="C79" s="37" t="str">
        <f t="array" ref="C79">IFERROR(INDEX('Hàng hóa'!$A$4:$A$203,MATCH(B79,'Hàng hóa'!$B$4:$B$203,0)),"")</f>
        <v/>
      </c>
      <c r="D79" s="37" t="str">
        <f t="array" ref="D79">IFERROR(INDEX('Hàng hóa'!$C$4:$C$203,MATCH(B79,'Hàng hóa'!$B$4:$B$203,0)),"")</f>
        <v/>
      </c>
      <c r="E79" s="44"/>
      <c r="F79" s="37">
        <f t="array" ref="F79">IFERROR(INDEX('Hàng hóa'!$E$4:$E$203,MATCH(B79,'Hàng hóa'!$B$4:$B$203,0)),0)</f>
        <v>0</v>
      </c>
      <c r="G79" s="37" t="str">
        <f t="array" ref="G79">IFERROR(INDEX('Hàng hóa'!$F$4:$F$203,MATCH(B79,'Hàng hóa'!$B$4:$B$203,0)),"")</f>
        <v/>
      </c>
      <c r="H79" s="19">
        <f t="array" ref="H79">IFERROR(INDEX('Hàng hóa'!$G$4:$G$203,MATCH(B79,'Hàng hóa'!$B$4:$B$203,0)),0)</f>
        <v>0</v>
      </c>
      <c r="I79" s="7"/>
      <c r="J79" s="47">
        <f t="shared" si="1"/>
        <v>0</v>
      </c>
      <c r="K79" s="19">
        <f t="shared" si="2"/>
        <v>0</v>
      </c>
      <c r="L79" s="23"/>
      <c r="M79" s="23"/>
      <c r="N79" s="2"/>
      <c r="O79" s="18" t="str">
        <f>IF('Hàng hóa'!K80&lt;&gt;"",'Hàng hóa'!K80,"")</f>
        <v/>
      </c>
      <c r="P79" s="2"/>
      <c r="Q79" s="2"/>
      <c r="R79" s="2"/>
      <c r="S79" s="2"/>
      <c r="T79" s="2"/>
      <c r="U79" s="2"/>
      <c r="V79" s="2"/>
      <c r="W79" s="2"/>
    </row>
    <row r="80" ht="15.75" customHeight="1">
      <c r="A80" s="43"/>
      <c r="B80" s="23"/>
      <c r="C80" s="37" t="str">
        <f t="array" ref="C80">IFERROR(INDEX('Hàng hóa'!$A$4:$A$203,MATCH(B80,'Hàng hóa'!$B$4:$B$203,0)),"")</f>
        <v/>
      </c>
      <c r="D80" s="37" t="str">
        <f t="array" ref="D80">IFERROR(INDEX('Hàng hóa'!$C$4:$C$203,MATCH(B80,'Hàng hóa'!$B$4:$B$203,0)),"")</f>
        <v/>
      </c>
      <c r="E80" s="44"/>
      <c r="F80" s="37">
        <f t="array" ref="F80">IFERROR(INDEX('Hàng hóa'!$E$4:$E$203,MATCH(B80,'Hàng hóa'!$B$4:$B$203,0)),0)</f>
        <v>0</v>
      </c>
      <c r="G80" s="37" t="str">
        <f t="array" ref="G80">IFERROR(INDEX('Hàng hóa'!$F$4:$F$203,MATCH(B80,'Hàng hóa'!$B$4:$B$203,0)),"")</f>
        <v/>
      </c>
      <c r="H80" s="19">
        <f t="array" ref="H80">IFERROR(INDEX('Hàng hóa'!$G$4:$G$203,MATCH(B80,'Hàng hóa'!$B$4:$B$203,0)),0)</f>
        <v>0</v>
      </c>
      <c r="I80" s="7"/>
      <c r="J80" s="47">
        <f t="shared" si="1"/>
        <v>0</v>
      </c>
      <c r="K80" s="19">
        <f t="shared" si="2"/>
        <v>0</v>
      </c>
      <c r="L80" s="23"/>
      <c r="M80" s="23"/>
      <c r="N80" s="2"/>
      <c r="O80" s="18" t="str">
        <f>IF('Hàng hóa'!K81&lt;&gt;"",'Hàng hóa'!K81,"")</f>
        <v/>
      </c>
      <c r="P80" s="2"/>
      <c r="Q80" s="2"/>
      <c r="R80" s="2"/>
      <c r="S80" s="2"/>
      <c r="T80" s="2"/>
      <c r="U80" s="2"/>
      <c r="V80" s="2"/>
      <c r="W80" s="2"/>
    </row>
    <row r="81" ht="15.75" customHeight="1">
      <c r="A81" s="43"/>
      <c r="B81" s="23"/>
      <c r="C81" s="37" t="str">
        <f t="array" ref="C81">IFERROR(INDEX('Hàng hóa'!$A$4:$A$203,MATCH(B81,'Hàng hóa'!$B$4:$B$203,0)),"")</f>
        <v/>
      </c>
      <c r="D81" s="37" t="str">
        <f t="array" ref="D81">IFERROR(INDEX('Hàng hóa'!$C$4:$C$203,MATCH(B81,'Hàng hóa'!$B$4:$B$203,0)),"")</f>
        <v/>
      </c>
      <c r="E81" s="44"/>
      <c r="F81" s="37">
        <f t="array" ref="F81">IFERROR(INDEX('Hàng hóa'!$E$4:$E$203,MATCH(B81,'Hàng hóa'!$B$4:$B$203,0)),0)</f>
        <v>0</v>
      </c>
      <c r="G81" s="37" t="str">
        <f t="array" ref="G81">IFERROR(INDEX('Hàng hóa'!$F$4:$F$203,MATCH(B81,'Hàng hóa'!$B$4:$B$203,0)),"")</f>
        <v/>
      </c>
      <c r="H81" s="19">
        <f t="array" ref="H81">IFERROR(INDEX('Hàng hóa'!$G$4:$G$203,MATCH(B81,'Hàng hóa'!$B$4:$B$203,0)),0)</f>
        <v>0</v>
      </c>
      <c r="I81" s="7"/>
      <c r="J81" s="47">
        <f t="shared" si="1"/>
        <v>0</v>
      </c>
      <c r="K81" s="19">
        <f t="shared" si="2"/>
        <v>0</v>
      </c>
      <c r="L81" s="23"/>
      <c r="M81" s="23"/>
      <c r="N81" s="2"/>
      <c r="O81" s="18" t="str">
        <f>IF('Hàng hóa'!K82&lt;&gt;"",'Hàng hóa'!K82,"")</f>
        <v/>
      </c>
      <c r="P81" s="2"/>
      <c r="Q81" s="2"/>
      <c r="R81" s="2"/>
      <c r="S81" s="2"/>
      <c r="T81" s="2"/>
      <c r="U81" s="2"/>
      <c r="V81" s="2"/>
      <c r="W81" s="2"/>
    </row>
    <row r="82" ht="15.75" customHeight="1">
      <c r="A82" s="43"/>
      <c r="B82" s="23"/>
      <c r="C82" s="37" t="str">
        <f t="array" ref="C82">IFERROR(INDEX('Hàng hóa'!$A$4:$A$203,MATCH(B82,'Hàng hóa'!$B$4:$B$203,0)),"")</f>
        <v/>
      </c>
      <c r="D82" s="37" t="str">
        <f t="array" ref="D82">IFERROR(INDEX('Hàng hóa'!$C$4:$C$203,MATCH(B82,'Hàng hóa'!$B$4:$B$203,0)),"")</f>
        <v/>
      </c>
      <c r="E82" s="44"/>
      <c r="F82" s="37">
        <f t="array" ref="F82">IFERROR(INDEX('Hàng hóa'!$E$4:$E$203,MATCH(B82,'Hàng hóa'!$B$4:$B$203,0)),0)</f>
        <v>0</v>
      </c>
      <c r="G82" s="37" t="str">
        <f t="array" ref="G82">IFERROR(INDEX('Hàng hóa'!$F$4:$F$203,MATCH(B82,'Hàng hóa'!$B$4:$B$203,0)),"")</f>
        <v/>
      </c>
      <c r="H82" s="19">
        <f t="array" ref="H82">IFERROR(INDEX('Hàng hóa'!$G$4:$G$203,MATCH(B82,'Hàng hóa'!$B$4:$B$203,0)),0)</f>
        <v>0</v>
      </c>
      <c r="I82" s="7"/>
      <c r="J82" s="47">
        <f t="shared" si="1"/>
        <v>0</v>
      </c>
      <c r="K82" s="19">
        <f t="shared" si="2"/>
        <v>0</v>
      </c>
      <c r="L82" s="23"/>
      <c r="M82" s="23"/>
      <c r="N82" s="2"/>
      <c r="O82" s="18" t="str">
        <f>IF('Hàng hóa'!K83&lt;&gt;"",'Hàng hóa'!K83,"")</f>
        <v/>
      </c>
      <c r="P82" s="2"/>
      <c r="Q82" s="2"/>
      <c r="R82" s="2"/>
      <c r="S82" s="2"/>
      <c r="T82" s="2"/>
      <c r="U82" s="2"/>
      <c r="V82" s="2"/>
      <c r="W82" s="2"/>
    </row>
    <row r="83" ht="15.75" customHeight="1">
      <c r="A83" s="43"/>
      <c r="B83" s="23"/>
      <c r="C83" s="37" t="str">
        <f t="array" ref="C83">IFERROR(INDEX('Hàng hóa'!$A$4:$A$203,MATCH(B83,'Hàng hóa'!$B$4:$B$203,0)),"")</f>
        <v/>
      </c>
      <c r="D83" s="37" t="str">
        <f t="array" ref="D83">IFERROR(INDEX('Hàng hóa'!$C$4:$C$203,MATCH(B83,'Hàng hóa'!$B$4:$B$203,0)),"")</f>
        <v/>
      </c>
      <c r="E83" s="44"/>
      <c r="F83" s="37">
        <f t="array" ref="F83">IFERROR(INDEX('Hàng hóa'!$E$4:$E$203,MATCH(B83,'Hàng hóa'!$B$4:$B$203,0)),0)</f>
        <v>0</v>
      </c>
      <c r="G83" s="37" t="str">
        <f t="array" ref="G83">IFERROR(INDEX('Hàng hóa'!$F$4:$F$203,MATCH(B83,'Hàng hóa'!$B$4:$B$203,0)),"")</f>
        <v/>
      </c>
      <c r="H83" s="19">
        <f t="array" ref="H83">IFERROR(INDEX('Hàng hóa'!$G$4:$G$203,MATCH(B83,'Hàng hóa'!$B$4:$B$203,0)),0)</f>
        <v>0</v>
      </c>
      <c r="I83" s="7"/>
      <c r="J83" s="47">
        <f t="shared" si="1"/>
        <v>0</v>
      </c>
      <c r="K83" s="19">
        <f t="shared" si="2"/>
        <v>0</v>
      </c>
      <c r="L83" s="23"/>
      <c r="M83" s="23"/>
      <c r="N83" s="2"/>
      <c r="O83" s="18" t="str">
        <f>IF('Hàng hóa'!K84&lt;&gt;"",'Hàng hóa'!K84,"")</f>
        <v/>
      </c>
      <c r="P83" s="2"/>
      <c r="Q83" s="2"/>
      <c r="R83" s="2"/>
      <c r="S83" s="2"/>
      <c r="T83" s="2"/>
      <c r="U83" s="2"/>
      <c r="V83" s="2"/>
      <c r="W83" s="2"/>
    </row>
    <row r="84" ht="15.75" customHeight="1">
      <c r="A84" s="43"/>
      <c r="B84" s="23"/>
      <c r="C84" s="37" t="str">
        <f t="array" ref="C84">IFERROR(INDEX('Hàng hóa'!$A$4:$A$203,MATCH(B84,'Hàng hóa'!$B$4:$B$203,0)),"")</f>
        <v/>
      </c>
      <c r="D84" s="37" t="str">
        <f t="array" ref="D84">IFERROR(INDEX('Hàng hóa'!$C$4:$C$203,MATCH(B84,'Hàng hóa'!$B$4:$B$203,0)),"")</f>
        <v/>
      </c>
      <c r="E84" s="44"/>
      <c r="F84" s="37">
        <f t="array" ref="F84">IFERROR(INDEX('Hàng hóa'!$E$4:$E$203,MATCH(B84,'Hàng hóa'!$B$4:$B$203,0)),0)</f>
        <v>0</v>
      </c>
      <c r="G84" s="37" t="str">
        <f t="array" ref="G84">IFERROR(INDEX('Hàng hóa'!$F$4:$F$203,MATCH(B84,'Hàng hóa'!$B$4:$B$203,0)),"")</f>
        <v/>
      </c>
      <c r="H84" s="19">
        <f t="array" ref="H84">IFERROR(INDEX('Hàng hóa'!$G$4:$G$203,MATCH(B84,'Hàng hóa'!$B$4:$B$203,0)),0)</f>
        <v>0</v>
      </c>
      <c r="I84" s="7"/>
      <c r="J84" s="47">
        <f t="shared" si="1"/>
        <v>0</v>
      </c>
      <c r="K84" s="19">
        <f t="shared" si="2"/>
        <v>0</v>
      </c>
      <c r="L84" s="23"/>
      <c r="M84" s="23"/>
      <c r="N84" s="2"/>
      <c r="O84" s="18" t="str">
        <f>IF('Hàng hóa'!K85&lt;&gt;"",'Hàng hóa'!K85,"")</f>
        <v/>
      </c>
      <c r="P84" s="2"/>
      <c r="Q84" s="2"/>
      <c r="R84" s="2"/>
      <c r="S84" s="2"/>
      <c r="T84" s="2"/>
      <c r="U84" s="2"/>
      <c r="V84" s="2"/>
      <c r="W84" s="2"/>
    </row>
    <row r="85" ht="15.75" customHeight="1">
      <c r="A85" s="43"/>
      <c r="B85" s="23"/>
      <c r="C85" s="37" t="str">
        <f t="array" ref="C85">IFERROR(INDEX('Hàng hóa'!$A$4:$A$203,MATCH(B85,'Hàng hóa'!$B$4:$B$203,0)),"")</f>
        <v/>
      </c>
      <c r="D85" s="37" t="str">
        <f t="array" ref="D85">IFERROR(INDEX('Hàng hóa'!$C$4:$C$203,MATCH(B85,'Hàng hóa'!$B$4:$B$203,0)),"")</f>
        <v/>
      </c>
      <c r="E85" s="44"/>
      <c r="F85" s="37">
        <f t="array" ref="F85">IFERROR(INDEX('Hàng hóa'!$E$4:$E$203,MATCH(B85,'Hàng hóa'!$B$4:$B$203,0)),0)</f>
        <v>0</v>
      </c>
      <c r="G85" s="37" t="str">
        <f t="array" ref="G85">IFERROR(INDEX('Hàng hóa'!$F$4:$F$203,MATCH(B85,'Hàng hóa'!$B$4:$B$203,0)),"")</f>
        <v/>
      </c>
      <c r="H85" s="19">
        <f t="array" ref="H85">IFERROR(INDEX('Hàng hóa'!$G$4:$G$203,MATCH(B85,'Hàng hóa'!$B$4:$B$203,0)),0)</f>
        <v>0</v>
      </c>
      <c r="I85" s="7"/>
      <c r="J85" s="47">
        <f t="shared" si="1"/>
        <v>0</v>
      </c>
      <c r="K85" s="19">
        <f t="shared" si="2"/>
        <v>0</v>
      </c>
      <c r="L85" s="23"/>
      <c r="M85" s="23"/>
      <c r="N85" s="2"/>
      <c r="O85" s="18" t="str">
        <f>IF('Hàng hóa'!K86&lt;&gt;"",'Hàng hóa'!K86,"")</f>
        <v/>
      </c>
      <c r="P85" s="2"/>
      <c r="Q85" s="2"/>
      <c r="R85" s="2"/>
      <c r="S85" s="2"/>
      <c r="T85" s="2"/>
      <c r="U85" s="2"/>
      <c r="V85" s="2"/>
      <c r="W85" s="2"/>
    </row>
    <row r="86" ht="15.75" customHeight="1">
      <c r="A86" s="43"/>
      <c r="B86" s="23"/>
      <c r="C86" s="37" t="str">
        <f t="array" ref="C86">IFERROR(INDEX('Hàng hóa'!$A$4:$A$203,MATCH(B86,'Hàng hóa'!$B$4:$B$203,0)),"")</f>
        <v/>
      </c>
      <c r="D86" s="37" t="str">
        <f t="array" ref="D86">IFERROR(INDEX('Hàng hóa'!$C$4:$C$203,MATCH(B86,'Hàng hóa'!$B$4:$B$203,0)),"")</f>
        <v/>
      </c>
      <c r="E86" s="44"/>
      <c r="F86" s="37">
        <f t="array" ref="F86">IFERROR(INDEX('Hàng hóa'!$E$4:$E$203,MATCH(B86,'Hàng hóa'!$B$4:$B$203,0)),0)</f>
        <v>0</v>
      </c>
      <c r="G86" s="37" t="str">
        <f t="array" ref="G86">IFERROR(INDEX('Hàng hóa'!$F$4:$F$203,MATCH(B86,'Hàng hóa'!$B$4:$B$203,0)),"")</f>
        <v/>
      </c>
      <c r="H86" s="19">
        <f t="array" ref="H86">IFERROR(INDEX('Hàng hóa'!$G$4:$G$203,MATCH(B86,'Hàng hóa'!$B$4:$B$203,0)),0)</f>
        <v>0</v>
      </c>
      <c r="I86" s="7"/>
      <c r="J86" s="47">
        <f t="shared" si="1"/>
        <v>0</v>
      </c>
      <c r="K86" s="19">
        <f t="shared" si="2"/>
        <v>0</v>
      </c>
      <c r="L86" s="23"/>
      <c r="M86" s="23"/>
      <c r="N86" s="2"/>
      <c r="O86" s="18" t="str">
        <f>IF('Hàng hóa'!K87&lt;&gt;"",'Hàng hóa'!K87,"")</f>
        <v/>
      </c>
      <c r="P86" s="2"/>
      <c r="Q86" s="2"/>
      <c r="R86" s="2"/>
      <c r="S86" s="2"/>
      <c r="T86" s="2"/>
      <c r="U86" s="2"/>
      <c r="V86" s="2"/>
      <c r="W86" s="2"/>
    </row>
    <row r="87" ht="15.75" customHeight="1">
      <c r="A87" s="43"/>
      <c r="B87" s="23"/>
      <c r="C87" s="37" t="str">
        <f t="array" ref="C87">IFERROR(INDEX('Hàng hóa'!$A$4:$A$203,MATCH(B87,'Hàng hóa'!$B$4:$B$203,0)),"")</f>
        <v/>
      </c>
      <c r="D87" s="37" t="str">
        <f t="array" ref="D87">IFERROR(INDEX('Hàng hóa'!$C$4:$C$203,MATCH(B87,'Hàng hóa'!$B$4:$B$203,0)),"")</f>
        <v/>
      </c>
      <c r="E87" s="44"/>
      <c r="F87" s="37">
        <f t="array" ref="F87">IFERROR(INDEX('Hàng hóa'!$E$4:$E$203,MATCH(B87,'Hàng hóa'!$B$4:$B$203,0)),0)</f>
        <v>0</v>
      </c>
      <c r="G87" s="37" t="str">
        <f t="array" ref="G87">IFERROR(INDEX('Hàng hóa'!$F$4:$F$203,MATCH(B87,'Hàng hóa'!$B$4:$B$203,0)),"")</f>
        <v/>
      </c>
      <c r="H87" s="19">
        <f t="array" ref="H87">IFERROR(INDEX('Hàng hóa'!$G$4:$G$203,MATCH(B87,'Hàng hóa'!$B$4:$B$203,0)),0)</f>
        <v>0</v>
      </c>
      <c r="I87" s="7"/>
      <c r="J87" s="47">
        <f t="shared" si="1"/>
        <v>0</v>
      </c>
      <c r="K87" s="19">
        <f t="shared" si="2"/>
        <v>0</v>
      </c>
      <c r="L87" s="23"/>
      <c r="M87" s="23"/>
      <c r="N87" s="2"/>
      <c r="O87" s="18" t="str">
        <f>IF('Hàng hóa'!K88&lt;&gt;"",'Hàng hóa'!K88,"")</f>
        <v/>
      </c>
      <c r="P87" s="2"/>
      <c r="Q87" s="2"/>
      <c r="R87" s="2"/>
      <c r="S87" s="2"/>
      <c r="T87" s="2"/>
      <c r="U87" s="2"/>
      <c r="V87" s="2"/>
      <c r="W87" s="2"/>
    </row>
    <row r="88" ht="15.75" customHeight="1">
      <c r="A88" s="43"/>
      <c r="B88" s="23"/>
      <c r="C88" s="37" t="str">
        <f t="array" ref="C88">IFERROR(INDEX('Hàng hóa'!$A$4:$A$203,MATCH(B88,'Hàng hóa'!$B$4:$B$203,0)),"")</f>
        <v/>
      </c>
      <c r="D88" s="37" t="str">
        <f t="array" ref="D88">IFERROR(INDEX('Hàng hóa'!$C$4:$C$203,MATCH(B88,'Hàng hóa'!$B$4:$B$203,0)),"")</f>
        <v/>
      </c>
      <c r="E88" s="44"/>
      <c r="F88" s="37">
        <f t="array" ref="F88">IFERROR(INDEX('Hàng hóa'!$E$4:$E$203,MATCH(B88,'Hàng hóa'!$B$4:$B$203,0)),0)</f>
        <v>0</v>
      </c>
      <c r="G88" s="37" t="str">
        <f t="array" ref="G88">IFERROR(INDEX('Hàng hóa'!$F$4:$F$203,MATCH(B88,'Hàng hóa'!$B$4:$B$203,0)),"")</f>
        <v/>
      </c>
      <c r="H88" s="19">
        <f t="array" ref="H88">IFERROR(INDEX('Hàng hóa'!$G$4:$G$203,MATCH(B88,'Hàng hóa'!$B$4:$B$203,0)),0)</f>
        <v>0</v>
      </c>
      <c r="I88" s="7"/>
      <c r="J88" s="47">
        <f t="shared" si="1"/>
        <v>0</v>
      </c>
      <c r="K88" s="19">
        <f t="shared" si="2"/>
        <v>0</v>
      </c>
      <c r="L88" s="23"/>
      <c r="M88" s="23"/>
      <c r="N88" s="2"/>
      <c r="O88" s="18" t="str">
        <f>IF('Hàng hóa'!K89&lt;&gt;"",'Hàng hóa'!K89,"")</f>
        <v/>
      </c>
      <c r="P88" s="2"/>
      <c r="Q88" s="2"/>
      <c r="R88" s="2"/>
      <c r="S88" s="2"/>
      <c r="T88" s="2"/>
      <c r="U88" s="2"/>
      <c r="V88" s="2"/>
      <c r="W88" s="2"/>
    </row>
    <row r="89" ht="15.75" customHeight="1">
      <c r="A89" s="43"/>
      <c r="B89" s="23"/>
      <c r="C89" s="37" t="str">
        <f t="array" ref="C89">IFERROR(INDEX('Hàng hóa'!$A$4:$A$203,MATCH(B89,'Hàng hóa'!$B$4:$B$203,0)),"")</f>
        <v/>
      </c>
      <c r="D89" s="37" t="str">
        <f t="array" ref="D89">IFERROR(INDEX('Hàng hóa'!$C$4:$C$203,MATCH(B89,'Hàng hóa'!$B$4:$B$203,0)),"")</f>
        <v/>
      </c>
      <c r="E89" s="44"/>
      <c r="F89" s="37">
        <f t="array" ref="F89">IFERROR(INDEX('Hàng hóa'!$E$4:$E$203,MATCH(B89,'Hàng hóa'!$B$4:$B$203,0)),0)</f>
        <v>0</v>
      </c>
      <c r="G89" s="37" t="str">
        <f t="array" ref="G89">IFERROR(INDEX('Hàng hóa'!$F$4:$F$203,MATCH(B89,'Hàng hóa'!$B$4:$B$203,0)),"")</f>
        <v/>
      </c>
      <c r="H89" s="19">
        <f t="array" ref="H89">IFERROR(INDEX('Hàng hóa'!$G$4:$G$203,MATCH(B89,'Hàng hóa'!$B$4:$B$203,0)),0)</f>
        <v>0</v>
      </c>
      <c r="I89" s="7"/>
      <c r="J89" s="47">
        <f t="shared" si="1"/>
        <v>0</v>
      </c>
      <c r="K89" s="19">
        <f t="shared" si="2"/>
        <v>0</v>
      </c>
      <c r="L89" s="23"/>
      <c r="M89" s="23"/>
      <c r="N89" s="2"/>
      <c r="O89" s="18" t="str">
        <f>IF('Hàng hóa'!K90&lt;&gt;"",'Hàng hóa'!K90,"")</f>
        <v/>
      </c>
      <c r="P89" s="2"/>
      <c r="Q89" s="2"/>
      <c r="R89" s="2"/>
      <c r="S89" s="2"/>
      <c r="T89" s="2"/>
      <c r="U89" s="2"/>
      <c r="V89" s="2"/>
      <c r="W89" s="2"/>
    </row>
    <row r="90" ht="15.75" customHeight="1">
      <c r="A90" s="43"/>
      <c r="B90" s="23"/>
      <c r="C90" s="37" t="str">
        <f t="array" ref="C90">IFERROR(INDEX('Hàng hóa'!$A$4:$A$203,MATCH(B90,'Hàng hóa'!$B$4:$B$203,0)),"")</f>
        <v/>
      </c>
      <c r="D90" s="37" t="str">
        <f t="array" ref="D90">IFERROR(INDEX('Hàng hóa'!$C$4:$C$203,MATCH(B90,'Hàng hóa'!$B$4:$B$203,0)),"")</f>
        <v/>
      </c>
      <c r="E90" s="44"/>
      <c r="F90" s="37">
        <f t="array" ref="F90">IFERROR(INDEX('Hàng hóa'!$E$4:$E$203,MATCH(B90,'Hàng hóa'!$B$4:$B$203,0)),0)</f>
        <v>0</v>
      </c>
      <c r="G90" s="37" t="str">
        <f t="array" ref="G90">IFERROR(INDEX('Hàng hóa'!$F$4:$F$203,MATCH(B90,'Hàng hóa'!$B$4:$B$203,0)),"")</f>
        <v/>
      </c>
      <c r="H90" s="19">
        <f t="array" ref="H90">IFERROR(INDEX('Hàng hóa'!$G$4:$G$203,MATCH(B90,'Hàng hóa'!$B$4:$B$203,0)),0)</f>
        <v>0</v>
      </c>
      <c r="I90" s="7"/>
      <c r="J90" s="47">
        <f t="shared" si="1"/>
        <v>0</v>
      </c>
      <c r="K90" s="19">
        <f t="shared" si="2"/>
        <v>0</v>
      </c>
      <c r="L90" s="23"/>
      <c r="M90" s="23"/>
      <c r="N90" s="2"/>
      <c r="O90" s="18" t="str">
        <f>IF('Hàng hóa'!K91&lt;&gt;"",'Hàng hóa'!K91,"")</f>
        <v/>
      </c>
      <c r="P90" s="2"/>
      <c r="Q90" s="2"/>
      <c r="R90" s="2"/>
      <c r="S90" s="2"/>
      <c r="T90" s="2"/>
      <c r="U90" s="2"/>
      <c r="V90" s="2"/>
      <c r="W90" s="2"/>
    </row>
    <row r="91" ht="15.75" customHeight="1">
      <c r="A91" s="43"/>
      <c r="B91" s="23"/>
      <c r="C91" s="37" t="str">
        <f t="array" ref="C91">IFERROR(INDEX('Hàng hóa'!$A$4:$A$203,MATCH(B91,'Hàng hóa'!$B$4:$B$203,0)),"")</f>
        <v/>
      </c>
      <c r="D91" s="37" t="str">
        <f t="array" ref="D91">IFERROR(INDEX('Hàng hóa'!$C$4:$C$203,MATCH(B91,'Hàng hóa'!$B$4:$B$203,0)),"")</f>
        <v/>
      </c>
      <c r="E91" s="44"/>
      <c r="F91" s="37">
        <f t="array" ref="F91">IFERROR(INDEX('Hàng hóa'!$E$4:$E$203,MATCH(B91,'Hàng hóa'!$B$4:$B$203,0)),0)</f>
        <v>0</v>
      </c>
      <c r="G91" s="37" t="str">
        <f t="array" ref="G91">IFERROR(INDEX('Hàng hóa'!$F$4:$F$203,MATCH(B91,'Hàng hóa'!$B$4:$B$203,0)),"")</f>
        <v/>
      </c>
      <c r="H91" s="19">
        <f t="array" ref="H91">IFERROR(INDEX('Hàng hóa'!$G$4:$G$203,MATCH(B91,'Hàng hóa'!$B$4:$B$203,0)),0)</f>
        <v>0</v>
      </c>
      <c r="I91" s="7"/>
      <c r="J91" s="47">
        <f t="shared" si="1"/>
        <v>0</v>
      </c>
      <c r="K91" s="19">
        <f t="shared" si="2"/>
        <v>0</v>
      </c>
      <c r="L91" s="23"/>
      <c r="M91" s="23"/>
      <c r="N91" s="2"/>
      <c r="O91" s="18" t="str">
        <f>IF('Hàng hóa'!K92&lt;&gt;"",'Hàng hóa'!K92,"")</f>
        <v/>
      </c>
      <c r="P91" s="2"/>
      <c r="Q91" s="2"/>
      <c r="R91" s="2"/>
      <c r="S91" s="2"/>
      <c r="T91" s="2"/>
      <c r="U91" s="2"/>
      <c r="V91" s="2"/>
      <c r="W91" s="2"/>
    </row>
    <row r="92" ht="15.75" customHeight="1">
      <c r="A92" s="43"/>
      <c r="B92" s="23"/>
      <c r="C92" s="37" t="str">
        <f t="array" ref="C92">IFERROR(INDEX('Hàng hóa'!$A$4:$A$203,MATCH(B92,'Hàng hóa'!$B$4:$B$203,0)),"")</f>
        <v/>
      </c>
      <c r="D92" s="37" t="str">
        <f t="array" ref="D92">IFERROR(INDEX('Hàng hóa'!$C$4:$C$203,MATCH(B92,'Hàng hóa'!$B$4:$B$203,0)),"")</f>
        <v/>
      </c>
      <c r="E92" s="44"/>
      <c r="F92" s="37">
        <f t="array" ref="F92">IFERROR(INDEX('Hàng hóa'!$E$4:$E$203,MATCH(B92,'Hàng hóa'!$B$4:$B$203,0)),0)</f>
        <v>0</v>
      </c>
      <c r="G92" s="37" t="str">
        <f t="array" ref="G92">IFERROR(INDEX('Hàng hóa'!$F$4:$F$203,MATCH(B92,'Hàng hóa'!$B$4:$B$203,0)),"")</f>
        <v/>
      </c>
      <c r="H92" s="19">
        <f t="array" ref="H92">IFERROR(INDEX('Hàng hóa'!$G$4:$G$203,MATCH(B92,'Hàng hóa'!$B$4:$B$203,0)),0)</f>
        <v>0</v>
      </c>
      <c r="I92" s="7"/>
      <c r="J92" s="47">
        <f t="shared" si="1"/>
        <v>0</v>
      </c>
      <c r="K92" s="19">
        <f t="shared" si="2"/>
        <v>0</v>
      </c>
      <c r="L92" s="23"/>
      <c r="M92" s="23"/>
      <c r="N92" s="2"/>
      <c r="O92" s="18" t="str">
        <f>IF('Hàng hóa'!K93&lt;&gt;"",'Hàng hóa'!K93,"")</f>
        <v/>
      </c>
      <c r="P92" s="2"/>
      <c r="Q92" s="2"/>
      <c r="R92" s="2"/>
      <c r="S92" s="2"/>
      <c r="T92" s="2"/>
      <c r="U92" s="2"/>
      <c r="V92" s="2"/>
      <c r="W92" s="2"/>
    </row>
    <row r="93" ht="15.75" customHeight="1">
      <c r="A93" s="43"/>
      <c r="B93" s="23"/>
      <c r="C93" s="37" t="str">
        <f t="array" ref="C93">IFERROR(INDEX('Hàng hóa'!$A$4:$A$203,MATCH(B93,'Hàng hóa'!$B$4:$B$203,0)),"")</f>
        <v/>
      </c>
      <c r="D93" s="37" t="str">
        <f t="array" ref="D93">IFERROR(INDEX('Hàng hóa'!$C$4:$C$203,MATCH(B93,'Hàng hóa'!$B$4:$B$203,0)),"")</f>
        <v/>
      </c>
      <c r="E93" s="44"/>
      <c r="F93" s="37">
        <f t="array" ref="F93">IFERROR(INDEX('Hàng hóa'!$E$4:$E$203,MATCH(B93,'Hàng hóa'!$B$4:$B$203,0)),0)</f>
        <v>0</v>
      </c>
      <c r="G93" s="37" t="str">
        <f t="array" ref="G93">IFERROR(INDEX('Hàng hóa'!$F$4:$F$203,MATCH(B93,'Hàng hóa'!$B$4:$B$203,0)),"")</f>
        <v/>
      </c>
      <c r="H93" s="19">
        <f t="array" ref="H93">IFERROR(INDEX('Hàng hóa'!$G$4:$G$203,MATCH(B93,'Hàng hóa'!$B$4:$B$203,0)),0)</f>
        <v>0</v>
      </c>
      <c r="I93" s="7"/>
      <c r="J93" s="47">
        <f t="shared" si="1"/>
        <v>0</v>
      </c>
      <c r="K93" s="19">
        <f t="shared" si="2"/>
        <v>0</v>
      </c>
      <c r="L93" s="23"/>
      <c r="M93" s="23"/>
      <c r="N93" s="2"/>
      <c r="O93" s="18" t="str">
        <f>IF('Hàng hóa'!K94&lt;&gt;"",'Hàng hóa'!K94,"")</f>
        <v/>
      </c>
      <c r="P93" s="2"/>
      <c r="Q93" s="2"/>
      <c r="R93" s="2"/>
      <c r="S93" s="2"/>
      <c r="T93" s="2"/>
      <c r="U93" s="2"/>
      <c r="V93" s="2"/>
      <c r="W93" s="2"/>
    </row>
    <row r="94" ht="15.75" customHeight="1">
      <c r="A94" s="43"/>
      <c r="B94" s="23"/>
      <c r="C94" s="37" t="str">
        <f t="array" ref="C94">IFERROR(INDEX('Hàng hóa'!$A$4:$A$203,MATCH(B94,'Hàng hóa'!$B$4:$B$203,0)),"")</f>
        <v/>
      </c>
      <c r="D94" s="37" t="str">
        <f t="array" ref="D94">IFERROR(INDEX('Hàng hóa'!$C$4:$C$203,MATCH(B94,'Hàng hóa'!$B$4:$B$203,0)),"")</f>
        <v/>
      </c>
      <c r="E94" s="44"/>
      <c r="F94" s="37">
        <f t="array" ref="F94">IFERROR(INDEX('Hàng hóa'!$E$4:$E$203,MATCH(B94,'Hàng hóa'!$B$4:$B$203,0)),0)</f>
        <v>0</v>
      </c>
      <c r="G94" s="37" t="str">
        <f t="array" ref="G94">IFERROR(INDEX('Hàng hóa'!$F$4:$F$203,MATCH(B94,'Hàng hóa'!$B$4:$B$203,0)),"")</f>
        <v/>
      </c>
      <c r="H94" s="19">
        <f t="array" ref="H94">IFERROR(INDEX('Hàng hóa'!$G$4:$G$203,MATCH(B94,'Hàng hóa'!$B$4:$B$203,0)),0)</f>
        <v>0</v>
      </c>
      <c r="I94" s="7"/>
      <c r="J94" s="47">
        <f t="shared" si="1"/>
        <v>0</v>
      </c>
      <c r="K94" s="19">
        <f t="shared" si="2"/>
        <v>0</v>
      </c>
      <c r="L94" s="23"/>
      <c r="M94" s="23"/>
      <c r="N94" s="2"/>
      <c r="O94" s="18" t="str">
        <f>IF('Hàng hóa'!K95&lt;&gt;"",'Hàng hóa'!K95,"")</f>
        <v/>
      </c>
      <c r="P94" s="2"/>
      <c r="Q94" s="2"/>
      <c r="R94" s="2"/>
      <c r="S94" s="2"/>
      <c r="T94" s="2"/>
      <c r="U94" s="2"/>
      <c r="V94" s="2"/>
      <c r="W94" s="2"/>
    </row>
    <row r="95" ht="15.75" customHeight="1">
      <c r="A95" s="43"/>
      <c r="B95" s="23"/>
      <c r="C95" s="37" t="str">
        <f t="array" ref="C95">IFERROR(INDEX('Hàng hóa'!$A$4:$A$203,MATCH(B95,'Hàng hóa'!$B$4:$B$203,0)),"")</f>
        <v/>
      </c>
      <c r="D95" s="37" t="str">
        <f t="array" ref="D95">IFERROR(INDEX('Hàng hóa'!$C$4:$C$203,MATCH(B95,'Hàng hóa'!$B$4:$B$203,0)),"")</f>
        <v/>
      </c>
      <c r="E95" s="44"/>
      <c r="F95" s="37">
        <f t="array" ref="F95">IFERROR(INDEX('Hàng hóa'!$E$4:$E$203,MATCH(B95,'Hàng hóa'!$B$4:$B$203,0)),0)</f>
        <v>0</v>
      </c>
      <c r="G95" s="37" t="str">
        <f t="array" ref="G95">IFERROR(INDEX('Hàng hóa'!$F$4:$F$203,MATCH(B95,'Hàng hóa'!$B$4:$B$203,0)),"")</f>
        <v/>
      </c>
      <c r="H95" s="19">
        <f t="array" ref="H95">IFERROR(INDEX('Hàng hóa'!$G$4:$G$203,MATCH(B95,'Hàng hóa'!$B$4:$B$203,0)),0)</f>
        <v>0</v>
      </c>
      <c r="I95" s="7"/>
      <c r="J95" s="47">
        <f t="shared" si="1"/>
        <v>0</v>
      </c>
      <c r="K95" s="19">
        <f t="shared" si="2"/>
        <v>0</v>
      </c>
      <c r="L95" s="23"/>
      <c r="M95" s="23"/>
      <c r="N95" s="2"/>
      <c r="O95" s="18" t="str">
        <f>IF('Hàng hóa'!K96&lt;&gt;"",'Hàng hóa'!K96,"")</f>
        <v/>
      </c>
      <c r="P95" s="2"/>
      <c r="Q95" s="2"/>
      <c r="R95" s="2"/>
      <c r="S95" s="2"/>
      <c r="T95" s="2"/>
      <c r="U95" s="2"/>
      <c r="V95" s="2"/>
      <c r="W95" s="2"/>
    </row>
    <row r="96" ht="15.75" customHeight="1">
      <c r="A96" s="43"/>
      <c r="B96" s="23"/>
      <c r="C96" s="37" t="str">
        <f t="array" ref="C96">IFERROR(INDEX('Hàng hóa'!$A$4:$A$203,MATCH(B96,'Hàng hóa'!$B$4:$B$203,0)),"")</f>
        <v/>
      </c>
      <c r="D96" s="37" t="str">
        <f t="array" ref="D96">IFERROR(INDEX('Hàng hóa'!$C$4:$C$203,MATCH(B96,'Hàng hóa'!$B$4:$B$203,0)),"")</f>
        <v/>
      </c>
      <c r="E96" s="44"/>
      <c r="F96" s="37">
        <f t="array" ref="F96">IFERROR(INDEX('Hàng hóa'!$E$4:$E$203,MATCH(B96,'Hàng hóa'!$B$4:$B$203,0)),0)</f>
        <v>0</v>
      </c>
      <c r="G96" s="37" t="str">
        <f t="array" ref="G96">IFERROR(INDEX('Hàng hóa'!$F$4:$F$203,MATCH(B96,'Hàng hóa'!$B$4:$B$203,0)),"")</f>
        <v/>
      </c>
      <c r="H96" s="19">
        <f t="array" ref="H96">IFERROR(INDEX('Hàng hóa'!$G$4:$G$203,MATCH(B96,'Hàng hóa'!$B$4:$B$203,0)),0)</f>
        <v>0</v>
      </c>
      <c r="I96" s="7"/>
      <c r="J96" s="47">
        <f t="shared" si="1"/>
        <v>0</v>
      </c>
      <c r="K96" s="19">
        <f t="shared" si="2"/>
        <v>0</v>
      </c>
      <c r="L96" s="23"/>
      <c r="M96" s="23"/>
      <c r="N96" s="2"/>
      <c r="O96" s="18" t="str">
        <f>IF('Hàng hóa'!K97&lt;&gt;"",'Hàng hóa'!K97,"")</f>
        <v/>
      </c>
      <c r="P96" s="2"/>
      <c r="Q96" s="2"/>
      <c r="R96" s="2"/>
      <c r="S96" s="2"/>
      <c r="T96" s="2"/>
      <c r="U96" s="2"/>
      <c r="V96" s="2"/>
      <c r="W96" s="2"/>
    </row>
    <row r="97" ht="15.75" customHeight="1">
      <c r="A97" s="43"/>
      <c r="B97" s="23"/>
      <c r="C97" s="37" t="str">
        <f t="array" ref="C97">IFERROR(INDEX('Hàng hóa'!$A$4:$A$203,MATCH(B97,'Hàng hóa'!$B$4:$B$203,0)),"")</f>
        <v/>
      </c>
      <c r="D97" s="37" t="str">
        <f t="array" ref="D97">IFERROR(INDEX('Hàng hóa'!$C$4:$C$203,MATCH(B97,'Hàng hóa'!$B$4:$B$203,0)),"")</f>
        <v/>
      </c>
      <c r="E97" s="44"/>
      <c r="F97" s="37">
        <f t="array" ref="F97">IFERROR(INDEX('Hàng hóa'!$E$4:$E$203,MATCH(B97,'Hàng hóa'!$B$4:$B$203,0)),0)</f>
        <v>0</v>
      </c>
      <c r="G97" s="37" t="str">
        <f t="array" ref="G97">IFERROR(INDEX('Hàng hóa'!$F$4:$F$203,MATCH(B97,'Hàng hóa'!$B$4:$B$203,0)),"")</f>
        <v/>
      </c>
      <c r="H97" s="19">
        <f t="array" ref="H97">IFERROR(INDEX('Hàng hóa'!$G$4:$G$203,MATCH(B97,'Hàng hóa'!$B$4:$B$203,0)),0)</f>
        <v>0</v>
      </c>
      <c r="I97" s="7"/>
      <c r="J97" s="47">
        <f t="shared" si="1"/>
        <v>0</v>
      </c>
      <c r="K97" s="19">
        <f t="shared" si="2"/>
        <v>0</v>
      </c>
      <c r="L97" s="23"/>
      <c r="M97" s="23"/>
      <c r="N97" s="2"/>
      <c r="O97" s="18" t="str">
        <f>IF('Hàng hóa'!K98&lt;&gt;"",'Hàng hóa'!K98,"")</f>
        <v/>
      </c>
      <c r="P97" s="2"/>
      <c r="Q97" s="2"/>
      <c r="R97" s="2"/>
      <c r="S97" s="2"/>
      <c r="T97" s="2"/>
      <c r="U97" s="2"/>
      <c r="V97" s="2"/>
      <c r="W97" s="2"/>
    </row>
    <row r="98" ht="15.75" customHeight="1">
      <c r="A98" s="43"/>
      <c r="B98" s="23"/>
      <c r="C98" s="37" t="str">
        <f t="array" ref="C98">IFERROR(INDEX('Hàng hóa'!$A$4:$A$203,MATCH(B98,'Hàng hóa'!$B$4:$B$203,0)),"")</f>
        <v/>
      </c>
      <c r="D98" s="37" t="str">
        <f t="array" ref="D98">IFERROR(INDEX('Hàng hóa'!$C$4:$C$203,MATCH(B98,'Hàng hóa'!$B$4:$B$203,0)),"")</f>
        <v/>
      </c>
      <c r="E98" s="44"/>
      <c r="F98" s="37">
        <f t="array" ref="F98">IFERROR(INDEX('Hàng hóa'!$E$4:$E$203,MATCH(B98,'Hàng hóa'!$B$4:$B$203,0)),0)</f>
        <v>0</v>
      </c>
      <c r="G98" s="37" t="str">
        <f t="array" ref="G98">IFERROR(INDEX('Hàng hóa'!$F$4:$F$203,MATCH(B98,'Hàng hóa'!$B$4:$B$203,0)),"")</f>
        <v/>
      </c>
      <c r="H98" s="19">
        <f t="array" ref="H98">IFERROR(INDEX('Hàng hóa'!$G$4:$G$203,MATCH(B98,'Hàng hóa'!$B$4:$B$203,0)),0)</f>
        <v>0</v>
      </c>
      <c r="I98" s="7"/>
      <c r="J98" s="47">
        <f t="shared" si="1"/>
        <v>0</v>
      </c>
      <c r="K98" s="19">
        <f t="shared" si="2"/>
        <v>0</v>
      </c>
      <c r="L98" s="23"/>
      <c r="M98" s="23"/>
      <c r="N98" s="2"/>
      <c r="O98" s="18" t="str">
        <f>IF('Hàng hóa'!K99&lt;&gt;"",'Hàng hóa'!K99,"")</f>
        <v/>
      </c>
      <c r="P98" s="2"/>
      <c r="Q98" s="2"/>
      <c r="R98" s="2"/>
      <c r="S98" s="2"/>
      <c r="T98" s="2"/>
      <c r="U98" s="2"/>
      <c r="V98" s="2"/>
      <c r="W98" s="2"/>
    </row>
    <row r="99" ht="15.75" customHeight="1">
      <c r="A99" s="43"/>
      <c r="B99" s="23"/>
      <c r="C99" s="37" t="str">
        <f t="array" ref="C99">IFERROR(INDEX('Hàng hóa'!$A$4:$A$203,MATCH(B99,'Hàng hóa'!$B$4:$B$203,0)),"")</f>
        <v/>
      </c>
      <c r="D99" s="37" t="str">
        <f t="array" ref="D99">IFERROR(INDEX('Hàng hóa'!$C$4:$C$203,MATCH(B99,'Hàng hóa'!$B$4:$B$203,0)),"")</f>
        <v/>
      </c>
      <c r="E99" s="44"/>
      <c r="F99" s="37">
        <f t="array" ref="F99">IFERROR(INDEX('Hàng hóa'!$E$4:$E$203,MATCH(B99,'Hàng hóa'!$B$4:$B$203,0)),0)</f>
        <v>0</v>
      </c>
      <c r="G99" s="37" t="str">
        <f t="array" ref="G99">IFERROR(INDEX('Hàng hóa'!$F$4:$F$203,MATCH(B99,'Hàng hóa'!$B$4:$B$203,0)),"")</f>
        <v/>
      </c>
      <c r="H99" s="19">
        <f t="array" ref="H99">IFERROR(INDEX('Hàng hóa'!$G$4:$G$203,MATCH(B99,'Hàng hóa'!$B$4:$B$203,0)),0)</f>
        <v>0</v>
      </c>
      <c r="I99" s="7"/>
      <c r="J99" s="47">
        <f t="shared" si="1"/>
        <v>0</v>
      </c>
      <c r="K99" s="19">
        <f t="shared" si="2"/>
        <v>0</v>
      </c>
      <c r="L99" s="23"/>
      <c r="M99" s="23"/>
      <c r="N99" s="2"/>
      <c r="O99" s="18" t="str">
        <f>IF('Hàng hóa'!K100&lt;&gt;"",'Hàng hóa'!K100,"")</f>
        <v/>
      </c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43"/>
      <c r="B100" s="23"/>
      <c r="C100" s="37" t="str">
        <f t="array" ref="C100">IFERROR(INDEX('Hàng hóa'!$A$4:$A$203,MATCH(B100,'Hàng hóa'!$B$4:$B$203,0)),"")</f>
        <v/>
      </c>
      <c r="D100" s="37" t="str">
        <f t="array" ref="D100">IFERROR(INDEX('Hàng hóa'!$C$4:$C$203,MATCH(B100,'Hàng hóa'!$B$4:$B$203,0)),"")</f>
        <v/>
      </c>
      <c r="E100" s="44"/>
      <c r="F100" s="37">
        <f t="array" ref="F100">IFERROR(INDEX('Hàng hóa'!$E$4:$E$203,MATCH(B100,'Hàng hóa'!$B$4:$B$203,0)),0)</f>
        <v>0</v>
      </c>
      <c r="G100" s="37" t="str">
        <f t="array" ref="G100">IFERROR(INDEX('Hàng hóa'!$F$4:$F$203,MATCH(B100,'Hàng hóa'!$B$4:$B$203,0)),"")</f>
        <v/>
      </c>
      <c r="H100" s="19">
        <f t="array" ref="H100">IFERROR(INDEX('Hàng hóa'!$G$4:$G$203,MATCH(B100,'Hàng hóa'!$B$4:$B$203,0)),0)</f>
        <v>0</v>
      </c>
      <c r="I100" s="7"/>
      <c r="J100" s="47">
        <f t="shared" si="1"/>
        <v>0</v>
      </c>
      <c r="K100" s="19">
        <f t="shared" si="2"/>
        <v>0</v>
      </c>
      <c r="L100" s="23"/>
      <c r="M100" s="23"/>
      <c r="N100" s="2"/>
      <c r="O100" s="18" t="str">
        <f>IF('Hàng hóa'!K101&lt;&gt;"",'Hàng hóa'!K101,"")</f>
        <v/>
      </c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43"/>
      <c r="B101" s="23"/>
      <c r="C101" s="37" t="str">
        <f t="array" ref="C101">IFERROR(INDEX('Hàng hóa'!$A$4:$A$203,MATCH(B101,'Hàng hóa'!$B$4:$B$203,0)),"")</f>
        <v/>
      </c>
      <c r="D101" s="37" t="str">
        <f t="array" ref="D101">IFERROR(INDEX('Hàng hóa'!$C$4:$C$203,MATCH(B101,'Hàng hóa'!$B$4:$B$203,0)),"")</f>
        <v/>
      </c>
      <c r="E101" s="44"/>
      <c r="F101" s="37">
        <f t="array" ref="F101">IFERROR(INDEX('Hàng hóa'!$E$4:$E$203,MATCH(B101,'Hàng hóa'!$B$4:$B$203,0)),0)</f>
        <v>0</v>
      </c>
      <c r="G101" s="37" t="str">
        <f t="array" ref="G101">IFERROR(INDEX('Hàng hóa'!$F$4:$F$203,MATCH(B101,'Hàng hóa'!$B$4:$B$203,0)),"")</f>
        <v/>
      </c>
      <c r="H101" s="19">
        <f t="array" ref="H101">IFERROR(INDEX('Hàng hóa'!$G$4:$G$203,MATCH(B101,'Hàng hóa'!$B$4:$B$203,0)),0)</f>
        <v>0</v>
      </c>
      <c r="I101" s="7"/>
      <c r="J101" s="47">
        <f t="shared" si="1"/>
        <v>0</v>
      </c>
      <c r="K101" s="19">
        <f t="shared" si="2"/>
        <v>0</v>
      </c>
      <c r="L101" s="23"/>
      <c r="M101" s="23"/>
      <c r="N101" s="2"/>
      <c r="O101" s="18" t="str">
        <f>IF('Hàng hóa'!K102&lt;&gt;"",'Hàng hóa'!K102,"")</f>
        <v/>
      </c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43"/>
      <c r="B102" s="23"/>
      <c r="C102" s="37" t="str">
        <f t="array" ref="C102">IFERROR(INDEX('Hàng hóa'!$A$4:$A$203,MATCH(B102,'Hàng hóa'!$B$4:$B$203,0)),"")</f>
        <v/>
      </c>
      <c r="D102" s="37" t="str">
        <f t="array" ref="D102">IFERROR(INDEX('Hàng hóa'!$C$4:$C$203,MATCH(B102,'Hàng hóa'!$B$4:$B$203,0)),"")</f>
        <v/>
      </c>
      <c r="E102" s="44"/>
      <c r="F102" s="37">
        <f t="array" ref="F102">IFERROR(INDEX('Hàng hóa'!$E$4:$E$203,MATCH(B102,'Hàng hóa'!$B$4:$B$203,0)),0)</f>
        <v>0</v>
      </c>
      <c r="G102" s="37" t="str">
        <f t="array" ref="G102">IFERROR(INDEX('Hàng hóa'!$F$4:$F$203,MATCH(B102,'Hàng hóa'!$B$4:$B$203,0)),"")</f>
        <v/>
      </c>
      <c r="H102" s="19">
        <f t="array" ref="H102">IFERROR(INDEX('Hàng hóa'!$G$4:$G$203,MATCH(B102,'Hàng hóa'!$B$4:$B$203,0)),0)</f>
        <v>0</v>
      </c>
      <c r="I102" s="7"/>
      <c r="J102" s="47">
        <f t="shared" si="1"/>
        <v>0</v>
      </c>
      <c r="K102" s="19">
        <f t="shared" si="2"/>
        <v>0</v>
      </c>
      <c r="L102" s="23"/>
      <c r="M102" s="23"/>
      <c r="N102" s="2"/>
      <c r="O102" s="18" t="str">
        <f>IF('Hàng hóa'!K103&lt;&gt;"",'Hàng hóa'!K103,"")</f>
        <v/>
      </c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43"/>
      <c r="B103" s="23"/>
      <c r="C103" s="37" t="str">
        <f t="array" ref="C103">IFERROR(INDEX('Hàng hóa'!$A$4:$A$203,MATCH(B103,'Hàng hóa'!$B$4:$B$203,0)),"")</f>
        <v/>
      </c>
      <c r="D103" s="37" t="str">
        <f t="array" ref="D103">IFERROR(INDEX('Hàng hóa'!$C$4:$C$203,MATCH(B103,'Hàng hóa'!$B$4:$B$203,0)),"")</f>
        <v/>
      </c>
      <c r="E103" s="44"/>
      <c r="F103" s="37">
        <f t="array" ref="F103">IFERROR(INDEX('Hàng hóa'!$E$4:$E$203,MATCH(B103,'Hàng hóa'!$B$4:$B$203,0)),0)</f>
        <v>0</v>
      </c>
      <c r="G103" s="37" t="str">
        <f t="array" ref="G103">IFERROR(INDEX('Hàng hóa'!$F$4:$F$203,MATCH(B103,'Hàng hóa'!$B$4:$B$203,0)),"")</f>
        <v/>
      </c>
      <c r="H103" s="19">
        <f t="array" ref="H103">IFERROR(INDEX('Hàng hóa'!$G$4:$G$203,MATCH(B103,'Hàng hóa'!$B$4:$B$203,0)),0)</f>
        <v>0</v>
      </c>
      <c r="I103" s="7"/>
      <c r="J103" s="47">
        <f t="shared" si="1"/>
        <v>0</v>
      </c>
      <c r="K103" s="19">
        <f t="shared" si="2"/>
        <v>0</v>
      </c>
      <c r="L103" s="23"/>
      <c r="M103" s="23"/>
      <c r="N103" s="2"/>
      <c r="O103" s="18" t="str">
        <f>IF('Hàng hóa'!K104&lt;&gt;"",'Hàng hóa'!K104,"")</f>
        <v/>
      </c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43"/>
      <c r="B104" s="23"/>
      <c r="C104" s="37" t="str">
        <f t="array" ref="C104">IFERROR(INDEX('Hàng hóa'!$A$4:$A$203,MATCH(B104,'Hàng hóa'!$B$4:$B$203,0)),"")</f>
        <v/>
      </c>
      <c r="D104" s="37" t="str">
        <f t="array" ref="D104">IFERROR(INDEX('Hàng hóa'!$C$4:$C$203,MATCH(B104,'Hàng hóa'!$B$4:$B$203,0)),"")</f>
        <v/>
      </c>
      <c r="E104" s="44"/>
      <c r="F104" s="37">
        <f t="array" ref="F104">IFERROR(INDEX('Hàng hóa'!$E$4:$E$203,MATCH(B104,'Hàng hóa'!$B$4:$B$203,0)),0)</f>
        <v>0</v>
      </c>
      <c r="G104" s="37" t="str">
        <f t="array" ref="G104">IFERROR(INDEX('Hàng hóa'!$F$4:$F$203,MATCH(B104,'Hàng hóa'!$B$4:$B$203,0)),"")</f>
        <v/>
      </c>
      <c r="H104" s="19">
        <f t="array" ref="H104">IFERROR(INDEX('Hàng hóa'!$G$4:$G$203,MATCH(B104,'Hàng hóa'!$B$4:$B$203,0)),0)</f>
        <v>0</v>
      </c>
      <c r="I104" s="7"/>
      <c r="J104" s="47">
        <f t="shared" si="1"/>
        <v>0</v>
      </c>
      <c r="K104" s="19">
        <f t="shared" si="2"/>
        <v>0</v>
      </c>
      <c r="L104" s="23"/>
      <c r="M104" s="23"/>
      <c r="N104" s="2"/>
      <c r="O104" s="18" t="str">
        <f>IF('Hàng hóa'!K105&lt;&gt;"",'Hàng hóa'!K105,"")</f>
        <v/>
      </c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43"/>
      <c r="B105" s="23"/>
      <c r="C105" s="37" t="str">
        <f t="array" ref="C105">IFERROR(INDEX('Hàng hóa'!$A$4:$A$203,MATCH(B105,'Hàng hóa'!$B$4:$B$203,0)),"")</f>
        <v/>
      </c>
      <c r="D105" s="37" t="str">
        <f t="array" ref="D105">IFERROR(INDEX('Hàng hóa'!$C$4:$C$203,MATCH(B105,'Hàng hóa'!$B$4:$B$203,0)),"")</f>
        <v/>
      </c>
      <c r="E105" s="44"/>
      <c r="F105" s="37">
        <f t="array" ref="F105">IFERROR(INDEX('Hàng hóa'!$E$4:$E$203,MATCH(B105,'Hàng hóa'!$B$4:$B$203,0)),0)</f>
        <v>0</v>
      </c>
      <c r="G105" s="37" t="str">
        <f t="array" ref="G105">IFERROR(INDEX('Hàng hóa'!$F$4:$F$203,MATCH(B105,'Hàng hóa'!$B$4:$B$203,0)),"")</f>
        <v/>
      </c>
      <c r="H105" s="19">
        <f t="array" ref="H105">IFERROR(INDEX('Hàng hóa'!$G$4:$G$203,MATCH(B105,'Hàng hóa'!$B$4:$B$203,0)),0)</f>
        <v>0</v>
      </c>
      <c r="I105" s="7"/>
      <c r="J105" s="47">
        <f t="shared" si="1"/>
        <v>0</v>
      </c>
      <c r="K105" s="19">
        <f t="shared" si="2"/>
        <v>0</v>
      </c>
      <c r="L105" s="23"/>
      <c r="M105" s="23"/>
      <c r="N105" s="2"/>
      <c r="O105" s="18" t="str">
        <f>IF('Hàng hóa'!K106&lt;&gt;"",'Hàng hóa'!K106,"")</f>
        <v/>
      </c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43"/>
      <c r="B106" s="23"/>
      <c r="C106" s="37" t="str">
        <f t="array" ref="C106">IFERROR(INDEX('Hàng hóa'!$A$4:$A$203,MATCH(B106,'Hàng hóa'!$B$4:$B$203,0)),"")</f>
        <v/>
      </c>
      <c r="D106" s="37" t="str">
        <f t="array" ref="D106">IFERROR(INDEX('Hàng hóa'!$C$4:$C$203,MATCH(B106,'Hàng hóa'!$B$4:$B$203,0)),"")</f>
        <v/>
      </c>
      <c r="E106" s="44"/>
      <c r="F106" s="37">
        <f t="array" ref="F106">IFERROR(INDEX('Hàng hóa'!$E$4:$E$203,MATCH(B106,'Hàng hóa'!$B$4:$B$203,0)),0)</f>
        <v>0</v>
      </c>
      <c r="G106" s="37" t="str">
        <f t="array" ref="G106">IFERROR(INDEX('Hàng hóa'!$F$4:$F$203,MATCH(B106,'Hàng hóa'!$B$4:$B$203,0)),"")</f>
        <v/>
      </c>
      <c r="H106" s="19">
        <f t="array" ref="H106">IFERROR(INDEX('Hàng hóa'!$G$4:$G$203,MATCH(B106,'Hàng hóa'!$B$4:$B$203,0)),0)</f>
        <v>0</v>
      </c>
      <c r="I106" s="7"/>
      <c r="J106" s="47">
        <f t="shared" si="1"/>
        <v>0</v>
      </c>
      <c r="K106" s="19">
        <f t="shared" si="2"/>
        <v>0</v>
      </c>
      <c r="L106" s="23"/>
      <c r="M106" s="23"/>
      <c r="N106" s="2"/>
      <c r="O106" s="18" t="str">
        <f>IF('Hàng hóa'!K107&lt;&gt;"",'Hàng hóa'!K107,"")</f>
        <v/>
      </c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43"/>
      <c r="B107" s="23"/>
      <c r="C107" s="37" t="str">
        <f t="array" ref="C107">IFERROR(INDEX('Hàng hóa'!$A$4:$A$203,MATCH(B107,'Hàng hóa'!$B$4:$B$203,0)),"")</f>
        <v/>
      </c>
      <c r="D107" s="37" t="str">
        <f t="array" ref="D107">IFERROR(INDEX('Hàng hóa'!$C$4:$C$203,MATCH(B107,'Hàng hóa'!$B$4:$B$203,0)),"")</f>
        <v/>
      </c>
      <c r="E107" s="44"/>
      <c r="F107" s="37">
        <f t="array" ref="F107">IFERROR(INDEX('Hàng hóa'!$E$4:$E$203,MATCH(B107,'Hàng hóa'!$B$4:$B$203,0)),0)</f>
        <v>0</v>
      </c>
      <c r="G107" s="37" t="str">
        <f t="array" ref="G107">IFERROR(INDEX('Hàng hóa'!$F$4:$F$203,MATCH(B107,'Hàng hóa'!$B$4:$B$203,0)),"")</f>
        <v/>
      </c>
      <c r="H107" s="19">
        <f t="array" ref="H107">IFERROR(INDEX('Hàng hóa'!$G$4:$G$203,MATCH(B107,'Hàng hóa'!$B$4:$B$203,0)),0)</f>
        <v>0</v>
      </c>
      <c r="I107" s="7"/>
      <c r="J107" s="47">
        <f t="shared" si="1"/>
        <v>0</v>
      </c>
      <c r="K107" s="19">
        <f t="shared" si="2"/>
        <v>0</v>
      </c>
      <c r="L107" s="23"/>
      <c r="M107" s="23"/>
      <c r="N107" s="2"/>
      <c r="O107" s="18" t="str">
        <f>IF('Hàng hóa'!K108&lt;&gt;"",'Hàng hóa'!K108,"")</f>
        <v/>
      </c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43"/>
      <c r="B108" s="23"/>
      <c r="C108" s="37" t="str">
        <f t="array" ref="C108">IFERROR(INDEX('Hàng hóa'!$A$4:$A$203,MATCH(B108,'Hàng hóa'!$B$4:$B$203,0)),"")</f>
        <v/>
      </c>
      <c r="D108" s="37" t="str">
        <f t="array" ref="D108">IFERROR(INDEX('Hàng hóa'!$C$4:$C$203,MATCH(B108,'Hàng hóa'!$B$4:$B$203,0)),"")</f>
        <v/>
      </c>
      <c r="E108" s="44"/>
      <c r="F108" s="37">
        <f t="array" ref="F108">IFERROR(INDEX('Hàng hóa'!$E$4:$E$203,MATCH(B108,'Hàng hóa'!$B$4:$B$203,0)),0)</f>
        <v>0</v>
      </c>
      <c r="G108" s="37" t="str">
        <f t="array" ref="G108">IFERROR(INDEX('Hàng hóa'!$F$4:$F$203,MATCH(B108,'Hàng hóa'!$B$4:$B$203,0)),"")</f>
        <v/>
      </c>
      <c r="H108" s="19">
        <f t="array" ref="H108">IFERROR(INDEX('Hàng hóa'!$G$4:$G$203,MATCH(B108,'Hàng hóa'!$B$4:$B$203,0)),0)</f>
        <v>0</v>
      </c>
      <c r="I108" s="7"/>
      <c r="J108" s="47">
        <f t="shared" si="1"/>
        <v>0</v>
      </c>
      <c r="K108" s="19">
        <f t="shared" si="2"/>
        <v>0</v>
      </c>
      <c r="L108" s="23"/>
      <c r="M108" s="23"/>
      <c r="N108" s="2"/>
      <c r="O108" s="18" t="str">
        <f>IF('Hàng hóa'!K109&lt;&gt;"",'Hàng hóa'!K109,"")</f>
        <v/>
      </c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43"/>
      <c r="B109" s="23"/>
      <c r="C109" s="37" t="str">
        <f t="array" ref="C109">IFERROR(INDEX('Hàng hóa'!$A$4:$A$203,MATCH(B109,'Hàng hóa'!$B$4:$B$203,0)),"")</f>
        <v/>
      </c>
      <c r="D109" s="37" t="str">
        <f t="array" ref="D109">IFERROR(INDEX('Hàng hóa'!$C$4:$C$203,MATCH(B109,'Hàng hóa'!$B$4:$B$203,0)),"")</f>
        <v/>
      </c>
      <c r="E109" s="44"/>
      <c r="F109" s="37">
        <f t="array" ref="F109">IFERROR(INDEX('Hàng hóa'!$E$4:$E$203,MATCH(B109,'Hàng hóa'!$B$4:$B$203,0)),0)</f>
        <v>0</v>
      </c>
      <c r="G109" s="37" t="str">
        <f t="array" ref="G109">IFERROR(INDEX('Hàng hóa'!$F$4:$F$203,MATCH(B109,'Hàng hóa'!$B$4:$B$203,0)),"")</f>
        <v/>
      </c>
      <c r="H109" s="19">
        <f t="array" ref="H109">IFERROR(INDEX('Hàng hóa'!$G$4:$G$203,MATCH(B109,'Hàng hóa'!$B$4:$B$203,0)),0)</f>
        <v>0</v>
      </c>
      <c r="I109" s="7"/>
      <c r="J109" s="47">
        <f t="shared" si="1"/>
        <v>0</v>
      </c>
      <c r="K109" s="19">
        <f t="shared" si="2"/>
        <v>0</v>
      </c>
      <c r="L109" s="23"/>
      <c r="M109" s="23"/>
      <c r="N109" s="2"/>
      <c r="O109" s="18" t="str">
        <f>IF('Hàng hóa'!K110&lt;&gt;"",'Hàng hóa'!K110,"")</f>
        <v/>
      </c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43"/>
      <c r="B110" s="23"/>
      <c r="C110" s="37" t="str">
        <f t="array" ref="C110">IFERROR(INDEX('Hàng hóa'!$A$4:$A$203,MATCH(B110,'Hàng hóa'!$B$4:$B$203,0)),"")</f>
        <v/>
      </c>
      <c r="D110" s="37" t="str">
        <f t="array" ref="D110">IFERROR(INDEX('Hàng hóa'!$C$4:$C$203,MATCH(B110,'Hàng hóa'!$B$4:$B$203,0)),"")</f>
        <v/>
      </c>
      <c r="E110" s="44"/>
      <c r="F110" s="37">
        <f t="array" ref="F110">IFERROR(INDEX('Hàng hóa'!$E$4:$E$203,MATCH(B110,'Hàng hóa'!$B$4:$B$203,0)),0)</f>
        <v>0</v>
      </c>
      <c r="G110" s="37" t="str">
        <f t="array" ref="G110">IFERROR(INDEX('Hàng hóa'!$F$4:$F$203,MATCH(B110,'Hàng hóa'!$B$4:$B$203,0)),"")</f>
        <v/>
      </c>
      <c r="H110" s="19">
        <f t="array" ref="H110">IFERROR(INDEX('Hàng hóa'!$G$4:$G$203,MATCH(B110,'Hàng hóa'!$B$4:$B$203,0)),0)</f>
        <v>0</v>
      </c>
      <c r="I110" s="7"/>
      <c r="J110" s="47">
        <f t="shared" si="1"/>
        <v>0</v>
      </c>
      <c r="K110" s="19">
        <f t="shared" si="2"/>
        <v>0</v>
      </c>
      <c r="L110" s="23"/>
      <c r="M110" s="23"/>
      <c r="N110" s="2"/>
      <c r="O110" s="18" t="str">
        <f>IF('Hàng hóa'!K111&lt;&gt;"",'Hàng hóa'!K111,"")</f>
        <v/>
      </c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43"/>
      <c r="B111" s="23"/>
      <c r="C111" s="37" t="str">
        <f t="array" ref="C111">IFERROR(INDEX('Hàng hóa'!$A$4:$A$203,MATCH(B111,'Hàng hóa'!$B$4:$B$203,0)),"")</f>
        <v/>
      </c>
      <c r="D111" s="37" t="str">
        <f t="array" ref="D111">IFERROR(INDEX('Hàng hóa'!$C$4:$C$203,MATCH(B111,'Hàng hóa'!$B$4:$B$203,0)),"")</f>
        <v/>
      </c>
      <c r="E111" s="44"/>
      <c r="F111" s="37">
        <f t="array" ref="F111">IFERROR(INDEX('Hàng hóa'!$E$4:$E$203,MATCH(B111,'Hàng hóa'!$B$4:$B$203,0)),0)</f>
        <v>0</v>
      </c>
      <c r="G111" s="37" t="str">
        <f t="array" ref="G111">IFERROR(INDEX('Hàng hóa'!$F$4:$F$203,MATCH(B111,'Hàng hóa'!$B$4:$B$203,0)),"")</f>
        <v/>
      </c>
      <c r="H111" s="19">
        <f t="array" ref="H111">IFERROR(INDEX('Hàng hóa'!$G$4:$G$203,MATCH(B111,'Hàng hóa'!$B$4:$B$203,0)),0)</f>
        <v>0</v>
      </c>
      <c r="I111" s="7"/>
      <c r="J111" s="47">
        <f t="shared" si="1"/>
        <v>0</v>
      </c>
      <c r="K111" s="19">
        <f t="shared" si="2"/>
        <v>0</v>
      </c>
      <c r="L111" s="23"/>
      <c r="M111" s="23"/>
      <c r="N111" s="2"/>
      <c r="O111" s="18" t="str">
        <f>IF('Hàng hóa'!K112&lt;&gt;"",'Hàng hóa'!K112,"")</f>
        <v/>
      </c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43"/>
      <c r="B112" s="23"/>
      <c r="C112" s="37" t="str">
        <f t="array" ref="C112">IFERROR(INDEX('Hàng hóa'!$A$4:$A$203,MATCH(B112,'Hàng hóa'!$B$4:$B$203,0)),"")</f>
        <v/>
      </c>
      <c r="D112" s="37" t="str">
        <f t="array" ref="D112">IFERROR(INDEX('Hàng hóa'!$C$4:$C$203,MATCH(B112,'Hàng hóa'!$B$4:$B$203,0)),"")</f>
        <v/>
      </c>
      <c r="E112" s="44"/>
      <c r="F112" s="37">
        <f t="array" ref="F112">IFERROR(INDEX('Hàng hóa'!$E$4:$E$203,MATCH(B112,'Hàng hóa'!$B$4:$B$203,0)),0)</f>
        <v>0</v>
      </c>
      <c r="G112" s="37" t="str">
        <f t="array" ref="G112">IFERROR(INDEX('Hàng hóa'!$F$4:$F$203,MATCH(B112,'Hàng hóa'!$B$4:$B$203,0)),"")</f>
        <v/>
      </c>
      <c r="H112" s="19">
        <f t="array" ref="H112">IFERROR(INDEX('Hàng hóa'!$G$4:$G$203,MATCH(B112,'Hàng hóa'!$B$4:$B$203,0)),0)</f>
        <v>0</v>
      </c>
      <c r="I112" s="7"/>
      <c r="J112" s="47">
        <f t="shared" si="1"/>
        <v>0</v>
      </c>
      <c r="K112" s="19">
        <f t="shared" si="2"/>
        <v>0</v>
      </c>
      <c r="L112" s="23"/>
      <c r="M112" s="23"/>
      <c r="N112" s="2"/>
      <c r="O112" s="18" t="str">
        <f>IF('Hàng hóa'!K113&lt;&gt;"",'Hàng hóa'!K113,"")</f>
        <v/>
      </c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43"/>
      <c r="B113" s="23"/>
      <c r="C113" s="37" t="str">
        <f t="array" ref="C113">IFERROR(INDEX('Hàng hóa'!$A$4:$A$203,MATCH(B113,'Hàng hóa'!$B$4:$B$203,0)),"")</f>
        <v/>
      </c>
      <c r="D113" s="37" t="str">
        <f t="array" ref="D113">IFERROR(INDEX('Hàng hóa'!$C$4:$C$203,MATCH(B113,'Hàng hóa'!$B$4:$B$203,0)),"")</f>
        <v/>
      </c>
      <c r="E113" s="44"/>
      <c r="F113" s="37">
        <f t="array" ref="F113">IFERROR(INDEX('Hàng hóa'!$E$4:$E$203,MATCH(B113,'Hàng hóa'!$B$4:$B$203,0)),0)</f>
        <v>0</v>
      </c>
      <c r="G113" s="37" t="str">
        <f t="array" ref="G113">IFERROR(INDEX('Hàng hóa'!$F$4:$F$203,MATCH(B113,'Hàng hóa'!$B$4:$B$203,0)),"")</f>
        <v/>
      </c>
      <c r="H113" s="19">
        <f t="array" ref="H113">IFERROR(INDEX('Hàng hóa'!$G$4:$G$203,MATCH(B113,'Hàng hóa'!$B$4:$B$203,0)),0)</f>
        <v>0</v>
      </c>
      <c r="I113" s="7"/>
      <c r="J113" s="47">
        <f t="shared" si="1"/>
        <v>0</v>
      </c>
      <c r="K113" s="19">
        <f t="shared" si="2"/>
        <v>0</v>
      </c>
      <c r="L113" s="23"/>
      <c r="M113" s="23"/>
      <c r="N113" s="2"/>
      <c r="O113" s="18" t="str">
        <f>IF('Hàng hóa'!K114&lt;&gt;"",'Hàng hóa'!K114,"")</f>
        <v/>
      </c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43"/>
      <c r="B114" s="23"/>
      <c r="C114" s="37" t="str">
        <f t="array" ref="C114">IFERROR(INDEX('Hàng hóa'!$A$4:$A$203,MATCH(B114,'Hàng hóa'!$B$4:$B$203,0)),"")</f>
        <v/>
      </c>
      <c r="D114" s="37" t="str">
        <f t="array" ref="D114">IFERROR(INDEX('Hàng hóa'!$C$4:$C$203,MATCH(B114,'Hàng hóa'!$B$4:$B$203,0)),"")</f>
        <v/>
      </c>
      <c r="E114" s="44"/>
      <c r="F114" s="37">
        <f t="array" ref="F114">IFERROR(INDEX('Hàng hóa'!$E$4:$E$203,MATCH(B114,'Hàng hóa'!$B$4:$B$203,0)),0)</f>
        <v>0</v>
      </c>
      <c r="G114" s="37" t="str">
        <f t="array" ref="G114">IFERROR(INDEX('Hàng hóa'!$F$4:$F$203,MATCH(B114,'Hàng hóa'!$B$4:$B$203,0)),"")</f>
        <v/>
      </c>
      <c r="H114" s="19">
        <f t="array" ref="H114">IFERROR(INDEX('Hàng hóa'!$G$4:$G$203,MATCH(B114,'Hàng hóa'!$B$4:$B$203,0)),0)</f>
        <v>0</v>
      </c>
      <c r="I114" s="7"/>
      <c r="J114" s="47">
        <f t="shared" si="1"/>
        <v>0</v>
      </c>
      <c r="K114" s="19">
        <f t="shared" si="2"/>
        <v>0</v>
      </c>
      <c r="L114" s="23"/>
      <c r="M114" s="23"/>
      <c r="N114" s="2"/>
      <c r="O114" s="18" t="str">
        <f>IF('Hàng hóa'!K115&lt;&gt;"",'Hàng hóa'!K115,"")</f>
        <v/>
      </c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43"/>
      <c r="B115" s="23"/>
      <c r="C115" s="37" t="str">
        <f t="array" ref="C115">IFERROR(INDEX('Hàng hóa'!$A$4:$A$203,MATCH(B115,'Hàng hóa'!$B$4:$B$203,0)),"")</f>
        <v/>
      </c>
      <c r="D115" s="37" t="str">
        <f t="array" ref="D115">IFERROR(INDEX('Hàng hóa'!$C$4:$C$203,MATCH(B115,'Hàng hóa'!$B$4:$B$203,0)),"")</f>
        <v/>
      </c>
      <c r="E115" s="44"/>
      <c r="F115" s="37">
        <f t="array" ref="F115">IFERROR(INDEX('Hàng hóa'!$E$4:$E$203,MATCH(B115,'Hàng hóa'!$B$4:$B$203,0)),0)</f>
        <v>0</v>
      </c>
      <c r="G115" s="37" t="str">
        <f t="array" ref="G115">IFERROR(INDEX('Hàng hóa'!$F$4:$F$203,MATCH(B115,'Hàng hóa'!$B$4:$B$203,0)),"")</f>
        <v/>
      </c>
      <c r="H115" s="19">
        <f t="array" ref="H115">IFERROR(INDEX('Hàng hóa'!$G$4:$G$203,MATCH(B115,'Hàng hóa'!$B$4:$B$203,0)),0)</f>
        <v>0</v>
      </c>
      <c r="I115" s="7"/>
      <c r="J115" s="47">
        <f t="shared" si="1"/>
        <v>0</v>
      </c>
      <c r="K115" s="19">
        <f t="shared" si="2"/>
        <v>0</v>
      </c>
      <c r="L115" s="23"/>
      <c r="M115" s="23"/>
      <c r="N115" s="2"/>
      <c r="O115" s="18" t="str">
        <f>IF('Hàng hóa'!K116&lt;&gt;"",'Hàng hóa'!K116,"")</f>
        <v/>
      </c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43"/>
      <c r="B116" s="23"/>
      <c r="C116" s="37" t="str">
        <f t="array" ref="C116">IFERROR(INDEX('Hàng hóa'!$A$4:$A$203,MATCH(B116,'Hàng hóa'!$B$4:$B$203,0)),"")</f>
        <v/>
      </c>
      <c r="D116" s="37" t="str">
        <f t="array" ref="D116">IFERROR(INDEX('Hàng hóa'!$C$4:$C$203,MATCH(B116,'Hàng hóa'!$B$4:$B$203,0)),"")</f>
        <v/>
      </c>
      <c r="E116" s="44"/>
      <c r="F116" s="37">
        <f t="array" ref="F116">IFERROR(INDEX('Hàng hóa'!$E$4:$E$203,MATCH(B116,'Hàng hóa'!$B$4:$B$203,0)),0)</f>
        <v>0</v>
      </c>
      <c r="G116" s="37" t="str">
        <f t="array" ref="G116">IFERROR(INDEX('Hàng hóa'!$F$4:$F$203,MATCH(B116,'Hàng hóa'!$B$4:$B$203,0)),"")</f>
        <v/>
      </c>
      <c r="H116" s="19">
        <f t="array" ref="H116">IFERROR(INDEX('Hàng hóa'!$G$4:$G$203,MATCH(B116,'Hàng hóa'!$B$4:$B$203,0)),0)</f>
        <v>0</v>
      </c>
      <c r="I116" s="7"/>
      <c r="J116" s="47">
        <f t="shared" si="1"/>
        <v>0</v>
      </c>
      <c r="K116" s="19">
        <f t="shared" si="2"/>
        <v>0</v>
      </c>
      <c r="L116" s="23"/>
      <c r="M116" s="23"/>
      <c r="N116" s="2"/>
      <c r="O116" s="18" t="str">
        <f>IF('Hàng hóa'!K117&lt;&gt;"",'Hàng hóa'!K117,"")</f>
        <v/>
      </c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43"/>
      <c r="B117" s="23"/>
      <c r="C117" s="37" t="str">
        <f t="array" ref="C117">IFERROR(INDEX('Hàng hóa'!$A$4:$A$203,MATCH(B117,'Hàng hóa'!$B$4:$B$203,0)),"")</f>
        <v/>
      </c>
      <c r="D117" s="37" t="str">
        <f t="array" ref="D117">IFERROR(INDEX('Hàng hóa'!$C$4:$C$203,MATCH(B117,'Hàng hóa'!$B$4:$B$203,0)),"")</f>
        <v/>
      </c>
      <c r="E117" s="44"/>
      <c r="F117" s="37">
        <f t="array" ref="F117">IFERROR(INDEX('Hàng hóa'!$E$4:$E$203,MATCH(B117,'Hàng hóa'!$B$4:$B$203,0)),0)</f>
        <v>0</v>
      </c>
      <c r="G117" s="37" t="str">
        <f t="array" ref="G117">IFERROR(INDEX('Hàng hóa'!$F$4:$F$203,MATCH(B117,'Hàng hóa'!$B$4:$B$203,0)),"")</f>
        <v/>
      </c>
      <c r="H117" s="19">
        <f t="array" ref="H117">IFERROR(INDEX('Hàng hóa'!$G$4:$G$203,MATCH(B117,'Hàng hóa'!$B$4:$B$203,0)),0)</f>
        <v>0</v>
      </c>
      <c r="I117" s="7"/>
      <c r="J117" s="47">
        <f t="shared" si="1"/>
        <v>0</v>
      </c>
      <c r="K117" s="19">
        <f t="shared" si="2"/>
        <v>0</v>
      </c>
      <c r="L117" s="23"/>
      <c r="M117" s="23"/>
      <c r="N117" s="2"/>
      <c r="O117" s="18" t="str">
        <f>IF('Hàng hóa'!K118&lt;&gt;"",'Hàng hóa'!K118,"")</f>
        <v/>
      </c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43"/>
      <c r="B118" s="23"/>
      <c r="C118" s="37" t="str">
        <f t="array" ref="C118">IFERROR(INDEX('Hàng hóa'!$A$4:$A$203,MATCH(B118,'Hàng hóa'!$B$4:$B$203,0)),"")</f>
        <v/>
      </c>
      <c r="D118" s="37" t="str">
        <f t="array" ref="D118">IFERROR(INDEX('Hàng hóa'!$C$4:$C$203,MATCH(B118,'Hàng hóa'!$B$4:$B$203,0)),"")</f>
        <v/>
      </c>
      <c r="E118" s="44"/>
      <c r="F118" s="37">
        <f t="array" ref="F118">IFERROR(INDEX('Hàng hóa'!$E$4:$E$203,MATCH(B118,'Hàng hóa'!$B$4:$B$203,0)),0)</f>
        <v>0</v>
      </c>
      <c r="G118" s="37" t="str">
        <f t="array" ref="G118">IFERROR(INDEX('Hàng hóa'!$F$4:$F$203,MATCH(B118,'Hàng hóa'!$B$4:$B$203,0)),"")</f>
        <v/>
      </c>
      <c r="H118" s="19">
        <f t="array" ref="H118">IFERROR(INDEX('Hàng hóa'!$G$4:$G$203,MATCH(B118,'Hàng hóa'!$B$4:$B$203,0)),0)</f>
        <v>0</v>
      </c>
      <c r="I118" s="7"/>
      <c r="J118" s="47">
        <f t="shared" si="1"/>
        <v>0</v>
      </c>
      <c r="K118" s="19">
        <f t="shared" si="2"/>
        <v>0</v>
      </c>
      <c r="L118" s="23"/>
      <c r="M118" s="23"/>
      <c r="N118" s="2"/>
      <c r="O118" s="18" t="str">
        <f>IF('Hàng hóa'!K119&lt;&gt;"",'Hàng hóa'!K119,"")</f>
        <v/>
      </c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43"/>
      <c r="B119" s="23"/>
      <c r="C119" s="37" t="str">
        <f t="array" ref="C119">IFERROR(INDEX('Hàng hóa'!$A$4:$A$203,MATCH(B119,'Hàng hóa'!$B$4:$B$203,0)),"")</f>
        <v/>
      </c>
      <c r="D119" s="37" t="str">
        <f t="array" ref="D119">IFERROR(INDEX('Hàng hóa'!$C$4:$C$203,MATCH(B119,'Hàng hóa'!$B$4:$B$203,0)),"")</f>
        <v/>
      </c>
      <c r="E119" s="44"/>
      <c r="F119" s="37">
        <f t="array" ref="F119">IFERROR(INDEX('Hàng hóa'!$E$4:$E$203,MATCH(B119,'Hàng hóa'!$B$4:$B$203,0)),0)</f>
        <v>0</v>
      </c>
      <c r="G119" s="37" t="str">
        <f t="array" ref="G119">IFERROR(INDEX('Hàng hóa'!$F$4:$F$203,MATCH(B119,'Hàng hóa'!$B$4:$B$203,0)),"")</f>
        <v/>
      </c>
      <c r="H119" s="19">
        <f t="array" ref="H119">IFERROR(INDEX('Hàng hóa'!$G$4:$G$203,MATCH(B119,'Hàng hóa'!$B$4:$B$203,0)),0)</f>
        <v>0</v>
      </c>
      <c r="I119" s="7"/>
      <c r="J119" s="47">
        <f t="shared" si="1"/>
        <v>0</v>
      </c>
      <c r="K119" s="19">
        <f t="shared" si="2"/>
        <v>0</v>
      </c>
      <c r="L119" s="23"/>
      <c r="M119" s="23"/>
      <c r="N119" s="2"/>
      <c r="O119" s="18" t="str">
        <f>IF('Hàng hóa'!K120&lt;&gt;"",'Hàng hóa'!K120,"")</f>
        <v/>
      </c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43"/>
      <c r="B120" s="23"/>
      <c r="C120" s="37" t="str">
        <f t="array" ref="C120">IFERROR(INDEX('Hàng hóa'!$A$4:$A$203,MATCH(B120,'Hàng hóa'!$B$4:$B$203,0)),"")</f>
        <v/>
      </c>
      <c r="D120" s="37" t="str">
        <f t="array" ref="D120">IFERROR(INDEX('Hàng hóa'!$C$4:$C$203,MATCH(B120,'Hàng hóa'!$B$4:$B$203,0)),"")</f>
        <v/>
      </c>
      <c r="E120" s="44"/>
      <c r="F120" s="37">
        <f t="array" ref="F120">IFERROR(INDEX('Hàng hóa'!$E$4:$E$203,MATCH(B120,'Hàng hóa'!$B$4:$B$203,0)),0)</f>
        <v>0</v>
      </c>
      <c r="G120" s="37" t="str">
        <f t="array" ref="G120">IFERROR(INDEX('Hàng hóa'!$F$4:$F$203,MATCH(B120,'Hàng hóa'!$B$4:$B$203,0)),"")</f>
        <v/>
      </c>
      <c r="H120" s="19">
        <f t="array" ref="H120">IFERROR(INDEX('Hàng hóa'!$G$4:$G$203,MATCH(B120,'Hàng hóa'!$B$4:$B$203,0)),0)</f>
        <v>0</v>
      </c>
      <c r="I120" s="7"/>
      <c r="J120" s="47">
        <f t="shared" si="1"/>
        <v>0</v>
      </c>
      <c r="K120" s="19">
        <f t="shared" si="2"/>
        <v>0</v>
      </c>
      <c r="L120" s="23"/>
      <c r="M120" s="23"/>
      <c r="N120" s="2"/>
      <c r="O120" s="18" t="str">
        <f>IF('Hàng hóa'!K121&lt;&gt;"",'Hàng hóa'!K121,"")</f>
        <v/>
      </c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43"/>
      <c r="B121" s="23"/>
      <c r="C121" s="37" t="str">
        <f t="array" ref="C121">IFERROR(INDEX('Hàng hóa'!$A$4:$A$203,MATCH(B121,'Hàng hóa'!$B$4:$B$203,0)),"")</f>
        <v/>
      </c>
      <c r="D121" s="37" t="str">
        <f t="array" ref="D121">IFERROR(INDEX('Hàng hóa'!$C$4:$C$203,MATCH(B121,'Hàng hóa'!$B$4:$B$203,0)),"")</f>
        <v/>
      </c>
      <c r="E121" s="44"/>
      <c r="F121" s="37">
        <f t="array" ref="F121">IFERROR(INDEX('Hàng hóa'!$E$4:$E$203,MATCH(B121,'Hàng hóa'!$B$4:$B$203,0)),0)</f>
        <v>0</v>
      </c>
      <c r="G121" s="37" t="str">
        <f t="array" ref="G121">IFERROR(INDEX('Hàng hóa'!$F$4:$F$203,MATCH(B121,'Hàng hóa'!$B$4:$B$203,0)),"")</f>
        <v/>
      </c>
      <c r="H121" s="19">
        <f t="array" ref="H121">IFERROR(INDEX('Hàng hóa'!$G$4:$G$203,MATCH(B121,'Hàng hóa'!$B$4:$B$203,0)),0)</f>
        <v>0</v>
      </c>
      <c r="I121" s="7"/>
      <c r="J121" s="47">
        <f t="shared" si="1"/>
        <v>0</v>
      </c>
      <c r="K121" s="19">
        <f t="shared" si="2"/>
        <v>0</v>
      </c>
      <c r="L121" s="23"/>
      <c r="M121" s="23"/>
      <c r="N121" s="2"/>
      <c r="O121" s="18" t="str">
        <f>IF('Hàng hóa'!K122&lt;&gt;"",'Hàng hóa'!K122,"")</f>
        <v/>
      </c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43"/>
      <c r="B122" s="23"/>
      <c r="C122" s="37" t="str">
        <f t="array" ref="C122">IFERROR(INDEX('Hàng hóa'!$A$4:$A$203,MATCH(B122,'Hàng hóa'!$B$4:$B$203,0)),"")</f>
        <v/>
      </c>
      <c r="D122" s="37" t="str">
        <f t="array" ref="D122">IFERROR(INDEX('Hàng hóa'!$C$4:$C$203,MATCH(B122,'Hàng hóa'!$B$4:$B$203,0)),"")</f>
        <v/>
      </c>
      <c r="E122" s="44"/>
      <c r="F122" s="37">
        <f t="array" ref="F122">IFERROR(INDEX('Hàng hóa'!$E$4:$E$203,MATCH(B122,'Hàng hóa'!$B$4:$B$203,0)),0)</f>
        <v>0</v>
      </c>
      <c r="G122" s="37" t="str">
        <f t="array" ref="G122">IFERROR(INDEX('Hàng hóa'!$F$4:$F$203,MATCH(B122,'Hàng hóa'!$B$4:$B$203,0)),"")</f>
        <v/>
      </c>
      <c r="H122" s="19">
        <f t="array" ref="H122">IFERROR(INDEX('Hàng hóa'!$G$4:$G$203,MATCH(B122,'Hàng hóa'!$B$4:$B$203,0)),0)</f>
        <v>0</v>
      </c>
      <c r="I122" s="7"/>
      <c r="J122" s="47">
        <f t="shared" si="1"/>
        <v>0</v>
      </c>
      <c r="K122" s="19">
        <f t="shared" si="2"/>
        <v>0</v>
      </c>
      <c r="L122" s="23"/>
      <c r="M122" s="23"/>
      <c r="N122" s="2"/>
      <c r="O122" s="18" t="str">
        <f>IF('Hàng hóa'!K123&lt;&gt;"",'Hàng hóa'!K123,"")</f>
        <v/>
      </c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43"/>
      <c r="B123" s="23"/>
      <c r="C123" s="37" t="str">
        <f t="array" ref="C123">IFERROR(INDEX('Hàng hóa'!$A$4:$A$203,MATCH(B123,'Hàng hóa'!$B$4:$B$203,0)),"")</f>
        <v/>
      </c>
      <c r="D123" s="37" t="str">
        <f t="array" ref="D123">IFERROR(INDEX('Hàng hóa'!$C$4:$C$203,MATCH(B123,'Hàng hóa'!$B$4:$B$203,0)),"")</f>
        <v/>
      </c>
      <c r="E123" s="44"/>
      <c r="F123" s="37">
        <f t="array" ref="F123">IFERROR(INDEX('Hàng hóa'!$E$4:$E$203,MATCH(B123,'Hàng hóa'!$B$4:$B$203,0)),0)</f>
        <v>0</v>
      </c>
      <c r="G123" s="37" t="str">
        <f t="array" ref="G123">IFERROR(INDEX('Hàng hóa'!$F$4:$F$203,MATCH(B123,'Hàng hóa'!$B$4:$B$203,0)),"")</f>
        <v/>
      </c>
      <c r="H123" s="19">
        <f t="array" ref="H123">IFERROR(INDEX('Hàng hóa'!$G$4:$G$203,MATCH(B123,'Hàng hóa'!$B$4:$B$203,0)),0)</f>
        <v>0</v>
      </c>
      <c r="I123" s="7"/>
      <c r="J123" s="47">
        <f t="shared" si="1"/>
        <v>0</v>
      </c>
      <c r="K123" s="19">
        <f t="shared" si="2"/>
        <v>0</v>
      </c>
      <c r="L123" s="23"/>
      <c r="M123" s="23"/>
      <c r="N123" s="2"/>
      <c r="O123" s="18" t="str">
        <f>IF('Hàng hóa'!K124&lt;&gt;"",'Hàng hóa'!K124,"")</f>
        <v/>
      </c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43"/>
      <c r="B124" s="23"/>
      <c r="C124" s="37" t="str">
        <f t="array" ref="C124">IFERROR(INDEX('Hàng hóa'!$A$4:$A$203,MATCH(B124,'Hàng hóa'!$B$4:$B$203,0)),"")</f>
        <v/>
      </c>
      <c r="D124" s="37" t="str">
        <f t="array" ref="D124">IFERROR(INDEX('Hàng hóa'!$C$4:$C$203,MATCH(B124,'Hàng hóa'!$B$4:$B$203,0)),"")</f>
        <v/>
      </c>
      <c r="E124" s="44"/>
      <c r="F124" s="37">
        <f t="array" ref="F124">IFERROR(INDEX('Hàng hóa'!$E$4:$E$203,MATCH(B124,'Hàng hóa'!$B$4:$B$203,0)),0)</f>
        <v>0</v>
      </c>
      <c r="G124" s="37" t="str">
        <f t="array" ref="G124">IFERROR(INDEX('Hàng hóa'!$F$4:$F$203,MATCH(B124,'Hàng hóa'!$B$4:$B$203,0)),"")</f>
        <v/>
      </c>
      <c r="H124" s="19">
        <f t="array" ref="H124">IFERROR(INDEX('Hàng hóa'!$G$4:$G$203,MATCH(B124,'Hàng hóa'!$B$4:$B$203,0)),0)</f>
        <v>0</v>
      </c>
      <c r="I124" s="7"/>
      <c r="J124" s="47">
        <f t="shared" si="1"/>
        <v>0</v>
      </c>
      <c r="K124" s="19">
        <f t="shared" si="2"/>
        <v>0</v>
      </c>
      <c r="L124" s="23"/>
      <c r="M124" s="23"/>
      <c r="N124" s="2"/>
      <c r="O124" s="18" t="str">
        <f>IF('Hàng hóa'!K125&lt;&gt;"",'Hàng hóa'!K125,"")</f>
        <v/>
      </c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43"/>
      <c r="B125" s="23"/>
      <c r="C125" s="37" t="str">
        <f t="array" ref="C125">IFERROR(INDEX('Hàng hóa'!$A$4:$A$203,MATCH(B125,'Hàng hóa'!$B$4:$B$203,0)),"")</f>
        <v/>
      </c>
      <c r="D125" s="37" t="str">
        <f t="array" ref="D125">IFERROR(INDEX('Hàng hóa'!$C$4:$C$203,MATCH(B125,'Hàng hóa'!$B$4:$B$203,0)),"")</f>
        <v/>
      </c>
      <c r="E125" s="44"/>
      <c r="F125" s="37">
        <f t="array" ref="F125">IFERROR(INDEX('Hàng hóa'!$E$4:$E$203,MATCH(B125,'Hàng hóa'!$B$4:$B$203,0)),0)</f>
        <v>0</v>
      </c>
      <c r="G125" s="37" t="str">
        <f t="array" ref="G125">IFERROR(INDEX('Hàng hóa'!$F$4:$F$203,MATCH(B125,'Hàng hóa'!$B$4:$B$203,0)),"")</f>
        <v/>
      </c>
      <c r="H125" s="19">
        <f t="array" ref="H125">IFERROR(INDEX('Hàng hóa'!$G$4:$G$203,MATCH(B125,'Hàng hóa'!$B$4:$B$203,0)),0)</f>
        <v>0</v>
      </c>
      <c r="I125" s="7"/>
      <c r="J125" s="47">
        <f t="shared" si="1"/>
        <v>0</v>
      </c>
      <c r="K125" s="19">
        <f t="shared" si="2"/>
        <v>0</v>
      </c>
      <c r="L125" s="23"/>
      <c r="M125" s="23"/>
      <c r="N125" s="2"/>
      <c r="O125" s="18" t="str">
        <f>IF('Hàng hóa'!K126&lt;&gt;"",'Hàng hóa'!K126,"")</f>
        <v/>
      </c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43"/>
      <c r="B126" s="23"/>
      <c r="C126" s="37" t="str">
        <f t="array" ref="C126">IFERROR(INDEX('Hàng hóa'!$A$4:$A$203,MATCH(B126,'Hàng hóa'!$B$4:$B$203,0)),"")</f>
        <v/>
      </c>
      <c r="D126" s="37" t="str">
        <f t="array" ref="D126">IFERROR(INDEX('Hàng hóa'!$C$4:$C$203,MATCH(B126,'Hàng hóa'!$B$4:$B$203,0)),"")</f>
        <v/>
      </c>
      <c r="E126" s="44"/>
      <c r="F126" s="37">
        <f t="array" ref="F126">IFERROR(INDEX('Hàng hóa'!$E$4:$E$203,MATCH(B126,'Hàng hóa'!$B$4:$B$203,0)),0)</f>
        <v>0</v>
      </c>
      <c r="G126" s="37" t="str">
        <f t="array" ref="G126">IFERROR(INDEX('Hàng hóa'!$F$4:$F$203,MATCH(B126,'Hàng hóa'!$B$4:$B$203,0)),"")</f>
        <v/>
      </c>
      <c r="H126" s="19">
        <f t="array" ref="H126">IFERROR(INDEX('Hàng hóa'!$G$4:$G$203,MATCH(B126,'Hàng hóa'!$B$4:$B$203,0)),0)</f>
        <v>0</v>
      </c>
      <c r="I126" s="7"/>
      <c r="J126" s="47">
        <f t="shared" si="1"/>
        <v>0</v>
      </c>
      <c r="K126" s="19">
        <f t="shared" si="2"/>
        <v>0</v>
      </c>
      <c r="L126" s="23"/>
      <c r="M126" s="23"/>
      <c r="N126" s="2"/>
      <c r="O126" s="18" t="str">
        <f>IF('Hàng hóa'!K127&lt;&gt;"",'Hàng hóa'!K127,"")</f>
        <v/>
      </c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43"/>
      <c r="B127" s="23"/>
      <c r="C127" s="37" t="str">
        <f t="array" ref="C127">IFERROR(INDEX('Hàng hóa'!$A$4:$A$203,MATCH(B127,'Hàng hóa'!$B$4:$B$203,0)),"")</f>
        <v/>
      </c>
      <c r="D127" s="37" t="str">
        <f t="array" ref="D127">IFERROR(INDEX('Hàng hóa'!$C$4:$C$203,MATCH(B127,'Hàng hóa'!$B$4:$B$203,0)),"")</f>
        <v/>
      </c>
      <c r="E127" s="44"/>
      <c r="F127" s="37">
        <f t="array" ref="F127">IFERROR(INDEX('Hàng hóa'!$E$4:$E$203,MATCH(B127,'Hàng hóa'!$B$4:$B$203,0)),0)</f>
        <v>0</v>
      </c>
      <c r="G127" s="37" t="str">
        <f t="array" ref="G127">IFERROR(INDEX('Hàng hóa'!$F$4:$F$203,MATCH(B127,'Hàng hóa'!$B$4:$B$203,0)),"")</f>
        <v/>
      </c>
      <c r="H127" s="19">
        <f t="array" ref="H127">IFERROR(INDEX('Hàng hóa'!$G$4:$G$203,MATCH(B127,'Hàng hóa'!$B$4:$B$203,0)),0)</f>
        <v>0</v>
      </c>
      <c r="I127" s="7"/>
      <c r="J127" s="47">
        <f t="shared" si="1"/>
        <v>0</v>
      </c>
      <c r="K127" s="19">
        <f t="shared" si="2"/>
        <v>0</v>
      </c>
      <c r="L127" s="23"/>
      <c r="M127" s="23"/>
      <c r="N127" s="2"/>
      <c r="O127" s="18" t="str">
        <f>IF('Hàng hóa'!K128&lt;&gt;"",'Hàng hóa'!K128,"")</f>
        <v/>
      </c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43"/>
      <c r="B128" s="23"/>
      <c r="C128" s="37" t="str">
        <f t="array" ref="C128">IFERROR(INDEX('Hàng hóa'!$A$4:$A$203,MATCH(B128,'Hàng hóa'!$B$4:$B$203,0)),"")</f>
        <v/>
      </c>
      <c r="D128" s="37" t="str">
        <f t="array" ref="D128">IFERROR(INDEX('Hàng hóa'!$C$4:$C$203,MATCH(B128,'Hàng hóa'!$B$4:$B$203,0)),"")</f>
        <v/>
      </c>
      <c r="E128" s="44"/>
      <c r="F128" s="37">
        <f t="array" ref="F128">IFERROR(INDEX('Hàng hóa'!$E$4:$E$203,MATCH(B128,'Hàng hóa'!$B$4:$B$203,0)),0)</f>
        <v>0</v>
      </c>
      <c r="G128" s="37" t="str">
        <f t="array" ref="G128">IFERROR(INDEX('Hàng hóa'!$F$4:$F$203,MATCH(B128,'Hàng hóa'!$B$4:$B$203,0)),"")</f>
        <v/>
      </c>
      <c r="H128" s="19">
        <f t="array" ref="H128">IFERROR(INDEX('Hàng hóa'!$G$4:$G$203,MATCH(B128,'Hàng hóa'!$B$4:$B$203,0)),0)</f>
        <v>0</v>
      </c>
      <c r="I128" s="7"/>
      <c r="J128" s="47">
        <f t="shared" si="1"/>
        <v>0</v>
      </c>
      <c r="K128" s="19">
        <f t="shared" si="2"/>
        <v>0</v>
      </c>
      <c r="L128" s="23"/>
      <c r="M128" s="23"/>
      <c r="N128" s="2"/>
      <c r="O128" s="18" t="str">
        <f>IF('Hàng hóa'!K129&lt;&gt;"",'Hàng hóa'!K129,"")</f>
        <v/>
      </c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43"/>
      <c r="B129" s="23"/>
      <c r="C129" s="37" t="str">
        <f t="array" ref="C129">IFERROR(INDEX('Hàng hóa'!$A$4:$A$203,MATCH(B129,'Hàng hóa'!$B$4:$B$203,0)),"")</f>
        <v/>
      </c>
      <c r="D129" s="37" t="str">
        <f t="array" ref="D129">IFERROR(INDEX('Hàng hóa'!$C$4:$C$203,MATCH(B129,'Hàng hóa'!$B$4:$B$203,0)),"")</f>
        <v/>
      </c>
      <c r="E129" s="44"/>
      <c r="F129" s="37">
        <f t="array" ref="F129">IFERROR(INDEX('Hàng hóa'!$E$4:$E$203,MATCH(B129,'Hàng hóa'!$B$4:$B$203,0)),0)</f>
        <v>0</v>
      </c>
      <c r="G129" s="37" t="str">
        <f t="array" ref="G129">IFERROR(INDEX('Hàng hóa'!$F$4:$F$203,MATCH(B129,'Hàng hóa'!$B$4:$B$203,0)),"")</f>
        <v/>
      </c>
      <c r="H129" s="19">
        <f t="array" ref="H129">IFERROR(INDEX('Hàng hóa'!$G$4:$G$203,MATCH(B129,'Hàng hóa'!$B$4:$B$203,0)),0)</f>
        <v>0</v>
      </c>
      <c r="I129" s="7"/>
      <c r="J129" s="47">
        <f t="shared" si="1"/>
        <v>0</v>
      </c>
      <c r="K129" s="19">
        <f t="shared" si="2"/>
        <v>0</v>
      </c>
      <c r="L129" s="23"/>
      <c r="M129" s="23"/>
      <c r="N129" s="2"/>
      <c r="O129" s="18" t="str">
        <f>IF('Hàng hóa'!K130&lt;&gt;"",'Hàng hóa'!K130,"")</f>
        <v/>
      </c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43"/>
      <c r="B130" s="23"/>
      <c r="C130" s="37" t="str">
        <f t="array" ref="C130">IFERROR(INDEX('Hàng hóa'!$A$4:$A$203,MATCH(B130,'Hàng hóa'!$B$4:$B$203,0)),"")</f>
        <v/>
      </c>
      <c r="D130" s="37" t="str">
        <f t="array" ref="D130">IFERROR(INDEX('Hàng hóa'!$C$4:$C$203,MATCH(B130,'Hàng hóa'!$B$4:$B$203,0)),"")</f>
        <v/>
      </c>
      <c r="E130" s="44"/>
      <c r="F130" s="37">
        <f t="array" ref="F130">IFERROR(INDEX('Hàng hóa'!$E$4:$E$203,MATCH(B130,'Hàng hóa'!$B$4:$B$203,0)),0)</f>
        <v>0</v>
      </c>
      <c r="G130" s="37" t="str">
        <f t="array" ref="G130">IFERROR(INDEX('Hàng hóa'!$F$4:$F$203,MATCH(B130,'Hàng hóa'!$B$4:$B$203,0)),"")</f>
        <v/>
      </c>
      <c r="H130" s="19">
        <f t="array" ref="H130">IFERROR(INDEX('Hàng hóa'!$G$4:$G$203,MATCH(B130,'Hàng hóa'!$B$4:$B$203,0)),0)</f>
        <v>0</v>
      </c>
      <c r="I130" s="7"/>
      <c r="J130" s="47">
        <f t="shared" si="1"/>
        <v>0</v>
      </c>
      <c r="K130" s="19">
        <f t="shared" si="2"/>
        <v>0</v>
      </c>
      <c r="L130" s="23"/>
      <c r="M130" s="23"/>
      <c r="N130" s="2"/>
      <c r="O130" s="18" t="str">
        <f>IF('Hàng hóa'!K131&lt;&gt;"",'Hàng hóa'!K131,"")</f>
        <v/>
      </c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43"/>
      <c r="B131" s="23"/>
      <c r="C131" s="37" t="str">
        <f t="array" ref="C131">IFERROR(INDEX('Hàng hóa'!$A$4:$A$203,MATCH(B131,'Hàng hóa'!$B$4:$B$203,0)),"")</f>
        <v/>
      </c>
      <c r="D131" s="37" t="str">
        <f t="array" ref="D131">IFERROR(INDEX('Hàng hóa'!$C$4:$C$203,MATCH(B131,'Hàng hóa'!$B$4:$B$203,0)),"")</f>
        <v/>
      </c>
      <c r="E131" s="44"/>
      <c r="F131" s="37">
        <f t="array" ref="F131">IFERROR(INDEX('Hàng hóa'!$E$4:$E$203,MATCH(B131,'Hàng hóa'!$B$4:$B$203,0)),0)</f>
        <v>0</v>
      </c>
      <c r="G131" s="37" t="str">
        <f t="array" ref="G131">IFERROR(INDEX('Hàng hóa'!$F$4:$F$203,MATCH(B131,'Hàng hóa'!$B$4:$B$203,0)),"")</f>
        <v/>
      </c>
      <c r="H131" s="19">
        <f t="array" ref="H131">IFERROR(INDEX('Hàng hóa'!$G$4:$G$203,MATCH(B131,'Hàng hóa'!$B$4:$B$203,0)),0)</f>
        <v>0</v>
      </c>
      <c r="I131" s="7"/>
      <c r="J131" s="47">
        <f t="shared" si="1"/>
        <v>0</v>
      </c>
      <c r="K131" s="19">
        <f t="shared" si="2"/>
        <v>0</v>
      </c>
      <c r="L131" s="23"/>
      <c r="M131" s="23"/>
      <c r="N131" s="2"/>
      <c r="O131" s="18" t="str">
        <f>IF('Hàng hóa'!K132&lt;&gt;"",'Hàng hóa'!K132,"")</f>
        <v/>
      </c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43"/>
      <c r="B132" s="23"/>
      <c r="C132" s="37" t="str">
        <f t="array" ref="C132">IFERROR(INDEX('Hàng hóa'!$A$4:$A$203,MATCH(B132,'Hàng hóa'!$B$4:$B$203,0)),"")</f>
        <v/>
      </c>
      <c r="D132" s="37" t="str">
        <f t="array" ref="D132">IFERROR(INDEX('Hàng hóa'!$C$4:$C$203,MATCH(B132,'Hàng hóa'!$B$4:$B$203,0)),"")</f>
        <v/>
      </c>
      <c r="E132" s="44"/>
      <c r="F132" s="37">
        <f t="array" ref="F132">IFERROR(INDEX('Hàng hóa'!$E$4:$E$203,MATCH(B132,'Hàng hóa'!$B$4:$B$203,0)),0)</f>
        <v>0</v>
      </c>
      <c r="G132" s="37" t="str">
        <f t="array" ref="G132">IFERROR(INDEX('Hàng hóa'!$F$4:$F$203,MATCH(B132,'Hàng hóa'!$B$4:$B$203,0)),"")</f>
        <v/>
      </c>
      <c r="H132" s="19">
        <f t="array" ref="H132">IFERROR(INDEX('Hàng hóa'!$G$4:$G$203,MATCH(B132,'Hàng hóa'!$B$4:$B$203,0)),0)</f>
        <v>0</v>
      </c>
      <c r="I132" s="7"/>
      <c r="J132" s="47">
        <f t="shared" si="1"/>
        <v>0</v>
      </c>
      <c r="K132" s="19">
        <f t="shared" si="2"/>
        <v>0</v>
      </c>
      <c r="L132" s="23"/>
      <c r="M132" s="23"/>
      <c r="N132" s="2"/>
      <c r="O132" s="18" t="str">
        <f>IF('Hàng hóa'!K133&lt;&gt;"",'Hàng hóa'!K133,"")</f>
        <v/>
      </c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43"/>
      <c r="B133" s="23"/>
      <c r="C133" s="37" t="str">
        <f t="array" ref="C133">IFERROR(INDEX('Hàng hóa'!$A$4:$A$203,MATCH(B133,'Hàng hóa'!$B$4:$B$203,0)),"")</f>
        <v/>
      </c>
      <c r="D133" s="37" t="str">
        <f t="array" ref="D133">IFERROR(INDEX('Hàng hóa'!$C$4:$C$203,MATCH(B133,'Hàng hóa'!$B$4:$B$203,0)),"")</f>
        <v/>
      </c>
      <c r="E133" s="44"/>
      <c r="F133" s="37">
        <f t="array" ref="F133">IFERROR(INDEX('Hàng hóa'!$E$4:$E$203,MATCH(B133,'Hàng hóa'!$B$4:$B$203,0)),0)</f>
        <v>0</v>
      </c>
      <c r="G133" s="37" t="str">
        <f t="array" ref="G133">IFERROR(INDEX('Hàng hóa'!$F$4:$F$203,MATCH(B133,'Hàng hóa'!$B$4:$B$203,0)),"")</f>
        <v/>
      </c>
      <c r="H133" s="19">
        <f t="array" ref="H133">IFERROR(INDEX('Hàng hóa'!$G$4:$G$203,MATCH(B133,'Hàng hóa'!$B$4:$B$203,0)),0)</f>
        <v>0</v>
      </c>
      <c r="I133" s="7"/>
      <c r="J133" s="47">
        <f t="shared" si="1"/>
        <v>0</v>
      </c>
      <c r="K133" s="19">
        <f t="shared" si="2"/>
        <v>0</v>
      </c>
      <c r="L133" s="23"/>
      <c r="M133" s="23"/>
      <c r="N133" s="2"/>
      <c r="O133" s="18" t="str">
        <f>IF('Hàng hóa'!K134&lt;&gt;"",'Hàng hóa'!K134,"")</f>
        <v/>
      </c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43"/>
      <c r="B134" s="23"/>
      <c r="C134" s="37" t="str">
        <f t="array" ref="C134">IFERROR(INDEX('Hàng hóa'!$A$4:$A$203,MATCH(B134,'Hàng hóa'!$B$4:$B$203,0)),"")</f>
        <v/>
      </c>
      <c r="D134" s="37" t="str">
        <f t="array" ref="D134">IFERROR(INDEX('Hàng hóa'!$C$4:$C$203,MATCH(B134,'Hàng hóa'!$B$4:$B$203,0)),"")</f>
        <v/>
      </c>
      <c r="E134" s="44"/>
      <c r="F134" s="37">
        <f t="array" ref="F134">IFERROR(INDEX('Hàng hóa'!$E$4:$E$203,MATCH(B134,'Hàng hóa'!$B$4:$B$203,0)),0)</f>
        <v>0</v>
      </c>
      <c r="G134" s="37" t="str">
        <f t="array" ref="G134">IFERROR(INDEX('Hàng hóa'!$F$4:$F$203,MATCH(B134,'Hàng hóa'!$B$4:$B$203,0)),"")</f>
        <v/>
      </c>
      <c r="H134" s="19">
        <f t="array" ref="H134">IFERROR(INDEX('Hàng hóa'!$G$4:$G$203,MATCH(B134,'Hàng hóa'!$B$4:$B$203,0)),0)</f>
        <v>0</v>
      </c>
      <c r="I134" s="7"/>
      <c r="J134" s="47">
        <f t="shared" si="1"/>
        <v>0</v>
      </c>
      <c r="K134" s="19">
        <f t="shared" si="2"/>
        <v>0</v>
      </c>
      <c r="L134" s="23"/>
      <c r="M134" s="23"/>
      <c r="N134" s="2"/>
      <c r="O134" s="18" t="str">
        <f>IF('Hàng hóa'!K135&lt;&gt;"",'Hàng hóa'!K135,"")</f>
        <v/>
      </c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43"/>
      <c r="B135" s="23"/>
      <c r="C135" s="37" t="str">
        <f t="array" ref="C135">IFERROR(INDEX('Hàng hóa'!$A$4:$A$203,MATCH(B135,'Hàng hóa'!$B$4:$B$203,0)),"")</f>
        <v/>
      </c>
      <c r="D135" s="37" t="str">
        <f t="array" ref="D135">IFERROR(INDEX('Hàng hóa'!$C$4:$C$203,MATCH(B135,'Hàng hóa'!$B$4:$B$203,0)),"")</f>
        <v/>
      </c>
      <c r="E135" s="44"/>
      <c r="F135" s="37">
        <f t="array" ref="F135">IFERROR(INDEX('Hàng hóa'!$E$4:$E$203,MATCH(B135,'Hàng hóa'!$B$4:$B$203,0)),0)</f>
        <v>0</v>
      </c>
      <c r="G135" s="37" t="str">
        <f t="array" ref="G135">IFERROR(INDEX('Hàng hóa'!$F$4:$F$203,MATCH(B135,'Hàng hóa'!$B$4:$B$203,0)),"")</f>
        <v/>
      </c>
      <c r="H135" s="19">
        <f t="array" ref="H135">IFERROR(INDEX('Hàng hóa'!$G$4:$G$203,MATCH(B135,'Hàng hóa'!$B$4:$B$203,0)),0)</f>
        <v>0</v>
      </c>
      <c r="I135" s="7"/>
      <c r="J135" s="47">
        <f t="shared" si="1"/>
        <v>0</v>
      </c>
      <c r="K135" s="19">
        <f t="shared" si="2"/>
        <v>0</v>
      </c>
      <c r="L135" s="23"/>
      <c r="M135" s="23"/>
      <c r="N135" s="2"/>
      <c r="O135" s="18" t="str">
        <f>IF('Hàng hóa'!K136&lt;&gt;"",'Hàng hóa'!K136,"")</f>
        <v/>
      </c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43"/>
      <c r="B136" s="23"/>
      <c r="C136" s="37" t="str">
        <f t="array" ref="C136">IFERROR(INDEX('Hàng hóa'!$A$4:$A$203,MATCH(B136,'Hàng hóa'!$B$4:$B$203,0)),"")</f>
        <v/>
      </c>
      <c r="D136" s="37" t="str">
        <f t="array" ref="D136">IFERROR(INDEX('Hàng hóa'!$C$4:$C$203,MATCH(B136,'Hàng hóa'!$B$4:$B$203,0)),"")</f>
        <v/>
      </c>
      <c r="E136" s="44"/>
      <c r="F136" s="37">
        <f t="array" ref="F136">IFERROR(INDEX('Hàng hóa'!$E$4:$E$203,MATCH(B136,'Hàng hóa'!$B$4:$B$203,0)),0)</f>
        <v>0</v>
      </c>
      <c r="G136" s="37" t="str">
        <f t="array" ref="G136">IFERROR(INDEX('Hàng hóa'!$F$4:$F$203,MATCH(B136,'Hàng hóa'!$B$4:$B$203,0)),"")</f>
        <v/>
      </c>
      <c r="H136" s="19">
        <f t="array" ref="H136">IFERROR(INDEX('Hàng hóa'!$G$4:$G$203,MATCH(B136,'Hàng hóa'!$B$4:$B$203,0)),0)</f>
        <v>0</v>
      </c>
      <c r="I136" s="7"/>
      <c r="J136" s="47">
        <f t="shared" si="1"/>
        <v>0</v>
      </c>
      <c r="K136" s="19">
        <f t="shared" si="2"/>
        <v>0</v>
      </c>
      <c r="L136" s="23"/>
      <c r="M136" s="23"/>
      <c r="N136" s="2"/>
      <c r="O136" s="18" t="str">
        <f>IF('Hàng hóa'!K137&lt;&gt;"",'Hàng hóa'!K137,"")</f>
        <v/>
      </c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43"/>
      <c r="B137" s="23"/>
      <c r="C137" s="37" t="str">
        <f t="array" ref="C137">IFERROR(INDEX('Hàng hóa'!$A$4:$A$203,MATCH(B137,'Hàng hóa'!$B$4:$B$203,0)),"")</f>
        <v/>
      </c>
      <c r="D137" s="37" t="str">
        <f t="array" ref="D137">IFERROR(INDEX('Hàng hóa'!$C$4:$C$203,MATCH(B137,'Hàng hóa'!$B$4:$B$203,0)),"")</f>
        <v/>
      </c>
      <c r="E137" s="44"/>
      <c r="F137" s="37">
        <f t="array" ref="F137">IFERROR(INDEX('Hàng hóa'!$E$4:$E$203,MATCH(B137,'Hàng hóa'!$B$4:$B$203,0)),0)</f>
        <v>0</v>
      </c>
      <c r="G137" s="37" t="str">
        <f t="array" ref="G137">IFERROR(INDEX('Hàng hóa'!$F$4:$F$203,MATCH(B137,'Hàng hóa'!$B$4:$B$203,0)),"")</f>
        <v/>
      </c>
      <c r="H137" s="19">
        <f t="array" ref="H137">IFERROR(INDEX('Hàng hóa'!$G$4:$G$203,MATCH(B137,'Hàng hóa'!$B$4:$B$203,0)),0)</f>
        <v>0</v>
      </c>
      <c r="I137" s="7"/>
      <c r="J137" s="47">
        <f t="shared" si="1"/>
        <v>0</v>
      </c>
      <c r="K137" s="19">
        <f t="shared" si="2"/>
        <v>0</v>
      </c>
      <c r="L137" s="23"/>
      <c r="M137" s="23"/>
      <c r="N137" s="2"/>
      <c r="O137" s="18" t="str">
        <f>IF('Hàng hóa'!K138&lt;&gt;"",'Hàng hóa'!K138,"")</f>
        <v/>
      </c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43"/>
      <c r="B138" s="23"/>
      <c r="C138" s="37" t="str">
        <f t="array" ref="C138">IFERROR(INDEX('Hàng hóa'!$A$4:$A$203,MATCH(B138,'Hàng hóa'!$B$4:$B$203,0)),"")</f>
        <v/>
      </c>
      <c r="D138" s="37" t="str">
        <f t="array" ref="D138">IFERROR(INDEX('Hàng hóa'!$C$4:$C$203,MATCH(B138,'Hàng hóa'!$B$4:$B$203,0)),"")</f>
        <v/>
      </c>
      <c r="E138" s="44"/>
      <c r="F138" s="37">
        <f t="array" ref="F138">IFERROR(INDEX('Hàng hóa'!$E$4:$E$203,MATCH(B138,'Hàng hóa'!$B$4:$B$203,0)),0)</f>
        <v>0</v>
      </c>
      <c r="G138" s="37" t="str">
        <f t="array" ref="G138">IFERROR(INDEX('Hàng hóa'!$F$4:$F$203,MATCH(B138,'Hàng hóa'!$B$4:$B$203,0)),"")</f>
        <v/>
      </c>
      <c r="H138" s="19">
        <f t="array" ref="H138">IFERROR(INDEX('Hàng hóa'!$G$4:$G$203,MATCH(B138,'Hàng hóa'!$B$4:$B$203,0)),0)</f>
        <v>0</v>
      </c>
      <c r="I138" s="7"/>
      <c r="J138" s="47">
        <f t="shared" si="1"/>
        <v>0</v>
      </c>
      <c r="K138" s="19">
        <f t="shared" si="2"/>
        <v>0</v>
      </c>
      <c r="L138" s="23"/>
      <c r="M138" s="23"/>
      <c r="N138" s="2"/>
      <c r="O138" s="18" t="str">
        <f>IF('Hàng hóa'!K139&lt;&gt;"",'Hàng hóa'!K139,"")</f>
        <v/>
      </c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43"/>
      <c r="B139" s="23"/>
      <c r="C139" s="37" t="str">
        <f t="array" ref="C139">IFERROR(INDEX('Hàng hóa'!$A$4:$A$203,MATCH(B139,'Hàng hóa'!$B$4:$B$203,0)),"")</f>
        <v/>
      </c>
      <c r="D139" s="37" t="str">
        <f t="array" ref="D139">IFERROR(INDEX('Hàng hóa'!$C$4:$C$203,MATCH(B139,'Hàng hóa'!$B$4:$B$203,0)),"")</f>
        <v/>
      </c>
      <c r="E139" s="44"/>
      <c r="F139" s="37">
        <f t="array" ref="F139">IFERROR(INDEX('Hàng hóa'!$E$4:$E$203,MATCH(B139,'Hàng hóa'!$B$4:$B$203,0)),0)</f>
        <v>0</v>
      </c>
      <c r="G139" s="37" t="str">
        <f t="array" ref="G139">IFERROR(INDEX('Hàng hóa'!$F$4:$F$203,MATCH(B139,'Hàng hóa'!$B$4:$B$203,0)),"")</f>
        <v/>
      </c>
      <c r="H139" s="19">
        <f t="array" ref="H139">IFERROR(INDEX('Hàng hóa'!$G$4:$G$203,MATCH(B139,'Hàng hóa'!$B$4:$B$203,0)),0)</f>
        <v>0</v>
      </c>
      <c r="I139" s="7"/>
      <c r="J139" s="47">
        <f t="shared" si="1"/>
        <v>0</v>
      </c>
      <c r="K139" s="19">
        <f t="shared" si="2"/>
        <v>0</v>
      </c>
      <c r="L139" s="23"/>
      <c r="M139" s="23"/>
      <c r="N139" s="2"/>
      <c r="O139" s="18" t="str">
        <f>IF('Hàng hóa'!K140&lt;&gt;"",'Hàng hóa'!K140,"")</f>
        <v/>
      </c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43"/>
      <c r="B140" s="23"/>
      <c r="C140" s="37" t="str">
        <f t="array" ref="C140">IFERROR(INDEX('Hàng hóa'!$A$4:$A$203,MATCH(B140,'Hàng hóa'!$B$4:$B$203,0)),"")</f>
        <v/>
      </c>
      <c r="D140" s="37" t="str">
        <f t="array" ref="D140">IFERROR(INDEX('Hàng hóa'!$C$4:$C$203,MATCH(B140,'Hàng hóa'!$B$4:$B$203,0)),"")</f>
        <v/>
      </c>
      <c r="E140" s="44"/>
      <c r="F140" s="37">
        <f t="array" ref="F140">IFERROR(INDEX('Hàng hóa'!$E$4:$E$203,MATCH(B140,'Hàng hóa'!$B$4:$B$203,0)),0)</f>
        <v>0</v>
      </c>
      <c r="G140" s="37" t="str">
        <f t="array" ref="G140">IFERROR(INDEX('Hàng hóa'!$F$4:$F$203,MATCH(B140,'Hàng hóa'!$B$4:$B$203,0)),"")</f>
        <v/>
      </c>
      <c r="H140" s="19">
        <f t="array" ref="H140">IFERROR(INDEX('Hàng hóa'!$G$4:$G$203,MATCH(B140,'Hàng hóa'!$B$4:$B$203,0)),0)</f>
        <v>0</v>
      </c>
      <c r="I140" s="7"/>
      <c r="J140" s="47">
        <f t="shared" si="1"/>
        <v>0</v>
      </c>
      <c r="K140" s="19">
        <f t="shared" si="2"/>
        <v>0</v>
      </c>
      <c r="L140" s="23"/>
      <c r="M140" s="23"/>
      <c r="N140" s="2"/>
      <c r="O140" s="18" t="str">
        <f>IF('Hàng hóa'!K141&lt;&gt;"",'Hàng hóa'!K141,"")</f>
        <v/>
      </c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43"/>
      <c r="B141" s="23"/>
      <c r="C141" s="37" t="str">
        <f t="array" ref="C141">IFERROR(INDEX('Hàng hóa'!$A$4:$A$203,MATCH(B141,'Hàng hóa'!$B$4:$B$203,0)),"")</f>
        <v/>
      </c>
      <c r="D141" s="37" t="str">
        <f t="array" ref="D141">IFERROR(INDEX('Hàng hóa'!$C$4:$C$203,MATCH(B141,'Hàng hóa'!$B$4:$B$203,0)),"")</f>
        <v/>
      </c>
      <c r="E141" s="44"/>
      <c r="F141" s="37">
        <f t="array" ref="F141">IFERROR(INDEX('Hàng hóa'!$E$4:$E$203,MATCH(B141,'Hàng hóa'!$B$4:$B$203,0)),0)</f>
        <v>0</v>
      </c>
      <c r="G141" s="37" t="str">
        <f t="array" ref="G141">IFERROR(INDEX('Hàng hóa'!$F$4:$F$203,MATCH(B141,'Hàng hóa'!$B$4:$B$203,0)),"")</f>
        <v/>
      </c>
      <c r="H141" s="19">
        <f t="array" ref="H141">IFERROR(INDEX('Hàng hóa'!$G$4:$G$203,MATCH(B141,'Hàng hóa'!$B$4:$B$203,0)),0)</f>
        <v>0</v>
      </c>
      <c r="I141" s="7"/>
      <c r="J141" s="47">
        <f t="shared" si="1"/>
        <v>0</v>
      </c>
      <c r="K141" s="19">
        <f t="shared" si="2"/>
        <v>0</v>
      </c>
      <c r="L141" s="23"/>
      <c r="M141" s="23"/>
      <c r="N141" s="2"/>
      <c r="O141" s="18" t="str">
        <f>IF('Hàng hóa'!K142&lt;&gt;"",'Hàng hóa'!K142,"")</f>
        <v/>
      </c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43"/>
      <c r="B142" s="23"/>
      <c r="C142" s="37" t="str">
        <f t="array" ref="C142">IFERROR(INDEX('Hàng hóa'!$A$4:$A$203,MATCH(B142,'Hàng hóa'!$B$4:$B$203,0)),"")</f>
        <v/>
      </c>
      <c r="D142" s="37" t="str">
        <f t="array" ref="D142">IFERROR(INDEX('Hàng hóa'!$C$4:$C$203,MATCH(B142,'Hàng hóa'!$B$4:$B$203,0)),"")</f>
        <v/>
      </c>
      <c r="E142" s="44"/>
      <c r="F142" s="37">
        <f t="array" ref="F142">IFERROR(INDEX('Hàng hóa'!$E$4:$E$203,MATCH(B142,'Hàng hóa'!$B$4:$B$203,0)),0)</f>
        <v>0</v>
      </c>
      <c r="G142" s="37" t="str">
        <f t="array" ref="G142">IFERROR(INDEX('Hàng hóa'!$F$4:$F$203,MATCH(B142,'Hàng hóa'!$B$4:$B$203,0)),"")</f>
        <v/>
      </c>
      <c r="H142" s="19">
        <f t="array" ref="H142">IFERROR(INDEX('Hàng hóa'!$G$4:$G$203,MATCH(B142,'Hàng hóa'!$B$4:$B$203,0)),0)</f>
        <v>0</v>
      </c>
      <c r="I142" s="7"/>
      <c r="J142" s="47">
        <f t="shared" si="1"/>
        <v>0</v>
      </c>
      <c r="K142" s="19">
        <f t="shared" si="2"/>
        <v>0</v>
      </c>
      <c r="L142" s="23"/>
      <c r="M142" s="23"/>
      <c r="N142" s="2"/>
      <c r="O142" s="18" t="str">
        <f>IF('Hàng hóa'!K143&lt;&gt;"",'Hàng hóa'!K143,"")</f>
        <v/>
      </c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43"/>
      <c r="B143" s="23"/>
      <c r="C143" s="37" t="str">
        <f t="array" ref="C143">IFERROR(INDEX('Hàng hóa'!$A$4:$A$203,MATCH(B143,'Hàng hóa'!$B$4:$B$203,0)),"")</f>
        <v/>
      </c>
      <c r="D143" s="37" t="str">
        <f t="array" ref="D143">IFERROR(INDEX('Hàng hóa'!$C$4:$C$203,MATCH(B143,'Hàng hóa'!$B$4:$B$203,0)),"")</f>
        <v/>
      </c>
      <c r="E143" s="44"/>
      <c r="F143" s="37">
        <f t="array" ref="F143">IFERROR(INDEX('Hàng hóa'!$E$4:$E$203,MATCH(B143,'Hàng hóa'!$B$4:$B$203,0)),0)</f>
        <v>0</v>
      </c>
      <c r="G143" s="37" t="str">
        <f t="array" ref="G143">IFERROR(INDEX('Hàng hóa'!$F$4:$F$203,MATCH(B143,'Hàng hóa'!$B$4:$B$203,0)),"")</f>
        <v/>
      </c>
      <c r="H143" s="19">
        <f t="array" ref="H143">IFERROR(INDEX('Hàng hóa'!$G$4:$G$203,MATCH(B143,'Hàng hóa'!$B$4:$B$203,0)),0)</f>
        <v>0</v>
      </c>
      <c r="I143" s="7"/>
      <c r="J143" s="47">
        <f t="shared" si="1"/>
        <v>0</v>
      </c>
      <c r="K143" s="19">
        <f t="shared" si="2"/>
        <v>0</v>
      </c>
      <c r="L143" s="23"/>
      <c r="M143" s="23"/>
      <c r="N143" s="2"/>
      <c r="O143" s="18" t="str">
        <f>IF('Hàng hóa'!K144&lt;&gt;"",'Hàng hóa'!K144,"")</f>
        <v/>
      </c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43"/>
      <c r="B144" s="23"/>
      <c r="C144" s="37" t="str">
        <f t="array" ref="C144">IFERROR(INDEX('Hàng hóa'!$A$4:$A$203,MATCH(B144,'Hàng hóa'!$B$4:$B$203,0)),"")</f>
        <v/>
      </c>
      <c r="D144" s="37" t="str">
        <f t="array" ref="D144">IFERROR(INDEX('Hàng hóa'!$C$4:$C$203,MATCH(B144,'Hàng hóa'!$B$4:$B$203,0)),"")</f>
        <v/>
      </c>
      <c r="E144" s="44"/>
      <c r="F144" s="37">
        <f t="array" ref="F144">IFERROR(INDEX('Hàng hóa'!$E$4:$E$203,MATCH(B144,'Hàng hóa'!$B$4:$B$203,0)),0)</f>
        <v>0</v>
      </c>
      <c r="G144" s="37" t="str">
        <f t="array" ref="G144">IFERROR(INDEX('Hàng hóa'!$F$4:$F$203,MATCH(B144,'Hàng hóa'!$B$4:$B$203,0)),"")</f>
        <v/>
      </c>
      <c r="H144" s="19">
        <f t="array" ref="H144">IFERROR(INDEX('Hàng hóa'!$G$4:$G$203,MATCH(B144,'Hàng hóa'!$B$4:$B$203,0)),0)</f>
        <v>0</v>
      </c>
      <c r="I144" s="7"/>
      <c r="J144" s="47">
        <f t="shared" si="1"/>
        <v>0</v>
      </c>
      <c r="K144" s="19">
        <f t="shared" si="2"/>
        <v>0</v>
      </c>
      <c r="L144" s="23"/>
      <c r="M144" s="23"/>
      <c r="N144" s="2"/>
      <c r="O144" s="18" t="str">
        <f>IF('Hàng hóa'!K145&lt;&gt;"",'Hàng hóa'!K145,"")</f>
        <v/>
      </c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43"/>
      <c r="B145" s="23"/>
      <c r="C145" s="37" t="str">
        <f t="array" ref="C145">IFERROR(INDEX('Hàng hóa'!$A$4:$A$203,MATCH(B145,'Hàng hóa'!$B$4:$B$203,0)),"")</f>
        <v/>
      </c>
      <c r="D145" s="37" t="str">
        <f t="array" ref="D145">IFERROR(INDEX('Hàng hóa'!$C$4:$C$203,MATCH(B145,'Hàng hóa'!$B$4:$B$203,0)),"")</f>
        <v/>
      </c>
      <c r="E145" s="44"/>
      <c r="F145" s="37">
        <f t="array" ref="F145">IFERROR(INDEX('Hàng hóa'!$E$4:$E$203,MATCH(B145,'Hàng hóa'!$B$4:$B$203,0)),0)</f>
        <v>0</v>
      </c>
      <c r="G145" s="37" t="str">
        <f t="array" ref="G145">IFERROR(INDEX('Hàng hóa'!$F$4:$F$203,MATCH(B145,'Hàng hóa'!$B$4:$B$203,0)),"")</f>
        <v/>
      </c>
      <c r="H145" s="19">
        <f t="array" ref="H145">IFERROR(INDEX('Hàng hóa'!$G$4:$G$203,MATCH(B145,'Hàng hóa'!$B$4:$B$203,0)),0)</f>
        <v>0</v>
      </c>
      <c r="I145" s="7"/>
      <c r="J145" s="47">
        <f t="shared" si="1"/>
        <v>0</v>
      </c>
      <c r="K145" s="19">
        <f t="shared" si="2"/>
        <v>0</v>
      </c>
      <c r="L145" s="23"/>
      <c r="M145" s="23"/>
      <c r="N145" s="2"/>
      <c r="O145" s="18" t="str">
        <f>IF('Hàng hóa'!K146&lt;&gt;"",'Hàng hóa'!K146,"")</f>
        <v/>
      </c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43"/>
      <c r="B146" s="23"/>
      <c r="C146" s="37" t="str">
        <f t="array" ref="C146">IFERROR(INDEX('Hàng hóa'!$A$4:$A$203,MATCH(B146,'Hàng hóa'!$B$4:$B$203,0)),"")</f>
        <v/>
      </c>
      <c r="D146" s="37" t="str">
        <f t="array" ref="D146">IFERROR(INDEX('Hàng hóa'!$C$4:$C$203,MATCH(B146,'Hàng hóa'!$B$4:$B$203,0)),"")</f>
        <v/>
      </c>
      <c r="E146" s="44"/>
      <c r="F146" s="37">
        <f t="array" ref="F146">IFERROR(INDEX('Hàng hóa'!$E$4:$E$203,MATCH(B146,'Hàng hóa'!$B$4:$B$203,0)),0)</f>
        <v>0</v>
      </c>
      <c r="G146" s="37" t="str">
        <f t="array" ref="G146">IFERROR(INDEX('Hàng hóa'!$F$4:$F$203,MATCH(B146,'Hàng hóa'!$B$4:$B$203,0)),"")</f>
        <v/>
      </c>
      <c r="H146" s="19">
        <f t="array" ref="H146">IFERROR(INDEX('Hàng hóa'!$G$4:$G$203,MATCH(B146,'Hàng hóa'!$B$4:$B$203,0)),0)</f>
        <v>0</v>
      </c>
      <c r="I146" s="7"/>
      <c r="J146" s="47">
        <f t="shared" si="1"/>
        <v>0</v>
      </c>
      <c r="K146" s="19">
        <f t="shared" si="2"/>
        <v>0</v>
      </c>
      <c r="L146" s="23"/>
      <c r="M146" s="23"/>
      <c r="N146" s="2"/>
      <c r="O146" s="18" t="str">
        <f>IF('Hàng hóa'!K147&lt;&gt;"",'Hàng hóa'!K147,"")</f>
        <v/>
      </c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43"/>
      <c r="B147" s="23"/>
      <c r="C147" s="37" t="str">
        <f t="array" ref="C147">IFERROR(INDEX('Hàng hóa'!$A$4:$A$203,MATCH(B147,'Hàng hóa'!$B$4:$B$203,0)),"")</f>
        <v/>
      </c>
      <c r="D147" s="37" t="str">
        <f t="array" ref="D147">IFERROR(INDEX('Hàng hóa'!$C$4:$C$203,MATCH(B147,'Hàng hóa'!$B$4:$B$203,0)),"")</f>
        <v/>
      </c>
      <c r="E147" s="44"/>
      <c r="F147" s="37">
        <f t="array" ref="F147">IFERROR(INDEX('Hàng hóa'!$E$4:$E$203,MATCH(B147,'Hàng hóa'!$B$4:$B$203,0)),0)</f>
        <v>0</v>
      </c>
      <c r="G147" s="37" t="str">
        <f t="array" ref="G147">IFERROR(INDEX('Hàng hóa'!$F$4:$F$203,MATCH(B147,'Hàng hóa'!$B$4:$B$203,0)),"")</f>
        <v/>
      </c>
      <c r="H147" s="19">
        <f t="array" ref="H147">IFERROR(INDEX('Hàng hóa'!$G$4:$G$203,MATCH(B147,'Hàng hóa'!$B$4:$B$203,0)),0)</f>
        <v>0</v>
      </c>
      <c r="I147" s="7"/>
      <c r="J147" s="47">
        <f t="shared" si="1"/>
        <v>0</v>
      </c>
      <c r="K147" s="19">
        <f t="shared" si="2"/>
        <v>0</v>
      </c>
      <c r="L147" s="23"/>
      <c r="M147" s="23"/>
      <c r="N147" s="2"/>
      <c r="O147" s="18" t="str">
        <f>IF('Hàng hóa'!K148&lt;&gt;"",'Hàng hóa'!K148,"")</f>
        <v/>
      </c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43"/>
      <c r="B148" s="23"/>
      <c r="C148" s="37" t="str">
        <f t="array" ref="C148">IFERROR(INDEX('Hàng hóa'!$A$4:$A$203,MATCH(B148,'Hàng hóa'!$B$4:$B$203,0)),"")</f>
        <v/>
      </c>
      <c r="D148" s="37" t="str">
        <f t="array" ref="D148">IFERROR(INDEX('Hàng hóa'!$C$4:$C$203,MATCH(B148,'Hàng hóa'!$B$4:$B$203,0)),"")</f>
        <v/>
      </c>
      <c r="E148" s="44"/>
      <c r="F148" s="37">
        <f t="array" ref="F148">IFERROR(INDEX('Hàng hóa'!$E$4:$E$203,MATCH(B148,'Hàng hóa'!$B$4:$B$203,0)),0)</f>
        <v>0</v>
      </c>
      <c r="G148" s="37" t="str">
        <f t="array" ref="G148">IFERROR(INDEX('Hàng hóa'!$F$4:$F$203,MATCH(B148,'Hàng hóa'!$B$4:$B$203,0)),"")</f>
        <v/>
      </c>
      <c r="H148" s="19">
        <f t="array" ref="H148">IFERROR(INDEX('Hàng hóa'!$G$4:$G$203,MATCH(B148,'Hàng hóa'!$B$4:$B$203,0)),0)</f>
        <v>0</v>
      </c>
      <c r="I148" s="7"/>
      <c r="J148" s="47">
        <f t="shared" si="1"/>
        <v>0</v>
      </c>
      <c r="K148" s="19">
        <f t="shared" si="2"/>
        <v>0</v>
      </c>
      <c r="L148" s="23"/>
      <c r="M148" s="23"/>
      <c r="N148" s="2"/>
      <c r="O148" s="18" t="str">
        <f>IF('Hàng hóa'!K149&lt;&gt;"",'Hàng hóa'!K149,"")</f>
        <v/>
      </c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43"/>
      <c r="B149" s="23"/>
      <c r="C149" s="37" t="str">
        <f t="array" ref="C149">IFERROR(INDEX('Hàng hóa'!$A$4:$A$203,MATCH(B149,'Hàng hóa'!$B$4:$B$203,0)),"")</f>
        <v/>
      </c>
      <c r="D149" s="37" t="str">
        <f t="array" ref="D149">IFERROR(INDEX('Hàng hóa'!$C$4:$C$203,MATCH(B149,'Hàng hóa'!$B$4:$B$203,0)),"")</f>
        <v/>
      </c>
      <c r="E149" s="44"/>
      <c r="F149" s="37">
        <f t="array" ref="F149">IFERROR(INDEX('Hàng hóa'!$E$4:$E$203,MATCH(B149,'Hàng hóa'!$B$4:$B$203,0)),0)</f>
        <v>0</v>
      </c>
      <c r="G149" s="37" t="str">
        <f t="array" ref="G149">IFERROR(INDEX('Hàng hóa'!$F$4:$F$203,MATCH(B149,'Hàng hóa'!$B$4:$B$203,0)),"")</f>
        <v/>
      </c>
      <c r="H149" s="19">
        <f t="array" ref="H149">IFERROR(INDEX('Hàng hóa'!$G$4:$G$203,MATCH(B149,'Hàng hóa'!$B$4:$B$203,0)),0)</f>
        <v>0</v>
      </c>
      <c r="I149" s="7"/>
      <c r="J149" s="47">
        <f t="shared" si="1"/>
        <v>0</v>
      </c>
      <c r="K149" s="19">
        <f t="shared" si="2"/>
        <v>0</v>
      </c>
      <c r="L149" s="23"/>
      <c r="M149" s="23"/>
      <c r="N149" s="2"/>
      <c r="O149" s="18" t="str">
        <f>IF('Hàng hóa'!K150&lt;&gt;"",'Hàng hóa'!K150,"")</f>
        <v/>
      </c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43"/>
      <c r="B150" s="23"/>
      <c r="C150" s="37" t="str">
        <f t="array" ref="C150">IFERROR(INDEX('Hàng hóa'!$A$4:$A$203,MATCH(B150,'Hàng hóa'!$B$4:$B$203,0)),"")</f>
        <v/>
      </c>
      <c r="D150" s="37" t="str">
        <f t="array" ref="D150">IFERROR(INDEX('Hàng hóa'!$C$4:$C$203,MATCH(B150,'Hàng hóa'!$B$4:$B$203,0)),"")</f>
        <v/>
      </c>
      <c r="E150" s="44"/>
      <c r="F150" s="37">
        <f t="array" ref="F150">IFERROR(INDEX('Hàng hóa'!$E$4:$E$203,MATCH(B150,'Hàng hóa'!$B$4:$B$203,0)),0)</f>
        <v>0</v>
      </c>
      <c r="G150" s="37" t="str">
        <f t="array" ref="G150">IFERROR(INDEX('Hàng hóa'!$F$4:$F$203,MATCH(B150,'Hàng hóa'!$B$4:$B$203,0)),"")</f>
        <v/>
      </c>
      <c r="H150" s="19">
        <f t="array" ref="H150">IFERROR(INDEX('Hàng hóa'!$G$4:$G$203,MATCH(B150,'Hàng hóa'!$B$4:$B$203,0)),0)</f>
        <v>0</v>
      </c>
      <c r="I150" s="7"/>
      <c r="J150" s="47">
        <f t="shared" si="1"/>
        <v>0</v>
      </c>
      <c r="K150" s="19">
        <f t="shared" si="2"/>
        <v>0</v>
      </c>
      <c r="L150" s="23"/>
      <c r="M150" s="23"/>
      <c r="N150" s="2"/>
      <c r="O150" s="18" t="str">
        <f>IF('Hàng hóa'!K151&lt;&gt;"",'Hàng hóa'!K151,"")</f>
        <v/>
      </c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43"/>
      <c r="B151" s="23"/>
      <c r="C151" s="37" t="str">
        <f t="array" ref="C151">IFERROR(INDEX('Hàng hóa'!$A$4:$A$203,MATCH(B151,'Hàng hóa'!$B$4:$B$203,0)),"")</f>
        <v/>
      </c>
      <c r="D151" s="37" t="str">
        <f t="array" ref="D151">IFERROR(INDEX('Hàng hóa'!$C$4:$C$203,MATCH(B151,'Hàng hóa'!$B$4:$B$203,0)),"")</f>
        <v/>
      </c>
      <c r="E151" s="44"/>
      <c r="F151" s="37">
        <f t="array" ref="F151">IFERROR(INDEX('Hàng hóa'!$E$4:$E$203,MATCH(B151,'Hàng hóa'!$B$4:$B$203,0)),0)</f>
        <v>0</v>
      </c>
      <c r="G151" s="37" t="str">
        <f t="array" ref="G151">IFERROR(INDEX('Hàng hóa'!$F$4:$F$203,MATCH(B151,'Hàng hóa'!$B$4:$B$203,0)),"")</f>
        <v/>
      </c>
      <c r="H151" s="19">
        <f t="array" ref="H151">IFERROR(INDEX('Hàng hóa'!$G$4:$G$203,MATCH(B151,'Hàng hóa'!$B$4:$B$203,0)),0)</f>
        <v>0</v>
      </c>
      <c r="I151" s="7"/>
      <c r="J151" s="47">
        <f t="shared" si="1"/>
        <v>0</v>
      </c>
      <c r="K151" s="19">
        <f t="shared" si="2"/>
        <v>0</v>
      </c>
      <c r="L151" s="23"/>
      <c r="M151" s="23"/>
      <c r="N151" s="2"/>
      <c r="O151" s="18" t="str">
        <f>IF('Hàng hóa'!K152&lt;&gt;"",'Hàng hóa'!K152,"")</f>
        <v/>
      </c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43"/>
      <c r="B152" s="23"/>
      <c r="C152" s="37" t="str">
        <f t="array" ref="C152">IFERROR(INDEX('Hàng hóa'!$A$4:$A$203,MATCH(B152,'Hàng hóa'!$B$4:$B$203,0)),"")</f>
        <v/>
      </c>
      <c r="D152" s="37" t="str">
        <f t="array" ref="D152">IFERROR(INDEX('Hàng hóa'!$C$4:$C$203,MATCH(B152,'Hàng hóa'!$B$4:$B$203,0)),"")</f>
        <v/>
      </c>
      <c r="E152" s="44"/>
      <c r="F152" s="37">
        <f t="array" ref="F152">IFERROR(INDEX('Hàng hóa'!$E$4:$E$203,MATCH(B152,'Hàng hóa'!$B$4:$B$203,0)),0)</f>
        <v>0</v>
      </c>
      <c r="G152" s="37" t="str">
        <f t="array" ref="G152">IFERROR(INDEX('Hàng hóa'!$F$4:$F$203,MATCH(B152,'Hàng hóa'!$B$4:$B$203,0)),"")</f>
        <v/>
      </c>
      <c r="H152" s="19">
        <f t="array" ref="H152">IFERROR(INDEX('Hàng hóa'!$G$4:$G$203,MATCH(B152,'Hàng hóa'!$B$4:$B$203,0)),0)</f>
        <v>0</v>
      </c>
      <c r="I152" s="7"/>
      <c r="J152" s="47">
        <f t="shared" si="1"/>
        <v>0</v>
      </c>
      <c r="K152" s="19">
        <f t="shared" si="2"/>
        <v>0</v>
      </c>
      <c r="L152" s="23"/>
      <c r="M152" s="23"/>
      <c r="N152" s="2"/>
      <c r="O152" s="18" t="str">
        <f>IF('Hàng hóa'!K153&lt;&gt;"",'Hàng hóa'!K153,"")</f>
        <v/>
      </c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43"/>
      <c r="B153" s="23"/>
      <c r="C153" s="37" t="str">
        <f t="array" ref="C153">IFERROR(INDEX('Hàng hóa'!$A$4:$A$203,MATCH(B153,'Hàng hóa'!$B$4:$B$203,0)),"")</f>
        <v/>
      </c>
      <c r="D153" s="37" t="str">
        <f t="array" ref="D153">IFERROR(INDEX('Hàng hóa'!$C$4:$C$203,MATCH(B153,'Hàng hóa'!$B$4:$B$203,0)),"")</f>
        <v/>
      </c>
      <c r="E153" s="44"/>
      <c r="F153" s="37">
        <f t="array" ref="F153">IFERROR(INDEX('Hàng hóa'!$E$4:$E$203,MATCH(B153,'Hàng hóa'!$B$4:$B$203,0)),0)</f>
        <v>0</v>
      </c>
      <c r="G153" s="37" t="str">
        <f t="array" ref="G153">IFERROR(INDEX('Hàng hóa'!$F$4:$F$203,MATCH(B153,'Hàng hóa'!$B$4:$B$203,0)),"")</f>
        <v/>
      </c>
      <c r="H153" s="19">
        <f t="array" ref="H153">IFERROR(INDEX('Hàng hóa'!$G$4:$G$203,MATCH(B153,'Hàng hóa'!$B$4:$B$203,0)),0)</f>
        <v>0</v>
      </c>
      <c r="I153" s="7"/>
      <c r="J153" s="47">
        <f t="shared" si="1"/>
        <v>0</v>
      </c>
      <c r="K153" s="19">
        <f t="shared" si="2"/>
        <v>0</v>
      </c>
      <c r="L153" s="23"/>
      <c r="M153" s="23"/>
      <c r="N153" s="2"/>
      <c r="O153" s="18" t="str">
        <f>IF('Hàng hóa'!K154&lt;&gt;"",'Hàng hóa'!K154,"")</f>
        <v/>
      </c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43"/>
      <c r="B154" s="23"/>
      <c r="C154" s="37" t="str">
        <f t="array" ref="C154">IFERROR(INDEX('Hàng hóa'!$A$4:$A$203,MATCH(B154,'Hàng hóa'!$B$4:$B$203,0)),"")</f>
        <v/>
      </c>
      <c r="D154" s="37" t="str">
        <f t="array" ref="D154">IFERROR(INDEX('Hàng hóa'!$C$4:$C$203,MATCH(B154,'Hàng hóa'!$B$4:$B$203,0)),"")</f>
        <v/>
      </c>
      <c r="E154" s="44"/>
      <c r="F154" s="37">
        <f t="array" ref="F154">IFERROR(INDEX('Hàng hóa'!$E$4:$E$203,MATCH(B154,'Hàng hóa'!$B$4:$B$203,0)),0)</f>
        <v>0</v>
      </c>
      <c r="G154" s="37" t="str">
        <f t="array" ref="G154">IFERROR(INDEX('Hàng hóa'!$F$4:$F$203,MATCH(B154,'Hàng hóa'!$B$4:$B$203,0)),"")</f>
        <v/>
      </c>
      <c r="H154" s="19">
        <f t="array" ref="H154">IFERROR(INDEX('Hàng hóa'!$G$4:$G$203,MATCH(B154,'Hàng hóa'!$B$4:$B$203,0)),0)</f>
        <v>0</v>
      </c>
      <c r="I154" s="7"/>
      <c r="J154" s="47">
        <f t="shared" si="1"/>
        <v>0</v>
      </c>
      <c r="K154" s="19">
        <f t="shared" si="2"/>
        <v>0</v>
      </c>
      <c r="L154" s="23"/>
      <c r="M154" s="23"/>
      <c r="N154" s="2"/>
      <c r="O154" s="18" t="str">
        <f>IF('Hàng hóa'!K155&lt;&gt;"",'Hàng hóa'!K155,"")</f>
        <v/>
      </c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43"/>
      <c r="B155" s="23"/>
      <c r="C155" s="37" t="str">
        <f t="array" ref="C155">IFERROR(INDEX('Hàng hóa'!$A$4:$A$203,MATCH(B155,'Hàng hóa'!$B$4:$B$203,0)),"")</f>
        <v/>
      </c>
      <c r="D155" s="37" t="str">
        <f t="array" ref="D155">IFERROR(INDEX('Hàng hóa'!$C$4:$C$203,MATCH(B155,'Hàng hóa'!$B$4:$B$203,0)),"")</f>
        <v/>
      </c>
      <c r="E155" s="44"/>
      <c r="F155" s="37">
        <f t="array" ref="F155">IFERROR(INDEX('Hàng hóa'!$E$4:$E$203,MATCH(B155,'Hàng hóa'!$B$4:$B$203,0)),0)</f>
        <v>0</v>
      </c>
      <c r="G155" s="37" t="str">
        <f t="array" ref="G155">IFERROR(INDEX('Hàng hóa'!$F$4:$F$203,MATCH(B155,'Hàng hóa'!$B$4:$B$203,0)),"")</f>
        <v/>
      </c>
      <c r="H155" s="19">
        <f t="array" ref="H155">IFERROR(INDEX('Hàng hóa'!$G$4:$G$203,MATCH(B155,'Hàng hóa'!$B$4:$B$203,0)),0)</f>
        <v>0</v>
      </c>
      <c r="I155" s="7"/>
      <c r="J155" s="47">
        <f t="shared" si="1"/>
        <v>0</v>
      </c>
      <c r="K155" s="19">
        <f t="shared" si="2"/>
        <v>0</v>
      </c>
      <c r="L155" s="23"/>
      <c r="M155" s="23"/>
      <c r="N155" s="2"/>
      <c r="O155" s="18" t="str">
        <f>IF('Hàng hóa'!K156&lt;&gt;"",'Hàng hóa'!K156,"")</f>
        <v/>
      </c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43"/>
      <c r="B156" s="23"/>
      <c r="C156" s="37" t="str">
        <f t="array" ref="C156">IFERROR(INDEX('Hàng hóa'!$A$4:$A$203,MATCH(B156,'Hàng hóa'!$B$4:$B$203,0)),"")</f>
        <v/>
      </c>
      <c r="D156" s="37" t="str">
        <f t="array" ref="D156">IFERROR(INDEX('Hàng hóa'!$C$4:$C$203,MATCH(B156,'Hàng hóa'!$B$4:$B$203,0)),"")</f>
        <v/>
      </c>
      <c r="E156" s="44"/>
      <c r="F156" s="37">
        <f t="array" ref="F156">IFERROR(INDEX('Hàng hóa'!$E$4:$E$203,MATCH(B156,'Hàng hóa'!$B$4:$B$203,0)),0)</f>
        <v>0</v>
      </c>
      <c r="G156" s="37" t="str">
        <f t="array" ref="G156">IFERROR(INDEX('Hàng hóa'!$F$4:$F$203,MATCH(B156,'Hàng hóa'!$B$4:$B$203,0)),"")</f>
        <v/>
      </c>
      <c r="H156" s="19">
        <f t="array" ref="H156">IFERROR(INDEX('Hàng hóa'!$G$4:$G$203,MATCH(B156,'Hàng hóa'!$B$4:$B$203,0)),0)</f>
        <v>0</v>
      </c>
      <c r="I156" s="7"/>
      <c r="J156" s="47">
        <f t="shared" si="1"/>
        <v>0</v>
      </c>
      <c r="K156" s="19">
        <f t="shared" si="2"/>
        <v>0</v>
      </c>
      <c r="L156" s="23"/>
      <c r="M156" s="23"/>
      <c r="N156" s="2"/>
      <c r="O156" s="18" t="str">
        <f>IF('Hàng hóa'!K157&lt;&gt;"",'Hàng hóa'!K157,"")</f>
        <v/>
      </c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43"/>
      <c r="B157" s="23"/>
      <c r="C157" s="37" t="str">
        <f t="array" ref="C157">IFERROR(INDEX('Hàng hóa'!$A$4:$A$203,MATCH(B157,'Hàng hóa'!$B$4:$B$203,0)),"")</f>
        <v/>
      </c>
      <c r="D157" s="37" t="str">
        <f t="array" ref="D157">IFERROR(INDEX('Hàng hóa'!$C$4:$C$203,MATCH(B157,'Hàng hóa'!$B$4:$B$203,0)),"")</f>
        <v/>
      </c>
      <c r="E157" s="44"/>
      <c r="F157" s="37">
        <f t="array" ref="F157">IFERROR(INDEX('Hàng hóa'!$E$4:$E$203,MATCH(B157,'Hàng hóa'!$B$4:$B$203,0)),0)</f>
        <v>0</v>
      </c>
      <c r="G157" s="37" t="str">
        <f t="array" ref="G157">IFERROR(INDEX('Hàng hóa'!$F$4:$F$203,MATCH(B157,'Hàng hóa'!$B$4:$B$203,0)),"")</f>
        <v/>
      </c>
      <c r="H157" s="19">
        <f t="array" ref="H157">IFERROR(INDEX('Hàng hóa'!$G$4:$G$203,MATCH(B157,'Hàng hóa'!$B$4:$B$203,0)),0)</f>
        <v>0</v>
      </c>
      <c r="I157" s="7"/>
      <c r="J157" s="47">
        <f t="shared" si="1"/>
        <v>0</v>
      </c>
      <c r="K157" s="19">
        <f t="shared" si="2"/>
        <v>0</v>
      </c>
      <c r="L157" s="23"/>
      <c r="M157" s="23"/>
      <c r="N157" s="2"/>
      <c r="O157" s="18" t="str">
        <f>IF('Hàng hóa'!K158&lt;&gt;"",'Hàng hóa'!K158,"")</f>
        <v/>
      </c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43"/>
      <c r="B158" s="23"/>
      <c r="C158" s="37" t="str">
        <f t="array" ref="C158">IFERROR(INDEX('Hàng hóa'!$A$4:$A$203,MATCH(B158,'Hàng hóa'!$B$4:$B$203,0)),"")</f>
        <v/>
      </c>
      <c r="D158" s="37" t="str">
        <f t="array" ref="D158">IFERROR(INDEX('Hàng hóa'!$C$4:$C$203,MATCH(B158,'Hàng hóa'!$B$4:$B$203,0)),"")</f>
        <v/>
      </c>
      <c r="E158" s="44"/>
      <c r="F158" s="37">
        <f t="array" ref="F158">IFERROR(INDEX('Hàng hóa'!$E$4:$E$203,MATCH(B158,'Hàng hóa'!$B$4:$B$203,0)),0)</f>
        <v>0</v>
      </c>
      <c r="G158" s="37" t="str">
        <f t="array" ref="G158">IFERROR(INDEX('Hàng hóa'!$F$4:$F$203,MATCH(B158,'Hàng hóa'!$B$4:$B$203,0)),"")</f>
        <v/>
      </c>
      <c r="H158" s="19">
        <f t="array" ref="H158">IFERROR(INDEX('Hàng hóa'!$G$4:$G$203,MATCH(B158,'Hàng hóa'!$B$4:$B$203,0)),0)</f>
        <v>0</v>
      </c>
      <c r="I158" s="7"/>
      <c r="J158" s="47">
        <f t="shared" si="1"/>
        <v>0</v>
      </c>
      <c r="K158" s="19">
        <f t="shared" si="2"/>
        <v>0</v>
      </c>
      <c r="L158" s="23"/>
      <c r="M158" s="23"/>
      <c r="N158" s="2"/>
      <c r="O158" s="18" t="str">
        <f>IF('Hàng hóa'!K159&lt;&gt;"",'Hàng hóa'!K159,"")</f>
        <v/>
      </c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43"/>
      <c r="B159" s="23"/>
      <c r="C159" s="37" t="str">
        <f t="array" ref="C159">IFERROR(INDEX('Hàng hóa'!$A$4:$A$203,MATCH(B159,'Hàng hóa'!$B$4:$B$203,0)),"")</f>
        <v/>
      </c>
      <c r="D159" s="37" t="str">
        <f t="array" ref="D159">IFERROR(INDEX('Hàng hóa'!$C$4:$C$203,MATCH(B159,'Hàng hóa'!$B$4:$B$203,0)),"")</f>
        <v/>
      </c>
      <c r="E159" s="44"/>
      <c r="F159" s="37">
        <f t="array" ref="F159">IFERROR(INDEX('Hàng hóa'!$E$4:$E$203,MATCH(B159,'Hàng hóa'!$B$4:$B$203,0)),0)</f>
        <v>0</v>
      </c>
      <c r="G159" s="37" t="str">
        <f t="array" ref="G159">IFERROR(INDEX('Hàng hóa'!$F$4:$F$203,MATCH(B159,'Hàng hóa'!$B$4:$B$203,0)),"")</f>
        <v/>
      </c>
      <c r="H159" s="19">
        <f t="array" ref="H159">IFERROR(INDEX('Hàng hóa'!$G$4:$G$203,MATCH(B159,'Hàng hóa'!$B$4:$B$203,0)),0)</f>
        <v>0</v>
      </c>
      <c r="I159" s="7"/>
      <c r="J159" s="47">
        <f t="shared" si="1"/>
        <v>0</v>
      </c>
      <c r="K159" s="19">
        <f t="shared" si="2"/>
        <v>0</v>
      </c>
      <c r="L159" s="23"/>
      <c r="M159" s="23"/>
      <c r="N159" s="2"/>
      <c r="O159" s="18" t="str">
        <f>IF('Hàng hóa'!K160&lt;&gt;"",'Hàng hóa'!K160,"")</f>
        <v/>
      </c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43"/>
      <c r="B160" s="23"/>
      <c r="C160" s="37" t="str">
        <f t="array" ref="C160">IFERROR(INDEX('Hàng hóa'!$A$4:$A$203,MATCH(B160,'Hàng hóa'!$B$4:$B$203,0)),"")</f>
        <v/>
      </c>
      <c r="D160" s="37" t="str">
        <f t="array" ref="D160">IFERROR(INDEX('Hàng hóa'!$C$4:$C$203,MATCH(B160,'Hàng hóa'!$B$4:$B$203,0)),"")</f>
        <v/>
      </c>
      <c r="E160" s="44"/>
      <c r="F160" s="37">
        <f t="array" ref="F160">IFERROR(INDEX('Hàng hóa'!$E$4:$E$203,MATCH(B160,'Hàng hóa'!$B$4:$B$203,0)),0)</f>
        <v>0</v>
      </c>
      <c r="G160" s="37" t="str">
        <f t="array" ref="G160">IFERROR(INDEX('Hàng hóa'!$F$4:$F$203,MATCH(B160,'Hàng hóa'!$B$4:$B$203,0)),"")</f>
        <v/>
      </c>
      <c r="H160" s="19">
        <f t="array" ref="H160">IFERROR(INDEX('Hàng hóa'!$G$4:$G$203,MATCH(B160,'Hàng hóa'!$B$4:$B$203,0)),0)</f>
        <v>0</v>
      </c>
      <c r="I160" s="7"/>
      <c r="J160" s="47">
        <f t="shared" si="1"/>
        <v>0</v>
      </c>
      <c r="K160" s="19">
        <f t="shared" si="2"/>
        <v>0</v>
      </c>
      <c r="L160" s="23"/>
      <c r="M160" s="23"/>
      <c r="N160" s="2"/>
      <c r="O160" s="18" t="str">
        <f>IF('Hàng hóa'!K161&lt;&gt;"",'Hàng hóa'!K161,"")</f>
        <v/>
      </c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43"/>
      <c r="B161" s="23"/>
      <c r="C161" s="37" t="str">
        <f t="array" ref="C161">IFERROR(INDEX('Hàng hóa'!$A$4:$A$203,MATCH(B161,'Hàng hóa'!$B$4:$B$203,0)),"")</f>
        <v/>
      </c>
      <c r="D161" s="37" t="str">
        <f t="array" ref="D161">IFERROR(INDEX('Hàng hóa'!$C$4:$C$203,MATCH(B161,'Hàng hóa'!$B$4:$B$203,0)),"")</f>
        <v/>
      </c>
      <c r="E161" s="44"/>
      <c r="F161" s="37">
        <f t="array" ref="F161">IFERROR(INDEX('Hàng hóa'!$E$4:$E$203,MATCH(B161,'Hàng hóa'!$B$4:$B$203,0)),0)</f>
        <v>0</v>
      </c>
      <c r="G161" s="37" t="str">
        <f t="array" ref="G161">IFERROR(INDEX('Hàng hóa'!$F$4:$F$203,MATCH(B161,'Hàng hóa'!$B$4:$B$203,0)),"")</f>
        <v/>
      </c>
      <c r="H161" s="19">
        <f t="array" ref="H161">IFERROR(INDEX('Hàng hóa'!$G$4:$G$203,MATCH(B161,'Hàng hóa'!$B$4:$B$203,0)),0)</f>
        <v>0</v>
      </c>
      <c r="I161" s="7"/>
      <c r="J161" s="47">
        <f t="shared" si="1"/>
        <v>0</v>
      </c>
      <c r="K161" s="19">
        <f t="shared" si="2"/>
        <v>0</v>
      </c>
      <c r="L161" s="23"/>
      <c r="M161" s="23"/>
      <c r="N161" s="2"/>
      <c r="O161" s="18" t="str">
        <f>IF('Hàng hóa'!K162&lt;&gt;"",'Hàng hóa'!K162,"")</f>
        <v/>
      </c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43"/>
      <c r="B162" s="23"/>
      <c r="C162" s="37" t="str">
        <f t="array" ref="C162">IFERROR(INDEX('Hàng hóa'!$A$4:$A$203,MATCH(B162,'Hàng hóa'!$B$4:$B$203,0)),"")</f>
        <v/>
      </c>
      <c r="D162" s="37" t="str">
        <f t="array" ref="D162">IFERROR(INDEX('Hàng hóa'!$C$4:$C$203,MATCH(B162,'Hàng hóa'!$B$4:$B$203,0)),"")</f>
        <v/>
      </c>
      <c r="E162" s="44"/>
      <c r="F162" s="37">
        <f t="array" ref="F162">IFERROR(INDEX('Hàng hóa'!$E$4:$E$203,MATCH(B162,'Hàng hóa'!$B$4:$B$203,0)),0)</f>
        <v>0</v>
      </c>
      <c r="G162" s="37" t="str">
        <f t="array" ref="G162">IFERROR(INDEX('Hàng hóa'!$F$4:$F$203,MATCH(B162,'Hàng hóa'!$B$4:$B$203,0)),"")</f>
        <v/>
      </c>
      <c r="H162" s="19">
        <f t="array" ref="H162">IFERROR(INDEX('Hàng hóa'!$G$4:$G$203,MATCH(B162,'Hàng hóa'!$B$4:$B$203,0)),0)</f>
        <v>0</v>
      </c>
      <c r="I162" s="7"/>
      <c r="J162" s="47">
        <f t="shared" si="1"/>
        <v>0</v>
      </c>
      <c r="K162" s="19">
        <f t="shared" si="2"/>
        <v>0</v>
      </c>
      <c r="L162" s="23"/>
      <c r="M162" s="23"/>
      <c r="N162" s="2"/>
      <c r="O162" s="18" t="str">
        <f>IF('Hàng hóa'!K163&lt;&gt;"",'Hàng hóa'!K163,"")</f>
        <v/>
      </c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43"/>
      <c r="B163" s="23"/>
      <c r="C163" s="37" t="str">
        <f t="array" ref="C163">IFERROR(INDEX('Hàng hóa'!$A$4:$A$203,MATCH(B163,'Hàng hóa'!$B$4:$B$203,0)),"")</f>
        <v/>
      </c>
      <c r="D163" s="37" t="str">
        <f t="array" ref="D163">IFERROR(INDEX('Hàng hóa'!$C$4:$C$203,MATCH(B163,'Hàng hóa'!$B$4:$B$203,0)),"")</f>
        <v/>
      </c>
      <c r="E163" s="44"/>
      <c r="F163" s="37">
        <f t="array" ref="F163">IFERROR(INDEX('Hàng hóa'!$E$4:$E$203,MATCH(B163,'Hàng hóa'!$B$4:$B$203,0)),0)</f>
        <v>0</v>
      </c>
      <c r="G163" s="37" t="str">
        <f t="array" ref="G163">IFERROR(INDEX('Hàng hóa'!$F$4:$F$203,MATCH(B163,'Hàng hóa'!$B$4:$B$203,0)),"")</f>
        <v/>
      </c>
      <c r="H163" s="19">
        <f t="array" ref="H163">IFERROR(INDEX('Hàng hóa'!$G$4:$G$203,MATCH(B163,'Hàng hóa'!$B$4:$B$203,0)),0)</f>
        <v>0</v>
      </c>
      <c r="I163" s="7"/>
      <c r="J163" s="47">
        <f t="shared" si="1"/>
        <v>0</v>
      </c>
      <c r="K163" s="19">
        <f t="shared" si="2"/>
        <v>0</v>
      </c>
      <c r="L163" s="23"/>
      <c r="M163" s="23"/>
      <c r="N163" s="2"/>
      <c r="O163" s="18" t="str">
        <f>IF('Hàng hóa'!K164&lt;&gt;"",'Hàng hóa'!K164,"")</f>
        <v/>
      </c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43"/>
      <c r="B164" s="23"/>
      <c r="C164" s="37" t="str">
        <f t="array" ref="C164">IFERROR(INDEX('Hàng hóa'!$A$4:$A$203,MATCH(B164,'Hàng hóa'!$B$4:$B$203,0)),"")</f>
        <v/>
      </c>
      <c r="D164" s="37" t="str">
        <f t="array" ref="D164">IFERROR(INDEX('Hàng hóa'!$C$4:$C$203,MATCH(B164,'Hàng hóa'!$B$4:$B$203,0)),"")</f>
        <v/>
      </c>
      <c r="E164" s="44"/>
      <c r="F164" s="37">
        <f t="array" ref="F164">IFERROR(INDEX('Hàng hóa'!$E$4:$E$203,MATCH(B164,'Hàng hóa'!$B$4:$B$203,0)),0)</f>
        <v>0</v>
      </c>
      <c r="G164" s="37" t="str">
        <f t="array" ref="G164">IFERROR(INDEX('Hàng hóa'!$F$4:$F$203,MATCH(B164,'Hàng hóa'!$B$4:$B$203,0)),"")</f>
        <v/>
      </c>
      <c r="H164" s="19">
        <f t="array" ref="H164">IFERROR(INDEX('Hàng hóa'!$G$4:$G$203,MATCH(B164,'Hàng hóa'!$B$4:$B$203,0)),0)</f>
        <v>0</v>
      </c>
      <c r="I164" s="7"/>
      <c r="J164" s="47">
        <f t="shared" si="1"/>
        <v>0</v>
      </c>
      <c r="K164" s="19">
        <f t="shared" si="2"/>
        <v>0</v>
      </c>
      <c r="L164" s="23"/>
      <c r="M164" s="23"/>
      <c r="N164" s="2"/>
      <c r="O164" s="18" t="str">
        <f>IF('Hàng hóa'!K165&lt;&gt;"",'Hàng hóa'!K165,"")</f>
        <v/>
      </c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43"/>
      <c r="B165" s="23"/>
      <c r="C165" s="37" t="str">
        <f t="array" ref="C165">IFERROR(INDEX('Hàng hóa'!$A$4:$A$203,MATCH(B165,'Hàng hóa'!$B$4:$B$203,0)),"")</f>
        <v/>
      </c>
      <c r="D165" s="37" t="str">
        <f t="array" ref="D165">IFERROR(INDEX('Hàng hóa'!$C$4:$C$203,MATCH(B165,'Hàng hóa'!$B$4:$B$203,0)),"")</f>
        <v/>
      </c>
      <c r="E165" s="44"/>
      <c r="F165" s="37">
        <f t="array" ref="F165">IFERROR(INDEX('Hàng hóa'!$E$4:$E$203,MATCH(B165,'Hàng hóa'!$B$4:$B$203,0)),0)</f>
        <v>0</v>
      </c>
      <c r="G165" s="37" t="str">
        <f t="array" ref="G165">IFERROR(INDEX('Hàng hóa'!$F$4:$F$203,MATCH(B165,'Hàng hóa'!$B$4:$B$203,0)),"")</f>
        <v/>
      </c>
      <c r="H165" s="19">
        <f t="array" ref="H165">IFERROR(INDEX('Hàng hóa'!$G$4:$G$203,MATCH(B165,'Hàng hóa'!$B$4:$B$203,0)),0)</f>
        <v>0</v>
      </c>
      <c r="I165" s="7"/>
      <c r="J165" s="47">
        <f t="shared" si="1"/>
        <v>0</v>
      </c>
      <c r="K165" s="19">
        <f t="shared" si="2"/>
        <v>0</v>
      </c>
      <c r="L165" s="23"/>
      <c r="M165" s="23"/>
      <c r="N165" s="2"/>
      <c r="O165" s="18" t="str">
        <f>IF('Hàng hóa'!K166&lt;&gt;"",'Hàng hóa'!K166,"")</f>
        <v/>
      </c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43"/>
      <c r="B166" s="23"/>
      <c r="C166" s="37" t="str">
        <f t="array" ref="C166">IFERROR(INDEX('Hàng hóa'!$A$4:$A$203,MATCH(B166,'Hàng hóa'!$B$4:$B$203,0)),"")</f>
        <v/>
      </c>
      <c r="D166" s="37" t="str">
        <f t="array" ref="D166">IFERROR(INDEX('Hàng hóa'!$C$4:$C$203,MATCH(B166,'Hàng hóa'!$B$4:$B$203,0)),"")</f>
        <v/>
      </c>
      <c r="E166" s="44"/>
      <c r="F166" s="37">
        <f t="array" ref="F166">IFERROR(INDEX('Hàng hóa'!$E$4:$E$203,MATCH(B166,'Hàng hóa'!$B$4:$B$203,0)),0)</f>
        <v>0</v>
      </c>
      <c r="G166" s="37" t="str">
        <f t="array" ref="G166">IFERROR(INDEX('Hàng hóa'!$F$4:$F$203,MATCH(B166,'Hàng hóa'!$B$4:$B$203,0)),"")</f>
        <v/>
      </c>
      <c r="H166" s="19">
        <f t="array" ref="H166">IFERROR(INDEX('Hàng hóa'!$G$4:$G$203,MATCH(B166,'Hàng hóa'!$B$4:$B$203,0)),0)</f>
        <v>0</v>
      </c>
      <c r="I166" s="7"/>
      <c r="J166" s="47">
        <f t="shared" si="1"/>
        <v>0</v>
      </c>
      <c r="K166" s="19">
        <f t="shared" si="2"/>
        <v>0</v>
      </c>
      <c r="L166" s="23"/>
      <c r="M166" s="23"/>
      <c r="N166" s="2"/>
      <c r="O166" s="18" t="str">
        <f>IF('Hàng hóa'!K167&lt;&gt;"",'Hàng hóa'!K167,"")</f>
        <v/>
      </c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43"/>
      <c r="B167" s="23"/>
      <c r="C167" s="37" t="str">
        <f t="array" ref="C167">IFERROR(INDEX('Hàng hóa'!$A$4:$A$203,MATCH(B167,'Hàng hóa'!$B$4:$B$203,0)),"")</f>
        <v/>
      </c>
      <c r="D167" s="37" t="str">
        <f t="array" ref="D167">IFERROR(INDEX('Hàng hóa'!$C$4:$C$203,MATCH(B167,'Hàng hóa'!$B$4:$B$203,0)),"")</f>
        <v/>
      </c>
      <c r="E167" s="44"/>
      <c r="F167" s="37">
        <f t="array" ref="F167">IFERROR(INDEX('Hàng hóa'!$E$4:$E$203,MATCH(B167,'Hàng hóa'!$B$4:$B$203,0)),0)</f>
        <v>0</v>
      </c>
      <c r="G167" s="37" t="str">
        <f t="array" ref="G167">IFERROR(INDEX('Hàng hóa'!$F$4:$F$203,MATCH(B167,'Hàng hóa'!$B$4:$B$203,0)),"")</f>
        <v/>
      </c>
      <c r="H167" s="19">
        <f t="array" ref="H167">IFERROR(INDEX('Hàng hóa'!$G$4:$G$203,MATCH(B167,'Hàng hóa'!$B$4:$B$203,0)),0)</f>
        <v>0</v>
      </c>
      <c r="I167" s="7"/>
      <c r="J167" s="47">
        <f t="shared" si="1"/>
        <v>0</v>
      </c>
      <c r="K167" s="19">
        <f t="shared" si="2"/>
        <v>0</v>
      </c>
      <c r="L167" s="23"/>
      <c r="M167" s="23"/>
      <c r="N167" s="2"/>
      <c r="O167" s="18" t="str">
        <f>IF('Hàng hóa'!K168&lt;&gt;"",'Hàng hóa'!K168,"")</f>
        <v/>
      </c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43"/>
      <c r="B168" s="23"/>
      <c r="C168" s="37" t="str">
        <f t="array" ref="C168">IFERROR(INDEX('Hàng hóa'!$A$4:$A$203,MATCH(B168,'Hàng hóa'!$B$4:$B$203,0)),"")</f>
        <v/>
      </c>
      <c r="D168" s="37" t="str">
        <f t="array" ref="D168">IFERROR(INDEX('Hàng hóa'!$C$4:$C$203,MATCH(B168,'Hàng hóa'!$B$4:$B$203,0)),"")</f>
        <v/>
      </c>
      <c r="E168" s="44"/>
      <c r="F168" s="37">
        <f t="array" ref="F168">IFERROR(INDEX('Hàng hóa'!$E$4:$E$203,MATCH(B168,'Hàng hóa'!$B$4:$B$203,0)),0)</f>
        <v>0</v>
      </c>
      <c r="G168" s="37" t="str">
        <f t="array" ref="G168">IFERROR(INDEX('Hàng hóa'!$F$4:$F$203,MATCH(B168,'Hàng hóa'!$B$4:$B$203,0)),"")</f>
        <v/>
      </c>
      <c r="H168" s="19">
        <f t="array" ref="H168">IFERROR(INDEX('Hàng hóa'!$G$4:$G$203,MATCH(B168,'Hàng hóa'!$B$4:$B$203,0)),0)</f>
        <v>0</v>
      </c>
      <c r="I168" s="7"/>
      <c r="J168" s="47">
        <f t="shared" si="1"/>
        <v>0</v>
      </c>
      <c r="K168" s="19">
        <f t="shared" si="2"/>
        <v>0</v>
      </c>
      <c r="L168" s="23"/>
      <c r="M168" s="23"/>
      <c r="N168" s="2"/>
      <c r="O168" s="18" t="str">
        <f>IF('Hàng hóa'!K169&lt;&gt;"",'Hàng hóa'!K169,"")</f>
        <v/>
      </c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43"/>
      <c r="B169" s="23"/>
      <c r="C169" s="37" t="str">
        <f t="array" ref="C169">IFERROR(INDEX('Hàng hóa'!$A$4:$A$203,MATCH(B169,'Hàng hóa'!$B$4:$B$203,0)),"")</f>
        <v/>
      </c>
      <c r="D169" s="37" t="str">
        <f t="array" ref="D169">IFERROR(INDEX('Hàng hóa'!$C$4:$C$203,MATCH(B169,'Hàng hóa'!$B$4:$B$203,0)),"")</f>
        <v/>
      </c>
      <c r="E169" s="44"/>
      <c r="F169" s="37">
        <f t="array" ref="F169">IFERROR(INDEX('Hàng hóa'!$E$4:$E$203,MATCH(B169,'Hàng hóa'!$B$4:$B$203,0)),0)</f>
        <v>0</v>
      </c>
      <c r="G169" s="37" t="str">
        <f t="array" ref="G169">IFERROR(INDEX('Hàng hóa'!$F$4:$F$203,MATCH(B169,'Hàng hóa'!$B$4:$B$203,0)),"")</f>
        <v/>
      </c>
      <c r="H169" s="19">
        <f t="array" ref="H169">IFERROR(INDEX('Hàng hóa'!$G$4:$G$203,MATCH(B169,'Hàng hóa'!$B$4:$B$203,0)),0)</f>
        <v>0</v>
      </c>
      <c r="I169" s="7"/>
      <c r="J169" s="47">
        <f t="shared" si="1"/>
        <v>0</v>
      </c>
      <c r="K169" s="19">
        <f t="shared" si="2"/>
        <v>0</v>
      </c>
      <c r="L169" s="23"/>
      <c r="M169" s="23"/>
      <c r="N169" s="2"/>
      <c r="O169" s="18" t="str">
        <f>IF('Hàng hóa'!K170&lt;&gt;"",'Hàng hóa'!K170,"")</f>
        <v/>
      </c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43"/>
      <c r="B170" s="23"/>
      <c r="C170" s="37" t="str">
        <f t="array" ref="C170">IFERROR(INDEX('Hàng hóa'!$A$4:$A$203,MATCH(B170,'Hàng hóa'!$B$4:$B$203,0)),"")</f>
        <v/>
      </c>
      <c r="D170" s="37" t="str">
        <f t="array" ref="D170">IFERROR(INDEX('Hàng hóa'!$C$4:$C$203,MATCH(B170,'Hàng hóa'!$B$4:$B$203,0)),"")</f>
        <v/>
      </c>
      <c r="E170" s="44"/>
      <c r="F170" s="37">
        <f t="array" ref="F170">IFERROR(INDEX('Hàng hóa'!$E$4:$E$203,MATCH(B170,'Hàng hóa'!$B$4:$B$203,0)),0)</f>
        <v>0</v>
      </c>
      <c r="G170" s="37" t="str">
        <f t="array" ref="G170">IFERROR(INDEX('Hàng hóa'!$F$4:$F$203,MATCH(B170,'Hàng hóa'!$B$4:$B$203,0)),"")</f>
        <v/>
      </c>
      <c r="H170" s="19">
        <f t="array" ref="H170">IFERROR(INDEX('Hàng hóa'!$G$4:$G$203,MATCH(B170,'Hàng hóa'!$B$4:$B$203,0)),0)</f>
        <v>0</v>
      </c>
      <c r="I170" s="7"/>
      <c r="J170" s="47">
        <f t="shared" si="1"/>
        <v>0</v>
      </c>
      <c r="K170" s="19">
        <f t="shared" si="2"/>
        <v>0</v>
      </c>
      <c r="L170" s="23"/>
      <c r="M170" s="23"/>
      <c r="N170" s="2"/>
      <c r="O170" s="18" t="str">
        <f>IF('Hàng hóa'!K171&lt;&gt;"",'Hàng hóa'!K171,"")</f>
        <v/>
      </c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43"/>
      <c r="B171" s="23"/>
      <c r="C171" s="37" t="str">
        <f t="array" ref="C171">IFERROR(INDEX('Hàng hóa'!$A$4:$A$203,MATCH(B171,'Hàng hóa'!$B$4:$B$203,0)),"")</f>
        <v/>
      </c>
      <c r="D171" s="37" t="str">
        <f t="array" ref="D171">IFERROR(INDEX('Hàng hóa'!$C$4:$C$203,MATCH(B171,'Hàng hóa'!$B$4:$B$203,0)),"")</f>
        <v/>
      </c>
      <c r="E171" s="44"/>
      <c r="F171" s="37">
        <f t="array" ref="F171">IFERROR(INDEX('Hàng hóa'!$E$4:$E$203,MATCH(B171,'Hàng hóa'!$B$4:$B$203,0)),0)</f>
        <v>0</v>
      </c>
      <c r="G171" s="37" t="str">
        <f t="array" ref="G171">IFERROR(INDEX('Hàng hóa'!$F$4:$F$203,MATCH(B171,'Hàng hóa'!$B$4:$B$203,0)),"")</f>
        <v/>
      </c>
      <c r="H171" s="19">
        <f t="array" ref="H171">IFERROR(INDEX('Hàng hóa'!$G$4:$G$203,MATCH(B171,'Hàng hóa'!$B$4:$B$203,0)),0)</f>
        <v>0</v>
      </c>
      <c r="I171" s="7"/>
      <c r="J171" s="47">
        <f t="shared" si="1"/>
        <v>0</v>
      </c>
      <c r="K171" s="19">
        <f t="shared" si="2"/>
        <v>0</v>
      </c>
      <c r="L171" s="23"/>
      <c r="M171" s="23"/>
      <c r="N171" s="2"/>
      <c r="O171" s="18" t="str">
        <f>IF('Hàng hóa'!K172&lt;&gt;"",'Hàng hóa'!K172,"")</f>
        <v/>
      </c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43"/>
      <c r="B172" s="23"/>
      <c r="C172" s="37" t="str">
        <f t="array" ref="C172">IFERROR(INDEX('Hàng hóa'!$A$4:$A$203,MATCH(B172,'Hàng hóa'!$B$4:$B$203,0)),"")</f>
        <v/>
      </c>
      <c r="D172" s="37" t="str">
        <f t="array" ref="D172">IFERROR(INDEX('Hàng hóa'!$C$4:$C$203,MATCH(B172,'Hàng hóa'!$B$4:$B$203,0)),"")</f>
        <v/>
      </c>
      <c r="E172" s="44"/>
      <c r="F172" s="37">
        <f t="array" ref="F172">IFERROR(INDEX('Hàng hóa'!$E$4:$E$203,MATCH(B172,'Hàng hóa'!$B$4:$B$203,0)),0)</f>
        <v>0</v>
      </c>
      <c r="G172" s="37" t="str">
        <f t="array" ref="G172">IFERROR(INDEX('Hàng hóa'!$F$4:$F$203,MATCH(B172,'Hàng hóa'!$B$4:$B$203,0)),"")</f>
        <v/>
      </c>
      <c r="H172" s="19">
        <f t="array" ref="H172">IFERROR(INDEX('Hàng hóa'!$G$4:$G$203,MATCH(B172,'Hàng hóa'!$B$4:$B$203,0)),0)</f>
        <v>0</v>
      </c>
      <c r="I172" s="7"/>
      <c r="J172" s="47">
        <f t="shared" si="1"/>
        <v>0</v>
      </c>
      <c r="K172" s="19">
        <f t="shared" si="2"/>
        <v>0</v>
      </c>
      <c r="L172" s="23"/>
      <c r="M172" s="23"/>
      <c r="N172" s="2"/>
      <c r="O172" s="18" t="str">
        <f>IF('Hàng hóa'!K173&lt;&gt;"",'Hàng hóa'!K173,"")</f>
        <v/>
      </c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43"/>
      <c r="B173" s="23"/>
      <c r="C173" s="37" t="str">
        <f t="array" ref="C173">IFERROR(INDEX('Hàng hóa'!$A$4:$A$203,MATCH(B173,'Hàng hóa'!$B$4:$B$203,0)),"")</f>
        <v/>
      </c>
      <c r="D173" s="37" t="str">
        <f t="array" ref="D173">IFERROR(INDEX('Hàng hóa'!$C$4:$C$203,MATCH(B173,'Hàng hóa'!$B$4:$B$203,0)),"")</f>
        <v/>
      </c>
      <c r="E173" s="44"/>
      <c r="F173" s="37">
        <f t="array" ref="F173">IFERROR(INDEX('Hàng hóa'!$E$4:$E$203,MATCH(B173,'Hàng hóa'!$B$4:$B$203,0)),0)</f>
        <v>0</v>
      </c>
      <c r="G173" s="37" t="str">
        <f t="array" ref="G173">IFERROR(INDEX('Hàng hóa'!$F$4:$F$203,MATCH(B173,'Hàng hóa'!$B$4:$B$203,0)),"")</f>
        <v/>
      </c>
      <c r="H173" s="19">
        <f t="array" ref="H173">IFERROR(INDEX('Hàng hóa'!$G$4:$G$203,MATCH(B173,'Hàng hóa'!$B$4:$B$203,0)),0)</f>
        <v>0</v>
      </c>
      <c r="I173" s="7"/>
      <c r="J173" s="47">
        <f t="shared" si="1"/>
        <v>0</v>
      </c>
      <c r="K173" s="19">
        <f t="shared" si="2"/>
        <v>0</v>
      </c>
      <c r="L173" s="23"/>
      <c r="M173" s="23"/>
      <c r="N173" s="2"/>
      <c r="O173" s="18" t="str">
        <f>IF('Hàng hóa'!K174&lt;&gt;"",'Hàng hóa'!K174,"")</f>
        <v/>
      </c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43"/>
      <c r="B174" s="23"/>
      <c r="C174" s="37" t="str">
        <f t="array" ref="C174">IFERROR(INDEX('Hàng hóa'!$A$4:$A$203,MATCH(B174,'Hàng hóa'!$B$4:$B$203,0)),"")</f>
        <v/>
      </c>
      <c r="D174" s="37" t="str">
        <f t="array" ref="D174">IFERROR(INDEX('Hàng hóa'!$C$4:$C$203,MATCH(B174,'Hàng hóa'!$B$4:$B$203,0)),"")</f>
        <v/>
      </c>
      <c r="E174" s="44"/>
      <c r="F174" s="37">
        <f t="array" ref="F174">IFERROR(INDEX('Hàng hóa'!$E$4:$E$203,MATCH(B174,'Hàng hóa'!$B$4:$B$203,0)),0)</f>
        <v>0</v>
      </c>
      <c r="G174" s="37" t="str">
        <f t="array" ref="G174">IFERROR(INDEX('Hàng hóa'!$F$4:$F$203,MATCH(B174,'Hàng hóa'!$B$4:$B$203,0)),"")</f>
        <v/>
      </c>
      <c r="H174" s="19">
        <f t="array" ref="H174">IFERROR(INDEX('Hàng hóa'!$G$4:$G$203,MATCH(B174,'Hàng hóa'!$B$4:$B$203,0)),0)</f>
        <v>0</v>
      </c>
      <c r="I174" s="7"/>
      <c r="J174" s="47">
        <f t="shared" si="1"/>
        <v>0</v>
      </c>
      <c r="K174" s="19">
        <f t="shared" si="2"/>
        <v>0</v>
      </c>
      <c r="L174" s="23"/>
      <c r="M174" s="23"/>
      <c r="N174" s="2"/>
      <c r="O174" s="18" t="str">
        <f>IF('Hàng hóa'!K175&lt;&gt;"",'Hàng hóa'!K175,"")</f>
        <v/>
      </c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43"/>
      <c r="B175" s="23"/>
      <c r="C175" s="37" t="str">
        <f t="array" ref="C175">IFERROR(INDEX('Hàng hóa'!$A$4:$A$203,MATCH(B175,'Hàng hóa'!$B$4:$B$203,0)),"")</f>
        <v/>
      </c>
      <c r="D175" s="37" t="str">
        <f t="array" ref="D175">IFERROR(INDEX('Hàng hóa'!$C$4:$C$203,MATCH(B175,'Hàng hóa'!$B$4:$B$203,0)),"")</f>
        <v/>
      </c>
      <c r="E175" s="44"/>
      <c r="F175" s="37">
        <f t="array" ref="F175">IFERROR(INDEX('Hàng hóa'!$E$4:$E$203,MATCH(B175,'Hàng hóa'!$B$4:$B$203,0)),0)</f>
        <v>0</v>
      </c>
      <c r="G175" s="37" t="str">
        <f t="array" ref="G175">IFERROR(INDEX('Hàng hóa'!$F$4:$F$203,MATCH(B175,'Hàng hóa'!$B$4:$B$203,0)),"")</f>
        <v/>
      </c>
      <c r="H175" s="19">
        <f t="array" ref="H175">IFERROR(INDEX('Hàng hóa'!$G$4:$G$203,MATCH(B175,'Hàng hóa'!$B$4:$B$203,0)),0)</f>
        <v>0</v>
      </c>
      <c r="I175" s="7"/>
      <c r="J175" s="47">
        <f t="shared" si="1"/>
        <v>0</v>
      </c>
      <c r="K175" s="19">
        <f t="shared" si="2"/>
        <v>0</v>
      </c>
      <c r="L175" s="23"/>
      <c r="M175" s="23"/>
      <c r="N175" s="2"/>
      <c r="O175" s="18" t="str">
        <f>IF('Hàng hóa'!K176&lt;&gt;"",'Hàng hóa'!K176,"")</f>
        <v/>
      </c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43"/>
      <c r="B176" s="23"/>
      <c r="C176" s="37" t="str">
        <f t="array" ref="C176">IFERROR(INDEX('Hàng hóa'!$A$4:$A$203,MATCH(B176,'Hàng hóa'!$B$4:$B$203,0)),"")</f>
        <v/>
      </c>
      <c r="D176" s="37" t="str">
        <f t="array" ref="D176">IFERROR(INDEX('Hàng hóa'!$C$4:$C$203,MATCH(B176,'Hàng hóa'!$B$4:$B$203,0)),"")</f>
        <v/>
      </c>
      <c r="E176" s="44"/>
      <c r="F176" s="37">
        <f t="array" ref="F176">IFERROR(INDEX('Hàng hóa'!$E$4:$E$203,MATCH(B176,'Hàng hóa'!$B$4:$B$203,0)),0)</f>
        <v>0</v>
      </c>
      <c r="G176" s="37" t="str">
        <f t="array" ref="G176">IFERROR(INDEX('Hàng hóa'!$F$4:$F$203,MATCH(B176,'Hàng hóa'!$B$4:$B$203,0)),"")</f>
        <v/>
      </c>
      <c r="H176" s="19">
        <f t="array" ref="H176">IFERROR(INDEX('Hàng hóa'!$G$4:$G$203,MATCH(B176,'Hàng hóa'!$B$4:$B$203,0)),0)</f>
        <v>0</v>
      </c>
      <c r="I176" s="7"/>
      <c r="J176" s="47">
        <f t="shared" si="1"/>
        <v>0</v>
      </c>
      <c r="K176" s="19">
        <f t="shared" si="2"/>
        <v>0</v>
      </c>
      <c r="L176" s="23"/>
      <c r="M176" s="23"/>
      <c r="N176" s="2"/>
      <c r="O176" s="18" t="str">
        <f>IF('Hàng hóa'!K177&lt;&gt;"",'Hàng hóa'!K177,"")</f>
        <v/>
      </c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43"/>
      <c r="B177" s="23"/>
      <c r="C177" s="37" t="str">
        <f t="array" ref="C177">IFERROR(INDEX('Hàng hóa'!$A$4:$A$203,MATCH(B177,'Hàng hóa'!$B$4:$B$203,0)),"")</f>
        <v/>
      </c>
      <c r="D177" s="37" t="str">
        <f t="array" ref="D177">IFERROR(INDEX('Hàng hóa'!$C$4:$C$203,MATCH(B177,'Hàng hóa'!$B$4:$B$203,0)),"")</f>
        <v/>
      </c>
      <c r="E177" s="44"/>
      <c r="F177" s="37">
        <f t="array" ref="F177">IFERROR(INDEX('Hàng hóa'!$E$4:$E$203,MATCH(B177,'Hàng hóa'!$B$4:$B$203,0)),0)</f>
        <v>0</v>
      </c>
      <c r="G177" s="37" t="str">
        <f t="array" ref="G177">IFERROR(INDEX('Hàng hóa'!$F$4:$F$203,MATCH(B177,'Hàng hóa'!$B$4:$B$203,0)),"")</f>
        <v/>
      </c>
      <c r="H177" s="19">
        <f t="array" ref="H177">IFERROR(INDEX('Hàng hóa'!$G$4:$G$203,MATCH(B177,'Hàng hóa'!$B$4:$B$203,0)),0)</f>
        <v>0</v>
      </c>
      <c r="I177" s="7"/>
      <c r="J177" s="47">
        <f t="shared" si="1"/>
        <v>0</v>
      </c>
      <c r="K177" s="19">
        <f t="shared" si="2"/>
        <v>0</v>
      </c>
      <c r="L177" s="23"/>
      <c r="M177" s="23"/>
      <c r="N177" s="2"/>
      <c r="O177" s="18" t="str">
        <f>IF('Hàng hóa'!K178&lt;&gt;"",'Hàng hóa'!K178,"")</f>
        <v/>
      </c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43"/>
      <c r="B178" s="23"/>
      <c r="C178" s="37" t="str">
        <f t="array" ref="C178">IFERROR(INDEX('Hàng hóa'!$A$4:$A$203,MATCH(B178,'Hàng hóa'!$B$4:$B$203,0)),"")</f>
        <v/>
      </c>
      <c r="D178" s="37" t="str">
        <f t="array" ref="D178">IFERROR(INDEX('Hàng hóa'!$C$4:$C$203,MATCH(B178,'Hàng hóa'!$B$4:$B$203,0)),"")</f>
        <v/>
      </c>
      <c r="E178" s="44"/>
      <c r="F178" s="37">
        <f t="array" ref="F178">IFERROR(INDEX('Hàng hóa'!$E$4:$E$203,MATCH(B178,'Hàng hóa'!$B$4:$B$203,0)),0)</f>
        <v>0</v>
      </c>
      <c r="G178" s="37" t="str">
        <f t="array" ref="G178">IFERROR(INDEX('Hàng hóa'!$F$4:$F$203,MATCH(B178,'Hàng hóa'!$B$4:$B$203,0)),"")</f>
        <v/>
      </c>
      <c r="H178" s="19">
        <f t="array" ref="H178">IFERROR(INDEX('Hàng hóa'!$G$4:$G$203,MATCH(B178,'Hàng hóa'!$B$4:$B$203,0)),0)</f>
        <v>0</v>
      </c>
      <c r="I178" s="7"/>
      <c r="J178" s="47">
        <f t="shared" si="1"/>
        <v>0</v>
      </c>
      <c r="K178" s="19">
        <f t="shared" si="2"/>
        <v>0</v>
      </c>
      <c r="L178" s="23"/>
      <c r="M178" s="23"/>
      <c r="N178" s="2"/>
      <c r="O178" s="18" t="str">
        <f>IF('Hàng hóa'!K179&lt;&gt;"",'Hàng hóa'!K179,"")</f>
        <v/>
      </c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43"/>
      <c r="B179" s="23"/>
      <c r="C179" s="37" t="str">
        <f t="array" ref="C179">IFERROR(INDEX('Hàng hóa'!$A$4:$A$203,MATCH(B179,'Hàng hóa'!$B$4:$B$203,0)),"")</f>
        <v/>
      </c>
      <c r="D179" s="37" t="str">
        <f t="array" ref="D179">IFERROR(INDEX('Hàng hóa'!$C$4:$C$203,MATCH(B179,'Hàng hóa'!$B$4:$B$203,0)),"")</f>
        <v/>
      </c>
      <c r="E179" s="44"/>
      <c r="F179" s="37">
        <f t="array" ref="F179">IFERROR(INDEX('Hàng hóa'!$E$4:$E$203,MATCH(B179,'Hàng hóa'!$B$4:$B$203,0)),0)</f>
        <v>0</v>
      </c>
      <c r="G179" s="37" t="str">
        <f t="array" ref="G179">IFERROR(INDEX('Hàng hóa'!$F$4:$F$203,MATCH(B179,'Hàng hóa'!$B$4:$B$203,0)),"")</f>
        <v/>
      </c>
      <c r="H179" s="19">
        <f t="array" ref="H179">IFERROR(INDEX('Hàng hóa'!$G$4:$G$203,MATCH(B179,'Hàng hóa'!$B$4:$B$203,0)),0)</f>
        <v>0</v>
      </c>
      <c r="I179" s="7"/>
      <c r="J179" s="47">
        <f t="shared" si="1"/>
        <v>0</v>
      </c>
      <c r="K179" s="19">
        <f t="shared" si="2"/>
        <v>0</v>
      </c>
      <c r="L179" s="23"/>
      <c r="M179" s="23"/>
      <c r="N179" s="2"/>
      <c r="O179" s="18" t="str">
        <f>IF('Hàng hóa'!K180&lt;&gt;"",'Hàng hóa'!K180,"")</f>
        <v/>
      </c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43"/>
      <c r="B180" s="23"/>
      <c r="C180" s="37" t="str">
        <f t="array" ref="C180">IFERROR(INDEX('Hàng hóa'!$A$4:$A$203,MATCH(B180,'Hàng hóa'!$B$4:$B$203,0)),"")</f>
        <v/>
      </c>
      <c r="D180" s="37" t="str">
        <f t="array" ref="D180">IFERROR(INDEX('Hàng hóa'!$C$4:$C$203,MATCH(B180,'Hàng hóa'!$B$4:$B$203,0)),"")</f>
        <v/>
      </c>
      <c r="E180" s="44"/>
      <c r="F180" s="37">
        <f t="array" ref="F180">IFERROR(INDEX('Hàng hóa'!$E$4:$E$203,MATCH(B180,'Hàng hóa'!$B$4:$B$203,0)),0)</f>
        <v>0</v>
      </c>
      <c r="G180" s="37" t="str">
        <f t="array" ref="G180">IFERROR(INDEX('Hàng hóa'!$F$4:$F$203,MATCH(B180,'Hàng hóa'!$B$4:$B$203,0)),"")</f>
        <v/>
      </c>
      <c r="H180" s="19">
        <f t="array" ref="H180">IFERROR(INDEX('Hàng hóa'!$G$4:$G$203,MATCH(B180,'Hàng hóa'!$B$4:$B$203,0)),0)</f>
        <v>0</v>
      </c>
      <c r="I180" s="7"/>
      <c r="J180" s="47">
        <f t="shared" si="1"/>
        <v>0</v>
      </c>
      <c r="K180" s="19">
        <f t="shared" si="2"/>
        <v>0</v>
      </c>
      <c r="L180" s="23"/>
      <c r="M180" s="23"/>
      <c r="N180" s="2"/>
      <c r="O180" s="18" t="str">
        <f>IF('Hàng hóa'!K181&lt;&gt;"",'Hàng hóa'!K181,"")</f>
        <v/>
      </c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43"/>
      <c r="B181" s="23"/>
      <c r="C181" s="37" t="str">
        <f t="array" ref="C181">IFERROR(INDEX('Hàng hóa'!$A$4:$A$203,MATCH(B181,'Hàng hóa'!$B$4:$B$203,0)),"")</f>
        <v/>
      </c>
      <c r="D181" s="37" t="str">
        <f t="array" ref="D181">IFERROR(INDEX('Hàng hóa'!$C$4:$C$203,MATCH(B181,'Hàng hóa'!$B$4:$B$203,0)),"")</f>
        <v/>
      </c>
      <c r="E181" s="44"/>
      <c r="F181" s="37">
        <f t="array" ref="F181">IFERROR(INDEX('Hàng hóa'!$E$4:$E$203,MATCH(B181,'Hàng hóa'!$B$4:$B$203,0)),0)</f>
        <v>0</v>
      </c>
      <c r="G181" s="37" t="str">
        <f t="array" ref="G181">IFERROR(INDEX('Hàng hóa'!$F$4:$F$203,MATCH(B181,'Hàng hóa'!$B$4:$B$203,0)),"")</f>
        <v/>
      </c>
      <c r="H181" s="19">
        <f t="array" ref="H181">IFERROR(INDEX('Hàng hóa'!$G$4:$G$203,MATCH(B181,'Hàng hóa'!$B$4:$B$203,0)),0)</f>
        <v>0</v>
      </c>
      <c r="I181" s="7"/>
      <c r="J181" s="47">
        <f t="shared" si="1"/>
        <v>0</v>
      </c>
      <c r="K181" s="19">
        <f t="shared" si="2"/>
        <v>0</v>
      </c>
      <c r="L181" s="23"/>
      <c r="M181" s="23"/>
      <c r="N181" s="2"/>
      <c r="O181" s="18" t="str">
        <f>IF('Hàng hóa'!K182&lt;&gt;"",'Hàng hóa'!K182,"")</f>
        <v/>
      </c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43"/>
      <c r="B182" s="23"/>
      <c r="C182" s="37" t="str">
        <f t="array" ref="C182">IFERROR(INDEX('Hàng hóa'!$A$4:$A$203,MATCH(B182,'Hàng hóa'!$B$4:$B$203,0)),"")</f>
        <v/>
      </c>
      <c r="D182" s="37" t="str">
        <f t="array" ref="D182">IFERROR(INDEX('Hàng hóa'!$C$4:$C$203,MATCH(B182,'Hàng hóa'!$B$4:$B$203,0)),"")</f>
        <v/>
      </c>
      <c r="E182" s="44"/>
      <c r="F182" s="37">
        <f t="array" ref="F182">IFERROR(INDEX('Hàng hóa'!$E$4:$E$203,MATCH(B182,'Hàng hóa'!$B$4:$B$203,0)),0)</f>
        <v>0</v>
      </c>
      <c r="G182" s="37" t="str">
        <f t="array" ref="G182">IFERROR(INDEX('Hàng hóa'!$F$4:$F$203,MATCH(B182,'Hàng hóa'!$B$4:$B$203,0)),"")</f>
        <v/>
      </c>
      <c r="H182" s="19">
        <f t="array" ref="H182">IFERROR(INDEX('Hàng hóa'!$G$4:$G$203,MATCH(B182,'Hàng hóa'!$B$4:$B$203,0)),0)</f>
        <v>0</v>
      </c>
      <c r="I182" s="7"/>
      <c r="J182" s="47">
        <f t="shared" si="1"/>
        <v>0</v>
      </c>
      <c r="K182" s="19">
        <f t="shared" si="2"/>
        <v>0</v>
      </c>
      <c r="L182" s="23"/>
      <c r="M182" s="23"/>
      <c r="N182" s="2"/>
      <c r="O182" s="18" t="str">
        <f>IF('Hàng hóa'!K183&lt;&gt;"",'Hàng hóa'!K183,"")</f>
        <v/>
      </c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43"/>
      <c r="B183" s="23"/>
      <c r="C183" s="37" t="str">
        <f t="array" ref="C183">IFERROR(INDEX('Hàng hóa'!$A$4:$A$203,MATCH(B183,'Hàng hóa'!$B$4:$B$203,0)),"")</f>
        <v/>
      </c>
      <c r="D183" s="37" t="str">
        <f t="array" ref="D183">IFERROR(INDEX('Hàng hóa'!$C$4:$C$203,MATCH(B183,'Hàng hóa'!$B$4:$B$203,0)),"")</f>
        <v/>
      </c>
      <c r="E183" s="44"/>
      <c r="F183" s="37">
        <f t="array" ref="F183">IFERROR(INDEX('Hàng hóa'!$E$4:$E$203,MATCH(B183,'Hàng hóa'!$B$4:$B$203,0)),0)</f>
        <v>0</v>
      </c>
      <c r="G183" s="37" t="str">
        <f t="array" ref="G183">IFERROR(INDEX('Hàng hóa'!$F$4:$F$203,MATCH(B183,'Hàng hóa'!$B$4:$B$203,0)),"")</f>
        <v/>
      </c>
      <c r="H183" s="19">
        <f t="array" ref="H183">IFERROR(INDEX('Hàng hóa'!$G$4:$G$203,MATCH(B183,'Hàng hóa'!$B$4:$B$203,0)),0)</f>
        <v>0</v>
      </c>
      <c r="I183" s="7"/>
      <c r="J183" s="47">
        <f t="shared" si="1"/>
        <v>0</v>
      </c>
      <c r="K183" s="19">
        <f t="shared" si="2"/>
        <v>0</v>
      </c>
      <c r="L183" s="23"/>
      <c r="M183" s="23"/>
      <c r="N183" s="2"/>
      <c r="O183" s="18" t="str">
        <f>IF('Hàng hóa'!K184&lt;&gt;"",'Hàng hóa'!K184,"")</f>
        <v/>
      </c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43"/>
      <c r="B184" s="23"/>
      <c r="C184" s="37" t="str">
        <f t="array" ref="C184">IFERROR(INDEX('Hàng hóa'!$A$4:$A$203,MATCH(B184,'Hàng hóa'!$B$4:$B$203,0)),"")</f>
        <v/>
      </c>
      <c r="D184" s="37" t="str">
        <f t="array" ref="D184">IFERROR(INDEX('Hàng hóa'!$C$4:$C$203,MATCH(B184,'Hàng hóa'!$B$4:$B$203,0)),"")</f>
        <v/>
      </c>
      <c r="E184" s="44"/>
      <c r="F184" s="37">
        <f t="array" ref="F184">IFERROR(INDEX('Hàng hóa'!$E$4:$E$203,MATCH(B184,'Hàng hóa'!$B$4:$B$203,0)),0)</f>
        <v>0</v>
      </c>
      <c r="G184" s="37" t="str">
        <f t="array" ref="G184">IFERROR(INDEX('Hàng hóa'!$F$4:$F$203,MATCH(B184,'Hàng hóa'!$B$4:$B$203,0)),"")</f>
        <v/>
      </c>
      <c r="H184" s="19">
        <f t="array" ref="H184">IFERROR(INDEX('Hàng hóa'!$G$4:$G$203,MATCH(B184,'Hàng hóa'!$B$4:$B$203,0)),0)</f>
        <v>0</v>
      </c>
      <c r="I184" s="7"/>
      <c r="J184" s="47">
        <f t="shared" si="1"/>
        <v>0</v>
      </c>
      <c r="K184" s="19">
        <f t="shared" si="2"/>
        <v>0</v>
      </c>
      <c r="L184" s="23"/>
      <c r="M184" s="23"/>
      <c r="N184" s="2"/>
      <c r="O184" s="18" t="str">
        <f>IF('Hàng hóa'!K185&lt;&gt;"",'Hàng hóa'!K185,"")</f>
        <v/>
      </c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43"/>
      <c r="B185" s="23"/>
      <c r="C185" s="37" t="str">
        <f t="array" ref="C185">IFERROR(INDEX('Hàng hóa'!$A$4:$A$203,MATCH(B185,'Hàng hóa'!$B$4:$B$203,0)),"")</f>
        <v/>
      </c>
      <c r="D185" s="37" t="str">
        <f t="array" ref="D185">IFERROR(INDEX('Hàng hóa'!$C$4:$C$203,MATCH(B185,'Hàng hóa'!$B$4:$B$203,0)),"")</f>
        <v/>
      </c>
      <c r="E185" s="44"/>
      <c r="F185" s="37">
        <f t="array" ref="F185">IFERROR(INDEX('Hàng hóa'!$E$4:$E$203,MATCH(B185,'Hàng hóa'!$B$4:$B$203,0)),0)</f>
        <v>0</v>
      </c>
      <c r="G185" s="37" t="str">
        <f t="array" ref="G185">IFERROR(INDEX('Hàng hóa'!$F$4:$F$203,MATCH(B185,'Hàng hóa'!$B$4:$B$203,0)),"")</f>
        <v/>
      </c>
      <c r="H185" s="19">
        <f t="array" ref="H185">IFERROR(INDEX('Hàng hóa'!$G$4:$G$203,MATCH(B185,'Hàng hóa'!$B$4:$B$203,0)),0)</f>
        <v>0</v>
      </c>
      <c r="I185" s="7"/>
      <c r="J185" s="47">
        <f t="shared" si="1"/>
        <v>0</v>
      </c>
      <c r="K185" s="19">
        <f t="shared" si="2"/>
        <v>0</v>
      </c>
      <c r="L185" s="23"/>
      <c r="M185" s="23"/>
      <c r="N185" s="2"/>
      <c r="O185" s="18" t="str">
        <f>IF('Hàng hóa'!K186&lt;&gt;"",'Hàng hóa'!K186,"")</f>
        <v/>
      </c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43"/>
      <c r="B186" s="23"/>
      <c r="C186" s="37" t="str">
        <f t="array" ref="C186">IFERROR(INDEX('Hàng hóa'!$A$4:$A$203,MATCH(B186,'Hàng hóa'!$B$4:$B$203,0)),"")</f>
        <v/>
      </c>
      <c r="D186" s="37" t="str">
        <f t="array" ref="D186">IFERROR(INDEX('Hàng hóa'!$C$4:$C$203,MATCH(B186,'Hàng hóa'!$B$4:$B$203,0)),"")</f>
        <v/>
      </c>
      <c r="E186" s="44"/>
      <c r="F186" s="37">
        <f t="array" ref="F186">IFERROR(INDEX('Hàng hóa'!$E$4:$E$203,MATCH(B186,'Hàng hóa'!$B$4:$B$203,0)),0)</f>
        <v>0</v>
      </c>
      <c r="G186" s="37" t="str">
        <f t="array" ref="G186">IFERROR(INDEX('Hàng hóa'!$F$4:$F$203,MATCH(B186,'Hàng hóa'!$B$4:$B$203,0)),"")</f>
        <v/>
      </c>
      <c r="H186" s="19">
        <f t="array" ref="H186">IFERROR(INDEX('Hàng hóa'!$G$4:$G$203,MATCH(B186,'Hàng hóa'!$B$4:$B$203,0)),0)</f>
        <v>0</v>
      </c>
      <c r="I186" s="7"/>
      <c r="J186" s="47">
        <f t="shared" si="1"/>
        <v>0</v>
      </c>
      <c r="K186" s="19">
        <f t="shared" si="2"/>
        <v>0</v>
      </c>
      <c r="L186" s="23"/>
      <c r="M186" s="23"/>
      <c r="N186" s="2"/>
      <c r="O186" s="18" t="str">
        <f>IF('Hàng hóa'!K187&lt;&gt;"",'Hàng hóa'!K187,"")</f>
        <v/>
      </c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43"/>
      <c r="B187" s="23"/>
      <c r="C187" s="37" t="str">
        <f t="array" ref="C187">IFERROR(INDEX('Hàng hóa'!$A$4:$A$203,MATCH(B187,'Hàng hóa'!$B$4:$B$203,0)),"")</f>
        <v/>
      </c>
      <c r="D187" s="37" t="str">
        <f t="array" ref="D187">IFERROR(INDEX('Hàng hóa'!$C$4:$C$203,MATCH(B187,'Hàng hóa'!$B$4:$B$203,0)),"")</f>
        <v/>
      </c>
      <c r="E187" s="44"/>
      <c r="F187" s="37">
        <f t="array" ref="F187">IFERROR(INDEX('Hàng hóa'!$E$4:$E$203,MATCH(B187,'Hàng hóa'!$B$4:$B$203,0)),0)</f>
        <v>0</v>
      </c>
      <c r="G187" s="37" t="str">
        <f t="array" ref="G187">IFERROR(INDEX('Hàng hóa'!$F$4:$F$203,MATCH(B187,'Hàng hóa'!$B$4:$B$203,0)),"")</f>
        <v/>
      </c>
      <c r="H187" s="19">
        <f t="array" ref="H187">IFERROR(INDEX('Hàng hóa'!$G$4:$G$203,MATCH(B187,'Hàng hóa'!$B$4:$B$203,0)),0)</f>
        <v>0</v>
      </c>
      <c r="I187" s="7"/>
      <c r="J187" s="47">
        <f t="shared" si="1"/>
        <v>0</v>
      </c>
      <c r="K187" s="19">
        <f t="shared" si="2"/>
        <v>0</v>
      </c>
      <c r="L187" s="23"/>
      <c r="M187" s="23"/>
      <c r="N187" s="2"/>
      <c r="O187" s="18" t="str">
        <f>IF('Hàng hóa'!K188&lt;&gt;"",'Hàng hóa'!K188,"")</f>
        <v/>
      </c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43"/>
      <c r="B188" s="23"/>
      <c r="C188" s="37" t="str">
        <f t="array" ref="C188">IFERROR(INDEX('Hàng hóa'!$A$4:$A$203,MATCH(B188,'Hàng hóa'!$B$4:$B$203,0)),"")</f>
        <v/>
      </c>
      <c r="D188" s="37" t="str">
        <f t="array" ref="D188">IFERROR(INDEX('Hàng hóa'!$C$4:$C$203,MATCH(B188,'Hàng hóa'!$B$4:$B$203,0)),"")</f>
        <v/>
      </c>
      <c r="E188" s="44"/>
      <c r="F188" s="37">
        <f t="array" ref="F188">IFERROR(INDEX('Hàng hóa'!$E$4:$E$203,MATCH(B188,'Hàng hóa'!$B$4:$B$203,0)),0)</f>
        <v>0</v>
      </c>
      <c r="G188" s="37" t="str">
        <f t="array" ref="G188">IFERROR(INDEX('Hàng hóa'!$F$4:$F$203,MATCH(B188,'Hàng hóa'!$B$4:$B$203,0)),"")</f>
        <v/>
      </c>
      <c r="H188" s="19">
        <f t="array" ref="H188">IFERROR(INDEX('Hàng hóa'!$G$4:$G$203,MATCH(B188,'Hàng hóa'!$B$4:$B$203,0)),0)</f>
        <v>0</v>
      </c>
      <c r="I188" s="7"/>
      <c r="J188" s="47">
        <f t="shared" si="1"/>
        <v>0</v>
      </c>
      <c r="K188" s="19">
        <f t="shared" si="2"/>
        <v>0</v>
      </c>
      <c r="L188" s="23"/>
      <c r="M188" s="23"/>
      <c r="N188" s="2"/>
      <c r="O188" s="18" t="str">
        <f>IF('Hàng hóa'!K189&lt;&gt;"",'Hàng hóa'!K189,"")</f>
        <v/>
      </c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43"/>
      <c r="B189" s="23"/>
      <c r="C189" s="37" t="str">
        <f t="array" ref="C189">IFERROR(INDEX('Hàng hóa'!$A$4:$A$203,MATCH(B189,'Hàng hóa'!$B$4:$B$203,0)),"")</f>
        <v/>
      </c>
      <c r="D189" s="37" t="str">
        <f t="array" ref="D189">IFERROR(INDEX('Hàng hóa'!$C$4:$C$203,MATCH(B189,'Hàng hóa'!$B$4:$B$203,0)),"")</f>
        <v/>
      </c>
      <c r="E189" s="44"/>
      <c r="F189" s="37">
        <f t="array" ref="F189">IFERROR(INDEX('Hàng hóa'!$E$4:$E$203,MATCH(B189,'Hàng hóa'!$B$4:$B$203,0)),0)</f>
        <v>0</v>
      </c>
      <c r="G189" s="37" t="str">
        <f t="array" ref="G189">IFERROR(INDEX('Hàng hóa'!$F$4:$F$203,MATCH(B189,'Hàng hóa'!$B$4:$B$203,0)),"")</f>
        <v/>
      </c>
      <c r="H189" s="19">
        <f t="array" ref="H189">IFERROR(INDEX('Hàng hóa'!$G$4:$G$203,MATCH(B189,'Hàng hóa'!$B$4:$B$203,0)),0)</f>
        <v>0</v>
      </c>
      <c r="I189" s="7"/>
      <c r="J189" s="47">
        <f t="shared" si="1"/>
        <v>0</v>
      </c>
      <c r="K189" s="19">
        <f t="shared" si="2"/>
        <v>0</v>
      </c>
      <c r="L189" s="23"/>
      <c r="M189" s="23"/>
      <c r="N189" s="2"/>
      <c r="O189" s="18" t="str">
        <f>IF('Hàng hóa'!K190&lt;&gt;"",'Hàng hóa'!K190,"")</f>
        <v/>
      </c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43"/>
      <c r="B190" s="23"/>
      <c r="C190" s="37" t="str">
        <f t="array" ref="C190">IFERROR(INDEX('Hàng hóa'!$A$4:$A$203,MATCH(B190,'Hàng hóa'!$B$4:$B$203,0)),"")</f>
        <v/>
      </c>
      <c r="D190" s="37" t="str">
        <f t="array" ref="D190">IFERROR(INDEX('Hàng hóa'!$C$4:$C$203,MATCH(B190,'Hàng hóa'!$B$4:$B$203,0)),"")</f>
        <v/>
      </c>
      <c r="E190" s="44"/>
      <c r="F190" s="37">
        <f t="array" ref="F190">IFERROR(INDEX('Hàng hóa'!$E$4:$E$203,MATCH(B190,'Hàng hóa'!$B$4:$B$203,0)),0)</f>
        <v>0</v>
      </c>
      <c r="G190" s="37" t="str">
        <f t="array" ref="G190">IFERROR(INDEX('Hàng hóa'!$F$4:$F$203,MATCH(B190,'Hàng hóa'!$B$4:$B$203,0)),"")</f>
        <v/>
      </c>
      <c r="H190" s="19">
        <f t="array" ref="H190">IFERROR(INDEX('Hàng hóa'!$G$4:$G$203,MATCH(B190,'Hàng hóa'!$B$4:$B$203,0)),0)</f>
        <v>0</v>
      </c>
      <c r="I190" s="7"/>
      <c r="J190" s="47">
        <f t="shared" si="1"/>
        <v>0</v>
      </c>
      <c r="K190" s="19">
        <f t="shared" si="2"/>
        <v>0</v>
      </c>
      <c r="L190" s="23"/>
      <c r="M190" s="23"/>
      <c r="N190" s="2"/>
      <c r="O190" s="18" t="str">
        <f>IF('Hàng hóa'!K191&lt;&gt;"",'Hàng hóa'!K191,"")</f>
        <v/>
      </c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43"/>
      <c r="B191" s="23"/>
      <c r="C191" s="37" t="str">
        <f t="array" ref="C191">IFERROR(INDEX('Hàng hóa'!$A$4:$A$203,MATCH(B191,'Hàng hóa'!$B$4:$B$203,0)),"")</f>
        <v/>
      </c>
      <c r="D191" s="37" t="str">
        <f t="array" ref="D191">IFERROR(INDEX('Hàng hóa'!$C$4:$C$203,MATCH(B191,'Hàng hóa'!$B$4:$B$203,0)),"")</f>
        <v/>
      </c>
      <c r="E191" s="44"/>
      <c r="F191" s="37">
        <f t="array" ref="F191">IFERROR(INDEX('Hàng hóa'!$E$4:$E$203,MATCH(B191,'Hàng hóa'!$B$4:$B$203,0)),0)</f>
        <v>0</v>
      </c>
      <c r="G191" s="37" t="str">
        <f t="array" ref="G191">IFERROR(INDEX('Hàng hóa'!$F$4:$F$203,MATCH(B191,'Hàng hóa'!$B$4:$B$203,0)),"")</f>
        <v/>
      </c>
      <c r="H191" s="19">
        <f t="array" ref="H191">IFERROR(INDEX('Hàng hóa'!$G$4:$G$203,MATCH(B191,'Hàng hóa'!$B$4:$B$203,0)),0)</f>
        <v>0</v>
      </c>
      <c r="I191" s="7"/>
      <c r="J191" s="47">
        <f t="shared" si="1"/>
        <v>0</v>
      </c>
      <c r="K191" s="19">
        <f t="shared" si="2"/>
        <v>0</v>
      </c>
      <c r="L191" s="23"/>
      <c r="M191" s="23"/>
      <c r="N191" s="2"/>
      <c r="O191" s="18" t="str">
        <f>IF('Hàng hóa'!K192&lt;&gt;"",'Hàng hóa'!K192,"")</f>
        <v/>
      </c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43"/>
      <c r="B192" s="23"/>
      <c r="C192" s="37" t="str">
        <f t="array" ref="C192">IFERROR(INDEX('Hàng hóa'!$A$4:$A$203,MATCH(B192,'Hàng hóa'!$B$4:$B$203,0)),"")</f>
        <v/>
      </c>
      <c r="D192" s="37" t="str">
        <f t="array" ref="D192">IFERROR(INDEX('Hàng hóa'!$C$4:$C$203,MATCH(B192,'Hàng hóa'!$B$4:$B$203,0)),"")</f>
        <v/>
      </c>
      <c r="E192" s="44"/>
      <c r="F192" s="37">
        <f t="array" ref="F192">IFERROR(INDEX('Hàng hóa'!$E$4:$E$203,MATCH(B192,'Hàng hóa'!$B$4:$B$203,0)),0)</f>
        <v>0</v>
      </c>
      <c r="G192" s="37" t="str">
        <f t="array" ref="G192">IFERROR(INDEX('Hàng hóa'!$F$4:$F$203,MATCH(B192,'Hàng hóa'!$B$4:$B$203,0)),"")</f>
        <v/>
      </c>
      <c r="H192" s="19">
        <f t="array" ref="H192">IFERROR(INDEX('Hàng hóa'!$G$4:$G$203,MATCH(B192,'Hàng hóa'!$B$4:$B$203,0)),0)</f>
        <v>0</v>
      </c>
      <c r="I192" s="7"/>
      <c r="J192" s="47">
        <f t="shared" si="1"/>
        <v>0</v>
      </c>
      <c r="K192" s="19">
        <f t="shared" si="2"/>
        <v>0</v>
      </c>
      <c r="L192" s="23"/>
      <c r="M192" s="23"/>
      <c r="N192" s="2"/>
      <c r="O192" s="18" t="str">
        <f>IF('Hàng hóa'!K193&lt;&gt;"",'Hàng hóa'!K193,"")</f>
        <v/>
      </c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43"/>
      <c r="B193" s="23"/>
      <c r="C193" s="37" t="str">
        <f t="array" ref="C193">IFERROR(INDEX('Hàng hóa'!$A$4:$A$203,MATCH(B193,'Hàng hóa'!$B$4:$B$203,0)),"")</f>
        <v/>
      </c>
      <c r="D193" s="37" t="str">
        <f t="array" ref="D193">IFERROR(INDEX('Hàng hóa'!$C$4:$C$203,MATCH(B193,'Hàng hóa'!$B$4:$B$203,0)),"")</f>
        <v/>
      </c>
      <c r="E193" s="44"/>
      <c r="F193" s="37">
        <f t="array" ref="F193">IFERROR(INDEX('Hàng hóa'!$E$4:$E$203,MATCH(B193,'Hàng hóa'!$B$4:$B$203,0)),0)</f>
        <v>0</v>
      </c>
      <c r="G193" s="37" t="str">
        <f t="array" ref="G193">IFERROR(INDEX('Hàng hóa'!$F$4:$F$203,MATCH(B193,'Hàng hóa'!$B$4:$B$203,0)),"")</f>
        <v/>
      </c>
      <c r="H193" s="19">
        <f t="array" ref="H193">IFERROR(INDEX('Hàng hóa'!$G$4:$G$203,MATCH(B193,'Hàng hóa'!$B$4:$B$203,0)),0)</f>
        <v>0</v>
      </c>
      <c r="I193" s="7"/>
      <c r="J193" s="47">
        <f t="shared" si="1"/>
        <v>0</v>
      </c>
      <c r="K193" s="19">
        <f t="shared" si="2"/>
        <v>0</v>
      </c>
      <c r="L193" s="23"/>
      <c r="M193" s="23"/>
      <c r="N193" s="2"/>
      <c r="O193" s="18" t="str">
        <f>IF('Hàng hóa'!K194&lt;&gt;"",'Hàng hóa'!K194,"")</f>
        <v/>
      </c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43"/>
      <c r="B194" s="23"/>
      <c r="C194" s="37" t="str">
        <f t="array" ref="C194">IFERROR(INDEX('Hàng hóa'!$A$4:$A$203,MATCH(B194,'Hàng hóa'!$B$4:$B$203,0)),"")</f>
        <v/>
      </c>
      <c r="D194" s="37" t="str">
        <f t="array" ref="D194">IFERROR(INDEX('Hàng hóa'!$C$4:$C$203,MATCH(B194,'Hàng hóa'!$B$4:$B$203,0)),"")</f>
        <v/>
      </c>
      <c r="E194" s="44"/>
      <c r="F194" s="37">
        <f t="array" ref="F194">IFERROR(INDEX('Hàng hóa'!$E$4:$E$203,MATCH(B194,'Hàng hóa'!$B$4:$B$203,0)),0)</f>
        <v>0</v>
      </c>
      <c r="G194" s="37" t="str">
        <f t="array" ref="G194">IFERROR(INDEX('Hàng hóa'!$F$4:$F$203,MATCH(B194,'Hàng hóa'!$B$4:$B$203,0)),"")</f>
        <v/>
      </c>
      <c r="H194" s="19">
        <f t="array" ref="H194">IFERROR(INDEX('Hàng hóa'!$G$4:$G$203,MATCH(B194,'Hàng hóa'!$B$4:$B$203,0)),0)</f>
        <v>0</v>
      </c>
      <c r="I194" s="7"/>
      <c r="J194" s="47">
        <f t="shared" si="1"/>
        <v>0</v>
      </c>
      <c r="K194" s="19">
        <f t="shared" si="2"/>
        <v>0</v>
      </c>
      <c r="L194" s="23"/>
      <c r="M194" s="23"/>
      <c r="N194" s="2"/>
      <c r="O194" s="18" t="str">
        <f>IF('Hàng hóa'!K195&lt;&gt;"",'Hàng hóa'!K195,"")</f>
        <v/>
      </c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43"/>
      <c r="B195" s="23"/>
      <c r="C195" s="37" t="str">
        <f t="array" ref="C195">IFERROR(INDEX('Hàng hóa'!$A$4:$A$203,MATCH(B195,'Hàng hóa'!$B$4:$B$203,0)),"")</f>
        <v/>
      </c>
      <c r="D195" s="37" t="str">
        <f t="array" ref="D195">IFERROR(INDEX('Hàng hóa'!$C$4:$C$203,MATCH(B195,'Hàng hóa'!$B$4:$B$203,0)),"")</f>
        <v/>
      </c>
      <c r="E195" s="44"/>
      <c r="F195" s="37">
        <f t="array" ref="F195">IFERROR(INDEX('Hàng hóa'!$E$4:$E$203,MATCH(B195,'Hàng hóa'!$B$4:$B$203,0)),0)</f>
        <v>0</v>
      </c>
      <c r="G195" s="37" t="str">
        <f t="array" ref="G195">IFERROR(INDEX('Hàng hóa'!$F$4:$F$203,MATCH(B195,'Hàng hóa'!$B$4:$B$203,0)),"")</f>
        <v/>
      </c>
      <c r="H195" s="19">
        <f t="array" ref="H195">IFERROR(INDEX('Hàng hóa'!$G$4:$G$203,MATCH(B195,'Hàng hóa'!$B$4:$B$203,0)),0)</f>
        <v>0</v>
      </c>
      <c r="I195" s="7"/>
      <c r="J195" s="47">
        <f t="shared" si="1"/>
        <v>0</v>
      </c>
      <c r="K195" s="19">
        <f t="shared" si="2"/>
        <v>0</v>
      </c>
      <c r="L195" s="23"/>
      <c r="M195" s="23"/>
      <c r="N195" s="2"/>
      <c r="O195" s="18" t="str">
        <f>IF('Hàng hóa'!K196&lt;&gt;"",'Hàng hóa'!K196,"")</f>
        <v/>
      </c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43"/>
      <c r="B196" s="23"/>
      <c r="C196" s="37" t="str">
        <f t="array" ref="C196">IFERROR(INDEX('Hàng hóa'!$A$4:$A$203,MATCH(B196,'Hàng hóa'!$B$4:$B$203,0)),"")</f>
        <v/>
      </c>
      <c r="D196" s="37" t="str">
        <f t="array" ref="D196">IFERROR(INDEX('Hàng hóa'!$C$4:$C$203,MATCH(B196,'Hàng hóa'!$B$4:$B$203,0)),"")</f>
        <v/>
      </c>
      <c r="E196" s="44"/>
      <c r="F196" s="37">
        <f t="array" ref="F196">IFERROR(INDEX('Hàng hóa'!$E$4:$E$203,MATCH(B196,'Hàng hóa'!$B$4:$B$203,0)),0)</f>
        <v>0</v>
      </c>
      <c r="G196" s="37" t="str">
        <f t="array" ref="G196">IFERROR(INDEX('Hàng hóa'!$F$4:$F$203,MATCH(B196,'Hàng hóa'!$B$4:$B$203,0)),"")</f>
        <v/>
      </c>
      <c r="H196" s="19">
        <f t="array" ref="H196">IFERROR(INDEX('Hàng hóa'!$G$4:$G$203,MATCH(B196,'Hàng hóa'!$B$4:$B$203,0)),0)</f>
        <v>0</v>
      </c>
      <c r="I196" s="7"/>
      <c r="J196" s="47">
        <f t="shared" si="1"/>
        <v>0</v>
      </c>
      <c r="K196" s="19">
        <f t="shared" si="2"/>
        <v>0</v>
      </c>
      <c r="L196" s="23"/>
      <c r="M196" s="23"/>
      <c r="N196" s="2"/>
      <c r="O196" s="18" t="str">
        <f>IF('Hàng hóa'!K197&lt;&gt;"",'Hàng hóa'!K197,"")</f>
        <v/>
      </c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43"/>
      <c r="B197" s="23"/>
      <c r="C197" s="37" t="str">
        <f t="array" ref="C197">IFERROR(INDEX('Hàng hóa'!$A$4:$A$203,MATCH(B197,'Hàng hóa'!$B$4:$B$203,0)),"")</f>
        <v/>
      </c>
      <c r="D197" s="37" t="str">
        <f t="array" ref="D197">IFERROR(INDEX('Hàng hóa'!$C$4:$C$203,MATCH(B197,'Hàng hóa'!$B$4:$B$203,0)),"")</f>
        <v/>
      </c>
      <c r="E197" s="44"/>
      <c r="F197" s="37">
        <f t="array" ref="F197">IFERROR(INDEX('Hàng hóa'!$E$4:$E$203,MATCH(B197,'Hàng hóa'!$B$4:$B$203,0)),0)</f>
        <v>0</v>
      </c>
      <c r="G197" s="37" t="str">
        <f t="array" ref="G197">IFERROR(INDEX('Hàng hóa'!$F$4:$F$203,MATCH(B197,'Hàng hóa'!$B$4:$B$203,0)),"")</f>
        <v/>
      </c>
      <c r="H197" s="19">
        <f t="array" ref="H197">IFERROR(INDEX('Hàng hóa'!$G$4:$G$203,MATCH(B197,'Hàng hóa'!$B$4:$B$203,0)),0)</f>
        <v>0</v>
      </c>
      <c r="I197" s="7"/>
      <c r="J197" s="47">
        <f t="shared" si="1"/>
        <v>0</v>
      </c>
      <c r="K197" s="19">
        <f t="shared" si="2"/>
        <v>0</v>
      </c>
      <c r="L197" s="23"/>
      <c r="M197" s="23"/>
      <c r="N197" s="2"/>
      <c r="O197" s="18" t="str">
        <f>IF('Hàng hóa'!K198&lt;&gt;"",'Hàng hóa'!K198,"")</f>
        <v/>
      </c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43"/>
      <c r="B198" s="23"/>
      <c r="C198" s="37" t="str">
        <f t="array" ref="C198">IFERROR(INDEX('Hàng hóa'!$A$4:$A$203,MATCH(B198,'Hàng hóa'!$B$4:$B$203,0)),"")</f>
        <v/>
      </c>
      <c r="D198" s="37" t="str">
        <f t="array" ref="D198">IFERROR(INDEX('Hàng hóa'!$C$4:$C$203,MATCH(B198,'Hàng hóa'!$B$4:$B$203,0)),"")</f>
        <v/>
      </c>
      <c r="E198" s="44"/>
      <c r="F198" s="37">
        <f t="array" ref="F198">IFERROR(INDEX('Hàng hóa'!$E$4:$E$203,MATCH(B198,'Hàng hóa'!$B$4:$B$203,0)),0)</f>
        <v>0</v>
      </c>
      <c r="G198" s="37" t="str">
        <f t="array" ref="G198">IFERROR(INDEX('Hàng hóa'!$F$4:$F$203,MATCH(B198,'Hàng hóa'!$B$4:$B$203,0)),"")</f>
        <v/>
      </c>
      <c r="H198" s="19">
        <f t="array" ref="H198">IFERROR(INDEX('Hàng hóa'!$G$4:$G$203,MATCH(B198,'Hàng hóa'!$B$4:$B$203,0)),0)</f>
        <v>0</v>
      </c>
      <c r="I198" s="7"/>
      <c r="J198" s="47">
        <f t="shared" si="1"/>
        <v>0</v>
      </c>
      <c r="K198" s="19">
        <f t="shared" si="2"/>
        <v>0</v>
      </c>
      <c r="L198" s="23"/>
      <c r="M198" s="23"/>
      <c r="N198" s="2"/>
      <c r="O198" s="18" t="str">
        <f>IF('Hàng hóa'!K199&lt;&gt;"",'Hàng hóa'!K199,"")</f>
        <v/>
      </c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43"/>
      <c r="B199" s="23"/>
      <c r="C199" s="37" t="str">
        <f t="array" ref="C199">IFERROR(INDEX('Hàng hóa'!$A$4:$A$203,MATCH(B199,'Hàng hóa'!$B$4:$B$203,0)),"")</f>
        <v/>
      </c>
      <c r="D199" s="37" t="str">
        <f t="array" ref="D199">IFERROR(INDEX('Hàng hóa'!$C$4:$C$203,MATCH(B199,'Hàng hóa'!$B$4:$B$203,0)),"")</f>
        <v/>
      </c>
      <c r="E199" s="44"/>
      <c r="F199" s="37">
        <f t="array" ref="F199">IFERROR(INDEX('Hàng hóa'!$E$4:$E$203,MATCH(B199,'Hàng hóa'!$B$4:$B$203,0)),0)</f>
        <v>0</v>
      </c>
      <c r="G199" s="37" t="str">
        <f t="array" ref="G199">IFERROR(INDEX('Hàng hóa'!$F$4:$F$203,MATCH(B199,'Hàng hóa'!$B$4:$B$203,0)),"")</f>
        <v/>
      </c>
      <c r="H199" s="19">
        <f t="array" ref="H199">IFERROR(INDEX('Hàng hóa'!$G$4:$G$203,MATCH(B199,'Hàng hóa'!$B$4:$B$203,0)),0)</f>
        <v>0</v>
      </c>
      <c r="I199" s="7"/>
      <c r="J199" s="47">
        <f t="shared" si="1"/>
        <v>0</v>
      </c>
      <c r="K199" s="19">
        <f t="shared" si="2"/>
        <v>0</v>
      </c>
      <c r="L199" s="23"/>
      <c r="M199" s="23"/>
      <c r="N199" s="2"/>
      <c r="O199" s="18" t="str">
        <f>IF('Hàng hóa'!K200&lt;&gt;"",'Hàng hóa'!K200,"")</f>
        <v/>
      </c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43"/>
      <c r="B200" s="23"/>
      <c r="C200" s="37" t="str">
        <f t="array" ref="C200">IFERROR(INDEX('Hàng hóa'!$A$4:$A$203,MATCH(B200,'Hàng hóa'!$B$4:$B$203,0)),"")</f>
        <v/>
      </c>
      <c r="D200" s="37" t="str">
        <f t="array" ref="D200">IFERROR(INDEX('Hàng hóa'!$C$4:$C$203,MATCH(B200,'Hàng hóa'!$B$4:$B$203,0)),"")</f>
        <v/>
      </c>
      <c r="E200" s="44"/>
      <c r="F200" s="37">
        <f t="array" ref="F200">IFERROR(INDEX('Hàng hóa'!$E$4:$E$203,MATCH(B200,'Hàng hóa'!$B$4:$B$203,0)),0)</f>
        <v>0</v>
      </c>
      <c r="G200" s="37" t="str">
        <f t="array" ref="G200">IFERROR(INDEX('Hàng hóa'!$F$4:$F$203,MATCH(B200,'Hàng hóa'!$B$4:$B$203,0)),"")</f>
        <v/>
      </c>
      <c r="H200" s="19">
        <f t="array" ref="H200">IFERROR(INDEX('Hàng hóa'!$G$4:$G$203,MATCH(B200,'Hàng hóa'!$B$4:$B$203,0)),0)</f>
        <v>0</v>
      </c>
      <c r="I200" s="7"/>
      <c r="J200" s="47">
        <f t="shared" si="1"/>
        <v>0</v>
      </c>
      <c r="K200" s="19">
        <f t="shared" si="2"/>
        <v>0</v>
      </c>
      <c r="L200" s="23"/>
      <c r="M200" s="23"/>
      <c r="N200" s="2"/>
      <c r="O200" s="18" t="str">
        <f>IF('Hàng hóa'!K201&lt;&gt;"",'Hàng hóa'!K201,"")</f>
        <v/>
      </c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43"/>
      <c r="B201" s="23"/>
      <c r="C201" s="37" t="str">
        <f t="array" ref="C201">IFERROR(INDEX('Hàng hóa'!$A$4:$A$203,MATCH(B201,'Hàng hóa'!$B$4:$B$203,0)),"")</f>
        <v/>
      </c>
      <c r="D201" s="37" t="str">
        <f t="array" ref="D201">IFERROR(INDEX('Hàng hóa'!$C$4:$C$203,MATCH(B201,'Hàng hóa'!$B$4:$B$203,0)),"")</f>
        <v/>
      </c>
      <c r="E201" s="44"/>
      <c r="F201" s="37">
        <f t="array" ref="F201">IFERROR(INDEX('Hàng hóa'!$E$4:$E$203,MATCH(B201,'Hàng hóa'!$B$4:$B$203,0)),0)</f>
        <v>0</v>
      </c>
      <c r="G201" s="37" t="str">
        <f t="array" ref="G201">IFERROR(INDEX('Hàng hóa'!$F$4:$F$203,MATCH(B201,'Hàng hóa'!$B$4:$B$203,0)),"")</f>
        <v/>
      </c>
      <c r="H201" s="19">
        <f t="array" ref="H201">IFERROR(INDEX('Hàng hóa'!$G$4:$G$203,MATCH(B201,'Hàng hóa'!$B$4:$B$203,0)),0)</f>
        <v>0</v>
      </c>
      <c r="I201" s="7"/>
      <c r="J201" s="47">
        <f t="shared" si="1"/>
        <v>0</v>
      </c>
      <c r="K201" s="19">
        <f t="shared" si="2"/>
        <v>0</v>
      </c>
      <c r="L201" s="23"/>
      <c r="M201" s="23"/>
      <c r="N201" s="2"/>
      <c r="O201" s="18" t="str">
        <f>IF('Hàng hóa'!K202&lt;&gt;"",'Hàng hóa'!K202,"")</f>
        <v/>
      </c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43"/>
      <c r="B202" s="23"/>
      <c r="C202" s="37" t="str">
        <f t="array" ref="C202">IFERROR(INDEX('Hàng hóa'!$A$4:$A$203,MATCH(B202,'Hàng hóa'!$B$4:$B$203,0)),"")</f>
        <v/>
      </c>
      <c r="D202" s="37" t="str">
        <f t="array" ref="D202">IFERROR(INDEX('Hàng hóa'!$C$4:$C$203,MATCH(B202,'Hàng hóa'!$B$4:$B$203,0)),"")</f>
        <v/>
      </c>
      <c r="E202" s="44"/>
      <c r="F202" s="37">
        <f t="array" ref="F202">IFERROR(INDEX('Hàng hóa'!$E$4:$E$203,MATCH(B202,'Hàng hóa'!$B$4:$B$203,0)),0)</f>
        <v>0</v>
      </c>
      <c r="G202" s="37" t="str">
        <f t="array" ref="G202">IFERROR(INDEX('Hàng hóa'!$F$4:$F$203,MATCH(B202,'Hàng hóa'!$B$4:$B$203,0)),"")</f>
        <v/>
      </c>
      <c r="H202" s="19">
        <f t="array" ref="H202">IFERROR(INDEX('Hàng hóa'!$G$4:$G$203,MATCH(B202,'Hàng hóa'!$B$4:$B$203,0)),0)</f>
        <v>0</v>
      </c>
      <c r="I202" s="7"/>
      <c r="J202" s="47">
        <f t="shared" si="1"/>
        <v>0</v>
      </c>
      <c r="K202" s="19">
        <f t="shared" si="2"/>
        <v>0</v>
      </c>
      <c r="L202" s="23"/>
      <c r="M202" s="23"/>
      <c r="N202" s="2"/>
      <c r="O202" s="18" t="str">
        <f>IF('Hàng hóa'!K203&lt;&gt;"",'Hàng hóa'!K203,"")</f>
        <v/>
      </c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43"/>
      <c r="B203" s="23"/>
      <c r="C203" s="37" t="str">
        <f t="array" ref="C203">IFERROR(INDEX('Hàng hóa'!$A$4:$A$203,MATCH(B203,'Hàng hóa'!$B$4:$B$203,0)),"")</f>
        <v/>
      </c>
      <c r="D203" s="37" t="str">
        <f t="array" ref="D203">IFERROR(INDEX('Hàng hóa'!$C$4:$C$203,MATCH(B203,'Hàng hóa'!$B$4:$B$203,0)),"")</f>
        <v/>
      </c>
      <c r="E203" s="44"/>
      <c r="F203" s="37">
        <f t="array" ref="F203">IFERROR(INDEX('Hàng hóa'!$E$4:$E$203,MATCH(B203,'Hàng hóa'!$B$4:$B$203,0)),0)</f>
        <v>0</v>
      </c>
      <c r="G203" s="37" t="str">
        <f t="array" ref="G203">IFERROR(INDEX('Hàng hóa'!$F$4:$F$203,MATCH(B203,'Hàng hóa'!$B$4:$B$203,0)),"")</f>
        <v/>
      </c>
      <c r="H203" s="19">
        <f t="array" ref="H203">IFERROR(INDEX('Hàng hóa'!$G$4:$G$203,MATCH(B203,'Hàng hóa'!$B$4:$B$203,0)),0)</f>
        <v>0</v>
      </c>
      <c r="I203" s="7"/>
      <c r="J203" s="47">
        <f t="shared" si="1"/>
        <v>0</v>
      </c>
      <c r="K203" s="19">
        <f t="shared" si="2"/>
        <v>0</v>
      </c>
      <c r="L203" s="23"/>
      <c r="M203" s="23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43"/>
      <c r="B204" s="23"/>
      <c r="C204" s="37" t="str">
        <f t="array" ref="C204">IFERROR(INDEX('Hàng hóa'!$A$4:$A$203,MATCH(B204,'Hàng hóa'!$B$4:$B$203,0)),"")</f>
        <v/>
      </c>
      <c r="D204" s="37" t="str">
        <f t="array" ref="D204">IFERROR(INDEX('Hàng hóa'!$C$4:$C$203,MATCH(B204,'Hàng hóa'!$B$4:$B$203,0)),"")</f>
        <v/>
      </c>
      <c r="E204" s="44"/>
      <c r="F204" s="37">
        <f t="array" ref="F204">IFERROR(INDEX('Hàng hóa'!$E$4:$E$203,MATCH(B204,'Hàng hóa'!$B$4:$B$203,0)),0)</f>
        <v>0</v>
      </c>
      <c r="G204" s="37" t="str">
        <f t="array" ref="G204">IFERROR(INDEX('Hàng hóa'!$F$4:$F$203,MATCH(B204,'Hàng hóa'!$B$4:$B$203,0)),"")</f>
        <v/>
      </c>
      <c r="H204" s="19">
        <f t="array" ref="H204">IFERROR(INDEX('Hàng hóa'!$G$4:$G$203,MATCH(B204,'Hàng hóa'!$B$4:$B$203,0)),0)</f>
        <v>0</v>
      </c>
      <c r="I204" s="7"/>
      <c r="J204" s="47">
        <f t="shared" si="1"/>
        <v>0</v>
      </c>
      <c r="K204" s="19">
        <f t="shared" si="2"/>
        <v>0</v>
      </c>
      <c r="L204" s="23"/>
      <c r="M204" s="23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43"/>
      <c r="B205" s="23"/>
      <c r="C205" s="37" t="str">
        <f t="array" ref="C205">IFERROR(INDEX('Hàng hóa'!$A$4:$A$203,MATCH(B205,'Hàng hóa'!$B$4:$B$203,0)),"")</f>
        <v/>
      </c>
      <c r="D205" s="37" t="str">
        <f t="array" ref="D205">IFERROR(INDEX('Hàng hóa'!$C$4:$C$203,MATCH(B205,'Hàng hóa'!$B$4:$B$203,0)),"")</f>
        <v/>
      </c>
      <c r="E205" s="44"/>
      <c r="F205" s="37">
        <f t="array" ref="F205">IFERROR(INDEX('Hàng hóa'!$E$4:$E$203,MATCH(B205,'Hàng hóa'!$B$4:$B$203,0)),0)</f>
        <v>0</v>
      </c>
      <c r="G205" s="37" t="str">
        <f t="array" ref="G205">IFERROR(INDEX('Hàng hóa'!$F$4:$F$203,MATCH(B205,'Hàng hóa'!$B$4:$B$203,0)),"")</f>
        <v/>
      </c>
      <c r="H205" s="19">
        <f t="array" ref="H205">IFERROR(INDEX('Hàng hóa'!$G$4:$G$203,MATCH(B205,'Hàng hóa'!$B$4:$B$203,0)),0)</f>
        <v>0</v>
      </c>
      <c r="I205" s="7"/>
      <c r="J205" s="47">
        <f t="shared" si="1"/>
        <v>0</v>
      </c>
      <c r="K205" s="19">
        <f t="shared" si="2"/>
        <v>0</v>
      </c>
      <c r="L205" s="23"/>
      <c r="M205" s="23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43"/>
      <c r="B206" s="23"/>
      <c r="C206" s="37" t="str">
        <f t="array" ref="C206">IFERROR(INDEX('Hàng hóa'!$A$4:$A$203,MATCH(B206,'Hàng hóa'!$B$4:$B$203,0)),"")</f>
        <v/>
      </c>
      <c r="D206" s="37" t="str">
        <f t="array" ref="D206">IFERROR(INDEX('Hàng hóa'!$C$4:$C$203,MATCH(B206,'Hàng hóa'!$B$4:$B$203,0)),"")</f>
        <v/>
      </c>
      <c r="E206" s="44"/>
      <c r="F206" s="37">
        <f t="array" ref="F206">IFERROR(INDEX('Hàng hóa'!$E$4:$E$203,MATCH(B206,'Hàng hóa'!$B$4:$B$203,0)),0)</f>
        <v>0</v>
      </c>
      <c r="G206" s="37" t="str">
        <f t="array" ref="G206">IFERROR(INDEX('Hàng hóa'!$F$4:$F$203,MATCH(B206,'Hàng hóa'!$B$4:$B$203,0)),"")</f>
        <v/>
      </c>
      <c r="H206" s="19">
        <f t="array" ref="H206">IFERROR(INDEX('Hàng hóa'!$G$4:$G$203,MATCH(B206,'Hàng hóa'!$B$4:$B$203,0)),0)</f>
        <v>0</v>
      </c>
      <c r="I206" s="7"/>
      <c r="J206" s="47">
        <f t="shared" si="1"/>
        <v>0</v>
      </c>
      <c r="K206" s="19">
        <f t="shared" si="2"/>
        <v>0</v>
      </c>
      <c r="L206" s="23"/>
      <c r="M206" s="23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43"/>
      <c r="B207" s="23"/>
      <c r="C207" s="37" t="str">
        <f t="array" ref="C207">IFERROR(INDEX('Hàng hóa'!$A$4:$A$203,MATCH(B207,'Hàng hóa'!$B$4:$B$203,0)),"")</f>
        <v/>
      </c>
      <c r="D207" s="37" t="str">
        <f t="array" ref="D207">IFERROR(INDEX('Hàng hóa'!$C$4:$C$203,MATCH(B207,'Hàng hóa'!$B$4:$B$203,0)),"")</f>
        <v/>
      </c>
      <c r="E207" s="44"/>
      <c r="F207" s="37">
        <f t="array" ref="F207">IFERROR(INDEX('Hàng hóa'!$E$4:$E$203,MATCH(B207,'Hàng hóa'!$B$4:$B$203,0)),0)</f>
        <v>0</v>
      </c>
      <c r="G207" s="37" t="str">
        <f t="array" ref="G207">IFERROR(INDEX('Hàng hóa'!$F$4:$F$203,MATCH(B207,'Hàng hóa'!$B$4:$B$203,0)),"")</f>
        <v/>
      </c>
      <c r="H207" s="19">
        <f t="array" ref="H207">IFERROR(INDEX('Hàng hóa'!$G$4:$G$203,MATCH(B207,'Hàng hóa'!$B$4:$B$203,0)),0)</f>
        <v>0</v>
      </c>
      <c r="I207" s="7"/>
      <c r="J207" s="47">
        <f t="shared" si="1"/>
        <v>0</v>
      </c>
      <c r="K207" s="19">
        <f t="shared" si="2"/>
        <v>0</v>
      </c>
      <c r="L207" s="23"/>
      <c r="M207" s="23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43"/>
      <c r="B208" s="23"/>
      <c r="C208" s="37" t="str">
        <f t="array" ref="C208">IFERROR(INDEX('Hàng hóa'!$A$4:$A$203,MATCH(B208,'Hàng hóa'!$B$4:$B$203,0)),"")</f>
        <v/>
      </c>
      <c r="D208" s="37" t="str">
        <f t="array" ref="D208">IFERROR(INDEX('Hàng hóa'!$C$4:$C$203,MATCH(B208,'Hàng hóa'!$B$4:$B$203,0)),"")</f>
        <v/>
      </c>
      <c r="E208" s="44"/>
      <c r="F208" s="37">
        <f t="array" ref="F208">IFERROR(INDEX('Hàng hóa'!$E$4:$E$203,MATCH(B208,'Hàng hóa'!$B$4:$B$203,0)),0)</f>
        <v>0</v>
      </c>
      <c r="G208" s="37" t="str">
        <f t="array" ref="G208">IFERROR(INDEX('Hàng hóa'!$F$4:$F$203,MATCH(B208,'Hàng hóa'!$B$4:$B$203,0)),"")</f>
        <v/>
      </c>
      <c r="H208" s="19">
        <f t="array" ref="H208">IFERROR(INDEX('Hàng hóa'!$G$4:$G$203,MATCH(B208,'Hàng hóa'!$B$4:$B$203,0)),0)</f>
        <v>0</v>
      </c>
      <c r="I208" s="7"/>
      <c r="J208" s="47">
        <f t="shared" si="1"/>
        <v>0</v>
      </c>
      <c r="K208" s="19">
        <f t="shared" si="2"/>
        <v>0</v>
      </c>
      <c r="L208" s="23"/>
      <c r="M208" s="23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43"/>
      <c r="B209" s="23"/>
      <c r="C209" s="37" t="str">
        <f t="array" ref="C209">IFERROR(INDEX('Hàng hóa'!$A$4:$A$203,MATCH(B209,'Hàng hóa'!$B$4:$B$203,0)),"")</f>
        <v/>
      </c>
      <c r="D209" s="37" t="str">
        <f t="array" ref="D209">IFERROR(INDEX('Hàng hóa'!$C$4:$C$203,MATCH(B209,'Hàng hóa'!$B$4:$B$203,0)),"")</f>
        <v/>
      </c>
      <c r="E209" s="44"/>
      <c r="F209" s="37">
        <f t="array" ref="F209">IFERROR(INDEX('Hàng hóa'!$E$4:$E$203,MATCH(B209,'Hàng hóa'!$B$4:$B$203,0)),0)</f>
        <v>0</v>
      </c>
      <c r="G209" s="37" t="str">
        <f t="array" ref="G209">IFERROR(INDEX('Hàng hóa'!$F$4:$F$203,MATCH(B209,'Hàng hóa'!$B$4:$B$203,0)),"")</f>
        <v/>
      </c>
      <c r="H209" s="19">
        <f t="array" ref="H209">IFERROR(INDEX('Hàng hóa'!$G$4:$G$203,MATCH(B209,'Hàng hóa'!$B$4:$B$203,0)),0)</f>
        <v>0</v>
      </c>
      <c r="I209" s="7"/>
      <c r="J209" s="47">
        <f t="shared" si="1"/>
        <v>0</v>
      </c>
      <c r="K209" s="19">
        <f t="shared" si="2"/>
        <v>0</v>
      </c>
      <c r="L209" s="23"/>
      <c r="M209" s="23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43"/>
      <c r="B210" s="23"/>
      <c r="C210" s="37" t="str">
        <f t="array" ref="C210">IFERROR(INDEX('Hàng hóa'!$A$4:$A$203,MATCH(B210,'Hàng hóa'!$B$4:$B$203,0)),"")</f>
        <v/>
      </c>
      <c r="D210" s="37" t="str">
        <f t="array" ref="D210">IFERROR(INDEX('Hàng hóa'!$C$4:$C$203,MATCH(B210,'Hàng hóa'!$B$4:$B$203,0)),"")</f>
        <v/>
      </c>
      <c r="E210" s="44"/>
      <c r="F210" s="37">
        <f t="array" ref="F210">IFERROR(INDEX('Hàng hóa'!$E$4:$E$203,MATCH(B210,'Hàng hóa'!$B$4:$B$203,0)),0)</f>
        <v>0</v>
      </c>
      <c r="G210" s="37" t="str">
        <f t="array" ref="G210">IFERROR(INDEX('Hàng hóa'!$F$4:$F$203,MATCH(B210,'Hàng hóa'!$B$4:$B$203,0)),"")</f>
        <v/>
      </c>
      <c r="H210" s="19">
        <f t="array" ref="H210">IFERROR(INDEX('Hàng hóa'!$G$4:$G$203,MATCH(B210,'Hàng hóa'!$B$4:$B$203,0)),0)</f>
        <v>0</v>
      </c>
      <c r="I210" s="7"/>
      <c r="J210" s="47">
        <f t="shared" si="1"/>
        <v>0</v>
      </c>
      <c r="K210" s="19">
        <f t="shared" si="2"/>
        <v>0</v>
      </c>
      <c r="L210" s="23"/>
      <c r="M210" s="23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43"/>
      <c r="B211" s="23"/>
      <c r="C211" s="37" t="str">
        <f t="array" ref="C211">IFERROR(INDEX('Hàng hóa'!$A$4:$A$203,MATCH(B211,'Hàng hóa'!$B$4:$B$203,0)),"")</f>
        <v/>
      </c>
      <c r="D211" s="37" t="str">
        <f t="array" ref="D211">IFERROR(INDEX('Hàng hóa'!$C$4:$C$203,MATCH(B211,'Hàng hóa'!$B$4:$B$203,0)),"")</f>
        <v/>
      </c>
      <c r="E211" s="44"/>
      <c r="F211" s="37">
        <f t="array" ref="F211">IFERROR(INDEX('Hàng hóa'!$E$4:$E$203,MATCH(B211,'Hàng hóa'!$B$4:$B$203,0)),0)</f>
        <v>0</v>
      </c>
      <c r="G211" s="37" t="str">
        <f t="array" ref="G211">IFERROR(INDEX('Hàng hóa'!$F$4:$F$203,MATCH(B211,'Hàng hóa'!$B$4:$B$203,0)),"")</f>
        <v/>
      </c>
      <c r="H211" s="19">
        <f t="array" ref="H211">IFERROR(INDEX('Hàng hóa'!$G$4:$G$203,MATCH(B211,'Hàng hóa'!$B$4:$B$203,0)),0)</f>
        <v>0</v>
      </c>
      <c r="I211" s="7"/>
      <c r="J211" s="47">
        <f t="shared" si="1"/>
        <v>0</v>
      </c>
      <c r="K211" s="19">
        <f t="shared" si="2"/>
        <v>0</v>
      </c>
      <c r="L211" s="23"/>
      <c r="M211" s="23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43"/>
      <c r="B212" s="23"/>
      <c r="C212" s="37" t="str">
        <f t="array" ref="C212">IFERROR(INDEX('Hàng hóa'!$A$4:$A$203,MATCH(B212,'Hàng hóa'!$B$4:$B$203,0)),"")</f>
        <v/>
      </c>
      <c r="D212" s="37" t="str">
        <f t="array" ref="D212">IFERROR(INDEX('Hàng hóa'!$C$4:$C$203,MATCH(B212,'Hàng hóa'!$B$4:$B$203,0)),"")</f>
        <v/>
      </c>
      <c r="E212" s="44"/>
      <c r="F212" s="37">
        <f t="array" ref="F212">IFERROR(INDEX('Hàng hóa'!$E$4:$E$203,MATCH(B212,'Hàng hóa'!$B$4:$B$203,0)),0)</f>
        <v>0</v>
      </c>
      <c r="G212" s="37" t="str">
        <f t="array" ref="G212">IFERROR(INDEX('Hàng hóa'!$F$4:$F$203,MATCH(B212,'Hàng hóa'!$B$4:$B$203,0)),"")</f>
        <v/>
      </c>
      <c r="H212" s="19">
        <f t="array" ref="H212">IFERROR(INDEX('Hàng hóa'!$G$4:$G$203,MATCH(B212,'Hàng hóa'!$B$4:$B$203,0)),0)</f>
        <v>0</v>
      </c>
      <c r="I212" s="7"/>
      <c r="J212" s="47">
        <f t="shared" si="1"/>
        <v>0</v>
      </c>
      <c r="K212" s="19">
        <f t="shared" si="2"/>
        <v>0</v>
      </c>
      <c r="L212" s="23"/>
      <c r="M212" s="23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43"/>
      <c r="B213" s="23"/>
      <c r="C213" s="37" t="str">
        <f t="array" ref="C213">IFERROR(INDEX('Hàng hóa'!$A$4:$A$203,MATCH(B213,'Hàng hóa'!$B$4:$B$203,0)),"")</f>
        <v/>
      </c>
      <c r="D213" s="37" t="str">
        <f t="array" ref="D213">IFERROR(INDEX('Hàng hóa'!$C$4:$C$203,MATCH(B213,'Hàng hóa'!$B$4:$B$203,0)),"")</f>
        <v/>
      </c>
      <c r="E213" s="44"/>
      <c r="F213" s="37">
        <f t="array" ref="F213">IFERROR(INDEX('Hàng hóa'!$E$4:$E$203,MATCH(B213,'Hàng hóa'!$B$4:$B$203,0)),0)</f>
        <v>0</v>
      </c>
      <c r="G213" s="37" t="str">
        <f t="array" ref="G213">IFERROR(INDEX('Hàng hóa'!$F$4:$F$203,MATCH(B213,'Hàng hóa'!$B$4:$B$203,0)),"")</f>
        <v/>
      </c>
      <c r="H213" s="19">
        <f t="array" ref="H213">IFERROR(INDEX('Hàng hóa'!$G$4:$G$203,MATCH(B213,'Hàng hóa'!$B$4:$B$203,0)),0)</f>
        <v>0</v>
      </c>
      <c r="I213" s="7"/>
      <c r="J213" s="47">
        <f t="shared" si="1"/>
        <v>0</v>
      </c>
      <c r="K213" s="19">
        <f t="shared" si="2"/>
        <v>0</v>
      </c>
      <c r="L213" s="23"/>
      <c r="M213" s="23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43"/>
      <c r="B214" s="23"/>
      <c r="C214" s="37" t="str">
        <f t="array" ref="C214">IFERROR(INDEX('Hàng hóa'!$A$4:$A$203,MATCH(B214,'Hàng hóa'!$B$4:$B$203,0)),"")</f>
        <v/>
      </c>
      <c r="D214" s="37" t="str">
        <f t="array" ref="D214">IFERROR(INDEX('Hàng hóa'!$C$4:$C$203,MATCH(B214,'Hàng hóa'!$B$4:$B$203,0)),"")</f>
        <v/>
      </c>
      <c r="E214" s="44"/>
      <c r="F214" s="37">
        <f t="array" ref="F214">IFERROR(INDEX('Hàng hóa'!$E$4:$E$203,MATCH(B214,'Hàng hóa'!$B$4:$B$203,0)),0)</f>
        <v>0</v>
      </c>
      <c r="G214" s="37" t="str">
        <f t="array" ref="G214">IFERROR(INDEX('Hàng hóa'!$F$4:$F$203,MATCH(B214,'Hàng hóa'!$B$4:$B$203,0)),"")</f>
        <v/>
      </c>
      <c r="H214" s="19">
        <f t="array" ref="H214">IFERROR(INDEX('Hàng hóa'!$G$4:$G$203,MATCH(B214,'Hàng hóa'!$B$4:$B$203,0)),0)</f>
        <v>0</v>
      </c>
      <c r="I214" s="7"/>
      <c r="J214" s="47">
        <f t="shared" si="1"/>
        <v>0</v>
      </c>
      <c r="K214" s="19">
        <f t="shared" si="2"/>
        <v>0</v>
      </c>
      <c r="L214" s="23"/>
      <c r="M214" s="23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43"/>
      <c r="B215" s="23"/>
      <c r="C215" s="37" t="str">
        <f t="array" ref="C215">IFERROR(INDEX('Hàng hóa'!$A$4:$A$203,MATCH(B215,'Hàng hóa'!$B$4:$B$203,0)),"")</f>
        <v/>
      </c>
      <c r="D215" s="37" t="str">
        <f t="array" ref="D215">IFERROR(INDEX('Hàng hóa'!$C$4:$C$203,MATCH(B215,'Hàng hóa'!$B$4:$B$203,0)),"")</f>
        <v/>
      </c>
      <c r="E215" s="44"/>
      <c r="F215" s="37">
        <f t="array" ref="F215">IFERROR(INDEX('Hàng hóa'!$E$4:$E$203,MATCH(B215,'Hàng hóa'!$B$4:$B$203,0)),0)</f>
        <v>0</v>
      </c>
      <c r="G215" s="37" t="str">
        <f t="array" ref="G215">IFERROR(INDEX('Hàng hóa'!$F$4:$F$203,MATCH(B215,'Hàng hóa'!$B$4:$B$203,0)),"")</f>
        <v/>
      </c>
      <c r="H215" s="19">
        <f t="array" ref="H215">IFERROR(INDEX('Hàng hóa'!$G$4:$G$203,MATCH(B215,'Hàng hóa'!$B$4:$B$203,0)),0)</f>
        <v>0</v>
      </c>
      <c r="I215" s="7"/>
      <c r="J215" s="47">
        <f t="shared" si="1"/>
        <v>0</v>
      </c>
      <c r="K215" s="19">
        <f t="shared" si="2"/>
        <v>0</v>
      </c>
      <c r="L215" s="23"/>
      <c r="M215" s="23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43"/>
      <c r="B216" s="23"/>
      <c r="C216" s="37" t="str">
        <f t="array" ref="C216">IFERROR(INDEX('Hàng hóa'!$A$4:$A$203,MATCH(B216,'Hàng hóa'!$B$4:$B$203,0)),"")</f>
        <v/>
      </c>
      <c r="D216" s="37" t="str">
        <f t="array" ref="D216">IFERROR(INDEX('Hàng hóa'!$C$4:$C$203,MATCH(B216,'Hàng hóa'!$B$4:$B$203,0)),"")</f>
        <v/>
      </c>
      <c r="E216" s="44"/>
      <c r="F216" s="37">
        <f t="array" ref="F216">IFERROR(INDEX('Hàng hóa'!$E$4:$E$203,MATCH(B216,'Hàng hóa'!$B$4:$B$203,0)),0)</f>
        <v>0</v>
      </c>
      <c r="G216" s="37" t="str">
        <f t="array" ref="G216">IFERROR(INDEX('Hàng hóa'!$F$4:$F$203,MATCH(B216,'Hàng hóa'!$B$4:$B$203,0)),"")</f>
        <v/>
      </c>
      <c r="H216" s="19">
        <f t="array" ref="H216">IFERROR(INDEX('Hàng hóa'!$G$4:$G$203,MATCH(B216,'Hàng hóa'!$B$4:$B$203,0)),0)</f>
        <v>0</v>
      </c>
      <c r="I216" s="7"/>
      <c r="J216" s="47">
        <f t="shared" si="1"/>
        <v>0</v>
      </c>
      <c r="K216" s="19">
        <f t="shared" si="2"/>
        <v>0</v>
      </c>
      <c r="L216" s="23"/>
      <c r="M216" s="23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43"/>
      <c r="B217" s="23"/>
      <c r="C217" s="37" t="str">
        <f t="array" ref="C217">IFERROR(INDEX('Hàng hóa'!$A$4:$A$203,MATCH(B217,'Hàng hóa'!$B$4:$B$203,0)),"")</f>
        <v/>
      </c>
      <c r="D217" s="37" t="str">
        <f t="array" ref="D217">IFERROR(INDEX('Hàng hóa'!$C$4:$C$203,MATCH(B217,'Hàng hóa'!$B$4:$B$203,0)),"")</f>
        <v/>
      </c>
      <c r="E217" s="44"/>
      <c r="F217" s="37">
        <f t="array" ref="F217">IFERROR(INDEX('Hàng hóa'!$E$4:$E$203,MATCH(B217,'Hàng hóa'!$B$4:$B$203,0)),0)</f>
        <v>0</v>
      </c>
      <c r="G217" s="37" t="str">
        <f t="array" ref="G217">IFERROR(INDEX('Hàng hóa'!$F$4:$F$203,MATCH(B217,'Hàng hóa'!$B$4:$B$203,0)),"")</f>
        <v/>
      </c>
      <c r="H217" s="19">
        <f t="array" ref="H217">IFERROR(INDEX('Hàng hóa'!$G$4:$G$203,MATCH(B217,'Hàng hóa'!$B$4:$B$203,0)),0)</f>
        <v>0</v>
      </c>
      <c r="I217" s="7"/>
      <c r="J217" s="47">
        <f t="shared" si="1"/>
        <v>0</v>
      </c>
      <c r="K217" s="19">
        <f t="shared" si="2"/>
        <v>0</v>
      </c>
      <c r="L217" s="23"/>
      <c r="M217" s="23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43"/>
      <c r="B218" s="23"/>
      <c r="C218" s="37" t="str">
        <f t="array" ref="C218">IFERROR(INDEX('Hàng hóa'!$A$4:$A$203,MATCH(B218,'Hàng hóa'!$B$4:$B$203,0)),"")</f>
        <v/>
      </c>
      <c r="D218" s="37" t="str">
        <f t="array" ref="D218">IFERROR(INDEX('Hàng hóa'!$C$4:$C$203,MATCH(B218,'Hàng hóa'!$B$4:$B$203,0)),"")</f>
        <v/>
      </c>
      <c r="E218" s="44"/>
      <c r="F218" s="37">
        <f t="array" ref="F218">IFERROR(INDEX('Hàng hóa'!$E$4:$E$203,MATCH(B218,'Hàng hóa'!$B$4:$B$203,0)),0)</f>
        <v>0</v>
      </c>
      <c r="G218" s="37" t="str">
        <f t="array" ref="G218">IFERROR(INDEX('Hàng hóa'!$F$4:$F$203,MATCH(B218,'Hàng hóa'!$B$4:$B$203,0)),"")</f>
        <v/>
      </c>
      <c r="H218" s="19">
        <f t="array" ref="H218">IFERROR(INDEX('Hàng hóa'!$G$4:$G$203,MATCH(B218,'Hàng hóa'!$B$4:$B$203,0)),0)</f>
        <v>0</v>
      </c>
      <c r="I218" s="7"/>
      <c r="J218" s="47">
        <f t="shared" si="1"/>
        <v>0</v>
      </c>
      <c r="K218" s="19">
        <f t="shared" si="2"/>
        <v>0</v>
      </c>
      <c r="L218" s="23"/>
      <c r="M218" s="23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43"/>
      <c r="B219" s="23"/>
      <c r="C219" s="37" t="str">
        <f t="array" ref="C219">IFERROR(INDEX('Hàng hóa'!$A$4:$A$203,MATCH(B219,'Hàng hóa'!$B$4:$B$203,0)),"")</f>
        <v/>
      </c>
      <c r="D219" s="37" t="str">
        <f t="array" ref="D219">IFERROR(INDEX('Hàng hóa'!$C$4:$C$203,MATCH(B219,'Hàng hóa'!$B$4:$B$203,0)),"")</f>
        <v/>
      </c>
      <c r="E219" s="44"/>
      <c r="F219" s="37">
        <f t="array" ref="F219">IFERROR(INDEX('Hàng hóa'!$E$4:$E$203,MATCH(B219,'Hàng hóa'!$B$4:$B$203,0)),0)</f>
        <v>0</v>
      </c>
      <c r="G219" s="37" t="str">
        <f t="array" ref="G219">IFERROR(INDEX('Hàng hóa'!$F$4:$F$203,MATCH(B219,'Hàng hóa'!$B$4:$B$203,0)),"")</f>
        <v/>
      </c>
      <c r="H219" s="19">
        <f t="array" ref="H219">IFERROR(INDEX('Hàng hóa'!$G$4:$G$203,MATCH(B219,'Hàng hóa'!$B$4:$B$203,0)),0)</f>
        <v>0</v>
      </c>
      <c r="I219" s="7"/>
      <c r="J219" s="47">
        <f t="shared" si="1"/>
        <v>0</v>
      </c>
      <c r="K219" s="19">
        <f t="shared" si="2"/>
        <v>0</v>
      </c>
      <c r="L219" s="23"/>
      <c r="M219" s="23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43"/>
      <c r="B220" s="23"/>
      <c r="C220" s="37" t="str">
        <f t="array" ref="C220">IFERROR(INDEX('Hàng hóa'!$A$4:$A$203,MATCH(B220,'Hàng hóa'!$B$4:$B$203,0)),"")</f>
        <v/>
      </c>
      <c r="D220" s="37" t="str">
        <f t="array" ref="D220">IFERROR(INDEX('Hàng hóa'!$C$4:$C$203,MATCH(B220,'Hàng hóa'!$B$4:$B$203,0)),"")</f>
        <v/>
      </c>
      <c r="E220" s="44"/>
      <c r="F220" s="37">
        <f t="array" ref="F220">IFERROR(INDEX('Hàng hóa'!$E$4:$E$203,MATCH(B220,'Hàng hóa'!$B$4:$B$203,0)),0)</f>
        <v>0</v>
      </c>
      <c r="G220" s="37" t="str">
        <f t="array" ref="G220">IFERROR(INDEX('Hàng hóa'!$F$4:$F$203,MATCH(B220,'Hàng hóa'!$B$4:$B$203,0)),"")</f>
        <v/>
      </c>
      <c r="H220" s="19">
        <f t="array" ref="H220">IFERROR(INDEX('Hàng hóa'!$G$4:$G$203,MATCH(B220,'Hàng hóa'!$B$4:$B$203,0)),0)</f>
        <v>0</v>
      </c>
      <c r="I220" s="7"/>
      <c r="J220" s="47">
        <f t="shared" si="1"/>
        <v>0</v>
      </c>
      <c r="K220" s="19">
        <f t="shared" si="2"/>
        <v>0</v>
      </c>
      <c r="L220" s="23"/>
      <c r="M220" s="23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43"/>
      <c r="B221" s="23"/>
      <c r="C221" s="37" t="str">
        <f t="array" ref="C221">IFERROR(INDEX('Hàng hóa'!$A$4:$A$203,MATCH(B221,'Hàng hóa'!$B$4:$B$203,0)),"")</f>
        <v/>
      </c>
      <c r="D221" s="37" t="str">
        <f t="array" ref="D221">IFERROR(INDEX('Hàng hóa'!$C$4:$C$203,MATCH(B221,'Hàng hóa'!$B$4:$B$203,0)),"")</f>
        <v/>
      </c>
      <c r="E221" s="44"/>
      <c r="F221" s="37">
        <f t="array" ref="F221">IFERROR(INDEX('Hàng hóa'!$E$4:$E$203,MATCH(B221,'Hàng hóa'!$B$4:$B$203,0)),0)</f>
        <v>0</v>
      </c>
      <c r="G221" s="37" t="str">
        <f t="array" ref="G221">IFERROR(INDEX('Hàng hóa'!$F$4:$F$203,MATCH(B221,'Hàng hóa'!$B$4:$B$203,0)),"")</f>
        <v/>
      </c>
      <c r="H221" s="19">
        <f t="array" ref="H221">IFERROR(INDEX('Hàng hóa'!$G$4:$G$203,MATCH(B221,'Hàng hóa'!$B$4:$B$203,0)),0)</f>
        <v>0</v>
      </c>
      <c r="I221" s="7"/>
      <c r="J221" s="47">
        <f t="shared" si="1"/>
        <v>0</v>
      </c>
      <c r="K221" s="19">
        <f t="shared" si="2"/>
        <v>0</v>
      </c>
      <c r="L221" s="23"/>
      <c r="M221" s="23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43"/>
      <c r="B222" s="23"/>
      <c r="C222" s="37" t="str">
        <f t="array" ref="C222">IFERROR(INDEX('Hàng hóa'!$A$4:$A$203,MATCH(B222,'Hàng hóa'!$B$4:$B$203,0)),"")</f>
        <v/>
      </c>
      <c r="D222" s="37" t="str">
        <f t="array" ref="D222">IFERROR(INDEX('Hàng hóa'!$C$4:$C$203,MATCH(B222,'Hàng hóa'!$B$4:$B$203,0)),"")</f>
        <v/>
      </c>
      <c r="E222" s="44"/>
      <c r="F222" s="37">
        <f t="array" ref="F222">IFERROR(INDEX('Hàng hóa'!$E$4:$E$203,MATCH(B222,'Hàng hóa'!$B$4:$B$203,0)),0)</f>
        <v>0</v>
      </c>
      <c r="G222" s="37" t="str">
        <f t="array" ref="G222">IFERROR(INDEX('Hàng hóa'!$F$4:$F$203,MATCH(B222,'Hàng hóa'!$B$4:$B$203,0)),"")</f>
        <v/>
      </c>
      <c r="H222" s="19">
        <f t="array" ref="H222">IFERROR(INDEX('Hàng hóa'!$G$4:$G$203,MATCH(B222,'Hàng hóa'!$B$4:$B$203,0)),0)</f>
        <v>0</v>
      </c>
      <c r="I222" s="7"/>
      <c r="J222" s="47">
        <f t="shared" si="1"/>
        <v>0</v>
      </c>
      <c r="K222" s="19">
        <f t="shared" si="2"/>
        <v>0</v>
      </c>
      <c r="L222" s="23"/>
      <c r="M222" s="23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43"/>
      <c r="B223" s="23"/>
      <c r="C223" s="37" t="str">
        <f t="array" ref="C223">IFERROR(INDEX('Hàng hóa'!$A$4:$A$203,MATCH(B223,'Hàng hóa'!$B$4:$B$203,0)),"")</f>
        <v/>
      </c>
      <c r="D223" s="37" t="str">
        <f t="array" ref="D223">IFERROR(INDEX('Hàng hóa'!$C$4:$C$203,MATCH(B223,'Hàng hóa'!$B$4:$B$203,0)),"")</f>
        <v/>
      </c>
      <c r="E223" s="44"/>
      <c r="F223" s="37">
        <f t="array" ref="F223">IFERROR(INDEX('Hàng hóa'!$E$4:$E$203,MATCH(B223,'Hàng hóa'!$B$4:$B$203,0)),0)</f>
        <v>0</v>
      </c>
      <c r="G223" s="37" t="str">
        <f t="array" ref="G223">IFERROR(INDEX('Hàng hóa'!$F$4:$F$203,MATCH(B223,'Hàng hóa'!$B$4:$B$203,0)),"")</f>
        <v/>
      </c>
      <c r="H223" s="19">
        <f t="array" ref="H223">IFERROR(INDEX('Hàng hóa'!$G$4:$G$203,MATCH(B223,'Hàng hóa'!$B$4:$B$203,0)),0)</f>
        <v>0</v>
      </c>
      <c r="I223" s="7"/>
      <c r="J223" s="47">
        <f t="shared" si="1"/>
        <v>0</v>
      </c>
      <c r="K223" s="19">
        <f t="shared" si="2"/>
        <v>0</v>
      </c>
      <c r="L223" s="23"/>
      <c r="M223" s="23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43"/>
      <c r="B224" s="23"/>
      <c r="C224" s="37" t="str">
        <f t="array" ref="C224">IFERROR(INDEX('Hàng hóa'!$A$4:$A$203,MATCH(B224,'Hàng hóa'!$B$4:$B$203,0)),"")</f>
        <v/>
      </c>
      <c r="D224" s="37" t="str">
        <f t="array" ref="D224">IFERROR(INDEX('Hàng hóa'!$C$4:$C$203,MATCH(B224,'Hàng hóa'!$B$4:$B$203,0)),"")</f>
        <v/>
      </c>
      <c r="E224" s="44"/>
      <c r="F224" s="37">
        <f t="array" ref="F224">IFERROR(INDEX('Hàng hóa'!$E$4:$E$203,MATCH(B224,'Hàng hóa'!$B$4:$B$203,0)),0)</f>
        <v>0</v>
      </c>
      <c r="G224" s="37" t="str">
        <f t="array" ref="G224">IFERROR(INDEX('Hàng hóa'!$F$4:$F$203,MATCH(B224,'Hàng hóa'!$B$4:$B$203,0)),"")</f>
        <v/>
      </c>
      <c r="H224" s="19">
        <f t="array" ref="H224">IFERROR(INDEX('Hàng hóa'!$G$4:$G$203,MATCH(B224,'Hàng hóa'!$B$4:$B$203,0)),0)</f>
        <v>0</v>
      </c>
      <c r="I224" s="7"/>
      <c r="J224" s="47">
        <f t="shared" si="1"/>
        <v>0</v>
      </c>
      <c r="K224" s="19">
        <f t="shared" si="2"/>
        <v>0</v>
      </c>
      <c r="L224" s="23"/>
      <c r="M224" s="23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43"/>
      <c r="B225" s="23"/>
      <c r="C225" s="37" t="str">
        <f t="array" ref="C225">IFERROR(INDEX('Hàng hóa'!$A$4:$A$203,MATCH(B225,'Hàng hóa'!$B$4:$B$203,0)),"")</f>
        <v/>
      </c>
      <c r="D225" s="37" t="str">
        <f t="array" ref="D225">IFERROR(INDEX('Hàng hóa'!$C$4:$C$203,MATCH(B225,'Hàng hóa'!$B$4:$B$203,0)),"")</f>
        <v/>
      </c>
      <c r="E225" s="44"/>
      <c r="F225" s="37">
        <f t="array" ref="F225">IFERROR(INDEX('Hàng hóa'!$E$4:$E$203,MATCH(B225,'Hàng hóa'!$B$4:$B$203,0)),0)</f>
        <v>0</v>
      </c>
      <c r="G225" s="37" t="str">
        <f t="array" ref="G225">IFERROR(INDEX('Hàng hóa'!$F$4:$F$203,MATCH(B225,'Hàng hóa'!$B$4:$B$203,0)),"")</f>
        <v/>
      </c>
      <c r="H225" s="19">
        <f t="array" ref="H225">IFERROR(INDEX('Hàng hóa'!$G$4:$G$203,MATCH(B225,'Hàng hóa'!$B$4:$B$203,0)),0)</f>
        <v>0</v>
      </c>
      <c r="I225" s="7"/>
      <c r="J225" s="47">
        <f t="shared" si="1"/>
        <v>0</v>
      </c>
      <c r="K225" s="19">
        <f t="shared" si="2"/>
        <v>0</v>
      </c>
      <c r="L225" s="23"/>
      <c r="M225" s="23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43"/>
      <c r="B226" s="23"/>
      <c r="C226" s="37" t="str">
        <f t="array" ref="C226">IFERROR(INDEX('Hàng hóa'!$A$4:$A$203,MATCH(B226,'Hàng hóa'!$B$4:$B$203,0)),"")</f>
        <v/>
      </c>
      <c r="D226" s="37" t="str">
        <f t="array" ref="D226">IFERROR(INDEX('Hàng hóa'!$C$4:$C$203,MATCH(B226,'Hàng hóa'!$B$4:$B$203,0)),"")</f>
        <v/>
      </c>
      <c r="E226" s="44"/>
      <c r="F226" s="37">
        <f t="array" ref="F226">IFERROR(INDEX('Hàng hóa'!$E$4:$E$203,MATCH(B226,'Hàng hóa'!$B$4:$B$203,0)),0)</f>
        <v>0</v>
      </c>
      <c r="G226" s="37" t="str">
        <f t="array" ref="G226">IFERROR(INDEX('Hàng hóa'!$F$4:$F$203,MATCH(B226,'Hàng hóa'!$B$4:$B$203,0)),"")</f>
        <v/>
      </c>
      <c r="H226" s="19">
        <f t="array" ref="H226">IFERROR(INDEX('Hàng hóa'!$G$4:$G$203,MATCH(B226,'Hàng hóa'!$B$4:$B$203,0)),0)</f>
        <v>0</v>
      </c>
      <c r="I226" s="7"/>
      <c r="J226" s="47">
        <f t="shared" si="1"/>
        <v>0</v>
      </c>
      <c r="K226" s="19">
        <f t="shared" si="2"/>
        <v>0</v>
      </c>
      <c r="L226" s="23"/>
      <c r="M226" s="23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43"/>
      <c r="B227" s="23"/>
      <c r="C227" s="37" t="str">
        <f t="array" ref="C227">IFERROR(INDEX('Hàng hóa'!$A$4:$A$203,MATCH(B227,'Hàng hóa'!$B$4:$B$203,0)),"")</f>
        <v/>
      </c>
      <c r="D227" s="37" t="str">
        <f t="array" ref="D227">IFERROR(INDEX('Hàng hóa'!$C$4:$C$203,MATCH(B227,'Hàng hóa'!$B$4:$B$203,0)),"")</f>
        <v/>
      </c>
      <c r="E227" s="44"/>
      <c r="F227" s="37">
        <f t="array" ref="F227">IFERROR(INDEX('Hàng hóa'!$E$4:$E$203,MATCH(B227,'Hàng hóa'!$B$4:$B$203,0)),0)</f>
        <v>0</v>
      </c>
      <c r="G227" s="37" t="str">
        <f t="array" ref="G227">IFERROR(INDEX('Hàng hóa'!$F$4:$F$203,MATCH(B227,'Hàng hóa'!$B$4:$B$203,0)),"")</f>
        <v/>
      </c>
      <c r="H227" s="19">
        <f t="array" ref="H227">IFERROR(INDEX('Hàng hóa'!$G$4:$G$203,MATCH(B227,'Hàng hóa'!$B$4:$B$203,0)),0)</f>
        <v>0</v>
      </c>
      <c r="I227" s="7"/>
      <c r="J227" s="47">
        <f t="shared" si="1"/>
        <v>0</v>
      </c>
      <c r="K227" s="19">
        <f t="shared" si="2"/>
        <v>0</v>
      </c>
      <c r="L227" s="23"/>
      <c r="M227" s="23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43"/>
      <c r="B228" s="23"/>
      <c r="C228" s="37" t="str">
        <f t="array" ref="C228">IFERROR(INDEX('Hàng hóa'!$A$4:$A$203,MATCH(B228,'Hàng hóa'!$B$4:$B$203,0)),"")</f>
        <v/>
      </c>
      <c r="D228" s="37" t="str">
        <f t="array" ref="D228">IFERROR(INDEX('Hàng hóa'!$C$4:$C$203,MATCH(B228,'Hàng hóa'!$B$4:$B$203,0)),"")</f>
        <v/>
      </c>
      <c r="E228" s="44"/>
      <c r="F228" s="37">
        <f t="array" ref="F228">IFERROR(INDEX('Hàng hóa'!$E$4:$E$203,MATCH(B228,'Hàng hóa'!$B$4:$B$203,0)),0)</f>
        <v>0</v>
      </c>
      <c r="G228" s="37" t="str">
        <f t="array" ref="G228">IFERROR(INDEX('Hàng hóa'!$F$4:$F$203,MATCH(B228,'Hàng hóa'!$B$4:$B$203,0)),"")</f>
        <v/>
      </c>
      <c r="H228" s="19">
        <f t="array" ref="H228">IFERROR(INDEX('Hàng hóa'!$G$4:$G$203,MATCH(B228,'Hàng hóa'!$B$4:$B$203,0)),0)</f>
        <v>0</v>
      </c>
      <c r="I228" s="7"/>
      <c r="J228" s="47">
        <f t="shared" si="1"/>
        <v>0</v>
      </c>
      <c r="K228" s="19">
        <f t="shared" si="2"/>
        <v>0</v>
      </c>
      <c r="L228" s="23"/>
      <c r="M228" s="23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43"/>
      <c r="B229" s="23"/>
      <c r="C229" s="37" t="str">
        <f t="array" ref="C229">IFERROR(INDEX('Hàng hóa'!$A$4:$A$203,MATCH(B229,'Hàng hóa'!$B$4:$B$203,0)),"")</f>
        <v/>
      </c>
      <c r="D229" s="37" t="str">
        <f t="array" ref="D229">IFERROR(INDEX('Hàng hóa'!$C$4:$C$203,MATCH(B229,'Hàng hóa'!$B$4:$B$203,0)),"")</f>
        <v/>
      </c>
      <c r="E229" s="44"/>
      <c r="F229" s="37">
        <f t="array" ref="F229">IFERROR(INDEX('Hàng hóa'!$E$4:$E$203,MATCH(B229,'Hàng hóa'!$B$4:$B$203,0)),0)</f>
        <v>0</v>
      </c>
      <c r="G229" s="37" t="str">
        <f t="array" ref="G229">IFERROR(INDEX('Hàng hóa'!$F$4:$F$203,MATCH(B229,'Hàng hóa'!$B$4:$B$203,0)),"")</f>
        <v/>
      </c>
      <c r="H229" s="19">
        <f t="array" ref="H229">IFERROR(INDEX('Hàng hóa'!$G$4:$G$203,MATCH(B229,'Hàng hóa'!$B$4:$B$203,0)),0)</f>
        <v>0</v>
      </c>
      <c r="I229" s="7"/>
      <c r="J229" s="47">
        <f t="shared" si="1"/>
        <v>0</v>
      </c>
      <c r="K229" s="19">
        <f t="shared" si="2"/>
        <v>0</v>
      </c>
      <c r="L229" s="23"/>
      <c r="M229" s="23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43"/>
      <c r="B230" s="23"/>
      <c r="C230" s="37" t="str">
        <f t="array" ref="C230">IFERROR(INDEX('Hàng hóa'!$A$4:$A$203,MATCH(B230,'Hàng hóa'!$B$4:$B$203,0)),"")</f>
        <v/>
      </c>
      <c r="D230" s="37" t="str">
        <f t="array" ref="D230">IFERROR(INDEX('Hàng hóa'!$C$4:$C$203,MATCH(B230,'Hàng hóa'!$B$4:$B$203,0)),"")</f>
        <v/>
      </c>
      <c r="E230" s="44"/>
      <c r="F230" s="37">
        <f t="array" ref="F230">IFERROR(INDEX('Hàng hóa'!$E$4:$E$203,MATCH(B230,'Hàng hóa'!$B$4:$B$203,0)),0)</f>
        <v>0</v>
      </c>
      <c r="G230" s="37" t="str">
        <f t="array" ref="G230">IFERROR(INDEX('Hàng hóa'!$F$4:$F$203,MATCH(B230,'Hàng hóa'!$B$4:$B$203,0)),"")</f>
        <v/>
      </c>
      <c r="H230" s="19">
        <f t="array" ref="H230">IFERROR(INDEX('Hàng hóa'!$G$4:$G$203,MATCH(B230,'Hàng hóa'!$B$4:$B$203,0)),0)</f>
        <v>0</v>
      </c>
      <c r="I230" s="7"/>
      <c r="J230" s="47">
        <f t="shared" si="1"/>
        <v>0</v>
      </c>
      <c r="K230" s="19">
        <f t="shared" si="2"/>
        <v>0</v>
      </c>
      <c r="L230" s="23"/>
      <c r="M230" s="23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43"/>
      <c r="B231" s="23"/>
      <c r="C231" s="37" t="str">
        <f t="array" ref="C231">IFERROR(INDEX('Hàng hóa'!$A$4:$A$203,MATCH(B231,'Hàng hóa'!$B$4:$B$203,0)),"")</f>
        <v/>
      </c>
      <c r="D231" s="37" t="str">
        <f t="array" ref="D231">IFERROR(INDEX('Hàng hóa'!$C$4:$C$203,MATCH(B231,'Hàng hóa'!$B$4:$B$203,0)),"")</f>
        <v/>
      </c>
      <c r="E231" s="44"/>
      <c r="F231" s="37">
        <f t="array" ref="F231">IFERROR(INDEX('Hàng hóa'!$E$4:$E$203,MATCH(B231,'Hàng hóa'!$B$4:$B$203,0)),0)</f>
        <v>0</v>
      </c>
      <c r="G231" s="37" t="str">
        <f t="array" ref="G231">IFERROR(INDEX('Hàng hóa'!$F$4:$F$203,MATCH(B231,'Hàng hóa'!$B$4:$B$203,0)),"")</f>
        <v/>
      </c>
      <c r="H231" s="19">
        <f t="array" ref="H231">IFERROR(INDEX('Hàng hóa'!$G$4:$G$203,MATCH(B231,'Hàng hóa'!$B$4:$B$203,0)),0)</f>
        <v>0</v>
      </c>
      <c r="I231" s="7"/>
      <c r="J231" s="47">
        <f t="shared" si="1"/>
        <v>0</v>
      </c>
      <c r="K231" s="19">
        <f t="shared" si="2"/>
        <v>0</v>
      </c>
      <c r="L231" s="23"/>
      <c r="M231" s="23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43"/>
      <c r="B232" s="23"/>
      <c r="C232" s="37" t="str">
        <f t="array" ref="C232">IFERROR(INDEX('Hàng hóa'!$A$4:$A$203,MATCH(B232,'Hàng hóa'!$B$4:$B$203,0)),"")</f>
        <v/>
      </c>
      <c r="D232" s="37" t="str">
        <f t="array" ref="D232">IFERROR(INDEX('Hàng hóa'!$C$4:$C$203,MATCH(B232,'Hàng hóa'!$B$4:$B$203,0)),"")</f>
        <v/>
      </c>
      <c r="E232" s="44"/>
      <c r="F232" s="37">
        <f t="array" ref="F232">IFERROR(INDEX('Hàng hóa'!$E$4:$E$203,MATCH(B232,'Hàng hóa'!$B$4:$B$203,0)),0)</f>
        <v>0</v>
      </c>
      <c r="G232" s="37" t="str">
        <f t="array" ref="G232">IFERROR(INDEX('Hàng hóa'!$F$4:$F$203,MATCH(B232,'Hàng hóa'!$B$4:$B$203,0)),"")</f>
        <v/>
      </c>
      <c r="H232" s="19">
        <f t="array" ref="H232">IFERROR(INDEX('Hàng hóa'!$G$4:$G$203,MATCH(B232,'Hàng hóa'!$B$4:$B$203,0)),0)</f>
        <v>0</v>
      </c>
      <c r="I232" s="7"/>
      <c r="J232" s="47">
        <f t="shared" si="1"/>
        <v>0</v>
      </c>
      <c r="K232" s="19">
        <f t="shared" si="2"/>
        <v>0</v>
      </c>
      <c r="L232" s="23"/>
      <c r="M232" s="23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43"/>
      <c r="B233" s="23"/>
      <c r="C233" s="37" t="str">
        <f t="array" ref="C233">IFERROR(INDEX('Hàng hóa'!$A$4:$A$203,MATCH(B233,'Hàng hóa'!$B$4:$B$203,0)),"")</f>
        <v/>
      </c>
      <c r="D233" s="37" t="str">
        <f t="array" ref="D233">IFERROR(INDEX('Hàng hóa'!$C$4:$C$203,MATCH(B233,'Hàng hóa'!$B$4:$B$203,0)),"")</f>
        <v/>
      </c>
      <c r="E233" s="44"/>
      <c r="F233" s="37">
        <f t="array" ref="F233">IFERROR(INDEX('Hàng hóa'!$E$4:$E$203,MATCH(B233,'Hàng hóa'!$B$4:$B$203,0)),0)</f>
        <v>0</v>
      </c>
      <c r="G233" s="37" t="str">
        <f t="array" ref="G233">IFERROR(INDEX('Hàng hóa'!$F$4:$F$203,MATCH(B233,'Hàng hóa'!$B$4:$B$203,0)),"")</f>
        <v/>
      </c>
      <c r="H233" s="19">
        <f t="array" ref="H233">IFERROR(INDEX('Hàng hóa'!$G$4:$G$203,MATCH(B233,'Hàng hóa'!$B$4:$B$203,0)),0)</f>
        <v>0</v>
      </c>
      <c r="I233" s="7"/>
      <c r="J233" s="47">
        <f t="shared" si="1"/>
        <v>0</v>
      </c>
      <c r="K233" s="19">
        <f t="shared" si="2"/>
        <v>0</v>
      </c>
      <c r="L233" s="23"/>
      <c r="M233" s="23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43"/>
      <c r="B234" s="23"/>
      <c r="C234" s="37" t="str">
        <f t="array" ref="C234">IFERROR(INDEX('Hàng hóa'!$A$4:$A$203,MATCH(B234,'Hàng hóa'!$B$4:$B$203,0)),"")</f>
        <v/>
      </c>
      <c r="D234" s="37" t="str">
        <f t="array" ref="D234">IFERROR(INDEX('Hàng hóa'!$C$4:$C$203,MATCH(B234,'Hàng hóa'!$B$4:$B$203,0)),"")</f>
        <v/>
      </c>
      <c r="E234" s="44"/>
      <c r="F234" s="37">
        <f t="array" ref="F234">IFERROR(INDEX('Hàng hóa'!$E$4:$E$203,MATCH(B234,'Hàng hóa'!$B$4:$B$203,0)),0)</f>
        <v>0</v>
      </c>
      <c r="G234" s="37" t="str">
        <f t="array" ref="G234">IFERROR(INDEX('Hàng hóa'!$F$4:$F$203,MATCH(B234,'Hàng hóa'!$B$4:$B$203,0)),"")</f>
        <v/>
      </c>
      <c r="H234" s="19">
        <f t="array" ref="H234">IFERROR(INDEX('Hàng hóa'!$G$4:$G$203,MATCH(B234,'Hàng hóa'!$B$4:$B$203,0)),0)</f>
        <v>0</v>
      </c>
      <c r="I234" s="7"/>
      <c r="J234" s="47">
        <f t="shared" si="1"/>
        <v>0</v>
      </c>
      <c r="K234" s="19">
        <f t="shared" si="2"/>
        <v>0</v>
      </c>
      <c r="L234" s="23"/>
      <c r="M234" s="23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43"/>
      <c r="B235" s="23"/>
      <c r="C235" s="37" t="str">
        <f t="array" ref="C235">IFERROR(INDEX('Hàng hóa'!$A$4:$A$203,MATCH(B235,'Hàng hóa'!$B$4:$B$203,0)),"")</f>
        <v/>
      </c>
      <c r="D235" s="37" t="str">
        <f t="array" ref="D235">IFERROR(INDEX('Hàng hóa'!$C$4:$C$203,MATCH(B235,'Hàng hóa'!$B$4:$B$203,0)),"")</f>
        <v/>
      </c>
      <c r="E235" s="44"/>
      <c r="F235" s="37">
        <f t="array" ref="F235">IFERROR(INDEX('Hàng hóa'!$E$4:$E$203,MATCH(B235,'Hàng hóa'!$B$4:$B$203,0)),0)</f>
        <v>0</v>
      </c>
      <c r="G235" s="37" t="str">
        <f t="array" ref="G235">IFERROR(INDEX('Hàng hóa'!$F$4:$F$203,MATCH(B235,'Hàng hóa'!$B$4:$B$203,0)),"")</f>
        <v/>
      </c>
      <c r="H235" s="19">
        <f t="array" ref="H235">IFERROR(INDEX('Hàng hóa'!$G$4:$G$203,MATCH(B235,'Hàng hóa'!$B$4:$B$203,0)),0)</f>
        <v>0</v>
      </c>
      <c r="I235" s="7"/>
      <c r="J235" s="47">
        <f t="shared" si="1"/>
        <v>0</v>
      </c>
      <c r="K235" s="19">
        <f t="shared" si="2"/>
        <v>0</v>
      </c>
      <c r="L235" s="23"/>
      <c r="M235" s="23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43"/>
      <c r="B236" s="23"/>
      <c r="C236" s="37" t="str">
        <f t="array" ref="C236">IFERROR(INDEX('Hàng hóa'!$A$4:$A$203,MATCH(B236,'Hàng hóa'!$B$4:$B$203,0)),"")</f>
        <v/>
      </c>
      <c r="D236" s="37" t="str">
        <f t="array" ref="D236">IFERROR(INDEX('Hàng hóa'!$C$4:$C$203,MATCH(B236,'Hàng hóa'!$B$4:$B$203,0)),"")</f>
        <v/>
      </c>
      <c r="E236" s="44"/>
      <c r="F236" s="37">
        <f t="array" ref="F236">IFERROR(INDEX('Hàng hóa'!$E$4:$E$203,MATCH(B236,'Hàng hóa'!$B$4:$B$203,0)),0)</f>
        <v>0</v>
      </c>
      <c r="G236" s="37" t="str">
        <f t="array" ref="G236">IFERROR(INDEX('Hàng hóa'!$F$4:$F$203,MATCH(B236,'Hàng hóa'!$B$4:$B$203,0)),"")</f>
        <v/>
      </c>
      <c r="H236" s="19">
        <f t="array" ref="H236">IFERROR(INDEX('Hàng hóa'!$G$4:$G$203,MATCH(B236,'Hàng hóa'!$B$4:$B$203,0)),0)</f>
        <v>0</v>
      </c>
      <c r="I236" s="7"/>
      <c r="J236" s="47">
        <f t="shared" si="1"/>
        <v>0</v>
      </c>
      <c r="K236" s="19">
        <f t="shared" si="2"/>
        <v>0</v>
      </c>
      <c r="L236" s="23"/>
      <c r="M236" s="23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43"/>
      <c r="B237" s="23"/>
      <c r="C237" s="37" t="str">
        <f t="array" ref="C237">IFERROR(INDEX('Hàng hóa'!$A$4:$A$203,MATCH(B237,'Hàng hóa'!$B$4:$B$203,0)),"")</f>
        <v/>
      </c>
      <c r="D237" s="37" t="str">
        <f t="array" ref="D237">IFERROR(INDEX('Hàng hóa'!$C$4:$C$203,MATCH(B237,'Hàng hóa'!$B$4:$B$203,0)),"")</f>
        <v/>
      </c>
      <c r="E237" s="44"/>
      <c r="F237" s="37">
        <f t="array" ref="F237">IFERROR(INDEX('Hàng hóa'!$E$4:$E$203,MATCH(B237,'Hàng hóa'!$B$4:$B$203,0)),0)</f>
        <v>0</v>
      </c>
      <c r="G237" s="37" t="str">
        <f t="array" ref="G237">IFERROR(INDEX('Hàng hóa'!$F$4:$F$203,MATCH(B237,'Hàng hóa'!$B$4:$B$203,0)),"")</f>
        <v/>
      </c>
      <c r="H237" s="19">
        <f t="array" ref="H237">IFERROR(INDEX('Hàng hóa'!$G$4:$G$203,MATCH(B237,'Hàng hóa'!$B$4:$B$203,0)),0)</f>
        <v>0</v>
      </c>
      <c r="I237" s="7"/>
      <c r="J237" s="47">
        <f t="shared" si="1"/>
        <v>0</v>
      </c>
      <c r="K237" s="19">
        <f t="shared" si="2"/>
        <v>0</v>
      </c>
      <c r="L237" s="23"/>
      <c r="M237" s="23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43"/>
      <c r="B238" s="23"/>
      <c r="C238" s="37" t="str">
        <f t="array" ref="C238">IFERROR(INDEX('Hàng hóa'!$A$4:$A$203,MATCH(B238,'Hàng hóa'!$B$4:$B$203,0)),"")</f>
        <v/>
      </c>
      <c r="D238" s="37" t="str">
        <f t="array" ref="D238">IFERROR(INDEX('Hàng hóa'!$C$4:$C$203,MATCH(B238,'Hàng hóa'!$B$4:$B$203,0)),"")</f>
        <v/>
      </c>
      <c r="E238" s="44"/>
      <c r="F238" s="37">
        <f t="array" ref="F238">IFERROR(INDEX('Hàng hóa'!$E$4:$E$203,MATCH(B238,'Hàng hóa'!$B$4:$B$203,0)),0)</f>
        <v>0</v>
      </c>
      <c r="G238" s="37" t="str">
        <f t="array" ref="G238">IFERROR(INDEX('Hàng hóa'!$F$4:$F$203,MATCH(B238,'Hàng hóa'!$B$4:$B$203,0)),"")</f>
        <v/>
      </c>
      <c r="H238" s="19">
        <f t="array" ref="H238">IFERROR(INDEX('Hàng hóa'!$G$4:$G$203,MATCH(B238,'Hàng hóa'!$B$4:$B$203,0)),0)</f>
        <v>0</v>
      </c>
      <c r="I238" s="7"/>
      <c r="J238" s="47">
        <f t="shared" si="1"/>
        <v>0</v>
      </c>
      <c r="K238" s="19">
        <f t="shared" si="2"/>
        <v>0</v>
      </c>
      <c r="L238" s="23"/>
      <c r="M238" s="23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43"/>
      <c r="B239" s="23"/>
      <c r="C239" s="37" t="str">
        <f t="array" ref="C239">IFERROR(INDEX('Hàng hóa'!$A$4:$A$203,MATCH(B239,'Hàng hóa'!$B$4:$B$203,0)),"")</f>
        <v/>
      </c>
      <c r="D239" s="37" t="str">
        <f t="array" ref="D239">IFERROR(INDEX('Hàng hóa'!$C$4:$C$203,MATCH(B239,'Hàng hóa'!$B$4:$B$203,0)),"")</f>
        <v/>
      </c>
      <c r="E239" s="44"/>
      <c r="F239" s="37">
        <f t="array" ref="F239">IFERROR(INDEX('Hàng hóa'!$E$4:$E$203,MATCH(B239,'Hàng hóa'!$B$4:$B$203,0)),0)</f>
        <v>0</v>
      </c>
      <c r="G239" s="37" t="str">
        <f t="array" ref="G239">IFERROR(INDEX('Hàng hóa'!$F$4:$F$203,MATCH(B239,'Hàng hóa'!$B$4:$B$203,0)),"")</f>
        <v/>
      </c>
      <c r="H239" s="19">
        <f t="array" ref="H239">IFERROR(INDEX('Hàng hóa'!$G$4:$G$203,MATCH(B239,'Hàng hóa'!$B$4:$B$203,0)),0)</f>
        <v>0</v>
      </c>
      <c r="I239" s="7"/>
      <c r="J239" s="47">
        <f t="shared" si="1"/>
        <v>0</v>
      </c>
      <c r="K239" s="19">
        <f t="shared" si="2"/>
        <v>0</v>
      </c>
      <c r="L239" s="23"/>
      <c r="M239" s="23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43"/>
      <c r="B240" s="23"/>
      <c r="C240" s="37" t="str">
        <f t="array" ref="C240">IFERROR(INDEX('Hàng hóa'!$A$4:$A$203,MATCH(B240,'Hàng hóa'!$B$4:$B$203,0)),"")</f>
        <v/>
      </c>
      <c r="D240" s="37" t="str">
        <f t="array" ref="D240">IFERROR(INDEX('Hàng hóa'!$C$4:$C$203,MATCH(B240,'Hàng hóa'!$B$4:$B$203,0)),"")</f>
        <v/>
      </c>
      <c r="E240" s="44"/>
      <c r="F240" s="37">
        <f t="array" ref="F240">IFERROR(INDEX('Hàng hóa'!$E$4:$E$203,MATCH(B240,'Hàng hóa'!$B$4:$B$203,0)),0)</f>
        <v>0</v>
      </c>
      <c r="G240" s="37" t="str">
        <f t="array" ref="G240">IFERROR(INDEX('Hàng hóa'!$F$4:$F$203,MATCH(B240,'Hàng hóa'!$B$4:$B$203,0)),"")</f>
        <v/>
      </c>
      <c r="H240" s="19">
        <f t="array" ref="H240">IFERROR(INDEX('Hàng hóa'!$G$4:$G$203,MATCH(B240,'Hàng hóa'!$B$4:$B$203,0)),0)</f>
        <v>0</v>
      </c>
      <c r="I240" s="7"/>
      <c r="J240" s="47">
        <f t="shared" si="1"/>
        <v>0</v>
      </c>
      <c r="K240" s="19">
        <f t="shared" si="2"/>
        <v>0</v>
      </c>
      <c r="L240" s="23"/>
      <c r="M240" s="23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43"/>
      <c r="B241" s="23"/>
      <c r="C241" s="37" t="str">
        <f t="array" ref="C241">IFERROR(INDEX('Hàng hóa'!$A$4:$A$203,MATCH(B241,'Hàng hóa'!$B$4:$B$203,0)),"")</f>
        <v/>
      </c>
      <c r="D241" s="37" t="str">
        <f t="array" ref="D241">IFERROR(INDEX('Hàng hóa'!$C$4:$C$203,MATCH(B241,'Hàng hóa'!$B$4:$B$203,0)),"")</f>
        <v/>
      </c>
      <c r="E241" s="44"/>
      <c r="F241" s="37">
        <f t="array" ref="F241">IFERROR(INDEX('Hàng hóa'!$E$4:$E$203,MATCH(B241,'Hàng hóa'!$B$4:$B$203,0)),0)</f>
        <v>0</v>
      </c>
      <c r="G241" s="37" t="str">
        <f t="array" ref="G241">IFERROR(INDEX('Hàng hóa'!$F$4:$F$203,MATCH(B241,'Hàng hóa'!$B$4:$B$203,0)),"")</f>
        <v/>
      </c>
      <c r="H241" s="19">
        <f t="array" ref="H241">IFERROR(INDEX('Hàng hóa'!$G$4:$G$203,MATCH(B241,'Hàng hóa'!$B$4:$B$203,0)),0)</f>
        <v>0</v>
      </c>
      <c r="I241" s="7"/>
      <c r="J241" s="47">
        <f t="shared" si="1"/>
        <v>0</v>
      </c>
      <c r="K241" s="19">
        <f t="shared" si="2"/>
        <v>0</v>
      </c>
      <c r="L241" s="23"/>
      <c r="M241" s="23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43"/>
      <c r="B242" s="23"/>
      <c r="C242" s="37" t="str">
        <f t="array" ref="C242">IFERROR(INDEX('Hàng hóa'!$A$4:$A$203,MATCH(B242,'Hàng hóa'!$B$4:$B$203,0)),"")</f>
        <v/>
      </c>
      <c r="D242" s="37" t="str">
        <f t="array" ref="D242">IFERROR(INDEX('Hàng hóa'!$C$4:$C$203,MATCH(B242,'Hàng hóa'!$B$4:$B$203,0)),"")</f>
        <v/>
      </c>
      <c r="E242" s="44"/>
      <c r="F242" s="37">
        <f t="array" ref="F242">IFERROR(INDEX('Hàng hóa'!$E$4:$E$203,MATCH(B242,'Hàng hóa'!$B$4:$B$203,0)),0)</f>
        <v>0</v>
      </c>
      <c r="G242" s="37" t="str">
        <f t="array" ref="G242">IFERROR(INDEX('Hàng hóa'!$F$4:$F$203,MATCH(B242,'Hàng hóa'!$B$4:$B$203,0)),"")</f>
        <v/>
      </c>
      <c r="H242" s="19">
        <f t="array" ref="H242">IFERROR(INDEX('Hàng hóa'!$G$4:$G$203,MATCH(B242,'Hàng hóa'!$B$4:$B$203,0)),0)</f>
        <v>0</v>
      </c>
      <c r="I242" s="7"/>
      <c r="J242" s="47">
        <f t="shared" si="1"/>
        <v>0</v>
      </c>
      <c r="K242" s="19">
        <f t="shared" si="2"/>
        <v>0</v>
      </c>
      <c r="L242" s="23"/>
      <c r="M242" s="23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43"/>
      <c r="B243" s="23"/>
      <c r="C243" s="37" t="str">
        <f t="array" ref="C243">IFERROR(INDEX('Hàng hóa'!$A$4:$A$203,MATCH(B243,'Hàng hóa'!$B$4:$B$203,0)),"")</f>
        <v/>
      </c>
      <c r="D243" s="37" t="str">
        <f t="array" ref="D243">IFERROR(INDEX('Hàng hóa'!$C$4:$C$203,MATCH(B243,'Hàng hóa'!$B$4:$B$203,0)),"")</f>
        <v/>
      </c>
      <c r="E243" s="44"/>
      <c r="F243" s="37">
        <f t="array" ref="F243">IFERROR(INDEX('Hàng hóa'!$E$4:$E$203,MATCH(B243,'Hàng hóa'!$B$4:$B$203,0)),0)</f>
        <v>0</v>
      </c>
      <c r="G243" s="37" t="str">
        <f t="array" ref="G243">IFERROR(INDEX('Hàng hóa'!$F$4:$F$203,MATCH(B243,'Hàng hóa'!$B$4:$B$203,0)),"")</f>
        <v/>
      </c>
      <c r="H243" s="19">
        <f t="array" ref="H243">IFERROR(INDEX('Hàng hóa'!$G$4:$G$203,MATCH(B243,'Hàng hóa'!$B$4:$B$203,0)),0)</f>
        <v>0</v>
      </c>
      <c r="I243" s="7"/>
      <c r="J243" s="47">
        <f t="shared" si="1"/>
        <v>0</v>
      </c>
      <c r="K243" s="19">
        <f t="shared" si="2"/>
        <v>0</v>
      </c>
      <c r="L243" s="23"/>
      <c r="M243" s="23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43"/>
      <c r="B244" s="23"/>
      <c r="C244" s="37" t="str">
        <f t="array" ref="C244">IFERROR(INDEX('Hàng hóa'!$A$4:$A$203,MATCH(B244,'Hàng hóa'!$B$4:$B$203,0)),"")</f>
        <v/>
      </c>
      <c r="D244" s="37" t="str">
        <f t="array" ref="D244">IFERROR(INDEX('Hàng hóa'!$C$4:$C$203,MATCH(B244,'Hàng hóa'!$B$4:$B$203,0)),"")</f>
        <v/>
      </c>
      <c r="E244" s="44"/>
      <c r="F244" s="37">
        <f t="array" ref="F244">IFERROR(INDEX('Hàng hóa'!$E$4:$E$203,MATCH(B244,'Hàng hóa'!$B$4:$B$203,0)),0)</f>
        <v>0</v>
      </c>
      <c r="G244" s="37" t="str">
        <f t="array" ref="G244">IFERROR(INDEX('Hàng hóa'!$F$4:$F$203,MATCH(B244,'Hàng hóa'!$B$4:$B$203,0)),"")</f>
        <v/>
      </c>
      <c r="H244" s="19">
        <f t="array" ref="H244">IFERROR(INDEX('Hàng hóa'!$G$4:$G$203,MATCH(B244,'Hàng hóa'!$B$4:$B$203,0)),0)</f>
        <v>0</v>
      </c>
      <c r="I244" s="7"/>
      <c r="J244" s="47">
        <f t="shared" si="1"/>
        <v>0</v>
      </c>
      <c r="K244" s="19">
        <f t="shared" si="2"/>
        <v>0</v>
      </c>
      <c r="L244" s="23"/>
      <c r="M244" s="23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43"/>
      <c r="B245" s="23"/>
      <c r="C245" s="37" t="str">
        <f t="array" ref="C245">IFERROR(INDEX('Hàng hóa'!$A$4:$A$203,MATCH(B245,'Hàng hóa'!$B$4:$B$203,0)),"")</f>
        <v/>
      </c>
      <c r="D245" s="37" t="str">
        <f t="array" ref="D245">IFERROR(INDEX('Hàng hóa'!$C$4:$C$203,MATCH(B245,'Hàng hóa'!$B$4:$B$203,0)),"")</f>
        <v/>
      </c>
      <c r="E245" s="44"/>
      <c r="F245" s="37">
        <f t="array" ref="F245">IFERROR(INDEX('Hàng hóa'!$E$4:$E$203,MATCH(B245,'Hàng hóa'!$B$4:$B$203,0)),0)</f>
        <v>0</v>
      </c>
      <c r="G245" s="37" t="str">
        <f t="array" ref="G245">IFERROR(INDEX('Hàng hóa'!$F$4:$F$203,MATCH(B245,'Hàng hóa'!$B$4:$B$203,0)),"")</f>
        <v/>
      </c>
      <c r="H245" s="19">
        <f t="array" ref="H245">IFERROR(INDEX('Hàng hóa'!$G$4:$G$203,MATCH(B245,'Hàng hóa'!$B$4:$B$203,0)),0)</f>
        <v>0</v>
      </c>
      <c r="I245" s="7"/>
      <c r="J245" s="47">
        <f t="shared" si="1"/>
        <v>0</v>
      </c>
      <c r="K245" s="19">
        <f t="shared" si="2"/>
        <v>0</v>
      </c>
      <c r="L245" s="23"/>
      <c r="M245" s="23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43"/>
      <c r="B246" s="23"/>
      <c r="C246" s="37" t="str">
        <f t="array" ref="C246">IFERROR(INDEX('Hàng hóa'!$A$4:$A$203,MATCH(B246,'Hàng hóa'!$B$4:$B$203,0)),"")</f>
        <v/>
      </c>
      <c r="D246" s="37" t="str">
        <f t="array" ref="D246">IFERROR(INDEX('Hàng hóa'!$C$4:$C$203,MATCH(B246,'Hàng hóa'!$B$4:$B$203,0)),"")</f>
        <v/>
      </c>
      <c r="E246" s="44"/>
      <c r="F246" s="37">
        <f t="array" ref="F246">IFERROR(INDEX('Hàng hóa'!$E$4:$E$203,MATCH(B246,'Hàng hóa'!$B$4:$B$203,0)),0)</f>
        <v>0</v>
      </c>
      <c r="G246" s="37" t="str">
        <f t="array" ref="G246">IFERROR(INDEX('Hàng hóa'!$F$4:$F$203,MATCH(B246,'Hàng hóa'!$B$4:$B$203,0)),"")</f>
        <v/>
      </c>
      <c r="H246" s="19">
        <f t="array" ref="H246">IFERROR(INDEX('Hàng hóa'!$G$4:$G$203,MATCH(B246,'Hàng hóa'!$B$4:$B$203,0)),0)</f>
        <v>0</v>
      </c>
      <c r="I246" s="7"/>
      <c r="J246" s="47">
        <f t="shared" si="1"/>
        <v>0</v>
      </c>
      <c r="K246" s="19">
        <f t="shared" si="2"/>
        <v>0</v>
      </c>
      <c r="L246" s="23"/>
      <c r="M246" s="23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43"/>
      <c r="B247" s="23"/>
      <c r="C247" s="37" t="str">
        <f t="array" ref="C247">IFERROR(INDEX('Hàng hóa'!$A$4:$A$203,MATCH(B247,'Hàng hóa'!$B$4:$B$203,0)),"")</f>
        <v/>
      </c>
      <c r="D247" s="37" t="str">
        <f t="array" ref="D247">IFERROR(INDEX('Hàng hóa'!$C$4:$C$203,MATCH(B247,'Hàng hóa'!$B$4:$B$203,0)),"")</f>
        <v/>
      </c>
      <c r="E247" s="44"/>
      <c r="F247" s="37">
        <f t="array" ref="F247">IFERROR(INDEX('Hàng hóa'!$E$4:$E$203,MATCH(B247,'Hàng hóa'!$B$4:$B$203,0)),0)</f>
        <v>0</v>
      </c>
      <c r="G247" s="37" t="str">
        <f t="array" ref="G247">IFERROR(INDEX('Hàng hóa'!$F$4:$F$203,MATCH(B247,'Hàng hóa'!$B$4:$B$203,0)),"")</f>
        <v/>
      </c>
      <c r="H247" s="19">
        <f t="array" ref="H247">IFERROR(INDEX('Hàng hóa'!$G$4:$G$203,MATCH(B247,'Hàng hóa'!$B$4:$B$203,0)),0)</f>
        <v>0</v>
      </c>
      <c r="I247" s="7"/>
      <c r="J247" s="47">
        <f t="shared" si="1"/>
        <v>0</v>
      </c>
      <c r="K247" s="19">
        <f t="shared" si="2"/>
        <v>0</v>
      </c>
      <c r="L247" s="23"/>
      <c r="M247" s="23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43"/>
      <c r="B248" s="23"/>
      <c r="C248" s="37" t="str">
        <f t="array" ref="C248">IFERROR(INDEX('Hàng hóa'!$A$4:$A$203,MATCH(B248,'Hàng hóa'!$B$4:$B$203,0)),"")</f>
        <v/>
      </c>
      <c r="D248" s="37" t="str">
        <f t="array" ref="D248">IFERROR(INDEX('Hàng hóa'!$C$4:$C$203,MATCH(B248,'Hàng hóa'!$B$4:$B$203,0)),"")</f>
        <v/>
      </c>
      <c r="E248" s="44"/>
      <c r="F248" s="37">
        <f t="array" ref="F248">IFERROR(INDEX('Hàng hóa'!$E$4:$E$203,MATCH(B248,'Hàng hóa'!$B$4:$B$203,0)),0)</f>
        <v>0</v>
      </c>
      <c r="G248" s="37" t="str">
        <f t="array" ref="G248">IFERROR(INDEX('Hàng hóa'!$F$4:$F$203,MATCH(B248,'Hàng hóa'!$B$4:$B$203,0)),"")</f>
        <v/>
      </c>
      <c r="H248" s="19">
        <f t="array" ref="H248">IFERROR(INDEX('Hàng hóa'!$G$4:$G$203,MATCH(B248,'Hàng hóa'!$B$4:$B$203,0)),0)</f>
        <v>0</v>
      </c>
      <c r="I248" s="7"/>
      <c r="J248" s="47">
        <f t="shared" si="1"/>
        <v>0</v>
      </c>
      <c r="K248" s="19">
        <f t="shared" si="2"/>
        <v>0</v>
      </c>
      <c r="L248" s="23"/>
      <c r="M248" s="23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43"/>
      <c r="B249" s="23"/>
      <c r="C249" s="37" t="str">
        <f t="array" ref="C249">IFERROR(INDEX('Hàng hóa'!$A$4:$A$203,MATCH(B249,'Hàng hóa'!$B$4:$B$203,0)),"")</f>
        <v/>
      </c>
      <c r="D249" s="37" t="str">
        <f t="array" ref="D249">IFERROR(INDEX('Hàng hóa'!$C$4:$C$203,MATCH(B249,'Hàng hóa'!$B$4:$B$203,0)),"")</f>
        <v/>
      </c>
      <c r="E249" s="44"/>
      <c r="F249" s="37">
        <f t="array" ref="F249">IFERROR(INDEX('Hàng hóa'!$E$4:$E$203,MATCH(B249,'Hàng hóa'!$B$4:$B$203,0)),0)</f>
        <v>0</v>
      </c>
      <c r="G249" s="37" t="str">
        <f t="array" ref="G249">IFERROR(INDEX('Hàng hóa'!$F$4:$F$203,MATCH(B249,'Hàng hóa'!$B$4:$B$203,0)),"")</f>
        <v/>
      </c>
      <c r="H249" s="19">
        <f t="array" ref="H249">IFERROR(INDEX('Hàng hóa'!$G$4:$G$203,MATCH(B249,'Hàng hóa'!$B$4:$B$203,0)),0)</f>
        <v>0</v>
      </c>
      <c r="I249" s="7"/>
      <c r="J249" s="47">
        <f t="shared" si="1"/>
        <v>0</v>
      </c>
      <c r="K249" s="19">
        <f t="shared" si="2"/>
        <v>0</v>
      </c>
      <c r="L249" s="23"/>
      <c r="M249" s="23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43"/>
      <c r="B250" s="23"/>
      <c r="C250" s="37" t="str">
        <f t="array" ref="C250">IFERROR(INDEX('Hàng hóa'!$A$4:$A$203,MATCH(B250,'Hàng hóa'!$B$4:$B$203,0)),"")</f>
        <v/>
      </c>
      <c r="D250" s="37" t="str">
        <f t="array" ref="D250">IFERROR(INDEX('Hàng hóa'!$C$4:$C$203,MATCH(B250,'Hàng hóa'!$B$4:$B$203,0)),"")</f>
        <v/>
      </c>
      <c r="E250" s="44"/>
      <c r="F250" s="37">
        <f t="array" ref="F250">IFERROR(INDEX('Hàng hóa'!$E$4:$E$203,MATCH(B250,'Hàng hóa'!$B$4:$B$203,0)),0)</f>
        <v>0</v>
      </c>
      <c r="G250" s="37" t="str">
        <f t="array" ref="G250">IFERROR(INDEX('Hàng hóa'!$F$4:$F$203,MATCH(B250,'Hàng hóa'!$B$4:$B$203,0)),"")</f>
        <v/>
      </c>
      <c r="H250" s="19">
        <f t="array" ref="H250">IFERROR(INDEX('Hàng hóa'!$G$4:$G$203,MATCH(B250,'Hàng hóa'!$B$4:$B$203,0)),0)</f>
        <v>0</v>
      </c>
      <c r="I250" s="7"/>
      <c r="J250" s="47">
        <f t="shared" si="1"/>
        <v>0</v>
      </c>
      <c r="K250" s="19">
        <f t="shared" si="2"/>
        <v>0</v>
      </c>
      <c r="L250" s="23"/>
      <c r="M250" s="23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43"/>
      <c r="B251" s="23"/>
      <c r="C251" s="37" t="str">
        <f t="array" ref="C251">IFERROR(INDEX('Hàng hóa'!$A$4:$A$203,MATCH(B251,'Hàng hóa'!$B$4:$B$203,0)),"")</f>
        <v/>
      </c>
      <c r="D251" s="37" t="str">
        <f t="array" ref="D251">IFERROR(INDEX('Hàng hóa'!$C$4:$C$203,MATCH(B251,'Hàng hóa'!$B$4:$B$203,0)),"")</f>
        <v/>
      </c>
      <c r="E251" s="44"/>
      <c r="F251" s="37">
        <f t="array" ref="F251">IFERROR(INDEX('Hàng hóa'!$E$4:$E$203,MATCH(B251,'Hàng hóa'!$B$4:$B$203,0)),0)</f>
        <v>0</v>
      </c>
      <c r="G251" s="37" t="str">
        <f t="array" ref="G251">IFERROR(INDEX('Hàng hóa'!$F$4:$F$203,MATCH(B251,'Hàng hóa'!$B$4:$B$203,0)),"")</f>
        <v/>
      </c>
      <c r="H251" s="19">
        <f t="array" ref="H251">IFERROR(INDEX('Hàng hóa'!$G$4:$G$203,MATCH(B251,'Hàng hóa'!$B$4:$B$203,0)),0)</f>
        <v>0</v>
      </c>
      <c r="I251" s="7"/>
      <c r="J251" s="47">
        <f t="shared" si="1"/>
        <v>0</v>
      </c>
      <c r="K251" s="19">
        <f t="shared" si="2"/>
        <v>0</v>
      </c>
      <c r="L251" s="23"/>
      <c r="M251" s="23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43"/>
      <c r="B252" s="23"/>
      <c r="C252" s="37" t="str">
        <f t="array" ref="C252">IFERROR(INDEX('Hàng hóa'!$A$4:$A$203,MATCH(B252,'Hàng hóa'!$B$4:$B$203,0)),"")</f>
        <v/>
      </c>
      <c r="D252" s="37" t="str">
        <f t="array" ref="D252">IFERROR(INDEX('Hàng hóa'!$C$4:$C$203,MATCH(B252,'Hàng hóa'!$B$4:$B$203,0)),"")</f>
        <v/>
      </c>
      <c r="E252" s="44"/>
      <c r="F252" s="37">
        <f t="array" ref="F252">IFERROR(INDEX('Hàng hóa'!$E$4:$E$203,MATCH(B252,'Hàng hóa'!$B$4:$B$203,0)),0)</f>
        <v>0</v>
      </c>
      <c r="G252" s="37" t="str">
        <f t="array" ref="G252">IFERROR(INDEX('Hàng hóa'!$F$4:$F$203,MATCH(B252,'Hàng hóa'!$B$4:$B$203,0)),"")</f>
        <v/>
      </c>
      <c r="H252" s="19">
        <f t="array" ref="H252">IFERROR(INDEX('Hàng hóa'!$G$4:$G$203,MATCH(B252,'Hàng hóa'!$B$4:$B$203,0)),0)</f>
        <v>0</v>
      </c>
      <c r="I252" s="7"/>
      <c r="J252" s="47">
        <f t="shared" si="1"/>
        <v>0</v>
      </c>
      <c r="K252" s="19">
        <f t="shared" si="2"/>
        <v>0</v>
      </c>
      <c r="L252" s="23"/>
      <c r="M252" s="23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43"/>
      <c r="B253" s="23"/>
      <c r="C253" s="37" t="str">
        <f t="array" ref="C253">IFERROR(INDEX('Hàng hóa'!$A$4:$A$203,MATCH(B253,'Hàng hóa'!$B$4:$B$203,0)),"")</f>
        <v/>
      </c>
      <c r="D253" s="37" t="str">
        <f t="array" ref="D253">IFERROR(INDEX('Hàng hóa'!$C$4:$C$203,MATCH(B253,'Hàng hóa'!$B$4:$B$203,0)),"")</f>
        <v/>
      </c>
      <c r="E253" s="44"/>
      <c r="F253" s="37">
        <f t="array" ref="F253">IFERROR(INDEX('Hàng hóa'!$E$4:$E$203,MATCH(B253,'Hàng hóa'!$B$4:$B$203,0)),0)</f>
        <v>0</v>
      </c>
      <c r="G253" s="37" t="str">
        <f t="array" ref="G253">IFERROR(INDEX('Hàng hóa'!$F$4:$F$203,MATCH(B253,'Hàng hóa'!$B$4:$B$203,0)),"")</f>
        <v/>
      </c>
      <c r="H253" s="19">
        <f t="array" ref="H253">IFERROR(INDEX('Hàng hóa'!$G$4:$G$203,MATCH(B253,'Hàng hóa'!$B$4:$B$203,0)),0)</f>
        <v>0</v>
      </c>
      <c r="I253" s="7"/>
      <c r="J253" s="47">
        <f t="shared" si="1"/>
        <v>0</v>
      </c>
      <c r="K253" s="19">
        <f t="shared" si="2"/>
        <v>0</v>
      </c>
      <c r="L253" s="23"/>
      <c r="M253" s="23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43"/>
      <c r="B254" s="23"/>
      <c r="C254" s="37" t="str">
        <f t="array" ref="C254">IFERROR(INDEX('Hàng hóa'!$A$4:$A$203,MATCH(B254,'Hàng hóa'!$B$4:$B$203,0)),"")</f>
        <v/>
      </c>
      <c r="D254" s="37" t="str">
        <f t="array" ref="D254">IFERROR(INDEX('Hàng hóa'!$C$4:$C$203,MATCH(B254,'Hàng hóa'!$B$4:$B$203,0)),"")</f>
        <v/>
      </c>
      <c r="E254" s="44"/>
      <c r="F254" s="37">
        <f t="array" ref="F254">IFERROR(INDEX('Hàng hóa'!$E$4:$E$203,MATCH(B254,'Hàng hóa'!$B$4:$B$203,0)),0)</f>
        <v>0</v>
      </c>
      <c r="G254" s="37" t="str">
        <f t="array" ref="G254">IFERROR(INDEX('Hàng hóa'!$F$4:$F$203,MATCH(B254,'Hàng hóa'!$B$4:$B$203,0)),"")</f>
        <v/>
      </c>
      <c r="H254" s="19">
        <f t="array" ref="H254">IFERROR(INDEX('Hàng hóa'!$G$4:$G$203,MATCH(B254,'Hàng hóa'!$B$4:$B$203,0)),0)</f>
        <v>0</v>
      </c>
      <c r="I254" s="7"/>
      <c r="J254" s="47">
        <f t="shared" si="1"/>
        <v>0</v>
      </c>
      <c r="K254" s="19">
        <f t="shared" si="2"/>
        <v>0</v>
      </c>
      <c r="L254" s="23"/>
      <c r="M254" s="23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43"/>
      <c r="B255" s="23"/>
      <c r="C255" s="37" t="str">
        <f t="array" ref="C255">IFERROR(INDEX('Hàng hóa'!$A$4:$A$203,MATCH(B255,'Hàng hóa'!$B$4:$B$203,0)),"")</f>
        <v/>
      </c>
      <c r="D255" s="37" t="str">
        <f t="array" ref="D255">IFERROR(INDEX('Hàng hóa'!$C$4:$C$203,MATCH(B255,'Hàng hóa'!$B$4:$B$203,0)),"")</f>
        <v/>
      </c>
      <c r="E255" s="44"/>
      <c r="F255" s="37">
        <f t="array" ref="F255">IFERROR(INDEX('Hàng hóa'!$E$4:$E$203,MATCH(B255,'Hàng hóa'!$B$4:$B$203,0)),0)</f>
        <v>0</v>
      </c>
      <c r="G255" s="37" t="str">
        <f t="array" ref="G255">IFERROR(INDEX('Hàng hóa'!$F$4:$F$203,MATCH(B255,'Hàng hóa'!$B$4:$B$203,0)),"")</f>
        <v/>
      </c>
      <c r="H255" s="19">
        <f t="array" ref="H255">IFERROR(INDEX('Hàng hóa'!$G$4:$G$203,MATCH(B255,'Hàng hóa'!$B$4:$B$203,0)),0)</f>
        <v>0</v>
      </c>
      <c r="I255" s="7"/>
      <c r="J255" s="47">
        <f t="shared" si="1"/>
        <v>0</v>
      </c>
      <c r="K255" s="19">
        <f t="shared" si="2"/>
        <v>0</v>
      </c>
      <c r="L255" s="23"/>
      <c r="M255" s="23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43"/>
      <c r="B256" s="23"/>
      <c r="C256" s="37" t="str">
        <f t="array" ref="C256">IFERROR(INDEX('Hàng hóa'!$A$4:$A$203,MATCH(B256,'Hàng hóa'!$B$4:$B$203,0)),"")</f>
        <v/>
      </c>
      <c r="D256" s="37" t="str">
        <f t="array" ref="D256">IFERROR(INDEX('Hàng hóa'!$C$4:$C$203,MATCH(B256,'Hàng hóa'!$B$4:$B$203,0)),"")</f>
        <v/>
      </c>
      <c r="E256" s="44"/>
      <c r="F256" s="37">
        <f t="array" ref="F256">IFERROR(INDEX('Hàng hóa'!$E$4:$E$203,MATCH(B256,'Hàng hóa'!$B$4:$B$203,0)),0)</f>
        <v>0</v>
      </c>
      <c r="G256" s="37" t="str">
        <f t="array" ref="G256">IFERROR(INDEX('Hàng hóa'!$F$4:$F$203,MATCH(B256,'Hàng hóa'!$B$4:$B$203,0)),"")</f>
        <v/>
      </c>
      <c r="H256" s="19">
        <f t="array" ref="H256">IFERROR(INDEX('Hàng hóa'!$G$4:$G$203,MATCH(B256,'Hàng hóa'!$B$4:$B$203,0)),0)</f>
        <v>0</v>
      </c>
      <c r="I256" s="7"/>
      <c r="J256" s="47">
        <f t="shared" si="1"/>
        <v>0</v>
      </c>
      <c r="K256" s="19">
        <f t="shared" si="2"/>
        <v>0</v>
      </c>
      <c r="L256" s="23"/>
      <c r="M256" s="23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43"/>
      <c r="B257" s="23"/>
      <c r="C257" s="37" t="str">
        <f t="array" ref="C257">IFERROR(INDEX('Hàng hóa'!$A$4:$A$203,MATCH(B257,'Hàng hóa'!$B$4:$B$203,0)),"")</f>
        <v/>
      </c>
      <c r="D257" s="37" t="str">
        <f t="array" ref="D257">IFERROR(INDEX('Hàng hóa'!$C$4:$C$203,MATCH(B257,'Hàng hóa'!$B$4:$B$203,0)),"")</f>
        <v/>
      </c>
      <c r="E257" s="44"/>
      <c r="F257" s="37">
        <f t="array" ref="F257">IFERROR(INDEX('Hàng hóa'!$E$4:$E$203,MATCH(B257,'Hàng hóa'!$B$4:$B$203,0)),0)</f>
        <v>0</v>
      </c>
      <c r="G257" s="37" t="str">
        <f t="array" ref="G257">IFERROR(INDEX('Hàng hóa'!$F$4:$F$203,MATCH(B257,'Hàng hóa'!$B$4:$B$203,0)),"")</f>
        <v/>
      </c>
      <c r="H257" s="19">
        <f t="array" ref="H257">IFERROR(INDEX('Hàng hóa'!$G$4:$G$203,MATCH(B257,'Hàng hóa'!$B$4:$B$203,0)),0)</f>
        <v>0</v>
      </c>
      <c r="I257" s="7"/>
      <c r="J257" s="47">
        <f t="shared" si="1"/>
        <v>0</v>
      </c>
      <c r="K257" s="19">
        <f t="shared" si="2"/>
        <v>0</v>
      </c>
      <c r="L257" s="23"/>
      <c r="M257" s="23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43"/>
      <c r="B258" s="23"/>
      <c r="C258" s="37" t="str">
        <f t="array" ref="C258">IFERROR(INDEX('Hàng hóa'!$A$4:$A$203,MATCH(B258,'Hàng hóa'!$B$4:$B$203,0)),"")</f>
        <v/>
      </c>
      <c r="D258" s="37" t="str">
        <f t="array" ref="D258">IFERROR(INDEX('Hàng hóa'!$C$4:$C$203,MATCH(B258,'Hàng hóa'!$B$4:$B$203,0)),"")</f>
        <v/>
      </c>
      <c r="E258" s="44"/>
      <c r="F258" s="37">
        <f t="array" ref="F258">IFERROR(INDEX('Hàng hóa'!$E$4:$E$203,MATCH(B258,'Hàng hóa'!$B$4:$B$203,0)),0)</f>
        <v>0</v>
      </c>
      <c r="G258" s="37" t="str">
        <f t="array" ref="G258">IFERROR(INDEX('Hàng hóa'!$F$4:$F$203,MATCH(B258,'Hàng hóa'!$B$4:$B$203,0)),"")</f>
        <v/>
      </c>
      <c r="H258" s="19">
        <f t="array" ref="H258">IFERROR(INDEX('Hàng hóa'!$G$4:$G$203,MATCH(B258,'Hàng hóa'!$B$4:$B$203,0)),0)</f>
        <v>0</v>
      </c>
      <c r="I258" s="7"/>
      <c r="J258" s="47">
        <f t="shared" si="1"/>
        <v>0</v>
      </c>
      <c r="K258" s="19">
        <f t="shared" si="2"/>
        <v>0</v>
      </c>
      <c r="L258" s="23"/>
      <c r="M258" s="23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43"/>
      <c r="B259" s="23"/>
      <c r="C259" s="37" t="str">
        <f t="array" ref="C259">IFERROR(INDEX('Hàng hóa'!$A$4:$A$203,MATCH(B259,'Hàng hóa'!$B$4:$B$203,0)),"")</f>
        <v/>
      </c>
      <c r="D259" s="37" t="str">
        <f t="array" ref="D259">IFERROR(INDEX('Hàng hóa'!$C$4:$C$203,MATCH(B259,'Hàng hóa'!$B$4:$B$203,0)),"")</f>
        <v/>
      </c>
      <c r="E259" s="44"/>
      <c r="F259" s="37">
        <f t="array" ref="F259">IFERROR(INDEX('Hàng hóa'!$E$4:$E$203,MATCH(B259,'Hàng hóa'!$B$4:$B$203,0)),0)</f>
        <v>0</v>
      </c>
      <c r="G259" s="37" t="str">
        <f t="array" ref="G259">IFERROR(INDEX('Hàng hóa'!$F$4:$F$203,MATCH(B259,'Hàng hóa'!$B$4:$B$203,0)),"")</f>
        <v/>
      </c>
      <c r="H259" s="19">
        <f t="array" ref="H259">IFERROR(INDEX('Hàng hóa'!$G$4:$G$203,MATCH(B259,'Hàng hóa'!$B$4:$B$203,0)),0)</f>
        <v>0</v>
      </c>
      <c r="I259" s="7"/>
      <c r="J259" s="47">
        <f t="shared" si="1"/>
        <v>0</v>
      </c>
      <c r="K259" s="19">
        <f t="shared" si="2"/>
        <v>0</v>
      </c>
      <c r="L259" s="23"/>
      <c r="M259" s="23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43"/>
      <c r="B260" s="23"/>
      <c r="C260" s="37" t="str">
        <f t="array" ref="C260">IFERROR(INDEX('Hàng hóa'!$A$4:$A$203,MATCH(B260,'Hàng hóa'!$B$4:$B$203,0)),"")</f>
        <v/>
      </c>
      <c r="D260" s="37" t="str">
        <f t="array" ref="D260">IFERROR(INDEX('Hàng hóa'!$C$4:$C$203,MATCH(B260,'Hàng hóa'!$B$4:$B$203,0)),"")</f>
        <v/>
      </c>
      <c r="E260" s="44"/>
      <c r="F260" s="37">
        <f t="array" ref="F260">IFERROR(INDEX('Hàng hóa'!$E$4:$E$203,MATCH(B260,'Hàng hóa'!$B$4:$B$203,0)),0)</f>
        <v>0</v>
      </c>
      <c r="G260" s="37" t="str">
        <f t="array" ref="G260">IFERROR(INDEX('Hàng hóa'!$F$4:$F$203,MATCH(B260,'Hàng hóa'!$B$4:$B$203,0)),"")</f>
        <v/>
      </c>
      <c r="H260" s="19">
        <f t="array" ref="H260">IFERROR(INDEX('Hàng hóa'!$G$4:$G$203,MATCH(B260,'Hàng hóa'!$B$4:$B$203,0)),0)</f>
        <v>0</v>
      </c>
      <c r="I260" s="7"/>
      <c r="J260" s="47">
        <f t="shared" si="1"/>
        <v>0</v>
      </c>
      <c r="K260" s="19">
        <f t="shared" si="2"/>
        <v>0</v>
      </c>
      <c r="L260" s="23"/>
      <c r="M260" s="23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43"/>
      <c r="B261" s="23"/>
      <c r="C261" s="37" t="str">
        <f t="array" ref="C261">IFERROR(INDEX('Hàng hóa'!$A$4:$A$203,MATCH(B261,'Hàng hóa'!$B$4:$B$203,0)),"")</f>
        <v/>
      </c>
      <c r="D261" s="37" t="str">
        <f t="array" ref="D261">IFERROR(INDEX('Hàng hóa'!$C$4:$C$203,MATCH(B261,'Hàng hóa'!$B$4:$B$203,0)),"")</f>
        <v/>
      </c>
      <c r="E261" s="44"/>
      <c r="F261" s="37">
        <f t="array" ref="F261">IFERROR(INDEX('Hàng hóa'!$E$4:$E$203,MATCH(B261,'Hàng hóa'!$B$4:$B$203,0)),0)</f>
        <v>0</v>
      </c>
      <c r="G261" s="37" t="str">
        <f t="array" ref="G261">IFERROR(INDEX('Hàng hóa'!$F$4:$F$203,MATCH(B261,'Hàng hóa'!$B$4:$B$203,0)),"")</f>
        <v/>
      </c>
      <c r="H261" s="19">
        <f t="array" ref="H261">IFERROR(INDEX('Hàng hóa'!$G$4:$G$203,MATCH(B261,'Hàng hóa'!$B$4:$B$203,0)),0)</f>
        <v>0</v>
      </c>
      <c r="I261" s="7"/>
      <c r="J261" s="47">
        <f t="shared" si="1"/>
        <v>0</v>
      </c>
      <c r="K261" s="19">
        <f t="shared" si="2"/>
        <v>0</v>
      </c>
      <c r="L261" s="23"/>
      <c r="M261" s="23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43"/>
      <c r="B262" s="23"/>
      <c r="C262" s="37" t="str">
        <f t="array" ref="C262">IFERROR(INDEX('Hàng hóa'!$A$4:$A$203,MATCH(B262,'Hàng hóa'!$B$4:$B$203,0)),"")</f>
        <v/>
      </c>
      <c r="D262" s="37" t="str">
        <f t="array" ref="D262">IFERROR(INDEX('Hàng hóa'!$C$4:$C$203,MATCH(B262,'Hàng hóa'!$B$4:$B$203,0)),"")</f>
        <v/>
      </c>
      <c r="E262" s="44"/>
      <c r="F262" s="37">
        <f t="array" ref="F262">IFERROR(INDEX('Hàng hóa'!$E$4:$E$203,MATCH(B262,'Hàng hóa'!$B$4:$B$203,0)),0)</f>
        <v>0</v>
      </c>
      <c r="G262" s="37" t="str">
        <f t="array" ref="G262">IFERROR(INDEX('Hàng hóa'!$F$4:$F$203,MATCH(B262,'Hàng hóa'!$B$4:$B$203,0)),"")</f>
        <v/>
      </c>
      <c r="H262" s="19">
        <f t="array" ref="H262">IFERROR(INDEX('Hàng hóa'!$G$4:$G$203,MATCH(B262,'Hàng hóa'!$B$4:$B$203,0)),0)</f>
        <v>0</v>
      </c>
      <c r="I262" s="7"/>
      <c r="J262" s="47">
        <f t="shared" si="1"/>
        <v>0</v>
      </c>
      <c r="K262" s="19">
        <f t="shared" si="2"/>
        <v>0</v>
      </c>
      <c r="L262" s="23"/>
      <c r="M262" s="23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43"/>
      <c r="B263" s="23"/>
      <c r="C263" s="37" t="str">
        <f t="array" ref="C263">IFERROR(INDEX('Hàng hóa'!$A$4:$A$203,MATCH(B263,'Hàng hóa'!$B$4:$B$203,0)),"")</f>
        <v/>
      </c>
      <c r="D263" s="37" t="str">
        <f t="array" ref="D263">IFERROR(INDEX('Hàng hóa'!$C$4:$C$203,MATCH(B263,'Hàng hóa'!$B$4:$B$203,0)),"")</f>
        <v/>
      </c>
      <c r="E263" s="44"/>
      <c r="F263" s="37">
        <f t="array" ref="F263">IFERROR(INDEX('Hàng hóa'!$E$4:$E$203,MATCH(B263,'Hàng hóa'!$B$4:$B$203,0)),0)</f>
        <v>0</v>
      </c>
      <c r="G263" s="37" t="str">
        <f t="array" ref="G263">IFERROR(INDEX('Hàng hóa'!$F$4:$F$203,MATCH(B263,'Hàng hóa'!$B$4:$B$203,0)),"")</f>
        <v/>
      </c>
      <c r="H263" s="19">
        <f t="array" ref="H263">IFERROR(INDEX('Hàng hóa'!$G$4:$G$203,MATCH(B263,'Hàng hóa'!$B$4:$B$203,0)),0)</f>
        <v>0</v>
      </c>
      <c r="I263" s="7"/>
      <c r="J263" s="47">
        <f t="shared" si="1"/>
        <v>0</v>
      </c>
      <c r="K263" s="19">
        <f t="shared" si="2"/>
        <v>0</v>
      </c>
      <c r="L263" s="23"/>
      <c r="M263" s="23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43"/>
      <c r="B264" s="23"/>
      <c r="C264" s="37" t="str">
        <f t="array" ref="C264">IFERROR(INDEX('Hàng hóa'!$A$4:$A$203,MATCH(B264,'Hàng hóa'!$B$4:$B$203,0)),"")</f>
        <v/>
      </c>
      <c r="D264" s="37" t="str">
        <f t="array" ref="D264">IFERROR(INDEX('Hàng hóa'!$C$4:$C$203,MATCH(B264,'Hàng hóa'!$B$4:$B$203,0)),"")</f>
        <v/>
      </c>
      <c r="E264" s="44"/>
      <c r="F264" s="37">
        <f t="array" ref="F264">IFERROR(INDEX('Hàng hóa'!$E$4:$E$203,MATCH(B264,'Hàng hóa'!$B$4:$B$203,0)),0)</f>
        <v>0</v>
      </c>
      <c r="G264" s="37" t="str">
        <f t="array" ref="G264">IFERROR(INDEX('Hàng hóa'!$F$4:$F$203,MATCH(B264,'Hàng hóa'!$B$4:$B$203,0)),"")</f>
        <v/>
      </c>
      <c r="H264" s="19">
        <f t="array" ref="H264">IFERROR(INDEX('Hàng hóa'!$G$4:$G$203,MATCH(B264,'Hàng hóa'!$B$4:$B$203,0)),0)</f>
        <v>0</v>
      </c>
      <c r="I264" s="7"/>
      <c r="J264" s="47">
        <f t="shared" si="1"/>
        <v>0</v>
      </c>
      <c r="K264" s="19">
        <f t="shared" si="2"/>
        <v>0</v>
      </c>
      <c r="L264" s="23"/>
      <c r="M264" s="23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43"/>
      <c r="B265" s="23"/>
      <c r="C265" s="37" t="str">
        <f t="array" ref="C265">IFERROR(INDEX('Hàng hóa'!$A$4:$A$203,MATCH(B265,'Hàng hóa'!$B$4:$B$203,0)),"")</f>
        <v/>
      </c>
      <c r="D265" s="37" t="str">
        <f t="array" ref="D265">IFERROR(INDEX('Hàng hóa'!$C$4:$C$203,MATCH(B265,'Hàng hóa'!$B$4:$B$203,0)),"")</f>
        <v/>
      </c>
      <c r="E265" s="44"/>
      <c r="F265" s="37">
        <f t="array" ref="F265">IFERROR(INDEX('Hàng hóa'!$E$4:$E$203,MATCH(B265,'Hàng hóa'!$B$4:$B$203,0)),0)</f>
        <v>0</v>
      </c>
      <c r="G265" s="37" t="str">
        <f t="array" ref="G265">IFERROR(INDEX('Hàng hóa'!$F$4:$F$203,MATCH(B265,'Hàng hóa'!$B$4:$B$203,0)),"")</f>
        <v/>
      </c>
      <c r="H265" s="19">
        <f t="array" ref="H265">IFERROR(INDEX('Hàng hóa'!$G$4:$G$203,MATCH(B265,'Hàng hóa'!$B$4:$B$203,0)),0)</f>
        <v>0</v>
      </c>
      <c r="I265" s="7"/>
      <c r="J265" s="47">
        <f t="shared" si="1"/>
        <v>0</v>
      </c>
      <c r="K265" s="19">
        <f t="shared" si="2"/>
        <v>0</v>
      </c>
      <c r="L265" s="23"/>
      <c r="M265" s="23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43"/>
      <c r="B266" s="23"/>
      <c r="C266" s="37" t="str">
        <f t="array" ref="C266">IFERROR(INDEX('Hàng hóa'!$A$4:$A$203,MATCH(B266,'Hàng hóa'!$B$4:$B$203,0)),"")</f>
        <v/>
      </c>
      <c r="D266" s="37" t="str">
        <f t="array" ref="D266">IFERROR(INDEX('Hàng hóa'!$C$4:$C$203,MATCH(B266,'Hàng hóa'!$B$4:$B$203,0)),"")</f>
        <v/>
      </c>
      <c r="E266" s="44"/>
      <c r="F266" s="37">
        <f t="array" ref="F266">IFERROR(INDEX('Hàng hóa'!$E$4:$E$203,MATCH(B266,'Hàng hóa'!$B$4:$B$203,0)),0)</f>
        <v>0</v>
      </c>
      <c r="G266" s="37" t="str">
        <f t="array" ref="G266">IFERROR(INDEX('Hàng hóa'!$F$4:$F$203,MATCH(B266,'Hàng hóa'!$B$4:$B$203,0)),"")</f>
        <v/>
      </c>
      <c r="H266" s="19">
        <f t="array" ref="H266">IFERROR(INDEX('Hàng hóa'!$G$4:$G$203,MATCH(B266,'Hàng hóa'!$B$4:$B$203,0)),0)</f>
        <v>0</v>
      </c>
      <c r="I266" s="7"/>
      <c r="J266" s="47">
        <f t="shared" si="1"/>
        <v>0</v>
      </c>
      <c r="K266" s="19">
        <f t="shared" si="2"/>
        <v>0</v>
      </c>
      <c r="L266" s="23"/>
      <c r="M266" s="23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43"/>
      <c r="B267" s="23"/>
      <c r="C267" s="37" t="str">
        <f t="array" ref="C267">IFERROR(INDEX('Hàng hóa'!$A$4:$A$203,MATCH(B267,'Hàng hóa'!$B$4:$B$203,0)),"")</f>
        <v/>
      </c>
      <c r="D267" s="37" t="str">
        <f t="array" ref="D267">IFERROR(INDEX('Hàng hóa'!$C$4:$C$203,MATCH(B267,'Hàng hóa'!$B$4:$B$203,0)),"")</f>
        <v/>
      </c>
      <c r="E267" s="44"/>
      <c r="F267" s="37">
        <f t="array" ref="F267">IFERROR(INDEX('Hàng hóa'!$E$4:$E$203,MATCH(B267,'Hàng hóa'!$B$4:$B$203,0)),0)</f>
        <v>0</v>
      </c>
      <c r="G267" s="37" t="str">
        <f t="array" ref="G267">IFERROR(INDEX('Hàng hóa'!$F$4:$F$203,MATCH(B267,'Hàng hóa'!$B$4:$B$203,0)),"")</f>
        <v/>
      </c>
      <c r="H267" s="19">
        <f t="array" ref="H267">IFERROR(INDEX('Hàng hóa'!$G$4:$G$203,MATCH(B267,'Hàng hóa'!$B$4:$B$203,0)),0)</f>
        <v>0</v>
      </c>
      <c r="I267" s="7"/>
      <c r="J267" s="47">
        <f t="shared" si="1"/>
        <v>0</v>
      </c>
      <c r="K267" s="19">
        <f t="shared" si="2"/>
        <v>0</v>
      </c>
      <c r="L267" s="23"/>
      <c r="M267" s="23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43"/>
      <c r="B268" s="23"/>
      <c r="C268" s="37" t="str">
        <f t="array" ref="C268">IFERROR(INDEX('Hàng hóa'!$A$4:$A$203,MATCH(B268,'Hàng hóa'!$B$4:$B$203,0)),"")</f>
        <v/>
      </c>
      <c r="D268" s="37" t="str">
        <f t="array" ref="D268">IFERROR(INDEX('Hàng hóa'!$C$4:$C$203,MATCH(B268,'Hàng hóa'!$B$4:$B$203,0)),"")</f>
        <v/>
      </c>
      <c r="E268" s="44"/>
      <c r="F268" s="37">
        <f t="array" ref="F268">IFERROR(INDEX('Hàng hóa'!$E$4:$E$203,MATCH(B268,'Hàng hóa'!$B$4:$B$203,0)),0)</f>
        <v>0</v>
      </c>
      <c r="G268" s="37" t="str">
        <f t="array" ref="G268">IFERROR(INDEX('Hàng hóa'!$F$4:$F$203,MATCH(B268,'Hàng hóa'!$B$4:$B$203,0)),"")</f>
        <v/>
      </c>
      <c r="H268" s="19">
        <f t="array" ref="H268">IFERROR(INDEX('Hàng hóa'!$G$4:$G$203,MATCH(B268,'Hàng hóa'!$B$4:$B$203,0)),0)</f>
        <v>0</v>
      </c>
      <c r="I268" s="7"/>
      <c r="J268" s="47">
        <f t="shared" si="1"/>
        <v>0</v>
      </c>
      <c r="K268" s="19">
        <f t="shared" si="2"/>
        <v>0</v>
      </c>
      <c r="L268" s="23"/>
      <c r="M268" s="23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43"/>
      <c r="B269" s="23"/>
      <c r="C269" s="37" t="str">
        <f t="array" ref="C269">IFERROR(INDEX('Hàng hóa'!$A$4:$A$203,MATCH(B269,'Hàng hóa'!$B$4:$B$203,0)),"")</f>
        <v/>
      </c>
      <c r="D269" s="37" t="str">
        <f t="array" ref="D269">IFERROR(INDEX('Hàng hóa'!$C$4:$C$203,MATCH(B269,'Hàng hóa'!$B$4:$B$203,0)),"")</f>
        <v/>
      </c>
      <c r="E269" s="44"/>
      <c r="F269" s="37">
        <f t="array" ref="F269">IFERROR(INDEX('Hàng hóa'!$E$4:$E$203,MATCH(B269,'Hàng hóa'!$B$4:$B$203,0)),0)</f>
        <v>0</v>
      </c>
      <c r="G269" s="37" t="str">
        <f t="array" ref="G269">IFERROR(INDEX('Hàng hóa'!$F$4:$F$203,MATCH(B269,'Hàng hóa'!$B$4:$B$203,0)),"")</f>
        <v/>
      </c>
      <c r="H269" s="19">
        <f t="array" ref="H269">IFERROR(INDEX('Hàng hóa'!$G$4:$G$203,MATCH(B269,'Hàng hóa'!$B$4:$B$203,0)),0)</f>
        <v>0</v>
      </c>
      <c r="I269" s="7"/>
      <c r="J269" s="47">
        <f t="shared" si="1"/>
        <v>0</v>
      </c>
      <c r="K269" s="19">
        <f t="shared" si="2"/>
        <v>0</v>
      </c>
      <c r="L269" s="23"/>
      <c r="M269" s="23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43"/>
      <c r="B270" s="23"/>
      <c r="C270" s="37" t="str">
        <f t="array" ref="C270">IFERROR(INDEX('Hàng hóa'!$A$4:$A$203,MATCH(B270,'Hàng hóa'!$B$4:$B$203,0)),"")</f>
        <v/>
      </c>
      <c r="D270" s="37" t="str">
        <f t="array" ref="D270">IFERROR(INDEX('Hàng hóa'!$C$4:$C$203,MATCH(B270,'Hàng hóa'!$B$4:$B$203,0)),"")</f>
        <v/>
      </c>
      <c r="E270" s="44"/>
      <c r="F270" s="37">
        <f t="array" ref="F270">IFERROR(INDEX('Hàng hóa'!$E$4:$E$203,MATCH(B270,'Hàng hóa'!$B$4:$B$203,0)),0)</f>
        <v>0</v>
      </c>
      <c r="G270" s="37" t="str">
        <f t="array" ref="G270">IFERROR(INDEX('Hàng hóa'!$F$4:$F$203,MATCH(B270,'Hàng hóa'!$B$4:$B$203,0)),"")</f>
        <v/>
      </c>
      <c r="H270" s="19">
        <f t="array" ref="H270">IFERROR(INDEX('Hàng hóa'!$G$4:$G$203,MATCH(B270,'Hàng hóa'!$B$4:$B$203,0)),0)</f>
        <v>0</v>
      </c>
      <c r="I270" s="7"/>
      <c r="J270" s="47">
        <f t="shared" si="1"/>
        <v>0</v>
      </c>
      <c r="K270" s="19">
        <f t="shared" si="2"/>
        <v>0</v>
      </c>
      <c r="L270" s="23"/>
      <c r="M270" s="23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43"/>
      <c r="B271" s="23"/>
      <c r="C271" s="37" t="str">
        <f t="array" ref="C271">IFERROR(INDEX('Hàng hóa'!$A$4:$A$203,MATCH(B271,'Hàng hóa'!$B$4:$B$203,0)),"")</f>
        <v/>
      </c>
      <c r="D271" s="37" t="str">
        <f t="array" ref="D271">IFERROR(INDEX('Hàng hóa'!$C$4:$C$203,MATCH(B271,'Hàng hóa'!$B$4:$B$203,0)),"")</f>
        <v/>
      </c>
      <c r="E271" s="44"/>
      <c r="F271" s="37">
        <f t="array" ref="F271">IFERROR(INDEX('Hàng hóa'!$E$4:$E$203,MATCH(B271,'Hàng hóa'!$B$4:$B$203,0)),0)</f>
        <v>0</v>
      </c>
      <c r="G271" s="37" t="str">
        <f t="array" ref="G271">IFERROR(INDEX('Hàng hóa'!$F$4:$F$203,MATCH(B271,'Hàng hóa'!$B$4:$B$203,0)),"")</f>
        <v/>
      </c>
      <c r="H271" s="19">
        <f t="array" ref="H271">IFERROR(INDEX('Hàng hóa'!$G$4:$G$203,MATCH(B271,'Hàng hóa'!$B$4:$B$203,0)),0)</f>
        <v>0</v>
      </c>
      <c r="I271" s="7"/>
      <c r="J271" s="47">
        <f t="shared" si="1"/>
        <v>0</v>
      </c>
      <c r="K271" s="19">
        <f t="shared" si="2"/>
        <v>0</v>
      </c>
      <c r="L271" s="23"/>
      <c r="M271" s="23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43"/>
      <c r="B272" s="23"/>
      <c r="C272" s="37" t="str">
        <f t="array" ref="C272">IFERROR(INDEX('Hàng hóa'!$A$4:$A$203,MATCH(B272,'Hàng hóa'!$B$4:$B$203,0)),"")</f>
        <v/>
      </c>
      <c r="D272" s="37" t="str">
        <f t="array" ref="D272">IFERROR(INDEX('Hàng hóa'!$C$4:$C$203,MATCH(B272,'Hàng hóa'!$B$4:$B$203,0)),"")</f>
        <v/>
      </c>
      <c r="E272" s="44"/>
      <c r="F272" s="37">
        <f t="array" ref="F272">IFERROR(INDEX('Hàng hóa'!$E$4:$E$203,MATCH(B272,'Hàng hóa'!$B$4:$B$203,0)),0)</f>
        <v>0</v>
      </c>
      <c r="G272" s="37" t="str">
        <f t="array" ref="G272">IFERROR(INDEX('Hàng hóa'!$F$4:$F$203,MATCH(B272,'Hàng hóa'!$B$4:$B$203,0)),"")</f>
        <v/>
      </c>
      <c r="H272" s="19">
        <f t="array" ref="H272">IFERROR(INDEX('Hàng hóa'!$G$4:$G$203,MATCH(B272,'Hàng hóa'!$B$4:$B$203,0)),0)</f>
        <v>0</v>
      </c>
      <c r="I272" s="7"/>
      <c r="J272" s="47">
        <f t="shared" si="1"/>
        <v>0</v>
      </c>
      <c r="K272" s="19">
        <f t="shared" si="2"/>
        <v>0</v>
      </c>
      <c r="L272" s="23"/>
      <c r="M272" s="23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43"/>
      <c r="B273" s="23"/>
      <c r="C273" s="37" t="str">
        <f t="array" ref="C273">IFERROR(INDEX('Hàng hóa'!$A$4:$A$203,MATCH(B273,'Hàng hóa'!$B$4:$B$203,0)),"")</f>
        <v/>
      </c>
      <c r="D273" s="37" t="str">
        <f t="array" ref="D273">IFERROR(INDEX('Hàng hóa'!$C$4:$C$203,MATCH(B273,'Hàng hóa'!$B$4:$B$203,0)),"")</f>
        <v/>
      </c>
      <c r="E273" s="44"/>
      <c r="F273" s="37">
        <f t="array" ref="F273">IFERROR(INDEX('Hàng hóa'!$E$4:$E$203,MATCH(B273,'Hàng hóa'!$B$4:$B$203,0)),0)</f>
        <v>0</v>
      </c>
      <c r="G273" s="37" t="str">
        <f t="array" ref="G273">IFERROR(INDEX('Hàng hóa'!$F$4:$F$203,MATCH(B273,'Hàng hóa'!$B$4:$B$203,0)),"")</f>
        <v/>
      </c>
      <c r="H273" s="19">
        <f t="array" ref="H273">IFERROR(INDEX('Hàng hóa'!$G$4:$G$203,MATCH(B273,'Hàng hóa'!$B$4:$B$203,0)),0)</f>
        <v>0</v>
      </c>
      <c r="I273" s="7"/>
      <c r="J273" s="47">
        <f t="shared" si="1"/>
        <v>0</v>
      </c>
      <c r="K273" s="19">
        <f t="shared" si="2"/>
        <v>0</v>
      </c>
      <c r="L273" s="23"/>
      <c r="M273" s="23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43"/>
      <c r="B274" s="23"/>
      <c r="C274" s="37" t="str">
        <f t="array" ref="C274">IFERROR(INDEX('Hàng hóa'!$A$4:$A$203,MATCH(B274,'Hàng hóa'!$B$4:$B$203,0)),"")</f>
        <v/>
      </c>
      <c r="D274" s="37" t="str">
        <f t="array" ref="D274">IFERROR(INDEX('Hàng hóa'!$C$4:$C$203,MATCH(B274,'Hàng hóa'!$B$4:$B$203,0)),"")</f>
        <v/>
      </c>
      <c r="E274" s="44"/>
      <c r="F274" s="37">
        <f t="array" ref="F274">IFERROR(INDEX('Hàng hóa'!$E$4:$E$203,MATCH(B274,'Hàng hóa'!$B$4:$B$203,0)),0)</f>
        <v>0</v>
      </c>
      <c r="G274" s="37" t="str">
        <f t="array" ref="G274">IFERROR(INDEX('Hàng hóa'!$F$4:$F$203,MATCH(B274,'Hàng hóa'!$B$4:$B$203,0)),"")</f>
        <v/>
      </c>
      <c r="H274" s="19">
        <f t="array" ref="H274">IFERROR(INDEX('Hàng hóa'!$G$4:$G$203,MATCH(B274,'Hàng hóa'!$B$4:$B$203,0)),0)</f>
        <v>0</v>
      </c>
      <c r="I274" s="7"/>
      <c r="J274" s="47">
        <f t="shared" si="1"/>
        <v>0</v>
      </c>
      <c r="K274" s="19">
        <f t="shared" si="2"/>
        <v>0</v>
      </c>
      <c r="L274" s="23"/>
      <c r="M274" s="23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43"/>
      <c r="B275" s="23"/>
      <c r="C275" s="37" t="str">
        <f t="array" ref="C275">IFERROR(INDEX('Hàng hóa'!$A$4:$A$203,MATCH(B275,'Hàng hóa'!$B$4:$B$203,0)),"")</f>
        <v/>
      </c>
      <c r="D275" s="37" t="str">
        <f t="array" ref="D275">IFERROR(INDEX('Hàng hóa'!$C$4:$C$203,MATCH(B275,'Hàng hóa'!$B$4:$B$203,0)),"")</f>
        <v/>
      </c>
      <c r="E275" s="44"/>
      <c r="F275" s="37">
        <f t="array" ref="F275">IFERROR(INDEX('Hàng hóa'!$E$4:$E$203,MATCH(B275,'Hàng hóa'!$B$4:$B$203,0)),0)</f>
        <v>0</v>
      </c>
      <c r="G275" s="37" t="str">
        <f t="array" ref="G275">IFERROR(INDEX('Hàng hóa'!$F$4:$F$203,MATCH(B275,'Hàng hóa'!$B$4:$B$203,0)),"")</f>
        <v/>
      </c>
      <c r="H275" s="19">
        <f t="array" ref="H275">IFERROR(INDEX('Hàng hóa'!$G$4:$G$203,MATCH(B275,'Hàng hóa'!$B$4:$B$203,0)),0)</f>
        <v>0</v>
      </c>
      <c r="I275" s="7"/>
      <c r="J275" s="47">
        <f t="shared" si="1"/>
        <v>0</v>
      </c>
      <c r="K275" s="19">
        <f t="shared" si="2"/>
        <v>0</v>
      </c>
      <c r="L275" s="23"/>
      <c r="M275" s="23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43"/>
      <c r="B276" s="23"/>
      <c r="C276" s="37" t="str">
        <f t="array" ref="C276">IFERROR(INDEX('Hàng hóa'!$A$4:$A$203,MATCH(B276,'Hàng hóa'!$B$4:$B$203,0)),"")</f>
        <v/>
      </c>
      <c r="D276" s="37" t="str">
        <f t="array" ref="D276">IFERROR(INDEX('Hàng hóa'!$C$4:$C$203,MATCH(B276,'Hàng hóa'!$B$4:$B$203,0)),"")</f>
        <v/>
      </c>
      <c r="E276" s="44"/>
      <c r="F276" s="37">
        <f t="array" ref="F276">IFERROR(INDEX('Hàng hóa'!$E$4:$E$203,MATCH(B276,'Hàng hóa'!$B$4:$B$203,0)),0)</f>
        <v>0</v>
      </c>
      <c r="G276" s="37" t="str">
        <f t="array" ref="G276">IFERROR(INDEX('Hàng hóa'!$F$4:$F$203,MATCH(B276,'Hàng hóa'!$B$4:$B$203,0)),"")</f>
        <v/>
      </c>
      <c r="H276" s="19">
        <f t="array" ref="H276">IFERROR(INDEX('Hàng hóa'!$G$4:$G$203,MATCH(B276,'Hàng hóa'!$B$4:$B$203,0)),0)</f>
        <v>0</v>
      </c>
      <c r="I276" s="7"/>
      <c r="J276" s="47">
        <f t="shared" si="1"/>
        <v>0</v>
      </c>
      <c r="K276" s="19">
        <f t="shared" si="2"/>
        <v>0</v>
      </c>
      <c r="L276" s="23"/>
      <c r="M276" s="23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43"/>
      <c r="B277" s="23"/>
      <c r="C277" s="37" t="str">
        <f t="array" ref="C277">IFERROR(INDEX('Hàng hóa'!$A$4:$A$203,MATCH(B277,'Hàng hóa'!$B$4:$B$203,0)),"")</f>
        <v/>
      </c>
      <c r="D277" s="37" t="str">
        <f t="array" ref="D277">IFERROR(INDEX('Hàng hóa'!$C$4:$C$203,MATCH(B277,'Hàng hóa'!$B$4:$B$203,0)),"")</f>
        <v/>
      </c>
      <c r="E277" s="44"/>
      <c r="F277" s="37">
        <f t="array" ref="F277">IFERROR(INDEX('Hàng hóa'!$E$4:$E$203,MATCH(B277,'Hàng hóa'!$B$4:$B$203,0)),0)</f>
        <v>0</v>
      </c>
      <c r="G277" s="37" t="str">
        <f t="array" ref="G277">IFERROR(INDEX('Hàng hóa'!$F$4:$F$203,MATCH(B277,'Hàng hóa'!$B$4:$B$203,0)),"")</f>
        <v/>
      </c>
      <c r="H277" s="19">
        <f t="array" ref="H277">IFERROR(INDEX('Hàng hóa'!$G$4:$G$203,MATCH(B277,'Hàng hóa'!$B$4:$B$203,0)),0)</f>
        <v>0</v>
      </c>
      <c r="I277" s="7"/>
      <c r="J277" s="47">
        <f t="shared" si="1"/>
        <v>0</v>
      </c>
      <c r="K277" s="19">
        <f t="shared" si="2"/>
        <v>0</v>
      </c>
      <c r="L277" s="23"/>
      <c r="M277" s="23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43"/>
      <c r="B278" s="23"/>
      <c r="C278" s="37" t="str">
        <f t="array" ref="C278">IFERROR(INDEX('Hàng hóa'!$A$4:$A$203,MATCH(B278,'Hàng hóa'!$B$4:$B$203,0)),"")</f>
        <v/>
      </c>
      <c r="D278" s="37" t="str">
        <f t="array" ref="D278">IFERROR(INDEX('Hàng hóa'!$C$4:$C$203,MATCH(B278,'Hàng hóa'!$B$4:$B$203,0)),"")</f>
        <v/>
      </c>
      <c r="E278" s="44"/>
      <c r="F278" s="37">
        <f t="array" ref="F278">IFERROR(INDEX('Hàng hóa'!$E$4:$E$203,MATCH(B278,'Hàng hóa'!$B$4:$B$203,0)),0)</f>
        <v>0</v>
      </c>
      <c r="G278" s="37" t="str">
        <f t="array" ref="G278">IFERROR(INDEX('Hàng hóa'!$F$4:$F$203,MATCH(B278,'Hàng hóa'!$B$4:$B$203,0)),"")</f>
        <v/>
      </c>
      <c r="H278" s="19">
        <f t="array" ref="H278">IFERROR(INDEX('Hàng hóa'!$G$4:$G$203,MATCH(B278,'Hàng hóa'!$B$4:$B$203,0)),0)</f>
        <v>0</v>
      </c>
      <c r="I278" s="7"/>
      <c r="J278" s="47">
        <f t="shared" si="1"/>
        <v>0</v>
      </c>
      <c r="K278" s="19">
        <f t="shared" si="2"/>
        <v>0</v>
      </c>
      <c r="L278" s="23"/>
      <c r="M278" s="23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43"/>
      <c r="B279" s="23"/>
      <c r="C279" s="37" t="str">
        <f t="array" ref="C279">IFERROR(INDEX('Hàng hóa'!$A$4:$A$203,MATCH(B279,'Hàng hóa'!$B$4:$B$203,0)),"")</f>
        <v/>
      </c>
      <c r="D279" s="37" t="str">
        <f t="array" ref="D279">IFERROR(INDEX('Hàng hóa'!$C$4:$C$203,MATCH(B279,'Hàng hóa'!$B$4:$B$203,0)),"")</f>
        <v/>
      </c>
      <c r="E279" s="44"/>
      <c r="F279" s="37">
        <f t="array" ref="F279">IFERROR(INDEX('Hàng hóa'!$E$4:$E$203,MATCH(B279,'Hàng hóa'!$B$4:$B$203,0)),0)</f>
        <v>0</v>
      </c>
      <c r="G279" s="37" t="str">
        <f t="array" ref="G279">IFERROR(INDEX('Hàng hóa'!$F$4:$F$203,MATCH(B279,'Hàng hóa'!$B$4:$B$203,0)),"")</f>
        <v/>
      </c>
      <c r="H279" s="19">
        <f t="array" ref="H279">IFERROR(INDEX('Hàng hóa'!$G$4:$G$203,MATCH(B279,'Hàng hóa'!$B$4:$B$203,0)),0)</f>
        <v>0</v>
      </c>
      <c r="I279" s="7"/>
      <c r="J279" s="47">
        <f t="shared" si="1"/>
        <v>0</v>
      </c>
      <c r="K279" s="19">
        <f t="shared" si="2"/>
        <v>0</v>
      </c>
      <c r="L279" s="23"/>
      <c r="M279" s="23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43"/>
      <c r="B280" s="23"/>
      <c r="C280" s="37" t="str">
        <f t="array" ref="C280">IFERROR(INDEX('Hàng hóa'!$A$4:$A$203,MATCH(B280,'Hàng hóa'!$B$4:$B$203,0)),"")</f>
        <v/>
      </c>
      <c r="D280" s="37" t="str">
        <f t="array" ref="D280">IFERROR(INDEX('Hàng hóa'!$C$4:$C$203,MATCH(B280,'Hàng hóa'!$B$4:$B$203,0)),"")</f>
        <v/>
      </c>
      <c r="E280" s="44"/>
      <c r="F280" s="37">
        <f t="array" ref="F280">IFERROR(INDEX('Hàng hóa'!$E$4:$E$203,MATCH(B280,'Hàng hóa'!$B$4:$B$203,0)),0)</f>
        <v>0</v>
      </c>
      <c r="G280" s="37" t="str">
        <f t="array" ref="G280">IFERROR(INDEX('Hàng hóa'!$F$4:$F$203,MATCH(B280,'Hàng hóa'!$B$4:$B$203,0)),"")</f>
        <v/>
      </c>
      <c r="H280" s="19">
        <f t="array" ref="H280">IFERROR(INDEX('Hàng hóa'!$G$4:$G$203,MATCH(B280,'Hàng hóa'!$B$4:$B$203,0)),0)</f>
        <v>0</v>
      </c>
      <c r="I280" s="7"/>
      <c r="J280" s="47">
        <f t="shared" si="1"/>
        <v>0</v>
      </c>
      <c r="K280" s="19">
        <f t="shared" si="2"/>
        <v>0</v>
      </c>
      <c r="L280" s="23"/>
      <c r="M280" s="23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43"/>
      <c r="B281" s="23"/>
      <c r="C281" s="37" t="str">
        <f t="array" ref="C281">IFERROR(INDEX('Hàng hóa'!$A$4:$A$203,MATCH(B281,'Hàng hóa'!$B$4:$B$203,0)),"")</f>
        <v/>
      </c>
      <c r="D281" s="37" t="str">
        <f t="array" ref="D281">IFERROR(INDEX('Hàng hóa'!$C$4:$C$203,MATCH(B281,'Hàng hóa'!$B$4:$B$203,0)),"")</f>
        <v/>
      </c>
      <c r="E281" s="44"/>
      <c r="F281" s="37">
        <f t="array" ref="F281">IFERROR(INDEX('Hàng hóa'!$E$4:$E$203,MATCH(B281,'Hàng hóa'!$B$4:$B$203,0)),0)</f>
        <v>0</v>
      </c>
      <c r="G281" s="37" t="str">
        <f t="array" ref="G281">IFERROR(INDEX('Hàng hóa'!$F$4:$F$203,MATCH(B281,'Hàng hóa'!$B$4:$B$203,0)),"")</f>
        <v/>
      </c>
      <c r="H281" s="19">
        <f t="array" ref="H281">IFERROR(INDEX('Hàng hóa'!$G$4:$G$203,MATCH(B281,'Hàng hóa'!$B$4:$B$203,0)),0)</f>
        <v>0</v>
      </c>
      <c r="I281" s="7"/>
      <c r="J281" s="47">
        <f t="shared" si="1"/>
        <v>0</v>
      </c>
      <c r="K281" s="19">
        <f t="shared" si="2"/>
        <v>0</v>
      </c>
      <c r="L281" s="23"/>
      <c r="M281" s="23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43"/>
      <c r="B282" s="23"/>
      <c r="C282" s="37" t="str">
        <f t="array" ref="C282">IFERROR(INDEX('Hàng hóa'!$A$4:$A$203,MATCH(B282,'Hàng hóa'!$B$4:$B$203,0)),"")</f>
        <v/>
      </c>
      <c r="D282" s="37" t="str">
        <f t="array" ref="D282">IFERROR(INDEX('Hàng hóa'!$C$4:$C$203,MATCH(B282,'Hàng hóa'!$B$4:$B$203,0)),"")</f>
        <v/>
      </c>
      <c r="E282" s="44"/>
      <c r="F282" s="37">
        <f t="array" ref="F282">IFERROR(INDEX('Hàng hóa'!$E$4:$E$203,MATCH(B282,'Hàng hóa'!$B$4:$B$203,0)),0)</f>
        <v>0</v>
      </c>
      <c r="G282" s="37" t="str">
        <f t="array" ref="G282">IFERROR(INDEX('Hàng hóa'!$F$4:$F$203,MATCH(B282,'Hàng hóa'!$B$4:$B$203,0)),"")</f>
        <v/>
      </c>
      <c r="H282" s="19">
        <f t="array" ref="H282">IFERROR(INDEX('Hàng hóa'!$G$4:$G$203,MATCH(B282,'Hàng hóa'!$B$4:$B$203,0)),0)</f>
        <v>0</v>
      </c>
      <c r="I282" s="7"/>
      <c r="J282" s="47">
        <f t="shared" si="1"/>
        <v>0</v>
      </c>
      <c r="K282" s="19">
        <f t="shared" si="2"/>
        <v>0</v>
      </c>
      <c r="L282" s="23"/>
      <c r="M282" s="23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43"/>
      <c r="B283" s="23"/>
      <c r="C283" s="37" t="str">
        <f t="array" ref="C283">IFERROR(INDEX('Hàng hóa'!$A$4:$A$203,MATCH(B283,'Hàng hóa'!$B$4:$B$203,0)),"")</f>
        <v/>
      </c>
      <c r="D283" s="37" t="str">
        <f t="array" ref="D283">IFERROR(INDEX('Hàng hóa'!$C$4:$C$203,MATCH(B283,'Hàng hóa'!$B$4:$B$203,0)),"")</f>
        <v/>
      </c>
      <c r="E283" s="44"/>
      <c r="F283" s="37">
        <f t="array" ref="F283">IFERROR(INDEX('Hàng hóa'!$E$4:$E$203,MATCH(B283,'Hàng hóa'!$B$4:$B$203,0)),0)</f>
        <v>0</v>
      </c>
      <c r="G283" s="37" t="str">
        <f t="array" ref="G283">IFERROR(INDEX('Hàng hóa'!$F$4:$F$203,MATCH(B283,'Hàng hóa'!$B$4:$B$203,0)),"")</f>
        <v/>
      </c>
      <c r="H283" s="19">
        <f t="array" ref="H283">IFERROR(INDEX('Hàng hóa'!$G$4:$G$203,MATCH(B283,'Hàng hóa'!$B$4:$B$203,0)),0)</f>
        <v>0</v>
      </c>
      <c r="I283" s="7"/>
      <c r="J283" s="47">
        <f t="shared" si="1"/>
        <v>0</v>
      </c>
      <c r="K283" s="19">
        <f t="shared" si="2"/>
        <v>0</v>
      </c>
      <c r="L283" s="23"/>
      <c r="M283" s="23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43"/>
      <c r="B284" s="23"/>
      <c r="C284" s="37" t="str">
        <f t="array" ref="C284">IFERROR(INDEX('Hàng hóa'!$A$4:$A$203,MATCH(B284,'Hàng hóa'!$B$4:$B$203,0)),"")</f>
        <v/>
      </c>
      <c r="D284" s="37" t="str">
        <f t="array" ref="D284">IFERROR(INDEX('Hàng hóa'!$C$4:$C$203,MATCH(B284,'Hàng hóa'!$B$4:$B$203,0)),"")</f>
        <v/>
      </c>
      <c r="E284" s="44"/>
      <c r="F284" s="37">
        <f t="array" ref="F284">IFERROR(INDEX('Hàng hóa'!$E$4:$E$203,MATCH(B284,'Hàng hóa'!$B$4:$B$203,0)),0)</f>
        <v>0</v>
      </c>
      <c r="G284" s="37" t="str">
        <f t="array" ref="G284">IFERROR(INDEX('Hàng hóa'!$F$4:$F$203,MATCH(B284,'Hàng hóa'!$B$4:$B$203,0)),"")</f>
        <v/>
      </c>
      <c r="H284" s="19">
        <f t="array" ref="H284">IFERROR(INDEX('Hàng hóa'!$G$4:$G$203,MATCH(B284,'Hàng hóa'!$B$4:$B$203,0)),0)</f>
        <v>0</v>
      </c>
      <c r="I284" s="7"/>
      <c r="J284" s="47">
        <f t="shared" si="1"/>
        <v>0</v>
      </c>
      <c r="K284" s="19">
        <f t="shared" si="2"/>
        <v>0</v>
      </c>
      <c r="L284" s="23"/>
      <c r="M284" s="23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43"/>
      <c r="B285" s="23"/>
      <c r="C285" s="37" t="str">
        <f t="array" ref="C285">IFERROR(INDEX('Hàng hóa'!$A$4:$A$203,MATCH(B285,'Hàng hóa'!$B$4:$B$203,0)),"")</f>
        <v/>
      </c>
      <c r="D285" s="37" t="str">
        <f t="array" ref="D285">IFERROR(INDEX('Hàng hóa'!$C$4:$C$203,MATCH(B285,'Hàng hóa'!$B$4:$B$203,0)),"")</f>
        <v/>
      </c>
      <c r="E285" s="44"/>
      <c r="F285" s="37">
        <f t="array" ref="F285">IFERROR(INDEX('Hàng hóa'!$E$4:$E$203,MATCH(B285,'Hàng hóa'!$B$4:$B$203,0)),0)</f>
        <v>0</v>
      </c>
      <c r="G285" s="37" t="str">
        <f t="array" ref="G285">IFERROR(INDEX('Hàng hóa'!$F$4:$F$203,MATCH(B285,'Hàng hóa'!$B$4:$B$203,0)),"")</f>
        <v/>
      </c>
      <c r="H285" s="19">
        <f t="array" ref="H285">IFERROR(INDEX('Hàng hóa'!$G$4:$G$203,MATCH(B285,'Hàng hóa'!$B$4:$B$203,0)),0)</f>
        <v>0</v>
      </c>
      <c r="I285" s="7"/>
      <c r="J285" s="47">
        <f t="shared" si="1"/>
        <v>0</v>
      </c>
      <c r="K285" s="19">
        <f t="shared" si="2"/>
        <v>0</v>
      </c>
      <c r="L285" s="23"/>
      <c r="M285" s="23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43"/>
      <c r="B286" s="23"/>
      <c r="C286" s="37" t="str">
        <f t="array" ref="C286">IFERROR(INDEX('Hàng hóa'!$A$4:$A$203,MATCH(B286,'Hàng hóa'!$B$4:$B$203,0)),"")</f>
        <v/>
      </c>
      <c r="D286" s="37" t="str">
        <f t="array" ref="D286">IFERROR(INDEX('Hàng hóa'!$C$4:$C$203,MATCH(B286,'Hàng hóa'!$B$4:$B$203,0)),"")</f>
        <v/>
      </c>
      <c r="E286" s="44"/>
      <c r="F286" s="37">
        <f t="array" ref="F286">IFERROR(INDEX('Hàng hóa'!$E$4:$E$203,MATCH(B286,'Hàng hóa'!$B$4:$B$203,0)),0)</f>
        <v>0</v>
      </c>
      <c r="G286" s="37" t="str">
        <f t="array" ref="G286">IFERROR(INDEX('Hàng hóa'!$F$4:$F$203,MATCH(B286,'Hàng hóa'!$B$4:$B$203,0)),"")</f>
        <v/>
      </c>
      <c r="H286" s="19">
        <f t="array" ref="H286">IFERROR(INDEX('Hàng hóa'!$G$4:$G$203,MATCH(B286,'Hàng hóa'!$B$4:$B$203,0)),0)</f>
        <v>0</v>
      </c>
      <c r="I286" s="7"/>
      <c r="J286" s="47">
        <f t="shared" si="1"/>
        <v>0</v>
      </c>
      <c r="K286" s="19">
        <f t="shared" si="2"/>
        <v>0</v>
      </c>
      <c r="L286" s="23"/>
      <c r="M286" s="23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43"/>
      <c r="B287" s="23"/>
      <c r="C287" s="37" t="str">
        <f t="array" ref="C287">IFERROR(INDEX('Hàng hóa'!$A$4:$A$203,MATCH(B287,'Hàng hóa'!$B$4:$B$203,0)),"")</f>
        <v/>
      </c>
      <c r="D287" s="37" t="str">
        <f t="array" ref="D287">IFERROR(INDEX('Hàng hóa'!$C$4:$C$203,MATCH(B287,'Hàng hóa'!$B$4:$B$203,0)),"")</f>
        <v/>
      </c>
      <c r="E287" s="44"/>
      <c r="F287" s="37">
        <f t="array" ref="F287">IFERROR(INDEX('Hàng hóa'!$E$4:$E$203,MATCH(B287,'Hàng hóa'!$B$4:$B$203,0)),0)</f>
        <v>0</v>
      </c>
      <c r="G287" s="37" t="str">
        <f t="array" ref="G287">IFERROR(INDEX('Hàng hóa'!$F$4:$F$203,MATCH(B287,'Hàng hóa'!$B$4:$B$203,0)),"")</f>
        <v/>
      </c>
      <c r="H287" s="19">
        <f t="array" ref="H287">IFERROR(INDEX('Hàng hóa'!$G$4:$G$203,MATCH(B287,'Hàng hóa'!$B$4:$B$203,0)),0)</f>
        <v>0</v>
      </c>
      <c r="I287" s="7"/>
      <c r="J287" s="47">
        <f t="shared" si="1"/>
        <v>0</v>
      </c>
      <c r="K287" s="19">
        <f t="shared" si="2"/>
        <v>0</v>
      </c>
      <c r="L287" s="23"/>
      <c r="M287" s="23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43"/>
      <c r="B288" s="23"/>
      <c r="C288" s="37" t="str">
        <f t="array" ref="C288">IFERROR(INDEX('Hàng hóa'!$A$4:$A$203,MATCH(B288,'Hàng hóa'!$B$4:$B$203,0)),"")</f>
        <v/>
      </c>
      <c r="D288" s="37" t="str">
        <f t="array" ref="D288">IFERROR(INDEX('Hàng hóa'!$C$4:$C$203,MATCH(B288,'Hàng hóa'!$B$4:$B$203,0)),"")</f>
        <v/>
      </c>
      <c r="E288" s="44"/>
      <c r="F288" s="37">
        <f t="array" ref="F288">IFERROR(INDEX('Hàng hóa'!$E$4:$E$203,MATCH(B288,'Hàng hóa'!$B$4:$B$203,0)),0)</f>
        <v>0</v>
      </c>
      <c r="G288" s="37" t="str">
        <f t="array" ref="G288">IFERROR(INDEX('Hàng hóa'!$F$4:$F$203,MATCH(B288,'Hàng hóa'!$B$4:$B$203,0)),"")</f>
        <v/>
      </c>
      <c r="H288" s="19">
        <f t="array" ref="H288">IFERROR(INDEX('Hàng hóa'!$G$4:$G$203,MATCH(B288,'Hàng hóa'!$B$4:$B$203,0)),0)</f>
        <v>0</v>
      </c>
      <c r="I288" s="7"/>
      <c r="J288" s="47">
        <f t="shared" si="1"/>
        <v>0</v>
      </c>
      <c r="K288" s="19">
        <f t="shared" si="2"/>
        <v>0</v>
      </c>
      <c r="L288" s="23"/>
      <c r="M288" s="23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43"/>
      <c r="B289" s="23"/>
      <c r="C289" s="37" t="str">
        <f t="array" ref="C289">IFERROR(INDEX('Hàng hóa'!$A$4:$A$203,MATCH(B289,'Hàng hóa'!$B$4:$B$203,0)),"")</f>
        <v/>
      </c>
      <c r="D289" s="37" t="str">
        <f t="array" ref="D289">IFERROR(INDEX('Hàng hóa'!$C$4:$C$203,MATCH(B289,'Hàng hóa'!$B$4:$B$203,0)),"")</f>
        <v/>
      </c>
      <c r="E289" s="44"/>
      <c r="F289" s="37">
        <f t="array" ref="F289">IFERROR(INDEX('Hàng hóa'!$E$4:$E$203,MATCH(B289,'Hàng hóa'!$B$4:$B$203,0)),0)</f>
        <v>0</v>
      </c>
      <c r="G289" s="37" t="str">
        <f t="array" ref="G289">IFERROR(INDEX('Hàng hóa'!$F$4:$F$203,MATCH(B289,'Hàng hóa'!$B$4:$B$203,0)),"")</f>
        <v/>
      </c>
      <c r="H289" s="19">
        <f t="array" ref="H289">IFERROR(INDEX('Hàng hóa'!$G$4:$G$203,MATCH(B289,'Hàng hóa'!$B$4:$B$203,0)),0)</f>
        <v>0</v>
      </c>
      <c r="I289" s="7"/>
      <c r="J289" s="47">
        <f t="shared" si="1"/>
        <v>0</v>
      </c>
      <c r="K289" s="19">
        <f t="shared" si="2"/>
        <v>0</v>
      </c>
      <c r="L289" s="23"/>
      <c r="M289" s="23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43"/>
      <c r="B290" s="23"/>
      <c r="C290" s="37" t="str">
        <f t="array" ref="C290">IFERROR(INDEX('Hàng hóa'!$A$4:$A$203,MATCH(B290,'Hàng hóa'!$B$4:$B$203,0)),"")</f>
        <v/>
      </c>
      <c r="D290" s="37" t="str">
        <f t="array" ref="D290">IFERROR(INDEX('Hàng hóa'!$C$4:$C$203,MATCH(B290,'Hàng hóa'!$B$4:$B$203,0)),"")</f>
        <v/>
      </c>
      <c r="E290" s="44"/>
      <c r="F290" s="37">
        <f t="array" ref="F290">IFERROR(INDEX('Hàng hóa'!$E$4:$E$203,MATCH(B290,'Hàng hóa'!$B$4:$B$203,0)),0)</f>
        <v>0</v>
      </c>
      <c r="G290" s="37" t="str">
        <f t="array" ref="G290">IFERROR(INDEX('Hàng hóa'!$F$4:$F$203,MATCH(B290,'Hàng hóa'!$B$4:$B$203,0)),"")</f>
        <v/>
      </c>
      <c r="H290" s="19">
        <f t="array" ref="H290">IFERROR(INDEX('Hàng hóa'!$G$4:$G$203,MATCH(B290,'Hàng hóa'!$B$4:$B$203,0)),0)</f>
        <v>0</v>
      </c>
      <c r="I290" s="7"/>
      <c r="J290" s="47">
        <f t="shared" si="1"/>
        <v>0</v>
      </c>
      <c r="K290" s="19">
        <f t="shared" si="2"/>
        <v>0</v>
      </c>
      <c r="L290" s="23"/>
      <c r="M290" s="23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43"/>
      <c r="B291" s="23"/>
      <c r="C291" s="37" t="str">
        <f t="array" ref="C291">IFERROR(INDEX('Hàng hóa'!$A$4:$A$203,MATCH(B291,'Hàng hóa'!$B$4:$B$203,0)),"")</f>
        <v/>
      </c>
      <c r="D291" s="37" t="str">
        <f t="array" ref="D291">IFERROR(INDEX('Hàng hóa'!$C$4:$C$203,MATCH(B291,'Hàng hóa'!$B$4:$B$203,0)),"")</f>
        <v/>
      </c>
      <c r="E291" s="44"/>
      <c r="F291" s="37">
        <f t="array" ref="F291">IFERROR(INDEX('Hàng hóa'!$E$4:$E$203,MATCH(B291,'Hàng hóa'!$B$4:$B$203,0)),0)</f>
        <v>0</v>
      </c>
      <c r="G291" s="37" t="str">
        <f t="array" ref="G291">IFERROR(INDEX('Hàng hóa'!$F$4:$F$203,MATCH(B291,'Hàng hóa'!$B$4:$B$203,0)),"")</f>
        <v/>
      </c>
      <c r="H291" s="19">
        <f t="array" ref="H291">IFERROR(INDEX('Hàng hóa'!$G$4:$G$203,MATCH(B291,'Hàng hóa'!$B$4:$B$203,0)),0)</f>
        <v>0</v>
      </c>
      <c r="I291" s="7"/>
      <c r="J291" s="47">
        <f t="shared" si="1"/>
        <v>0</v>
      </c>
      <c r="K291" s="19">
        <f t="shared" si="2"/>
        <v>0</v>
      </c>
      <c r="L291" s="23"/>
      <c r="M291" s="23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43"/>
      <c r="B292" s="23"/>
      <c r="C292" s="37" t="str">
        <f t="array" ref="C292">IFERROR(INDEX('Hàng hóa'!$A$4:$A$203,MATCH(B292,'Hàng hóa'!$B$4:$B$203,0)),"")</f>
        <v/>
      </c>
      <c r="D292" s="37" t="str">
        <f t="array" ref="D292">IFERROR(INDEX('Hàng hóa'!$C$4:$C$203,MATCH(B292,'Hàng hóa'!$B$4:$B$203,0)),"")</f>
        <v/>
      </c>
      <c r="E292" s="44"/>
      <c r="F292" s="37">
        <f t="array" ref="F292">IFERROR(INDEX('Hàng hóa'!$E$4:$E$203,MATCH(B292,'Hàng hóa'!$B$4:$B$203,0)),0)</f>
        <v>0</v>
      </c>
      <c r="G292" s="37" t="str">
        <f t="array" ref="G292">IFERROR(INDEX('Hàng hóa'!$F$4:$F$203,MATCH(B292,'Hàng hóa'!$B$4:$B$203,0)),"")</f>
        <v/>
      </c>
      <c r="H292" s="19">
        <f t="array" ref="H292">IFERROR(INDEX('Hàng hóa'!$G$4:$G$203,MATCH(B292,'Hàng hóa'!$B$4:$B$203,0)),0)</f>
        <v>0</v>
      </c>
      <c r="I292" s="7"/>
      <c r="J292" s="47">
        <f t="shared" si="1"/>
        <v>0</v>
      </c>
      <c r="K292" s="19">
        <f t="shared" si="2"/>
        <v>0</v>
      </c>
      <c r="L292" s="23"/>
      <c r="M292" s="23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43"/>
      <c r="B293" s="23"/>
      <c r="C293" s="37" t="str">
        <f t="array" ref="C293">IFERROR(INDEX('Hàng hóa'!$A$4:$A$203,MATCH(B293,'Hàng hóa'!$B$4:$B$203,0)),"")</f>
        <v/>
      </c>
      <c r="D293" s="37" t="str">
        <f t="array" ref="D293">IFERROR(INDEX('Hàng hóa'!$C$4:$C$203,MATCH(B293,'Hàng hóa'!$B$4:$B$203,0)),"")</f>
        <v/>
      </c>
      <c r="E293" s="44"/>
      <c r="F293" s="37">
        <f t="array" ref="F293">IFERROR(INDEX('Hàng hóa'!$E$4:$E$203,MATCH(B293,'Hàng hóa'!$B$4:$B$203,0)),0)</f>
        <v>0</v>
      </c>
      <c r="G293" s="37" t="str">
        <f t="array" ref="G293">IFERROR(INDEX('Hàng hóa'!$F$4:$F$203,MATCH(B293,'Hàng hóa'!$B$4:$B$203,0)),"")</f>
        <v/>
      </c>
      <c r="H293" s="19">
        <f t="array" ref="H293">IFERROR(INDEX('Hàng hóa'!$G$4:$G$203,MATCH(B293,'Hàng hóa'!$B$4:$B$203,0)),0)</f>
        <v>0</v>
      </c>
      <c r="I293" s="7"/>
      <c r="J293" s="47">
        <f t="shared" si="1"/>
        <v>0</v>
      </c>
      <c r="K293" s="19">
        <f t="shared" si="2"/>
        <v>0</v>
      </c>
      <c r="L293" s="23"/>
      <c r="M293" s="23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43"/>
      <c r="B294" s="23"/>
      <c r="C294" s="37" t="str">
        <f t="array" ref="C294">IFERROR(INDEX('Hàng hóa'!$A$4:$A$203,MATCH(B294,'Hàng hóa'!$B$4:$B$203,0)),"")</f>
        <v/>
      </c>
      <c r="D294" s="37" t="str">
        <f t="array" ref="D294">IFERROR(INDEX('Hàng hóa'!$C$4:$C$203,MATCH(B294,'Hàng hóa'!$B$4:$B$203,0)),"")</f>
        <v/>
      </c>
      <c r="E294" s="44"/>
      <c r="F294" s="37">
        <f t="array" ref="F294">IFERROR(INDEX('Hàng hóa'!$E$4:$E$203,MATCH(B294,'Hàng hóa'!$B$4:$B$203,0)),0)</f>
        <v>0</v>
      </c>
      <c r="G294" s="37" t="str">
        <f t="array" ref="G294">IFERROR(INDEX('Hàng hóa'!$F$4:$F$203,MATCH(B294,'Hàng hóa'!$B$4:$B$203,0)),"")</f>
        <v/>
      </c>
      <c r="H294" s="19">
        <f t="array" ref="H294">IFERROR(INDEX('Hàng hóa'!$G$4:$G$203,MATCH(B294,'Hàng hóa'!$B$4:$B$203,0)),0)</f>
        <v>0</v>
      </c>
      <c r="I294" s="7"/>
      <c r="J294" s="47">
        <f t="shared" si="1"/>
        <v>0</v>
      </c>
      <c r="K294" s="19">
        <f t="shared" si="2"/>
        <v>0</v>
      </c>
      <c r="L294" s="23"/>
      <c r="M294" s="23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43"/>
      <c r="B295" s="23"/>
      <c r="C295" s="37" t="str">
        <f t="array" ref="C295">IFERROR(INDEX('Hàng hóa'!$A$4:$A$203,MATCH(B295,'Hàng hóa'!$B$4:$B$203,0)),"")</f>
        <v/>
      </c>
      <c r="D295" s="37" t="str">
        <f t="array" ref="D295">IFERROR(INDEX('Hàng hóa'!$C$4:$C$203,MATCH(B295,'Hàng hóa'!$B$4:$B$203,0)),"")</f>
        <v/>
      </c>
      <c r="E295" s="44"/>
      <c r="F295" s="37">
        <f t="array" ref="F295">IFERROR(INDEX('Hàng hóa'!$E$4:$E$203,MATCH(B295,'Hàng hóa'!$B$4:$B$203,0)),0)</f>
        <v>0</v>
      </c>
      <c r="G295" s="37" t="str">
        <f t="array" ref="G295">IFERROR(INDEX('Hàng hóa'!$F$4:$F$203,MATCH(B295,'Hàng hóa'!$B$4:$B$203,0)),"")</f>
        <v/>
      </c>
      <c r="H295" s="19">
        <f t="array" ref="H295">IFERROR(INDEX('Hàng hóa'!$G$4:$G$203,MATCH(B295,'Hàng hóa'!$B$4:$B$203,0)),0)</f>
        <v>0</v>
      </c>
      <c r="I295" s="7"/>
      <c r="J295" s="47">
        <f t="shared" si="1"/>
        <v>0</v>
      </c>
      <c r="K295" s="19">
        <f t="shared" si="2"/>
        <v>0</v>
      </c>
      <c r="L295" s="23"/>
      <c r="M295" s="23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43"/>
      <c r="B296" s="23"/>
      <c r="C296" s="37" t="str">
        <f t="array" ref="C296">IFERROR(INDEX('Hàng hóa'!$A$4:$A$203,MATCH(B296,'Hàng hóa'!$B$4:$B$203,0)),"")</f>
        <v/>
      </c>
      <c r="D296" s="37" t="str">
        <f t="array" ref="D296">IFERROR(INDEX('Hàng hóa'!$C$4:$C$203,MATCH(B296,'Hàng hóa'!$B$4:$B$203,0)),"")</f>
        <v/>
      </c>
      <c r="E296" s="44"/>
      <c r="F296" s="37">
        <f t="array" ref="F296">IFERROR(INDEX('Hàng hóa'!$E$4:$E$203,MATCH(B296,'Hàng hóa'!$B$4:$B$203,0)),0)</f>
        <v>0</v>
      </c>
      <c r="G296" s="37" t="str">
        <f t="array" ref="G296">IFERROR(INDEX('Hàng hóa'!$F$4:$F$203,MATCH(B296,'Hàng hóa'!$B$4:$B$203,0)),"")</f>
        <v/>
      </c>
      <c r="H296" s="19">
        <f t="array" ref="H296">IFERROR(INDEX('Hàng hóa'!$G$4:$G$203,MATCH(B296,'Hàng hóa'!$B$4:$B$203,0)),0)</f>
        <v>0</v>
      </c>
      <c r="I296" s="7"/>
      <c r="J296" s="47">
        <f t="shared" si="1"/>
        <v>0</v>
      </c>
      <c r="K296" s="19">
        <f t="shared" si="2"/>
        <v>0</v>
      </c>
      <c r="L296" s="23"/>
      <c r="M296" s="23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43"/>
      <c r="B297" s="23"/>
      <c r="C297" s="37" t="str">
        <f t="array" ref="C297">IFERROR(INDEX('Hàng hóa'!$A$4:$A$203,MATCH(B297,'Hàng hóa'!$B$4:$B$203,0)),"")</f>
        <v/>
      </c>
      <c r="D297" s="37" t="str">
        <f t="array" ref="D297">IFERROR(INDEX('Hàng hóa'!$C$4:$C$203,MATCH(B297,'Hàng hóa'!$B$4:$B$203,0)),"")</f>
        <v/>
      </c>
      <c r="E297" s="44"/>
      <c r="F297" s="37">
        <f t="array" ref="F297">IFERROR(INDEX('Hàng hóa'!$E$4:$E$203,MATCH(B297,'Hàng hóa'!$B$4:$B$203,0)),0)</f>
        <v>0</v>
      </c>
      <c r="G297" s="37" t="str">
        <f t="array" ref="G297">IFERROR(INDEX('Hàng hóa'!$F$4:$F$203,MATCH(B297,'Hàng hóa'!$B$4:$B$203,0)),"")</f>
        <v/>
      </c>
      <c r="H297" s="19">
        <f t="array" ref="H297">IFERROR(INDEX('Hàng hóa'!$G$4:$G$203,MATCH(B297,'Hàng hóa'!$B$4:$B$203,0)),0)</f>
        <v>0</v>
      </c>
      <c r="I297" s="7"/>
      <c r="J297" s="47">
        <f t="shared" si="1"/>
        <v>0</v>
      </c>
      <c r="K297" s="19">
        <f t="shared" si="2"/>
        <v>0</v>
      </c>
      <c r="L297" s="23"/>
      <c r="M297" s="23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43"/>
      <c r="B298" s="23"/>
      <c r="C298" s="37" t="str">
        <f t="array" ref="C298">IFERROR(INDEX('Hàng hóa'!$A$4:$A$203,MATCH(B298,'Hàng hóa'!$B$4:$B$203,0)),"")</f>
        <v/>
      </c>
      <c r="D298" s="37" t="str">
        <f t="array" ref="D298">IFERROR(INDEX('Hàng hóa'!$C$4:$C$203,MATCH(B298,'Hàng hóa'!$B$4:$B$203,0)),"")</f>
        <v/>
      </c>
      <c r="E298" s="44"/>
      <c r="F298" s="37">
        <f t="array" ref="F298">IFERROR(INDEX('Hàng hóa'!$E$4:$E$203,MATCH(B298,'Hàng hóa'!$B$4:$B$203,0)),0)</f>
        <v>0</v>
      </c>
      <c r="G298" s="37" t="str">
        <f t="array" ref="G298">IFERROR(INDEX('Hàng hóa'!$F$4:$F$203,MATCH(B298,'Hàng hóa'!$B$4:$B$203,0)),"")</f>
        <v/>
      </c>
      <c r="H298" s="19">
        <f t="array" ref="H298">IFERROR(INDEX('Hàng hóa'!$G$4:$G$203,MATCH(B298,'Hàng hóa'!$B$4:$B$203,0)),0)</f>
        <v>0</v>
      </c>
      <c r="I298" s="7"/>
      <c r="J298" s="47">
        <f t="shared" si="1"/>
        <v>0</v>
      </c>
      <c r="K298" s="19">
        <f t="shared" si="2"/>
        <v>0</v>
      </c>
      <c r="L298" s="23"/>
      <c r="M298" s="23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43"/>
      <c r="B299" s="23"/>
      <c r="C299" s="37" t="str">
        <f t="array" ref="C299">IFERROR(INDEX('Hàng hóa'!$A$4:$A$203,MATCH(B299,'Hàng hóa'!$B$4:$B$203,0)),"")</f>
        <v/>
      </c>
      <c r="D299" s="37" t="str">
        <f t="array" ref="D299">IFERROR(INDEX('Hàng hóa'!$C$4:$C$203,MATCH(B299,'Hàng hóa'!$B$4:$B$203,0)),"")</f>
        <v/>
      </c>
      <c r="E299" s="44"/>
      <c r="F299" s="37">
        <f t="array" ref="F299">IFERROR(INDEX('Hàng hóa'!$E$4:$E$203,MATCH(B299,'Hàng hóa'!$B$4:$B$203,0)),0)</f>
        <v>0</v>
      </c>
      <c r="G299" s="37" t="str">
        <f t="array" ref="G299">IFERROR(INDEX('Hàng hóa'!$F$4:$F$203,MATCH(B299,'Hàng hóa'!$B$4:$B$203,0)),"")</f>
        <v/>
      </c>
      <c r="H299" s="19">
        <f t="array" ref="H299">IFERROR(INDEX('Hàng hóa'!$G$4:$G$203,MATCH(B299,'Hàng hóa'!$B$4:$B$203,0)),0)</f>
        <v>0</v>
      </c>
      <c r="I299" s="7"/>
      <c r="J299" s="47">
        <f t="shared" si="1"/>
        <v>0</v>
      </c>
      <c r="K299" s="19">
        <f t="shared" si="2"/>
        <v>0</v>
      </c>
      <c r="L299" s="23"/>
      <c r="M299" s="23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43"/>
      <c r="B300" s="23"/>
      <c r="C300" s="37" t="str">
        <f t="array" ref="C300">IFERROR(INDEX('Hàng hóa'!$A$4:$A$203,MATCH(B300,'Hàng hóa'!$B$4:$B$203,0)),"")</f>
        <v/>
      </c>
      <c r="D300" s="37" t="str">
        <f t="array" ref="D300">IFERROR(INDEX('Hàng hóa'!$C$4:$C$203,MATCH(B300,'Hàng hóa'!$B$4:$B$203,0)),"")</f>
        <v/>
      </c>
      <c r="E300" s="44"/>
      <c r="F300" s="37">
        <f t="array" ref="F300">IFERROR(INDEX('Hàng hóa'!$E$4:$E$203,MATCH(B300,'Hàng hóa'!$B$4:$B$203,0)),0)</f>
        <v>0</v>
      </c>
      <c r="G300" s="37" t="str">
        <f t="array" ref="G300">IFERROR(INDEX('Hàng hóa'!$F$4:$F$203,MATCH(B300,'Hàng hóa'!$B$4:$B$203,0)),"")</f>
        <v/>
      </c>
      <c r="H300" s="19">
        <f t="array" ref="H300">IFERROR(INDEX('Hàng hóa'!$G$4:$G$203,MATCH(B300,'Hàng hóa'!$B$4:$B$203,0)),0)</f>
        <v>0</v>
      </c>
      <c r="I300" s="7"/>
      <c r="J300" s="47">
        <f t="shared" si="1"/>
        <v>0</v>
      </c>
      <c r="K300" s="19">
        <f t="shared" si="2"/>
        <v>0</v>
      </c>
      <c r="L300" s="23"/>
      <c r="M300" s="23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43"/>
      <c r="B301" s="23"/>
      <c r="C301" s="37" t="str">
        <f t="array" ref="C301">IFERROR(INDEX('Hàng hóa'!$A$4:$A$203,MATCH(B301,'Hàng hóa'!$B$4:$B$203,0)),"")</f>
        <v/>
      </c>
      <c r="D301" s="37" t="str">
        <f t="array" ref="D301">IFERROR(INDEX('Hàng hóa'!$C$4:$C$203,MATCH(B301,'Hàng hóa'!$B$4:$B$203,0)),"")</f>
        <v/>
      </c>
      <c r="E301" s="44"/>
      <c r="F301" s="37">
        <f t="array" ref="F301">IFERROR(INDEX('Hàng hóa'!$E$4:$E$203,MATCH(B301,'Hàng hóa'!$B$4:$B$203,0)),0)</f>
        <v>0</v>
      </c>
      <c r="G301" s="37" t="str">
        <f t="array" ref="G301">IFERROR(INDEX('Hàng hóa'!$F$4:$F$203,MATCH(B301,'Hàng hóa'!$B$4:$B$203,0)),"")</f>
        <v/>
      </c>
      <c r="H301" s="19">
        <f t="array" ref="H301">IFERROR(INDEX('Hàng hóa'!$G$4:$G$203,MATCH(B301,'Hàng hóa'!$B$4:$B$203,0)),0)</f>
        <v>0</v>
      </c>
      <c r="I301" s="7"/>
      <c r="J301" s="47">
        <f t="shared" si="1"/>
        <v>0</v>
      </c>
      <c r="K301" s="19">
        <f t="shared" si="2"/>
        <v>0</v>
      </c>
      <c r="L301" s="23"/>
      <c r="M301" s="23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43"/>
      <c r="B302" s="23"/>
      <c r="C302" s="37" t="str">
        <f t="array" ref="C302">IFERROR(INDEX('Hàng hóa'!$A$4:$A$203,MATCH(B302,'Hàng hóa'!$B$4:$B$203,0)),"")</f>
        <v/>
      </c>
      <c r="D302" s="37" t="str">
        <f t="array" ref="D302">IFERROR(INDEX('Hàng hóa'!$C$4:$C$203,MATCH(B302,'Hàng hóa'!$B$4:$B$203,0)),"")</f>
        <v/>
      </c>
      <c r="E302" s="44"/>
      <c r="F302" s="37">
        <f t="array" ref="F302">IFERROR(INDEX('Hàng hóa'!$E$4:$E$203,MATCH(B302,'Hàng hóa'!$B$4:$B$203,0)),0)</f>
        <v>0</v>
      </c>
      <c r="G302" s="37" t="str">
        <f t="array" ref="G302">IFERROR(INDEX('Hàng hóa'!$F$4:$F$203,MATCH(B302,'Hàng hóa'!$B$4:$B$203,0)),"")</f>
        <v/>
      </c>
      <c r="H302" s="19">
        <f t="array" ref="H302">IFERROR(INDEX('Hàng hóa'!$G$4:$G$203,MATCH(B302,'Hàng hóa'!$B$4:$B$203,0)),0)</f>
        <v>0</v>
      </c>
      <c r="I302" s="7"/>
      <c r="J302" s="47">
        <f t="shared" si="1"/>
        <v>0</v>
      </c>
      <c r="K302" s="19">
        <f t="shared" si="2"/>
        <v>0</v>
      </c>
      <c r="L302" s="23"/>
      <c r="M302" s="23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43"/>
      <c r="B303" s="23"/>
      <c r="C303" s="37" t="str">
        <f t="array" ref="C303">IFERROR(INDEX('Hàng hóa'!$A$4:$A$203,MATCH(B303,'Hàng hóa'!$B$4:$B$203,0)),"")</f>
        <v/>
      </c>
      <c r="D303" s="37" t="str">
        <f t="array" ref="D303">IFERROR(INDEX('Hàng hóa'!$C$4:$C$203,MATCH(B303,'Hàng hóa'!$B$4:$B$203,0)),"")</f>
        <v/>
      </c>
      <c r="E303" s="44"/>
      <c r="F303" s="37">
        <f t="array" ref="F303">IFERROR(INDEX('Hàng hóa'!$E$4:$E$203,MATCH(B303,'Hàng hóa'!$B$4:$B$203,0)),0)</f>
        <v>0</v>
      </c>
      <c r="G303" s="37" t="str">
        <f t="array" ref="G303">IFERROR(INDEX('Hàng hóa'!$F$4:$F$203,MATCH(B303,'Hàng hóa'!$B$4:$B$203,0)),"")</f>
        <v/>
      </c>
      <c r="H303" s="19">
        <f t="array" ref="H303">IFERROR(INDEX('Hàng hóa'!$G$4:$G$203,MATCH(B303,'Hàng hóa'!$B$4:$B$203,0)),0)</f>
        <v>0</v>
      </c>
      <c r="I303" s="7"/>
      <c r="J303" s="47">
        <f t="shared" si="1"/>
        <v>0</v>
      </c>
      <c r="K303" s="19">
        <f t="shared" si="2"/>
        <v>0</v>
      </c>
      <c r="L303" s="23"/>
      <c r="M303" s="23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43"/>
      <c r="B304" s="23"/>
      <c r="C304" s="37" t="str">
        <f t="array" ref="C304">IFERROR(INDEX('Hàng hóa'!$A$4:$A$203,MATCH(B304,'Hàng hóa'!$B$4:$B$203,0)),"")</f>
        <v/>
      </c>
      <c r="D304" s="37" t="str">
        <f t="array" ref="D304">IFERROR(INDEX('Hàng hóa'!$C$4:$C$203,MATCH(B304,'Hàng hóa'!$B$4:$B$203,0)),"")</f>
        <v/>
      </c>
      <c r="E304" s="44"/>
      <c r="F304" s="37">
        <f t="array" ref="F304">IFERROR(INDEX('Hàng hóa'!$E$4:$E$203,MATCH(B304,'Hàng hóa'!$B$4:$B$203,0)),0)</f>
        <v>0</v>
      </c>
      <c r="G304" s="37" t="str">
        <f t="array" ref="G304">IFERROR(INDEX('Hàng hóa'!$F$4:$F$203,MATCH(B304,'Hàng hóa'!$B$4:$B$203,0)),"")</f>
        <v/>
      </c>
      <c r="H304" s="19">
        <f t="array" ref="H304">IFERROR(INDEX('Hàng hóa'!$G$4:$G$203,MATCH(B304,'Hàng hóa'!$B$4:$B$203,0)),0)</f>
        <v>0</v>
      </c>
      <c r="I304" s="7"/>
      <c r="J304" s="47">
        <f t="shared" si="1"/>
        <v>0</v>
      </c>
      <c r="K304" s="19">
        <f t="shared" si="2"/>
        <v>0</v>
      </c>
      <c r="L304" s="23"/>
      <c r="M304" s="23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43"/>
      <c r="B305" s="23"/>
      <c r="C305" s="37" t="str">
        <f t="array" ref="C305">IFERROR(INDEX('Hàng hóa'!$A$4:$A$203,MATCH(B305,'Hàng hóa'!$B$4:$B$203,0)),"")</f>
        <v/>
      </c>
      <c r="D305" s="37" t="str">
        <f t="array" ref="D305">IFERROR(INDEX('Hàng hóa'!$C$4:$C$203,MATCH(B305,'Hàng hóa'!$B$4:$B$203,0)),"")</f>
        <v/>
      </c>
      <c r="E305" s="44"/>
      <c r="F305" s="37">
        <f t="array" ref="F305">IFERROR(INDEX('Hàng hóa'!$E$4:$E$203,MATCH(B305,'Hàng hóa'!$B$4:$B$203,0)),0)</f>
        <v>0</v>
      </c>
      <c r="G305" s="37" t="str">
        <f t="array" ref="G305">IFERROR(INDEX('Hàng hóa'!$F$4:$F$203,MATCH(B305,'Hàng hóa'!$B$4:$B$203,0)),"")</f>
        <v/>
      </c>
      <c r="H305" s="19">
        <f t="array" ref="H305">IFERROR(INDEX('Hàng hóa'!$G$4:$G$203,MATCH(B305,'Hàng hóa'!$B$4:$B$203,0)),0)</f>
        <v>0</v>
      </c>
      <c r="I305" s="7"/>
      <c r="J305" s="47">
        <f t="shared" si="1"/>
        <v>0</v>
      </c>
      <c r="K305" s="19">
        <f t="shared" si="2"/>
        <v>0</v>
      </c>
      <c r="L305" s="23"/>
      <c r="M305" s="23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43"/>
      <c r="B306" s="23"/>
      <c r="C306" s="37" t="str">
        <f t="array" ref="C306">IFERROR(INDEX('Hàng hóa'!$A$4:$A$203,MATCH(B306,'Hàng hóa'!$B$4:$B$203,0)),"")</f>
        <v/>
      </c>
      <c r="D306" s="37" t="str">
        <f t="array" ref="D306">IFERROR(INDEX('Hàng hóa'!$C$4:$C$203,MATCH(B306,'Hàng hóa'!$B$4:$B$203,0)),"")</f>
        <v/>
      </c>
      <c r="E306" s="44"/>
      <c r="F306" s="37">
        <f t="array" ref="F306">IFERROR(INDEX('Hàng hóa'!$E$4:$E$203,MATCH(B306,'Hàng hóa'!$B$4:$B$203,0)),0)</f>
        <v>0</v>
      </c>
      <c r="G306" s="37" t="str">
        <f t="array" ref="G306">IFERROR(INDEX('Hàng hóa'!$F$4:$F$203,MATCH(B306,'Hàng hóa'!$B$4:$B$203,0)),"")</f>
        <v/>
      </c>
      <c r="H306" s="19">
        <f t="array" ref="H306">IFERROR(INDEX('Hàng hóa'!$G$4:$G$203,MATCH(B306,'Hàng hóa'!$B$4:$B$203,0)),0)</f>
        <v>0</v>
      </c>
      <c r="I306" s="7"/>
      <c r="J306" s="47">
        <f t="shared" si="1"/>
        <v>0</v>
      </c>
      <c r="K306" s="19">
        <f t="shared" si="2"/>
        <v>0</v>
      </c>
      <c r="L306" s="23"/>
      <c r="M306" s="23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43"/>
      <c r="B307" s="23"/>
      <c r="C307" s="37" t="str">
        <f t="array" ref="C307">IFERROR(INDEX('Hàng hóa'!$A$4:$A$203,MATCH(B307,'Hàng hóa'!$B$4:$B$203,0)),"")</f>
        <v/>
      </c>
      <c r="D307" s="37" t="str">
        <f t="array" ref="D307">IFERROR(INDEX('Hàng hóa'!$C$4:$C$203,MATCH(B307,'Hàng hóa'!$B$4:$B$203,0)),"")</f>
        <v/>
      </c>
      <c r="E307" s="44"/>
      <c r="F307" s="37">
        <f t="array" ref="F307">IFERROR(INDEX('Hàng hóa'!$E$4:$E$203,MATCH(B307,'Hàng hóa'!$B$4:$B$203,0)),0)</f>
        <v>0</v>
      </c>
      <c r="G307" s="37" t="str">
        <f t="array" ref="G307">IFERROR(INDEX('Hàng hóa'!$F$4:$F$203,MATCH(B307,'Hàng hóa'!$B$4:$B$203,0)),"")</f>
        <v/>
      </c>
      <c r="H307" s="19">
        <f t="array" ref="H307">IFERROR(INDEX('Hàng hóa'!$G$4:$G$203,MATCH(B307,'Hàng hóa'!$B$4:$B$203,0)),0)</f>
        <v>0</v>
      </c>
      <c r="I307" s="7"/>
      <c r="J307" s="47">
        <f t="shared" si="1"/>
        <v>0</v>
      </c>
      <c r="K307" s="19">
        <f t="shared" si="2"/>
        <v>0</v>
      </c>
      <c r="L307" s="23"/>
      <c r="M307" s="23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43"/>
      <c r="B308" s="23"/>
      <c r="C308" s="37" t="str">
        <f t="array" ref="C308">IFERROR(INDEX('Hàng hóa'!$A$4:$A$203,MATCH(B308,'Hàng hóa'!$B$4:$B$203,0)),"")</f>
        <v/>
      </c>
      <c r="D308" s="37" t="str">
        <f t="array" ref="D308">IFERROR(INDEX('Hàng hóa'!$C$4:$C$203,MATCH(B308,'Hàng hóa'!$B$4:$B$203,0)),"")</f>
        <v/>
      </c>
      <c r="E308" s="44"/>
      <c r="F308" s="37">
        <f t="array" ref="F308">IFERROR(INDEX('Hàng hóa'!$E$4:$E$203,MATCH(B308,'Hàng hóa'!$B$4:$B$203,0)),0)</f>
        <v>0</v>
      </c>
      <c r="G308" s="37" t="str">
        <f t="array" ref="G308">IFERROR(INDEX('Hàng hóa'!$F$4:$F$203,MATCH(B308,'Hàng hóa'!$B$4:$B$203,0)),"")</f>
        <v/>
      </c>
      <c r="H308" s="19">
        <f t="array" ref="H308">IFERROR(INDEX('Hàng hóa'!$G$4:$G$203,MATCH(B308,'Hàng hóa'!$B$4:$B$203,0)),0)</f>
        <v>0</v>
      </c>
      <c r="I308" s="7"/>
      <c r="J308" s="47">
        <f t="shared" si="1"/>
        <v>0</v>
      </c>
      <c r="K308" s="19">
        <f t="shared" si="2"/>
        <v>0</v>
      </c>
      <c r="L308" s="23"/>
      <c r="M308" s="23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43"/>
      <c r="B309" s="23"/>
      <c r="C309" s="37" t="str">
        <f t="array" ref="C309">IFERROR(INDEX('Hàng hóa'!$A$4:$A$203,MATCH(B309,'Hàng hóa'!$B$4:$B$203,0)),"")</f>
        <v/>
      </c>
      <c r="D309" s="37" t="str">
        <f t="array" ref="D309">IFERROR(INDEX('Hàng hóa'!$C$4:$C$203,MATCH(B309,'Hàng hóa'!$B$4:$B$203,0)),"")</f>
        <v/>
      </c>
      <c r="E309" s="44"/>
      <c r="F309" s="37">
        <f t="array" ref="F309">IFERROR(INDEX('Hàng hóa'!$E$4:$E$203,MATCH(B309,'Hàng hóa'!$B$4:$B$203,0)),0)</f>
        <v>0</v>
      </c>
      <c r="G309" s="37" t="str">
        <f t="array" ref="G309">IFERROR(INDEX('Hàng hóa'!$F$4:$F$203,MATCH(B309,'Hàng hóa'!$B$4:$B$203,0)),"")</f>
        <v/>
      </c>
      <c r="H309" s="19">
        <f t="array" ref="H309">IFERROR(INDEX('Hàng hóa'!$G$4:$G$203,MATCH(B309,'Hàng hóa'!$B$4:$B$203,0)),0)</f>
        <v>0</v>
      </c>
      <c r="I309" s="7"/>
      <c r="J309" s="47">
        <f t="shared" si="1"/>
        <v>0</v>
      </c>
      <c r="K309" s="19">
        <f t="shared" si="2"/>
        <v>0</v>
      </c>
      <c r="L309" s="23"/>
      <c r="M309" s="23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43"/>
      <c r="B310" s="23"/>
      <c r="C310" s="37" t="str">
        <f t="array" ref="C310">IFERROR(INDEX('Hàng hóa'!$A$4:$A$203,MATCH(B310,'Hàng hóa'!$B$4:$B$203,0)),"")</f>
        <v/>
      </c>
      <c r="D310" s="37" t="str">
        <f t="array" ref="D310">IFERROR(INDEX('Hàng hóa'!$C$4:$C$203,MATCH(B310,'Hàng hóa'!$B$4:$B$203,0)),"")</f>
        <v/>
      </c>
      <c r="E310" s="44"/>
      <c r="F310" s="37">
        <f t="array" ref="F310">IFERROR(INDEX('Hàng hóa'!$E$4:$E$203,MATCH(B310,'Hàng hóa'!$B$4:$B$203,0)),0)</f>
        <v>0</v>
      </c>
      <c r="G310" s="37" t="str">
        <f t="array" ref="G310">IFERROR(INDEX('Hàng hóa'!$F$4:$F$203,MATCH(B310,'Hàng hóa'!$B$4:$B$203,0)),"")</f>
        <v/>
      </c>
      <c r="H310" s="19">
        <f t="array" ref="H310">IFERROR(INDEX('Hàng hóa'!$G$4:$G$203,MATCH(B310,'Hàng hóa'!$B$4:$B$203,0)),0)</f>
        <v>0</v>
      </c>
      <c r="I310" s="7"/>
      <c r="J310" s="47">
        <f t="shared" si="1"/>
        <v>0</v>
      </c>
      <c r="K310" s="19">
        <f t="shared" si="2"/>
        <v>0</v>
      </c>
      <c r="L310" s="23"/>
      <c r="M310" s="23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43"/>
      <c r="B311" s="23"/>
      <c r="C311" s="37" t="str">
        <f t="array" ref="C311">IFERROR(INDEX('Hàng hóa'!$A$4:$A$203,MATCH(B311,'Hàng hóa'!$B$4:$B$203,0)),"")</f>
        <v/>
      </c>
      <c r="D311" s="37" t="str">
        <f t="array" ref="D311">IFERROR(INDEX('Hàng hóa'!$C$4:$C$203,MATCH(B311,'Hàng hóa'!$B$4:$B$203,0)),"")</f>
        <v/>
      </c>
      <c r="E311" s="44"/>
      <c r="F311" s="37">
        <f t="array" ref="F311">IFERROR(INDEX('Hàng hóa'!$E$4:$E$203,MATCH(B311,'Hàng hóa'!$B$4:$B$203,0)),0)</f>
        <v>0</v>
      </c>
      <c r="G311" s="37" t="str">
        <f t="array" ref="G311">IFERROR(INDEX('Hàng hóa'!$F$4:$F$203,MATCH(B311,'Hàng hóa'!$B$4:$B$203,0)),"")</f>
        <v/>
      </c>
      <c r="H311" s="19">
        <f t="array" ref="H311">IFERROR(INDEX('Hàng hóa'!$G$4:$G$203,MATCH(B311,'Hàng hóa'!$B$4:$B$203,0)),0)</f>
        <v>0</v>
      </c>
      <c r="I311" s="7"/>
      <c r="J311" s="47">
        <f t="shared" si="1"/>
        <v>0</v>
      </c>
      <c r="K311" s="19">
        <f t="shared" si="2"/>
        <v>0</v>
      </c>
      <c r="L311" s="23"/>
      <c r="M311" s="23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43"/>
      <c r="B312" s="23"/>
      <c r="C312" s="37" t="str">
        <f t="array" ref="C312">IFERROR(INDEX('Hàng hóa'!$A$4:$A$203,MATCH(B312,'Hàng hóa'!$B$4:$B$203,0)),"")</f>
        <v/>
      </c>
      <c r="D312" s="37" t="str">
        <f t="array" ref="D312">IFERROR(INDEX('Hàng hóa'!$C$4:$C$203,MATCH(B312,'Hàng hóa'!$B$4:$B$203,0)),"")</f>
        <v/>
      </c>
      <c r="E312" s="44"/>
      <c r="F312" s="37">
        <f t="array" ref="F312">IFERROR(INDEX('Hàng hóa'!$E$4:$E$203,MATCH(B312,'Hàng hóa'!$B$4:$B$203,0)),0)</f>
        <v>0</v>
      </c>
      <c r="G312" s="37" t="str">
        <f t="array" ref="G312">IFERROR(INDEX('Hàng hóa'!$F$4:$F$203,MATCH(B312,'Hàng hóa'!$B$4:$B$203,0)),"")</f>
        <v/>
      </c>
      <c r="H312" s="19">
        <f t="array" ref="H312">IFERROR(INDEX('Hàng hóa'!$G$4:$G$203,MATCH(B312,'Hàng hóa'!$B$4:$B$203,0)),0)</f>
        <v>0</v>
      </c>
      <c r="I312" s="7"/>
      <c r="J312" s="47">
        <f t="shared" si="1"/>
        <v>0</v>
      </c>
      <c r="K312" s="19">
        <f t="shared" si="2"/>
        <v>0</v>
      </c>
      <c r="L312" s="23"/>
      <c r="M312" s="23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43"/>
      <c r="B313" s="23"/>
      <c r="C313" s="37" t="str">
        <f t="array" ref="C313">IFERROR(INDEX('Hàng hóa'!$A$4:$A$203,MATCH(B313,'Hàng hóa'!$B$4:$B$203,0)),"")</f>
        <v/>
      </c>
      <c r="D313" s="37" t="str">
        <f t="array" ref="D313">IFERROR(INDEX('Hàng hóa'!$C$4:$C$203,MATCH(B313,'Hàng hóa'!$B$4:$B$203,0)),"")</f>
        <v/>
      </c>
      <c r="E313" s="44"/>
      <c r="F313" s="37">
        <f t="array" ref="F313">IFERROR(INDEX('Hàng hóa'!$E$4:$E$203,MATCH(B313,'Hàng hóa'!$B$4:$B$203,0)),0)</f>
        <v>0</v>
      </c>
      <c r="G313" s="37" t="str">
        <f t="array" ref="G313">IFERROR(INDEX('Hàng hóa'!$F$4:$F$203,MATCH(B313,'Hàng hóa'!$B$4:$B$203,0)),"")</f>
        <v/>
      </c>
      <c r="H313" s="19">
        <f t="array" ref="H313">IFERROR(INDEX('Hàng hóa'!$G$4:$G$203,MATCH(B313,'Hàng hóa'!$B$4:$B$203,0)),0)</f>
        <v>0</v>
      </c>
      <c r="I313" s="7"/>
      <c r="J313" s="47">
        <f t="shared" si="1"/>
        <v>0</v>
      </c>
      <c r="K313" s="19">
        <f t="shared" si="2"/>
        <v>0</v>
      </c>
      <c r="L313" s="23"/>
      <c r="M313" s="23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43"/>
      <c r="B314" s="23"/>
      <c r="C314" s="37" t="str">
        <f t="array" ref="C314">IFERROR(INDEX('Hàng hóa'!$A$4:$A$203,MATCH(B314,'Hàng hóa'!$B$4:$B$203,0)),"")</f>
        <v/>
      </c>
      <c r="D314" s="37" t="str">
        <f t="array" ref="D314">IFERROR(INDEX('Hàng hóa'!$C$4:$C$203,MATCH(B314,'Hàng hóa'!$B$4:$B$203,0)),"")</f>
        <v/>
      </c>
      <c r="E314" s="44"/>
      <c r="F314" s="37">
        <f t="array" ref="F314">IFERROR(INDEX('Hàng hóa'!$E$4:$E$203,MATCH(B314,'Hàng hóa'!$B$4:$B$203,0)),0)</f>
        <v>0</v>
      </c>
      <c r="G314" s="37" t="str">
        <f t="array" ref="G314">IFERROR(INDEX('Hàng hóa'!$F$4:$F$203,MATCH(B314,'Hàng hóa'!$B$4:$B$203,0)),"")</f>
        <v/>
      </c>
      <c r="H314" s="19">
        <f t="array" ref="H314">IFERROR(INDEX('Hàng hóa'!$G$4:$G$203,MATCH(B314,'Hàng hóa'!$B$4:$B$203,0)),0)</f>
        <v>0</v>
      </c>
      <c r="I314" s="7"/>
      <c r="J314" s="47">
        <f t="shared" si="1"/>
        <v>0</v>
      </c>
      <c r="K314" s="19">
        <f t="shared" si="2"/>
        <v>0</v>
      </c>
      <c r="L314" s="23"/>
      <c r="M314" s="23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43"/>
      <c r="B315" s="23"/>
      <c r="C315" s="37" t="str">
        <f t="array" ref="C315">IFERROR(INDEX('Hàng hóa'!$A$4:$A$203,MATCH(B315,'Hàng hóa'!$B$4:$B$203,0)),"")</f>
        <v/>
      </c>
      <c r="D315" s="37" t="str">
        <f t="array" ref="D315">IFERROR(INDEX('Hàng hóa'!$C$4:$C$203,MATCH(B315,'Hàng hóa'!$B$4:$B$203,0)),"")</f>
        <v/>
      </c>
      <c r="E315" s="44"/>
      <c r="F315" s="37">
        <f t="array" ref="F315">IFERROR(INDEX('Hàng hóa'!$E$4:$E$203,MATCH(B315,'Hàng hóa'!$B$4:$B$203,0)),0)</f>
        <v>0</v>
      </c>
      <c r="G315" s="37" t="str">
        <f t="array" ref="G315">IFERROR(INDEX('Hàng hóa'!$F$4:$F$203,MATCH(B315,'Hàng hóa'!$B$4:$B$203,0)),"")</f>
        <v/>
      </c>
      <c r="H315" s="19">
        <f t="array" ref="H315">IFERROR(INDEX('Hàng hóa'!$G$4:$G$203,MATCH(B315,'Hàng hóa'!$B$4:$B$203,0)),0)</f>
        <v>0</v>
      </c>
      <c r="I315" s="7"/>
      <c r="J315" s="47">
        <f t="shared" si="1"/>
        <v>0</v>
      </c>
      <c r="K315" s="19">
        <f t="shared" si="2"/>
        <v>0</v>
      </c>
      <c r="L315" s="23"/>
      <c r="M315" s="23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43"/>
      <c r="B316" s="23"/>
      <c r="C316" s="37" t="str">
        <f t="array" ref="C316">IFERROR(INDEX('Hàng hóa'!$A$4:$A$203,MATCH(B316,'Hàng hóa'!$B$4:$B$203,0)),"")</f>
        <v/>
      </c>
      <c r="D316" s="37" t="str">
        <f t="array" ref="D316">IFERROR(INDEX('Hàng hóa'!$C$4:$C$203,MATCH(B316,'Hàng hóa'!$B$4:$B$203,0)),"")</f>
        <v/>
      </c>
      <c r="E316" s="44"/>
      <c r="F316" s="37">
        <f t="array" ref="F316">IFERROR(INDEX('Hàng hóa'!$E$4:$E$203,MATCH(B316,'Hàng hóa'!$B$4:$B$203,0)),0)</f>
        <v>0</v>
      </c>
      <c r="G316" s="37" t="str">
        <f t="array" ref="G316">IFERROR(INDEX('Hàng hóa'!$F$4:$F$203,MATCH(B316,'Hàng hóa'!$B$4:$B$203,0)),"")</f>
        <v/>
      </c>
      <c r="H316" s="19">
        <f t="array" ref="H316">IFERROR(INDEX('Hàng hóa'!$G$4:$G$203,MATCH(B316,'Hàng hóa'!$B$4:$B$203,0)),0)</f>
        <v>0</v>
      </c>
      <c r="I316" s="7"/>
      <c r="J316" s="47">
        <f t="shared" si="1"/>
        <v>0</v>
      </c>
      <c r="K316" s="19">
        <f t="shared" si="2"/>
        <v>0</v>
      </c>
      <c r="L316" s="23"/>
      <c r="M316" s="23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43"/>
      <c r="B317" s="23"/>
      <c r="C317" s="37" t="str">
        <f t="array" ref="C317">IFERROR(INDEX('Hàng hóa'!$A$4:$A$203,MATCH(B317,'Hàng hóa'!$B$4:$B$203,0)),"")</f>
        <v/>
      </c>
      <c r="D317" s="37" t="str">
        <f t="array" ref="D317">IFERROR(INDEX('Hàng hóa'!$C$4:$C$203,MATCH(B317,'Hàng hóa'!$B$4:$B$203,0)),"")</f>
        <v/>
      </c>
      <c r="E317" s="44"/>
      <c r="F317" s="37">
        <f t="array" ref="F317">IFERROR(INDEX('Hàng hóa'!$E$4:$E$203,MATCH(B317,'Hàng hóa'!$B$4:$B$203,0)),0)</f>
        <v>0</v>
      </c>
      <c r="G317" s="37" t="str">
        <f t="array" ref="G317">IFERROR(INDEX('Hàng hóa'!$F$4:$F$203,MATCH(B317,'Hàng hóa'!$B$4:$B$203,0)),"")</f>
        <v/>
      </c>
      <c r="H317" s="19">
        <f t="array" ref="H317">IFERROR(INDEX('Hàng hóa'!$G$4:$G$203,MATCH(B317,'Hàng hóa'!$B$4:$B$203,0)),0)</f>
        <v>0</v>
      </c>
      <c r="I317" s="7"/>
      <c r="J317" s="47">
        <f t="shared" si="1"/>
        <v>0</v>
      </c>
      <c r="K317" s="19">
        <f t="shared" si="2"/>
        <v>0</v>
      </c>
      <c r="L317" s="23"/>
      <c r="M317" s="23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43"/>
      <c r="B318" s="23"/>
      <c r="C318" s="37" t="str">
        <f t="array" ref="C318">IFERROR(INDEX('Hàng hóa'!$A$4:$A$203,MATCH(B318,'Hàng hóa'!$B$4:$B$203,0)),"")</f>
        <v/>
      </c>
      <c r="D318" s="37" t="str">
        <f t="array" ref="D318">IFERROR(INDEX('Hàng hóa'!$C$4:$C$203,MATCH(B318,'Hàng hóa'!$B$4:$B$203,0)),"")</f>
        <v/>
      </c>
      <c r="E318" s="44"/>
      <c r="F318" s="37">
        <f t="array" ref="F318">IFERROR(INDEX('Hàng hóa'!$E$4:$E$203,MATCH(B318,'Hàng hóa'!$B$4:$B$203,0)),0)</f>
        <v>0</v>
      </c>
      <c r="G318" s="37" t="str">
        <f t="array" ref="G318">IFERROR(INDEX('Hàng hóa'!$F$4:$F$203,MATCH(B318,'Hàng hóa'!$B$4:$B$203,0)),"")</f>
        <v/>
      </c>
      <c r="H318" s="19">
        <f t="array" ref="H318">IFERROR(INDEX('Hàng hóa'!$G$4:$G$203,MATCH(B318,'Hàng hóa'!$B$4:$B$203,0)),0)</f>
        <v>0</v>
      </c>
      <c r="I318" s="7"/>
      <c r="J318" s="47">
        <f t="shared" si="1"/>
        <v>0</v>
      </c>
      <c r="K318" s="19">
        <f t="shared" si="2"/>
        <v>0</v>
      </c>
      <c r="L318" s="23"/>
      <c r="M318" s="23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43"/>
      <c r="B319" s="23"/>
      <c r="C319" s="37" t="str">
        <f t="array" ref="C319">IFERROR(INDEX('Hàng hóa'!$A$4:$A$203,MATCH(B319,'Hàng hóa'!$B$4:$B$203,0)),"")</f>
        <v/>
      </c>
      <c r="D319" s="37" t="str">
        <f t="array" ref="D319">IFERROR(INDEX('Hàng hóa'!$C$4:$C$203,MATCH(B319,'Hàng hóa'!$B$4:$B$203,0)),"")</f>
        <v/>
      </c>
      <c r="E319" s="44"/>
      <c r="F319" s="37">
        <f t="array" ref="F319">IFERROR(INDEX('Hàng hóa'!$E$4:$E$203,MATCH(B319,'Hàng hóa'!$B$4:$B$203,0)),0)</f>
        <v>0</v>
      </c>
      <c r="G319" s="37" t="str">
        <f t="array" ref="G319">IFERROR(INDEX('Hàng hóa'!$F$4:$F$203,MATCH(B319,'Hàng hóa'!$B$4:$B$203,0)),"")</f>
        <v/>
      </c>
      <c r="H319" s="19">
        <f t="array" ref="H319">IFERROR(INDEX('Hàng hóa'!$G$4:$G$203,MATCH(B319,'Hàng hóa'!$B$4:$B$203,0)),0)</f>
        <v>0</v>
      </c>
      <c r="I319" s="7"/>
      <c r="J319" s="47">
        <f t="shared" si="1"/>
        <v>0</v>
      </c>
      <c r="K319" s="19">
        <f t="shared" si="2"/>
        <v>0</v>
      </c>
      <c r="L319" s="23"/>
      <c r="M319" s="23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43"/>
      <c r="B320" s="23"/>
      <c r="C320" s="37" t="str">
        <f t="array" ref="C320">IFERROR(INDEX('Hàng hóa'!$A$4:$A$203,MATCH(B320,'Hàng hóa'!$B$4:$B$203,0)),"")</f>
        <v/>
      </c>
      <c r="D320" s="37" t="str">
        <f t="array" ref="D320">IFERROR(INDEX('Hàng hóa'!$C$4:$C$203,MATCH(B320,'Hàng hóa'!$B$4:$B$203,0)),"")</f>
        <v/>
      </c>
      <c r="E320" s="44"/>
      <c r="F320" s="37">
        <f t="array" ref="F320">IFERROR(INDEX('Hàng hóa'!$E$4:$E$203,MATCH(B320,'Hàng hóa'!$B$4:$B$203,0)),0)</f>
        <v>0</v>
      </c>
      <c r="G320" s="37" t="str">
        <f t="array" ref="G320">IFERROR(INDEX('Hàng hóa'!$F$4:$F$203,MATCH(B320,'Hàng hóa'!$B$4:$B$203,0)),"")</f>
        <v/>
      </c>
      <c r="H320" s="19">
        <f t="array" ref="H320">IFERROR(INDEX('Hàng hóa'!$G$4:$G$203,MATCH(B320,'Hàng hóa'!$B$4:$B$203,0)),0)</f>
        <v>0</v>
      </c>
      <c r="I320" s="7"/>
      <c r="J320" s="47">
        <f t="shared" si="1"/>
        <v>0</v>
      </c>
      <c r="K320" s="19">
        <f t="shared" si="2"/>
        <v>0</v>
      </c>
      <c r="L320" s="23"/>
      <c r="M320" s="23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43"/>
      <c r="B321" s="23"/>
      <c r="C321" s="37" t="str">
        <f t="array" ref="C321">IFERROR(INDEX('Hàng hóa'!$A$4:$A$203,MATCH(B321,'Hàng hóa'!$B$4:$B$203,0)),"")</f>
        <v/>
      </c>
      <c r="D321" s="37" t="str">
        <f t="array" ref="D321">IFERROR(INDEX('Hàng hóa'!$C$4:$C$203,MATCH(B321,'Hàng hóa'!$B$4:$B$203,0)),"")</f>
        <v/>
      </c>
      <c r="E321" s="44"/>
      <c r="F321" s="37">
        <f t="array" ref="F321">IFERROR(INDEX('Hàng hóa'!$E$4:$E$203,MATCH(B321,'Hàng hóa'!$B$4:$B$203,0)),0)</f>
        <v>0</v>
      </c>
      <c r="G321" s="37" t="str">
        <f t="array" ref="G321">IFERROR(INDEX('Hàng hóa'!$F$4:$F$203,MATCH(B321,'Hàng hóa'!$B$4:$B$203,0)),"")</f>
        <v/>
      </c>
      <c r="H321" s="19">
        <f t="array" ref="H321">IFERROR(INDEX('Hàng hóa'!$G$4:$G$203,MATCH(B321,'Hàng hóa'!$B$4:$B$203,0)),0)</f>
        <v>0</v>
      </c>
      <c r="I321" s="7"/>
      <c r="J321" s="47">
        <f t="shared" si="1"/>
        <v>0</v>
      </c>
      <c r="K321" s="19">
        <f t="shared" si="2"/>
        <v>0</v>
      </c>
      <c r="L321" s="23"/>
      <c r="M321" s="23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43"/>
      <c r="B322" s="23"/>
      <c r="C322" s="37" t="str">
        <f t="array" ref="C322">IFERROR(INDEX('Hàng hóa'!$A$4:$A$203,MATCH(B322,'Hàng hóa'!$B$4:$B$203,0)),"")</f>
        <v/>
      </c>
      <c r="D322" s="37" t="str">
        <f t="array" ref="D322">IFERROR(INDEX('Hàng hóa'!$C$4:$C$203,MATCH(B322,'Hàng hóa'!$B$4:$B$203,0)),"")</f>
        <v/>
      </c>
      <c r="E322" s="44"/>
      <c r="F322" s="37">
        <f t="array" ref="F322">IFERROR(INDEX('Hàng hóa'!$E$4:$E$203,MATCH(B322,'Hàng hóa'!$B$4:$B$203,0)),0)</f>
        <v>0</v>
      </c>
      <c r="G322" s="37" t="str">
        <f t="array" ref="G322">IFERROR(INDEX('Hàng hóa'!$F$4:$F$203,MATCH(B322,'Hàng hóa'!$B$4:$B$203,0)),"")</f>
        <v/>
      </c>
      <c r="H322" s="19">
        <f t="array" ref="H322">IFERROR(INDEX('Hàng hóa'!$G$4:$G$203,MATCH(B322,'Hàng hóa'!$B$4:$B$203,0)),0)</f>
        <v>0</v>
      </c>
      <c r="I322" s="7"/>
      <c r="J322" s="47">
        <f t="shared" si="1"/>
        <v>0</v>
      </c>
      <c r="K322" s="19">
        <f t="shared" si="2"/>
        <v>0</v>
      </c>
      <c r="L322" s="23"/>
      <c r="M322" s="23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43"/>
      <c r="B323" s="23"/>
      <c r="C323" s="37" t="str">
        <f t="array" ref="C323">IFERROR(INDEX('Hàng hóa'!$A$4:$A$203,MATCH(B323,'Hàng hóa'!$B$4:$B$203,0)),"")</f>
        <v/>
      </c>
      <c r="D323" s="37" t="str">
        <f t="array" ref="D323">IFERROR(INDEX('Hàng hóa'!$C$4:$C$203,MATCH(B323,'Hàng hóa'!$B$4:$B$203,0)),"")</f>
        <v/>
      </c>
      <c r="E323" s="44"/>
      <c r="F323" s="37">
        <f t="array" ref="F323">IFERROR(INDEX('Hàng hóa'!$E$4:$E$203,MATCH(B323,'Hàng hóa'!$B$4:$B$203,0)),0)</f>
        <v>0</v>
      </c>
      <c r="G323" s="37" t="str">
        <f t="array" ref="G323">IFERROR(INDEX('Hàng hóa'!$F$4:$F$203,MATCH(B323,'Hàng hóa'!$B$4:$B$203,0)),"")</f>
        <v/>
      </c>
      <c r="H323" s="19">
        <f t="array" ref="H323">IFERROR(INDEX('Hàng hóa'!$G$4:$G$203,MATCH(B323,'Hàng hóa'!$B$4:$B$203,0)),0)</f>
        <v>0</v>
      </c>
      <c r="I323" s="7"/>
      <c r="J323" s="47">
        <f t="shared" si="1"/>
        <v>0</v>
      </c>
      <c r="K323" s="19">
        <f t="shared" si="2"/>
        <v>0</v>
      </c>
      <c r="L323" s="23"/>
      <c r="M323" s="23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43"/>
      <c r="B324" s="23"/>
      <c r="C324" s="37" t="str">
        <f t="array" ref="C324">IFERROR(INDEX('Hàng hóa'!$A$4:$A$203,MATCH(B324,'Hàng hóa'!$B$4:$B$203,0)),"")</f>
        <v/>
      </c>
      <c r="D324" s="37" t="str">
        <f t="array" ref="D324">IFERROR(INDEX('Hàng hóa'!$C$4:$C$203,MATCH(B324,'Hàng hóa'!$B$4:$B$203,0)),"")</f>
        <v/>
      </c>
      <c r="E324" s="44"/>
      <c r="F324" s="37">
        <f t="array" ref="F324">IFERROR(INDEX('Hàng hóa'!$E$4:$E$203,MATCH(B324,'Hàng hóa'!$B$4:$B$203,0)),0)</f>
        <v>0</v>
      </c>
      <c r="G324" s="37" t="str">
        <f t="array" ref="G324">IFERROR(INDEX('Hàng hóa'!$F$4:$F$203,MATCH(B324,'Hàng hóa'!$B$4:$B$203,0)),"")</f>
        <v/>
      </c>
      <c r="H324" s="19">
        <f t="array" ref="H324">IFERROR(INDEX('Hàng hóa'!$G$4:$G$203,MATCH(B324,'Hàng hóa'!$B$4:$B$203,0)),0)</f>
        <v>0</v>
      </c>
      <c r="I324" s="7"/>
      <c r="J324" s="47">
        <f t="shared" si="1"/>
        <v>0</v>
      </c>
      <c r="K324" s="19">
        <f t="shared" si="2"/>
        <v>0</v>
      </c>
      <c r="L324" s="23"/>
      <c r="M324" s="23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43"/>
      <c r="B325" s="23"/>
      <c r="C325" s="37" t="str">
        <f t="array" ref="C325">IFERROR(INDEX('Hàng hóa'!$A$4:$A$203,MATCH(B325,'Hàng hóa'!$B$4:$B$203,0)),"")</f>
        <v/>
      </c>
      <c r="D325" s="37" t="str">
        <f t="array" ref="D325">IFERROR(INDEX('Hàng hóa'!$C$4:$C$203,MATCH(B325,'Hàng hóa'!$B$4:$B$203,0)),"")</f>
        <v/>
      </c>
      <c r="E325" s="44"/>
      <c r="F325" s="37">
        <f t="array" ref="F325">IFERROR(INDEX('Hàng hóa'!$E$4:$E$203,MATCH(B325,'Hàng hóa'!$B$4:$B$203,0)),0)</f>
        <v>0</v>
      </c>
      <c r="G325" s="37" t="str">
        <f t="array" ref="G325">IFERROR(INDEX('Hàng hóa'!$F$4:$F$203,MATCH(B325,'Hàng hóa'!$B$4:$B$203,0)),"")</f>
        <v/>
      </c>
      <c r="H325" s="19">
        <f t="array" ref="H325">IFERROR(INDEX('Hàng hóa'!$G$4:$G$203,MATCH(B325,'Hàng hóa'!$B$4:$B$203,0)),0)</f>
        <v>0</v>
      </c>
      <c r="I325" s="7"/>
      <c r="J325" s="47">
        <f t="shared" si="1"/>
        <v>0</v>
      </c>
      <c r="K325" s="19">
        <f t="shared" si="2"/>
        <v>0</v>
      </c>
      <c r="L325" s="23"/>
      <c r="M325" s="23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43"/>
      <c r="B326" s="23"/>
      <c r="C326" s="37" t="str">
        <f t="array" ref="C326">IFERROR(INDEX('Hàng hóa'!$A$4:$A$203,MATCH(B326,'Hàng hóa'!$B$4:$B$203,0)),"")</f>
        <v/>
      </c>
      <c r="D326" s="37" t="str">
        <f t="array" ref="D326">IFERROR(INDEX('Hàng hóa'!$C$4:$C$203,MATCH(B326,'Hàng hóa'!$B$4:$B$203,0)),"")</f>
        <v/>
      </c>
      <c r="E326" s="44"/>
      <c r="F326" s="37">
        <f t="array" ref="F326">IFERROR(INDEX('Hàng hóa'!$E$4:$E$203,MATCH(B326,'Hàng hóa'!$B$4:$B$203,0)),0)</f>
        <v>0</v>
      </c>
      <c r="G326" s="37" t="str">
        <f t="array" ref="G326">IFERROR(INDEX('Hàng hóa'!$F$4:$F$203,MATCH(B326,'Hàng hóa'!$B$4:$B$203,0)),"")</f>
        <v/>
      </c>
      <c r="H326" s="19">
        <f t="array" ref="H326">IFERROR(INDEX('Hàng hóa'!$G$4:$G$203,MATCH(B326,'Hàng hóa'!$B$4:$B$203,0)),0)</f>
        <v>0</v>
      </c>
      <c r="I326" s="7"/>
      <c r="J326" s="47">
        <f t="shared" si="1"/>
        <v>0</v>
      </c>
      <c r="K326" s="19">
        <f t="shared" si="2"/>
        <v>0</v>
      </c>
      <c r="L326" s="23"/>
      <c r="M326" s="23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43"/>
      <c r="B327" s="23"/>
      <c r="C327" s="37" t="str">
        <f t="array" ref="C327">IFERROR(INDEX('Hàng hóa'!$A$4:$A$203,MATCH(B327,'Hàng hóa'!$B$4:$B$203,0)),"")</f>
        <v/>
      </c>
      <c r="D327" s="37" t="str">
        <f t="array" ref="D327">IFERROR(INDEX('Hàng hóa'!$C$4:$C$203,MATCH(B327,'Hàng hóa'!$B$4:$B$203,0)),"")</f>
        <v/>
      </c>
      <c r="E327" s="44"/>
      <c r="F327" s="37">
        <f t="array" ref="F327">IFERROR(INDEX('Hàng hóa'!$E$4:$E$203,MATCH(B327,'Hàng hóa'!$B$4:$B$203,0)),0)</f>
        <v>0</v>
      </c>
      <c r="G327" s="37" t="str">
        <f t="array" ref="G327">IFERROR(INDEX('Hàng hóa'!$F$4:$F$203,MATCH(B327,'Hàng hóa'!$B$4:$B$203,0)),"")</f>
        <v/>
      </c>
      <c r="H327" s="19">
        <f t="array" ref="H327">IFERROR(INDEX('Hàng hóa'!$G$4:$G$203,MATCH(B327,'Hàng hóa'!$B$4:$B$203,0)),0)</f>
        <v>0</v>
      </c>
      <c r="I327" s="7"/>
      <c r="J327" s="47">
        <f t="shared" si="1"/>
        <v>0</v>
      </c>
      <c r="K327" s="19">
        <f t="shared" si="2"/>
        <v>0</v>
      </c>
      <c r="L327" s="23"/>
      <c r="M327" s="23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43"/>
      <c r="B328" s="23"/>
      <c r="C328" s="37" t="str">
        <f t="array" ref="C328">IFERROR(INDEX('Hàng hóa'!$A$4:$A$203,MATCH(B328,'Hàng hóa'!$B$4:$B$203,0)),"")</f>
        <v/>
      </c>
      <c r="D328" s="37" t="str">
        <f t="array" ref="D328">IFERROR(INDEX('Hàng hóa'!$C$4:$C$203,MATCH(B328,'Hàng hóa'!$B$4:$B$203,0)),"")</f>
        <v/>
      </c>
      <c r="E328" s="44"/>
      <c r="F328" s="37">
        <f t="array" ref="F328">IFERROR(INDEX('Hàng hóa'!$E$4:$E$203,MATCH(B328,'Hàng hóa'!$B$4:$B$203,0)),0)</f>
        <v>0</v>
      </c>
      <c r="G328" s="37" t="str">
        <f t="array" ref="G328">IFERROR(INDEX('Hàng hóa'!$F$4:$F$203,MATCH(B328,'Hàng hóa'!$B$4:$B$203,0)),"")</f>
        <v/>
      </c>
      <c r="H328" s="19">
        <f t="array" ref="H328">IFERROR(INDEX('Hàng hóa'!$G$4:$G$203,MATCH(B328,'Hàng hóa'!$B$4:$B$203,0)),0)</f>
        <v>0</v>
      </c>
      <c r="I328" s="7"/>
      <c r="J328" s="47">
        <f t="shared" si="1"/>
        <v>0</v>
      </c>
      <c r="K328" s="19">
        <f t="shared" si="2"/>
        <v>0</v>
      </c>
      <c r="L328" s="23"/>
      <c r="M328" s="23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43"/>
      <c r="B329" s="23"/>
      <c r="C329" s="37" t="str">
        <f t="array" ref="C329">IFERROR(INDEX('Hàng hóa'!$A$4:$A$203,MATCH(B329,'Hàng hóa'!$B$4:$B$203,0)),"")</f>
        <v/>
      </c>
      <c r="D329" s="37" t="str">
        <f t="array" ref="D329">IFERROR(INDEX('Hàng hóa'!$C$4:$C$203,MATCH(B329,'Hàng hóa'!$B$4:$B$203,0)),"")</f>
        <v/>
      </c>
      <c r="E329" s="44"/>
      <c r="F329" s="37">
        <f t="array" ref="F329">IFERROR(INDEX('Hàng hóa'!$E$4:$E$203,MATCH(B329,'Hàng hóa'!$B$4:$B$203,0)),0)</f>
        <v>0</v>
      </c>
      <c r="G329" s="37" t="str">
        <f t="array" ref="G329">IFERROR(INDEX('Hàng hóa'!$F$4:$F$203,MATCH(B329,'Hàng hóa'!$B$4:$B$203,0)),"")</f>
        <v/>
      </c>
      <c r="H329" s="19">
        <f t="array" ref="H329">IFERROR(INDEX('Hàng hóa'!$G$4:$G$203,MATCH(B329,'Hàng hóa'!$B$4:$B$203,0)),0)</f>
        <v>0</v>
      </c>
      <c r="I329" s="7"/>
      <c r="J329" s="47">
        <f t="shared" si="1"/>
        <v>0</v>
      </c>
      <c r="K329" s="19">
        <f t="shared" si="2"/>
        <v>0</v>
      </c>
      <c r="L329" s="23"/>
      <c r="M329" s="23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43"/>
      <c r="B330" s="23"/>
      <c r="C330" s="37" t="str">
        <f t="array" ref="C330">IFERROR(INDEX('Hàng hóa'!$A$4:$A$203,MATCH(B330,'Hàng hóa'!$B$4:$B$203,0)),"")</f>
        <v/>
      </c>
      <c r="D330" s="37" t="str">
        <f t="array" ref="D330">IFERROR(INDEX('Hàng hóa'!$C$4:$C$203,MATCH(B330,'Hàng hóa'!$B$4:$B$203,0)),"")</f>
        <v/>
      </c>
      <c r="E330" s="44"/>
      <c r="F330" s="37">
        <f t="array" ref="F330">IFERROR(INDEX('Hàng hóa'!$E$4:$E$203,MATCH(B330,'Hàng hóa'!$B$4:$B$203,0)),0)</f>
        <v>0</v>
      </c>
      <c r="G330" s="37" t="str">
        <f t="array" ref="G330">IFERROR(INDEX('Hàng hóa'!$F$4:$F$203,MATCH(B330,'Hàng hóa'!$B$4:$B$203,0)),"")</f>
        <v/>
      </c>
      <c r="H330" s="19">
        <f t="array" ref="H330">IFERROR(INDEX('Hàng hóa'!$G$4:$G$203,MATCH(B330,'Hàng hóa'!$B$4:$B$203,0)),0)</f>
        <v>0</v>
      </c>
      <c r="I330" s="7"/>
      <c r="J330" s="47">
        <f t="shared" si="1"/>
        <v>0</v>
      </c>
      <c r="K330" s="19">
        <f t="shared" si="2"/>
        <v>0</v>
      </c>
      <c r="L330" s="23"/>
      <c r="M330" s="23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43"/>
      <c r="B331" s="23"/>
      <c r="C331" s="37" t="str">
        <f t="array" ref="C331">IFERROR(INDEX('Hàng hóa'!$A$4:$A$203,MATCH(B331,'Hàng hóa'!$B$4:$B$203,0)),"")</f>
        <v/>
      </c>
      <c r="D331" s="37" t="str">
        <f t="array" ref="D331">IFERROR(INDEX('Hàng hóa'!$C$4:$C$203,MATCH(B331,'Hàng hóa'!$B$4:$B$203,0)),"")</f>
        <v/>
      </c>
      <c r="E331" s="44"/>
      <c r="F331" s="37">
        <f t="array" ref="F331">IFERROR(INDEX('Hàng hóa'!$E$4:$E$203,MATCH(B331,'Hàng hóa'!$B$4:$B$203,0)),0)</f>
        <v>0</v>
      </c>
      <c r="G331" s="37" t="str">
        <f t="array" ref="G331">IFERROR(INDEX('Hàng hóa'!$F$4:$F$203,MATCH(B331,'Hàng hóa'!$B$4:$B$203,0)),"")</f>
        <v/>
      </c>
      <c r="H331" s="19">
        <f t="array" ref="H331">IFERROR(INDEX('Hàng hóa'!$G$4:$G$203,MATCH(B331,'Hàng hóa'!$B$4:$B$203,0)),0)</f>
        <v>0</v>
      </c>
      <c r="I331" s="7"/>
      <c r="J331" s="47">
        <f t="shared" si="1"/>
        <v>0</v>
      </c>
      <c r="K331" s="19">
        <f t="shared" si="2"/>
        <v>0</v>
      </c>
      <c r="L331" s="23"/>
      <c r="M331" s="23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43"/>
      <c r="B332" s="23"/>
      <c r="C332" s="37" t="str">
        <f t="array" ref="C332">IFERROR(INDEX('Hàng hóa'!$A$4:$A$203,MATCH(B332,'Hàng hóa'!$B$4:$B$203,0)),"")</f>
        <v/>
      </c>
      <c r="D332" s="37" t="str">
        <f t="array" ref="D332">IFERROR(INDEX('Hàng hóa'!$C$4:$C$203,MATCH(B332,'Hàng hóa'!$B$4:$B$203,0)),"")</f>
        <v/>
      </c>
      <c r="E332" s="44"/>
      <c r="F332" s="37">
        <f t="array" ref="F332">IFERROR(INDEX('Hàng hóa'!$E$4:$E$203,MATCH(B332,'Hàng hóa'!$B$4:$B$203,0)),0)</f>
        <v>0</v>
      </c>
      <c r="G332" s="37" t="str">
        <f t="array" ref="G332">IFERROR(INDEX('Hàng hóa'!$F$4:$F$203,MATCH(B332,'Hàng hóa'!$B$4:$B$203,0)),"")</f>
        <v/>
      </c>
      <c r="H332" s="19">
        <f t="array" ref="H332">IFERROR(INDEX('Hàng hóa'!$G$4:$G$203,MATCH(B332,'Hàng hóa'!$B$4:$B$203,0)),0)</f>
        <v>0</v>
      </c>
      <c r="I332" s="7"/>
      <c r="J332" s="47">
        <f t="shared" si="1"/>
        <v>0</v>
      </c>
      <c r="K332" s="19">
        <f t="shared" si="2"/>
        <v>0</v>
      </c>
      <c r="L332" s="23"/>
      <c r="M332" s="23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43"/>
      <c r="B333" s="23"/>
      <c r="C333" s="37" t="str">
        <f t="array" ref="C333">IFERROR(INDEX('Hàng hóa'!$A$4:$A$203,MATCH(B333,'Hàng hóa'!$B$4:$B$203,0)),"")</f>
        <v/>
      </c>
      <c r="D333" s="37" t="str">
        <f t="array" ref="D333">IFERROR(INDEX('Hàng hóa'!$C$4:$C$203,MATCH(B333,'Hàng hóa'!$B$4:$B$203,0)),"")</f>
        <v/>
      </c>
      <c r="E333" s="44"/>
      <c r="F333" s="37">
        <f t="array" ref="F333">IFERROR(INDEX('Hàng hóa'!$E$4:$E$203,MATCH(B333,'Hàng hóa'!$B$4:$B$203,0)),0)</f>
        <v>0</v>
      </c>
      <c r="G333" s="37" t="str">
        <f t="array" ref="G333">IFERROR(INDEX('Hàng hóa'!$F$4:$F$203,MATCH(B333,'Hàng hóa'!$B$4:$B$203,0)),"")</f>
        <v/>
      </c>
      <c r="H333" s="19">
        <f t="array" ref="H333">IFERROR(INDEX('Hàng hóa'!$G$4:$G$203,MATCH(B333,'Hàng hóa'!$B$4:$B$203,0)),0)</f>
        <v>0</v>
      </c>
      <c r="I333" s="7"/>
      <c r="J333" s="47">
        <f t="shared" si="1"/>
        <v>0</v>
      </c>
      <c r="K333" s="19">
        <f t="shared" si="2"/>
        <v>0</v>
      </c>
      <c r="L333" s="23"/>
      <c r="M333" s="23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43"/>
      <c r="B334" s="23"/>
      <c r="C334" s="37" t="str">
        <f t="array" ref="C334">IFERROR(INDEX('Hàng hóa'!$A$4:$A$203,MATCH(B334,'Hàng hóa'!$B$4:$B$203,0)),"")</f>
        <v/>
      </c>
      <c r="D334" s="37" t="str">
        <f t="array" ref="D334">IFERROR(INDEX('Hàng hóa'!$C$4:$C$203,MATCH(B334,'Hàng hóa'!$B$4:$B$203,0)),"")</f>
        <v/>
      </c>
      <c r="E334" s="44"/>
      <c r="F334" s="37">
        <f t="array" ref="F334">IFERROR(INDEX('Hàng hóa'!$E$4:$E$203,MATCH(B334,'Hàng hóa'!$B$4:$B$203,0)),0)</f>
        <v>0</v>
      </c>
      <c r="G334" s="37" t="str">
        <f t="array" ref="G334">IFERROR(INDEX('Hàng hóa'!$F$4:$F$203,MATCH(B334,'Hàng hóa'!$B$4:$B$203,0)),"")</f>
        <v/>
      </c>
      <c r="H334" s="19">
        <f t="array" ref="H334">IFERROR(INDEX('Hàng hóa'!$G$4:$G$203,MATCH(B334,'Hàng hóa'!$B$4:$B$203,0)),0)</f>
        <v>0</v>
      </c>
      <c r="I334" s="7"/>
      <c r="J334" s="47">
        <f t="shared" si="1"/>
        <v>0</v>
      </c>
      <c r="K334" s="19">
        <f t="shared" si="2"/>
        <v>0</v>
      </c>
      <c r="L334" s="23"/>
      <c r="M334" s="23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43"/>
      <c r="B335" s="23"/>
      <c r="C335" s="37" t="str">
        <f t="array" ref="C335">IFERROR(INDEX('Hàng hóa'!$A$4:$A$203,MATCH(B335,'Hàng hóa'!$B$4:$B$203,0)),"")</f>
        <v/>
      </c>
      <c r="D335" s="37" t="str">
        <f t="array" ref="D335">IFERROR(INDEX('Hàng hóa'!$C$4:$C$203,MATCH(B335,'Hàng hóa'!$B$4:$B$203,0)),"")</f>
        <v/>
      </c>
      <c r="E335" s="44"/>
      <c r="F335" s="37">
        <f t="array" ref="F335">IFERROR(INDEX('Hàng hóa'!$E$4:$E$203,MATCH(B335,'Hàng hóa'!$B$4:$B$203,0)),0)</f>
        <v>0</v>
      </c>
      <c r="G335" s="37" t="str">
        <f t="array" ref="G335">IFERROR(INDEX('Hàng hóa'!$F$4:$F$203,MATCH(B335,'Hàng hóa'!$B$4:$B$203,0)),"")</f>
        <v/>
      </c>
      <c r="H335" s="19">
        <f t="array" ref="H335">IFERROR(INDEX('Hàng hóa'!$G$4:$G$203,MATCH(B335,'Hàng hóa'!$B$4:$B$203,0)),0)</f>
        <v>0</v>
      </c>
      <c r="I335" s="7"/>
      <c r="J335" s="47">
        <f t="shared" si="1"/>
        <v>0</v>
      </c>
      <c r="K335" s="19">
        <f t="shared" si="2"/>
        <v>0</v>
      </c>
      <c r="L335" s="23"/>
      <c r="M335" s="23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43"/>
      <c r="B336" s="23"/>
      <c r="C336" s="37" t="str">
        <f t="array" ref="C336">IFERROR(INDEX('Hàng hóa'!$A$4:$A$203,MATCH(B336,'Hàng hóa'!$B$4:$B$203,0)),"")</f>
        <v/>
      </c>
      <c r="D336" s="37" t="str">
        <f t="array" ref="D336">IFERROR(INDEX('Hàng hóa'!$C$4:$C$203,MATCH(B336,'Hàng hóa'!$B$4:$B$203,0)),"")</f>
        <v/>
      </c>
      <c r="E336" s="44"/>
      <c r="F336" s="37">
        <f t="array" ref="F336">IFERROR(INDEX('Hàng hóa'!$E$4:$E$203,MATCH(B336,'Hàng hóa'!$B$4:$B$203,0)),0)</f>
        <v>0</v>
      </c>
      <c r="G336" s="37" t="str">
        <f t="array" ref="G336">IFERROR(INDEX('Hàng hóa'!$F$4:$F$203,MATCH(B336,'Hàng hóa'!$B$4:$B$203,0)),"")</f>
        <v/>
      </c>
      <c r="H336" s="19">
        <f t="array" ref="H336">IFERROR(INDEX('Hàng hóa'!$G$4:$G$203,MATCH(B336,'Hàng hóa'!$B$4:$B$203,0)),0)</f>
        <v>0</v>
      </c>
      <c r="I336" s="7"/>
      <c r="J336" s="47">
        <f t="shared" si="1"/>
        <v>0</v>
      </c>
      <c r="K336" s="19">
        <f t="shared" si="2"/>
        <v>0</v>
      </c>
      <c r="L336" s="23"/>
      <c r="M336" s="23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43"/>
      <c r="B337" s="23"/>
      <c r="C337" s="37" t="str">
        <f t="array" ref="C337">IFERROR(INDEX('Hàng hóa'!$A$4:$A$203,MATCH(B337,'Hàng hóa'!$B$4:$B$203,0)),"")</f>
        <v/>
      </c>
      <c r="D337" s="37" t="str">
        <f t="array" ref="D337">IFERROR(INDEX('Hàng hóa'!$C$4:$C$203,MATCH(B337,'Hàng hóa'!$B$4:$B$203,0)),"")</f>
        <v/>
      </c>
      <c r="E337" s="44"/>
      <c r="F337" s="37">
        <f t="array" ref="F337">IFERROR(INDEX('Hàng hóa'!$E$4:$E$203,MATCH(B337,'Hàng hóa'!$B$4:$B$203,0)),0)</f>
        <v>0</v>
      </c>
      <c r="G337" s="37" t="str">
        <f t="array" ref="G337">IFERROR(INDEX('Hàng hóa'!$F$4:$F$203,MATCH(B337,'Hàng hóa'!$B$4:$B$203,0)),"")</f>
        <v/>
      </c>
      <c r="H337" s="19">
        <f t="array" ref="H337">IFERROR(INDEX('Hàng hóa'!$G$4:$G$203,MATCH(B337,'Hàng hóa'!$B$4:$B$203,0)),0)</f>
        <v>0</v>
      </c>
      <c r="I337" s="7"/>
      <c r="J337" s="47">
        <f t="shared" si="1"/>
        <v>0</v>
      </c>
      <c r="K337" s="19">
        <f t="shared" si="2"/>
        <v>0</v>
      </c>
      <c r="L337" s="23"/>
      <c r="M337" s="23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43"/>
      <c r="B338" s="23"/>
      <c r="C338" s="37" t="str">
        <f t="array" ref="C338">IFERROR(INDEX('Hàng hóa'!$A$4:$A$203,MATCH(B338,'Hàng hóa'!$B$4:$B$203,0)),"")</f>
        <v/>
      </c>
      <c r="D338" s="37" t="str">
        <f t="array" ref="D338">IFERROR(INDEX('Hàng hóa'!$C$4:$C$203,MATCH(B338,'Hàng hóa'!$B$4:$B$203,0)),"")</f>
        <v/>
      </c>
      <c r="E338" s="44"/>
      <c r="F338" s="37">
        <f t="array" ref="F338">IFERROR(INDEX('Hàng hóa'!$E$4:$E$203,MATCH(B338,'Hàng hóa'!$B$4:$B$203,0)),0)</f>
        <v>0</v>
      </c>
      <c r="G338" s="37" t="str">
        <f t="array" ref="G338">IFERROR(INDEX('Hàng hóa'!$F$4:$F$203,MATCH(B338,'Hàng hóa'!$B$4:$B$203,0)),"")</f>
        <v/>
      </c>
      <c r="H338" s="19">
        <f t="array" ref="H338">IFERROR(INDEX('Hàng hóa'!$G$4:$G$203,MATCH(B338,'Hàng hóa'!$B$4:$B$203,0)),0)</f>
        <v>0</v>
      </c>
      <c r="I338" s="7"/>
      <c r="J338" s="47">
        <f t="shared" si="1"/>
        <v>0</v>
      </c>
      <c r="K338" s="19">
        <f t="shared" si="2"/>
        <v>0</v>
      </c>
      <c r="L338" s="23"/>
      <c r="M338" s="23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43"/>
      <c r="B339" s="23"/>
      <c r="C339" s="37" t="str">
        <f t="array" ref="C339">IFERROR(INDEX('Hàng hóa'!$A$4:$A$203,MATCH(B339,'Hàng hóa'!$B$4:$B$203,0)),"")</f>
        <v/>
      </c>
      <c r="D339" s="37" t="str">
        <f t="array" ref="D339">IFERROR(INDEX('Hàng hóa'!$C$4:$C$203,MATCH(B339,'Hàng hóa'!$B$4:$B$203,0)),"")</f>
        <v/>
      </c>
      <c r="E339" s="44"/>
      <c r="F339" s="37">
        <f t="array" ref="F339">IFERROR(INDEX('Hàng hóa'!$E$4:$E$203,MATCH(B339,'Hàng hóa'!$B$4:$B$203,0)),0)</f>
        <v>0</v>
      </c>
      <c r="G339" s="37" t="str">
        <f t="array" ref="G339">IFERROR(INDEX('Hàng hóa'!$F$4:$F$203,MATCH(B339,'Hàng hóa'!$B$4:$B$203,0)),"")</f>
        <v/>
      </c>
      <c r="H339" s="19">
        <f t="array" ref="H339">IFERROR(INDEX('Hàng hóa'!$G$4:$G$203,MATCH(B339,'Hàng hóa'!$B$4:$B$203,0)),0)</f>
        <v>0</v>
      </c>
      <c r="I339" s="7"/>
      <c r="J339" s="47">
        <f t="shared" si="1"/>
        <v>0</v>
      </c>
      <c r="K339" s="19">
        <f t="shared" si="2"/>
        <v>0</v>
      </c>
      <c r="L339" s="23"/>
      <c r="M339" s="23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43"/>
      <c r="B340" s="23"/>
      <c r="C340" s="37" t="str">
        <f t="array" ref="C340">IFERROR(INDEX('Hàng hóa'!$A$4:$A$203,MATCH(B340,'Hàng hóa'!$B$4:$B$203,0)),"")</f>
        <v/>
      </c>
      <c r="D340" s="37" t="str">
        <f t="array" ref="D340">IFERROR(INDEX('Hàng hóa'!$C$4:$C$203,MATCH(B340,'Hàng hóa'!$B$4:$B$203,0)),"")</f>
        <v/>
      </c>
      <c r="E340" s="44"/>
      <c r="F340" s="37">
        <f t="array" ref="F340">IFERROR(INDEX('Hàng hóa'!$E$4:$E$203,MATCH(B340,'Hàng hóa'!$B$4:$B$203,0)),0)</f>
        <v>0</v>
      </c>
      <c r="G340" s="37" t="str">
        <f t="array" ref="G340">IFERROR(INDEX('Hàng hóa'!$F$4:$F$203,MATCH(B340,'Hàng hóa'!$B$4:$B$203,0)),"")</f>
        <v/>
      </c>
      <c r="H340" s="19">
        <f t="array" ref="H340">IFERROR(INDEX('Hàng hóa'!$G$4:$G$203,MATCH(B340,'Hàng hóa'!$B$4:$B$203,0)),0)</f>
        <v>0</v>
      </c>
      <c r="I340" s="7"/>
      <c r="J340" s="47">
        <f t="shared" si="1"/>
        <v>0</v>
      </c>
      <c r="K340" s="19">
        <f t="shared" si="2"/>
        <v>0</v>
      </c>
      <c r="L340" s="23"/>
      <c r="M340" s="23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43"/>
      <c r="B341" s="23"/>
      <c r="C341" s="37" t="str">
        <f t="array" ref="C341">IFERROR(INDEX('Hàng hóa'!$A$4:$A$203,MATCH(B341,'Hàng hóa'!$B$4:$B$203,0)),"")</f>
        <v/>
      </c>
      <c r="D341" s="37" t="str">
        <f t="array" ref="D341">IFERROR(INDEX('Hàng hóa'!$C$4:$C$203,MATCH(B341,'Hàng hóa'!$B$4:$B$203,0)),"")</f>
        <v/>
      </c>
      <c r="E341" s="44"/>
      <c r="F341" s="37">
        <f t="array" ref="F341">IFERROR(INDEX('Hàng hóa'!$E$4:$E$203,MATCH(B341,'Hàng hóa'!$B$4:$B$203,0)),0)</f>
        <v>0</v>
      </c>
      <c r="G341" s="37" t="str">
        <f t="array" ref="G341">IFERROR(INDEX('Hàng hóa'!$F$4:$F$203,MATCH(B341,'Hàng hóa'!$B$4:$B$203,0)),"")</f>
        <v/>
      </c>
      <c r="H341" s="19">
        <f t="array" ref="H341">IFERROR(INDEX('Hàng hóa'!$G$4:$G$203,MATCH(B341,'Hàng hóa'!$B$4:$B$203,0)),0)</f>
        <v>0</v>
      </c>
      <c r="I341" s="7"/>
      <c r="J341" s="47">
        <f t="shared" si="1"/>
        <v>0</v>
      </c>
      <c r="K341" s="19">
        <f t="shared" si="2"/>
        <v>0</v>
      </c>
      <c r="L341" s="23"/>
      <c r="M341" s="23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43"/>
      <c r="B342" s="23"/>
      <c r="C342" s="37" t="str">
        <f t="array" ref="C342">IFERROR(INDEX('Hàng hóa'!$A$4:$A$203,MATCH(B342,'Hàng hóa'!$B$4:$B$203,0)),"")</f>
        <v/>
      </c>
      <c r="D342" s="37" t="str">
        <f t="array" ref="D342">IFERROR(INDEX('Hàng hóa'!$C$4:$C$203,MATCH(B342,'Hàng hóa'!$B$4:$B$203,0)),"")</f>
        <v/>
      </c>
      <c r="E342" s="44"/>
      <c r="F342" s="37">
        <f t="array" ref="F342">IFERROR(INDEX('Hàng hóa'!$E$4:$E$203,MATCH(B342,'Hàng hóa'!$B$4:$B$203,0)),0)</f>
        <v>0</v>
      </c>
      <c r="G342" s="37" t="str">
        <f t="array" ref="G342">IFERROR(INDEX('Hàng hóa'!$F$4:$F$203,MATCH(B342,'Hàng hóa'!$B$4:$B$203,0)),"")</f>
        <v/>
      </c>
      <c r="H342" s="19">
        <f t="array" ref="H342">IFERROR(INDEX('Hàng hóa'!$G$4:$G$203,MATCH(B342,'Hàng hóa'!$B$4:$B$203,0)),0)</f>
        <v>0</v>
      </c>
      <c r="I342" s="7"/>
      <c r="J342" s="47">
        <f t="shared" si="1"/>
        <v>0</v>
      </c>
      <c r="K342" s="19">
        <f t="shared" si="2"/>
        <v>0</v>
      </c>
      <c r="L342" s="23"/>
      <c r="M342" s="23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43"/>
      <c r="B343" s="23"/>
      <c r="C343" s="37" t="str">
        <f t="array" ref="C343">IFERROR(INDEX('Hàng hóa'!$A$4:$A$203,MATCH(B343,'Hàng hóa'!$B$4:$B$203,0)),"")</f>
        <v/>
      </c>
      <c r="D343" s="37" t="str">
        <f t="array" ref="D343">IFERROR(INDEX('Hàng hóa'!$C$4:$C$203,MATCH(B343,'Hàng hóa'!$B$4:$B$203,0)),"")</f>
        <v/>
      </c>
      <c r="E343" s="44"/>
      <c r="F343" s="37">
        <f t="array" ref="F343">IFERROR(INDEX('Hàng hóa'!$E$4:$E$203,MATCH(B343,'Hàng hóa'!$B$4:$B$203,0)),0)</f>
        <v>0</v>
      </c>
      <c r="G343" s="37" t="str">
        <f t="array" ref="G343">IFERROR(INDEX('Hàng hóa'!$F$4:$F$203,MATCH(B343,'Hàng hóa'!$B$4:$B$203,0)),"")</f>
        <v/>
      </c>
      <c r="H343" s="19">
        <f t="array" ref="H343">IFERROR(INDEX('Hàng hóa'!$G$4:$G$203,MATCH(B343,'Hàng hóa'!$B$4:$B$203,0)),0)</f>
        <v>0</v>
      </c>
      <c r="I343" s="7"/>
      <c r="J343" s="47">
        <f t="shared" si="1"/>
        <v>0</v>
      </c>
      <c r="K343" s="19">
        <f t="shared" si="2"/>
        <v>0</v>
      </c>
      <c r="L343" s="23"/>
      <c r="M343" s="23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43"/>
      <c r="B344" s="23"/>
      <c r="C344" s="37" t="str">
        <f t="array" ref="C344">IFERROR(INDEX('Hàng hóa'!$A$4:$A$203,MATCH(B344,'Hàng hóa'!$B$4:$B$203,0)),"")</f>
        <v/>
      </c>
      <c r="D344" s="37" t="str">
        <f t="array" ref="D344">IFERROR(INDEX('Hàng hóa'!$C$4:$C$203,MATCH(B344,'Hàng hóa'!$B$4:$B$203,0)),"")</f>
        <v/>
      </c>
      <c r="E344" s="44"/>
      <c r="F344" s="37">
        <f t="array" ref="F344">IFERROR(INDEX('Hàng hóa'!$E$4:$E$203,MATCH(B344,'Hàng hóa'!$B$4:$B$203,0)),0)</f>
        <v>0</v>
      </c>
      <c r="G344" s="37" t="str">
        <f t="array" ref="G344">IFERROR(INDEX('Hàng hóa'!$F$4:$F$203,MATCH(B344,'Hàng hóa'!$B$4:$B$203,0)),"")</f>
        <v/>
      </c>
      <c r="H344" s="19">
        <f t="array" ref="H344">IFERROR(INDEX('Hàng hóa'!$G$4:$G$203,MATCH(B344,'Hàng hóa'!$B$4:$B$203,0)),0)</f>
        <v>0</v>
      </c>
      <c r="I344" s="7"/>
      <c r="J344" s="47">
        <f t="shared" si="1"/>
        <v>0</v>
      </c>
      <c r="K344" s="19">
        <f t="shared" si="2"/>
        <v>0</v>
      </c>
      <c r="L344" s="23"/>
      <c r="M344" s="23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43"/>
      <c r="B345" s="23"/>
      <c r="C345" s="37" t="str">
        <f t="array" ref="C345">IFERROR(INDEX('Hàng hóa'!$A$4:$A$203,MATCH(B345,'Hàng hóa'!$B$4:$B$203,0)),"")</f>
        <v/>
      </c>
      <c r="D345" s="37" t="str">
        <f t="array" ref="D345">IFERROR(INDEX('Hàng hóa'!$C$4:$C$203,MATCH(B345,'Hàng hóa'!$B$4:$B$203,0)),"")</f>
        <v/>
      </c>
      <c r="E345" s="44"/>
      <c r="F345" s="37">
        <f t="array" ref="F345">IFERROR(INDEX('Hàng hóa'!$E$4:$E$203,MATCH(B345,'Hàng hóa'!$B$4:$B$203,0)),0)</f>
        <v>0</v>
      </c>
      <c r="G345" s="37" t="str">
        <f t="array" ref="G345">IFERROR(INDEX('Hàng hóa'!$F$4:$F$203,MATCH(B345,'Hàng hóa'!$B$4:$B$203,0)),"")</f>
        <v/>
      </c>
      <c r="H345" s="19">
        <f t="array" ref="H345">IFERROR(INDEX('Hàng hóa'!$G$4:$G$203,MATCH(B345,'Hàng hóa'!$B$4:$B$203,0)),0)</f>
        <v>0</v>
      </c>
      <c r="I345" s="7"/>
      <c r="J345" s="47">
        <f t="shared" si="1"/>
        <v>0</v>
      </c>
      <c r="K345" s="19">
        <f t="shared" si="2"/>
        <v>0</v>
      </c>
      <c r="L345" s="23"/>
      <c r="M345" s="23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43"/>
      <c r="B346" s="23"/>
      <c r="C346" s="37" t="str">
        <f t="array" ref="C346">IFERROR(INDEX('Hàng hóa'!$A$4:$A$203,MATCH(B346,'Hàng hóa'!$B$4:$B$203,0)),"")</f>
        <v/>
      </c>
      <c r="D346" s="37" t="str">
        <f t="array" ref="D346">IFERROR(INDEX('Hàng hóa'!$C$4:$C$203,MATCH(B346,'Hàng hóa'!$B$4:$B$203,0)),"")</f>
        <v/>
      </c>
      <c r="E346" s="44"/>
      <c r="F346" s="37">
        <f t="array" ref="F346">IFERROR(INDEX('Hàng hóa'!$E$4:$E$203,MATCH(B346,'Hàng hóa'!$B$4:$B$203,0)),0)</f>
        <v>0</v>
      </c>
      <c r="G346" s="37" t="str">
        <f t="array" ref="G346">IFERROR(INDEX('Hàng hóa'!$F$4:$F$203,MATCH(B346,'Hàng hóa'!$B$4:$B$203,0)),"")</f>
        <v/>
      </c>
      <c r="H346" s="19">
        <f t="array" ref="H346">IFERROR(INDEX('Hàng hóa'!$G$4:$G$203,MATCH(B346,'Hàng hóa'!$B$4:$B$203,0)),0)</f>
        <v>0</v>
      </c>
      <c r="I346" s="7"/>
      <c r="J346" s="47">
        <f t="shared" si="1"/>
        <v>0</v>
      </c>
      <c r="K346" s="19">
        <f t="shared" si="2"/>
        <v>0</v>
      </c>
      <c r="L346" s="23"/>
      <c r="M346" s="23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43"/>
      <c r="B347" s="23"/>
      <c r="C347" s="37" t="str">
        <f t="array" ref="C347">IFERROR(INDEX('Hàng hóa'!$A$4:$A$203,MATCH(B347,'Hàng hóa'!$B$4:$B$203,0)),"")</f>
        <v/>
      </c>
      <c r="D347" s="37" t="str">
        <f t="array" ref="D347">IFERROR(INDEX('Hàng hóa'!$C$4:$C$203,MATCH(B347,'Hàng hóa'!$B$4:$B$203,0)),"")</f>
        <v/>
      </c>
      <c r="E347" s="44"/>
      <c r="F347" s="37">
        <f t="array" ref="F347">IFERROR(INDEX('Hàng hóa'!$E$4:$E$203,MATCH(B347,'Hàng hóa'!$B$4:$B$203,0)),0)</f>
        <v>0</v>
      </c>
      <c r="G347" s="37" t="str">
        <f t="array" ref="G347">IFERROR(INDEX('Hàng hóa'!$F$4:$F$203,MATCH(B347,'Hàng hóa'!$B$4:$B$203,0)),"")</f>
        <v/>
      </c>
      <c r="H347" s="19">
        <f t="array" ref="H347">IFERROR(INDEX('Hàng hóa'!$G$4:$G$203,MATCH(B347,'Hàng hóa'!$B$4:$B$203,0)),0)</f>
        <v>0</v>
      </c>
      <c r="I347" s="7"/>
      <c r="J347" s="47">
        <f t="shared" si="1"/>
        <v>0</v>
      </c>
      <c r="K347" s="19">
        <f t="shared" si="2"/>
        <v>0</v>
      </c>
      <c r="L347" s="23"/>
      <c r="M347" s="23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43"/>
      <c r="B348" s="23"/>
      <c r="C348" s="37" t="str">
        <f t="array" ref="C348">IFERROR(INDEX('Hàng hóa'!$A$4:$A$203,MATCH(B348,'Hàng hóa'!$B$4:$B$203,0)),"")</f>
        <v/>
      </c>
      <c r="D348" s="37" t="str">
        <f t="array" ref="D348">IFERROR(INDEX('Hàng hóa'!$C$4:$C$203,MATCH(B348,'Hàng hóa'!$B$4:$B$203,0)),"")</f>
        <v/>
      </c>
      <c r="E348" s="44"/>
      <c r="F348" s="37">
        <f t="array" ref="F348">IFERROR(INDEX('Hàng hóa'!$E$4:$E$203,MATCH(B348,'Hàng hóa'!$B$4:$B$203,0)),0)</f>
        <v>0</v>
      </c>
      <c r="G348" s="37" t="str">
        <f t="array" ref="G348">IFERROR(INDEX('Hàng hóa'!$F$4:$F$203,MATCH(B348,'Hàng hóa'!$B$4:$B$203,0)),"")</f>
        <v/>
      </c>
      <c r="H348" s="19">
        <f t="array" ref="H348">IFERROR(INDEX('Hàng hóa'!$G$4:$G$203,MATCH(B348,'Hàng hóa'!$B$4:$B$203,0)),0)</f>
        <v>0</v>
      </c>
      <c r="I348" s="7"/>
      <c r="J348" s="47">
        <f t="shared" si="1"/>
        <v>0</v>
      </c>
      <c r="K348" s="19">
        <f t="shared" si="2"/>
        <v>0</v>
      </c>
      <c r="L348" s="23"/>
      <c r="M348" s="23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43"/>
      <c r="B349" s="23"/>
      <c r="C349" s="37" t="str">
        <f t="array" ref="C349">IFERROR(INDEX('Hàng hóa'!$A$4:$A$203,MATCH(B349,'Hàng hóa'!$B$4:$B$203,0)),"")</f>
        <v/>
      </c>
      <c r="D349" s="37" t="str">
        <f t="array" ref="D349">IFERROR(INDEX('Hàng hóa'!$C$4:$C$203,MATCH(B349,'Hàng hóa'!$B$4:$B$203,0)),"")</f>
        <v/>
      </c>
      <c r="E349" s="44"/>
      <c r="F349" s="37">
        <f t="array" ref="F349">IFERROR(INDEX('Hàng hóa'!$E$4:$E$203,MATCH(B349,'Hàng hóa'!$B$4:$B$203,0)),0)</f>
        <v>0</v>
      </c>
      <c r="G349" s="37" t="str">
        <f t="array" ref="G349">IFERROR(INDEX('Hàng hóa'!$F$4:$F$203,MATCH(B349,'Hàng hóa'!$B$4:$B$203,0)),"")</f>
        <v/>
      </c>
      <c r="H349" s="19">
        <f t="array" ref="H349">IFERROR(INDEX('Hàng hóa'!$G$4:$G$203,MATCH(B349,'Hàng hóa'!$B$4:$B$203,0)),0)</f>
        <v>0</v>
      </c>
      <c r="I349" s="7"/>
      <c r="J349" s="47">
        <f t="shared" si="1"/>
        <v>0</v>
      </c>
      <c r="K349" s="19">
        <f t="shared" si="2"/>
        <v>0</v>
      </c>
      <c r="L349" s="23"/>
      <c r="M349" s="23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43"/>
      <c r="B350" s="23"/>
      <c r="C350" s="37" t="str">
        <f t="array" ref="C350">IFERROR(INDEX('Hàng hóa'!$A$4:$A$203,MATCH(B350,'Hàng hóa'!$B$4:$B$203,0)),"")</f>
        <v/>
      </c>
      <c r="D350" s="37" t="str">
        <f t="array" ref="D350">IFERROR(INDEX('Hàng hóa'!$C$4:$C$203,MATCH(B350,'Hàng hóa'!$B$4:$B$203,0)),"")</f>
        <v/>
      </c>
      <c r="E350" s="44"/>
      <c r="F350" s="37">
        <f t="array" ref="F350">IFERROR(INDEX('Hàng hóa'!$E$4:$E$203,MATCH(B350,'Hàng hóa'!$B$4:$B$203,0)),0)</f>
        <v>0</v>
      </c>
      <c r="G350" s="37" t="str">
        <f t="array" ref="G350">IFERROR(INDEX('Hàng hóa'!$F$4:$F$203,MATCH(B350,'Hàng hóa'!$B$4:$B$203,0)),"")</f>
        <v/>
      </c>
      <c r="H350" s="19">
        <f t="array" ref="H350">IFERROR(INDEX('Hàng hóa'!$G$4:$G$203,MATCH(B350,'Hàng hóa'!$B$4:$B$203,0)),0)</f>
        <v>0</v>
      </c>
      <c r="I350" s="7"/>
      <c r="J350" s="47">
        <f t="shared" si="1"/>
        <v>0</v>
      </c>
      <c r="K350" s="19">
        <f t="shared" si="2"/>
        <v>0</v>
      </c>
      <c r="L350" s="23"/>
      <c r="M350" s="23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43"/>
      <c r="B351" s="23"/>
      <c r="C351" s="37" t="str">
        <f t="array" ref="C351">IFERROR(INDEX('Hàng hóa'!$A$4:$A$203,MATCH(B351,'Hàng hóa'!$B$4:$B$203,0)),"")</f>
        <v/>
      </c>
      <c r="D351" s="37" t="str">
        <f t="array" ref="D351">IFERROR(INDEX('Hàng hóa'!$C$4:$C$203,MATCH(B351,'Hàng hóa'!$B$4:$B$203,0)),"")</f>
        <v/>
      </c>
      <c r="E351" s="44"/>
      <c r="F351" s="37">
        <f t="array" ref="F351">IFERROR(INDEX('Hàng hóa'!$E$4:$E$203,MATCH(B351,'Hàng hóa'!$B$4:$B$203,0)),0)</f>
        <v>0</v>
      </c>
      <c r="G351" s="37" t="str">
        <f t="array" ref="G351">IFERROR(INDEX('Hàng hóa'!$F$4:$F$203,MATCH(B351,'Hàng hóa'!$B$4:$B$203,0)),"")</f>
        <v/>
      </c>
      <c r="H351" s="19">
        <f t="array" ref="H351">IFERROR(INDEX('Hàng hóa'!$G$4:$G$203,MATCH(B351,'Hàng hóa'!$B$4:$B$203,0)),0)</f>
        <v>0</v>
      </c>
      <c r="I351" s="7"/>
      <c r="J351" s="47">
        <f t="shared" si="1"/>
        <v>0</v>
      </c>
      <c r="K351" s="19">
        <f t="shared" si="2"/>
        <v>0</v>
      </c>
      <c r="L351" s="23"/>
      <c r="M351" s="23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43"/>
      <c r="B352" s="23"/>
      <c r="C352" s="37" t="str">
        <f t="array" ref="C352">IFERROR(INDEX('Hàng hóa'!$A$4:$A$203,MATCH(B352,'Hàng hóa'!$B$4:$B$203,0)),"")</f>
        <v/>
      </c>
      <c r="D352" s="37" t="str">
        <f t="array" ref="D352">IFERROR(INDEX('Hàng hóa'!$C$4:$C$203,MATCH(B352,'Hàng hóa'!$B$4:$B$203,0)),"")</f>
        <v/>
      </c>
      <c r="E352" s="44"/>
      <c r="F352" s="37">
        <f t="array" ref="F352">IFERROR(INDEX('Hàng hóa'!$E$4:$E$203,MATCH(B352,'Hàng hóa'!$B$4:$B$203,0)),0)</f>
        <v>0</v>
      </c>
      <c r="G352" s="37" t="str">
        <f t="array" ref="G352">IFERROR(INDEX('Hàng hóa'!$F$4:$F$203,MATCH(B352,'Hàng hóa'!$B$4:$B$203,0)),"")</f>
        <v/>
      </c>
      <c r="H352" s="19">
        <f t="array" ref="H352">IFERROR(INDEX('Hàng hóa'!$G$4:$G$203,MATCH(B352,'Hàng hóa'!$B$4:$B$203,0)),0)</f>
        <v>0</v>
      </c>
      <c r="I352" s="7"/>
      <c r="J352" s="47">
        <f t="shared" si="1"/>
        <v>0</v>
      </c>
      <c r="K352" s="19">
        <f t="shared" si="2"/>
        <v>0</v>
      </c>
      <c r="L352" s="23"/>
      <c r="M352" s="23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43"/>
      <c r="B353" s="23"/>
      <c r="C353" s="37" t="str">
        <f t="array" ref="C353">IFERROR(INDEX('Hàng hóa'!$A$4:$A$203,MATCH(B353,'Hàng hóa'!$B$4:$B$203,0)),"")</f>
        <v/>
      </c>
      <c r="D353" s="37" t="str">
        <f t="array" ref="D353">IFERROR(INDEX('Hàng hóa'!$C$4:$C$203,MATCH(B353,'Hàng hóa'!$B$4:$B$203,0)),"")</f>
        <v/>
      </c>
      <c r="E353" s="44"/>
      <c r="F353" s="37">
        <f t="array" ref="F353">IFERROR(INDEX('Hàng hóa'!$E$4:$E$203,MATCH(B353,'Hàng hóa'!$B$4:$B$203,0)),0)</f>
        <v>0</v>
      </c>
      <c r="G353" s="37" t="str">
        <f t="array" ref="G353">IFERROR(INDEX('Hàng hóa'!$F$4:$F$203,MATCH(B353,'Hàng hóa'!$B$4:$B$203,0)),"")</f>
        <v/>
      </c>
      <c r="H353" s="19">
        <f t="array" ref="H353">IFERROR(INDEX('Hàng hóa'!$G$4:$G$203,MATCH(B353,'Hàng hóa'!$B$4:$B$203,0)),0)</f>
        <v>0</v>
      </c>
      <c r="I353" s="7"/>
      <c r="J353" s="47">
        <f t="shared" si="1"/>
        <v>0</v>
      </c>
      <c r="K353" s="19">
        <f t="shared" si="2"/>
        <v>0</v>
      </c>
      <c r="L353" s="23"/>
      <c r="M353" s="23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43"/>
      <c r="B354" s="23"/>
      <c r="C354" s="37" t="str">
        <f t="array" ref="C354">IFERROR(INDEX('Hàng hóa'!$A$4:$A$203,MATCH(B354,'Hàng hóa'!$B$4:$B$203,0)),"")</f>
        <v/>
      </c>
      <c r="D354" s="37" t="str">
        <f t="array" ref="D354">IFERROR(INDEX('Hàng hóa'!$C$4:$C$203,MATCH(B354,'Hàng hóa'!$B$4:$B$203,0)),"")</f>
        <v/>
      </c>
      <c r="E354" s="44"/>
      <c r="F354" s="37">
        <f t="array" ref="F354">IFERROR(INDEX('Hàng hóa'!$E$4:$E$203,MATCH(B354,'Hàng hóa'!$B$4:$B$203,0)),0)</f>
        <v>0</v>
      </c>
      <c r="G354" s="37" t="str">
        <f t="array" ref="G354">IFERROR(INDEX('Hàng hóa'!$F$4:$F$203,MATCH(B354,'Hàng hóa'!$B$4:$B$203,0)),"")</f>
        <v/>
      </c>
      <c r="H354" s="19">
        <f t="array" ref="H354">IFERROR(INDEX('Hàng hóa'!$G$4:$G$203,MATCH(B354,'Hàng hóa'!$B$4:$B$203,0)),0)</f>
        <v>0</v>
      </c>
      <c r="I354" s="7"/>
      <c r="J354" s="47">
        <f t="shared" si="1"/>
        <v>0</v>
      </c>
      <c r="K354" s="19">
        <f t="shared" si="2"/>
        <v>0</v>
      </c>
      <c r="L354" s="23"/>
      <c r="M354" s="23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43"/>
      <c r="B355" s="23"/>
      <c r="C355" s="37" t="str">
        <f t="array" ref="C355">IFERROR(INDEX('Hàng hóa'!$A$4:$A$203,MATCH(B355,'Hàng hóa'!$B$4:$B$203,0)),"")</f>
        <v/>
      </c>
      <c r="D355" s="37" t="str">
        <f t="array" ref="D355">IFERROR(INDEX('Hàng hóa'!$C$4:$C$203,MATCH(B355,'Hàng hóa'!$B$4:$B$203,0)),"")</f>
        <v/>
      </c>
      <c r="E355" s="44"/>
      <c r="F355" s="37">
        <f t="array" ref="F355">IFERROR(INDEX('Hàng hóa'!$E$4:$E$203,MATCH(B355,'Hàng hóa'!$B$4:$B$203,0)),0)</f>
        <v>0</v>
      </c>
      <c r="G355" s="37" t="str">
        <f t="array" ref="G355">IFERROR(INDEX('Hàng hóa'!$F$4:$F$203,MATCH(B355,'Hàng hóa'!$B$4:$B$203,0)),"")</f>
        <v/>
      </c>
      <c r="H355" s="19">
        <f t="array" ref="H355">IFERROR(INDEX('Hàng hóa'!$G$4:$G$203,MATCH(B355,'Hàng hóa'!$B$4:$B$203,0)),0)</f>
        <v>0</v>
      </c>
      <c r="I355" s="7"/>
      <c r="J355" s="47">
        <f t="shared" si="1"/>
        <v>0</v>
      </c>
      <c r="K355" s="19">
        <f t="shared" si="2"/>
        <v>0</v>
      </c>
      <c r="L355" s="23"/>
      <c r="M355" s="23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43"/>
      <c r="B356" s="23"/>
      <c r="C356" s="37" t="str">
        <f t="array" ref="C356">IFERROR(INDEX('Hàng hóa'!$A$4:$A$203,MATCH(B356,'Hàng hóa'!$B$4:$B$203,0)),"")</f>
        <v/>
      </c>
      <c r="D356" s="37" t="str">
        <f t="array" ref="D356">IFERROR(INDEX('Hàng hóa'!$C$4:$C$203,MATCH(B356,'Hàng hóa'!$B$4:$B$203,0)),"")</f>
        <v/>
      </c>
      <c r="E356" s="44"/>
      <c r="F356" s="37">
        <f t="array" ref="F356">IFERROR(INDEX('Hàng hóa'!$E$4:$E$203,MATCH(B356,'Hàng hóa'!$B$4:$B$203,0)),0)</f>
        <v>0</v>
      </c>
      <c r="G356" s="37" t="str">
        <f t="array" ref="G356">IFERROR(INDEX('Hàng hóa'!$F$4:$F$203,MATCH(B356,'Hàng hóa'!$B$4:$B$203,0)),"")</f>
        <v/>
      </c>
      <c r="H356" s="19">
        <f t="array" ref="H356">IFERROR(INDEX('Hàng hóa'!$G$4:$G$203,MATCH(B356,'Hàng hóa'!$B$4:$B$203,0)),0)</f>
        <v>0</v>
      </c>
      <c r="I356" s="7"/>
      <c r="J356" s="47">
        <f t="shared" si="1"/>
        <v>0</v>
      </c>
      <c r="K356" s="19">
        <f t="shared" si="2"/>
        <v>0</v>
      </c>
      <c r="L356" s="23"/>
      <c r="M356" s="23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43"/>
      <c r="B357" s="23"/>
      <c r="C357" s="37" t="str">
        <f t="array" ref="C357">IFERROR(INDEX('Hàng hóa'!$A$4:$A$203,MATCH(B357,'Hàng hóa'!$B$4:$B$203,0)),"")</f>
        <v/>
      </c>
      <c r="D357" s="37" t="str">
        <f t="array" ref="D357">IFERROR(INDEX('Hàng hóa'!$C$4:$C$203,MATCH(B357,'Hàng hóa'!$B$4:$B$203,0)),"")</f>
        <v/>
      </c>
      <c r="E357" s="44"/>
      <c r="F357" s="37">
        <f t="array" ref="F357">IFERROR(INDEX('Hàng hóa'!$E$4:$E$203,MATCH(B357,'Hàng hóa'!$B$4:$B$203,0)),0)</f>
        <v>0</v>
      </c>
      <c r="G357" s="37" t="str">
        <f t="array" ref="G357">IFERROR(INDEX('Hàng hóa'!$F$4:$F$203,MATCH(B357,'Hàng hóa'!$B$4:$B$203,0)),"")</f>
        <v/>
      </c>
      <c r="H357" s="19">
        <f t="array" ref="H357">IFERROR(INDEX('Hàng hóa'!$G$4:$G$203,MATCH(B357,'Hàng hóa'!$B$4:$B$203,0)),0)</f>
        <v>0</v>
      </c>
      <c r="I357" s="7"/>
      <c r="J357" s="47">
        <f t="shared" si="1"/>
        <v>0</v>
      </c>
      <c r="K357" s="19">
        <f t="shared" si="2"/>
        <v>0</v>
      </c>
      <c r="L357" s="23"/>
      <c r="M357" s="23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43"/>
      <c r="B358" s="23"/>
      <c r="C358" s="37" t="str">
        <f t="array" ref="C358">IFERROR(INDEX('Hàng hóa'!$A$4:$A$203,MATCH(B358,'Hàng hóa'!$B$4:$B$203,0)),"")</f>
        <v/>
      </c>
      <c r="D358" s="37" t="str">
        <f t="array" ref="D358">IFERROR(INDEX('Hàng hóa'!$C$4:$C$203,MATCH(B358,'Hàng hóa'!$B$4:$B$203,0)),"")</f>
        <v/>
      </c>
      <c r="E358" s="44"/>
      <c r="F358" s="37">
        <f t="array" ref="F358">IFERROR(INDEX('Hàng hóa'!$E$4:$E$203,MATCH(B358,'Hàng hóa'!$B$4:$B$203,0)),0)</f>
        <v>0</v>
      </c>
      <c r="G358" s="37" t="str">
        <f t="array" ref="G358">IFERROR(INDEX('Hàng hóa'!$F$4:$F$203,MATCH(B358,'Hàng hóa'!$B$4:$B$203,0)),"")</f>
        <v/>
      </c>
      <c r="H358" s="19">
        <f t="array" ref="H358">IFERROR(INDEX('Hàng hóa'!$G$4:$G$203,MATCH(B358,'Hàng hóa'!$B$4:$B$203,0)),0)</f>
        <v>0</v>
      </c>
      <c r="I358" s="7"/>
      <c r="J358" s="47">
        <f t="shared" si="1"/>
        <v>0</v>
      </c>
      <c r="K358" s="19">
        <f t="shared" si="2"/>
        <v>0</v>
      </c>
      <c r="L358" s="23"/>
      <c r="M358" s="23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43"/>
      <c r="B359" s="23"/>
      <c r="C359" s="37" t="str">
        <f t="array" ref="C359">IFERROR(INDEX('Hàng hóa'!$A$4:$A$203,MATCH(B359,'Hàng hóa'!$B$4:$B$203,0)),"")</f>
        <v/>
      </c>
      <c r="D359" s="37" t="str">
        <f t="array" ref="D359">IFERROR(INDEX('Hàng hóa'!$C$4:$C$203,MATCH(B359,'Hàng hóa'!$B$4:$B$203,0)),"")</f>
        <v/>
      </c>
      <c r="E359" s="44"/>
      <c r="F359" s="37">
        <f t="array" ref="F359">IFERROR(INDEX('Hàng hóa'!$E$4:$E$203,MATCH(B359,'Hàng hóa'!$B$4:$B$203,0)),0)</f>
        <v>0</v>
      </c>
      <c r="G359" s="37" t="str">
        <f t="array" ref="G359">IFERROR(INDEX('Hàng hóa'!$F$4:$F$203,MATCH(B359,'Hàng hóa'!$B$4:$B$203,0)),"")</f>
        <v/>
      </c>
      <c r="H359" s="19">
        <f t="array" ref="H359">IFERROR(INDEX('Hàng hóa'!$G$4:$G$203,MATCH(B359,'Hàng hóa'!$B$4:$B$203,0)),0)</f>
        <v>0</v>
      </c>
      <c r="I359" s="7"/>
      <c r="J359" s="47">
        <f t="shared" si="1"/>
        <v>0</v>
      </c>
      <c r="K359" s="19">
        <f t="shared" si="2"/>
        <v>0</v>
      </c>
      <c r="L359" s="23"/>
      <c r="M359" s="23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43"/>
      <c r="B360" s="23"/>
      <c r="C360" s="37" t="str">
        <f t="array" ref="C360">IFERROR(INDEX('Hàng hóa'!$A$4:$A$203,MATCH(B360,'Hàng hóa'!$B$4:$B$203,0)),"")</f>
        <v/>
      </c>
      <c r="D360" s="37" t="str">
        <f t="array" ref="D360">IFERROR(INDEX('Hàng hóa'!$C$4:$C$203,MATCH(B360,'Hàng hóa'!$B$4:$B$203,0)),"")</f>
        <v/>
      </c>
      <c r="E360" s="44"/>
      <c r="F360" s="37">
        <f t="array" ref="F360">IFERROR(INDEX('Hàng hóa'!$E$4:$E$203,MATCH(B360,'Hàng hóa'!$B$4:$B$203,0)),0)</f>
        <v>0</v>
      </c>
      <c r="G360" s="37" t="str">
        <f t="array" ref="G360">IFERROR(INDEX('Hàng hóa'!$F$4:$F$203,MATCH(B360,'Hàng hóa'!$B$4:$B$203,0)),"")</f>
        <v/>
      </c>
      <c r="H360" s="19">
        <f t="array" ref="H360">IFERROR(INDEX('Hàng hóa'!$G$4:$G$203,MATCH(B360,'Hàng hóa'!$B$4:$B$203,0)),0)</f>
        <v>0</v>
      </c>
      <c r="I360" s="7"/>
      <c r="J360" s="47">
        <f t="shared" si="1"/>
        <v>0</v>
      </c>
      <c r="K360" s="19">
        <f t="shared" si="2"/>
        <v>0</v>
      </c>
      <c r="L360" s="23"/>
      <c r="M360" s="23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43"/>
      <c r="B361" s="23"/>
      <c r="C361" s="37" t="str">
        <f t="array" ref="C361">IFERROR(INDEX('Hàng hóa'!$A$4:$A$203,MATCH(B361,'Hàng hóa'!$B$4:$B$203,0)),"")</f>
        <v/>
      </c>
      <c r="D361" s="37" t="str">
        <f t="array" ref="D361">IFERROR(INDEX('Hàng hóa'!$C$4:$C$203,MATCH(B361,'Hàng hóa'!$B$4:$B$203,0)),"")</f>
        <v/>
      </c>
      <c r="E361" s="44"/>
      <c r="F361" s="37">
        <f t="array" ref="F361">IFERROR(INDEX('Hàng hóa'!$E$4:$E$203,MATCH(B361,'Hàng hóa'!$B$4:$B$203,0)),0)</f>
        <v>0</v>
      </c>
      <c r="G361" s="37" t="str">
        <f t="array" ref="G361">IFERROR(INDEX('Hàng hóa'!$F$4:$F$203,MATCH(B361,'Hàng hóa'!$B$4:$B$203,0)),"")</f>
        <v/>
      </c>
      <c r="H361" s="19">
        <f t="array" ref="H361">IFERROR(INDEX('Hàng hóa'!$G$4:$G$203,MATCH(B361,'Hàng hóa'!$B$4:$B$203,0)),0)</f>
        <v>0</v>
      </c>
      <c r="I361" s="7"/>
      <c r="J361" s="47">
        <f t="shared" si="1"/>
        <v>0</v>
      </c>
      <c r="K361" s="19">
        <f t="shared" si="2"/>
        <v>0</v>
      </c>
      <c r="L361" s="23"/>
      <c r="M361" s="23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43"/>
      <c r="B362" s="23"/>
      <c r="C362" s="37" t="str">
        <f t="array" ref="C362">IFERROR(INDEX('Hàng hóa'!$A$4:$A$203,MATCH(B362,'Hàng hóa'!$B$4:$B$203,0)),"")</f>
        <v/>
      </c>
      <c r="D362" s="37" t="str">
        <f t="array" ref="D362">IFERROR(INDEX('Hàng hóa'!$C$4:$C$203,MATCH(B362,'Hàng hóa'!$B$4:$B$203,0)),"")</f>
        <v/>
      </c>
      <c r="E362" s="44"/>
      <c r="F362" s="37">
        <f t="array" ref="F362">IFERROR(INDEX('Hàng hóa'!$E$4:$E$203,MATCH(B362,'Hàng hóa'!$B$4:$B$203,0)),0)</f>
        <v>0</v>
      </c>
      <c r="G362" s="37" t="str">
        <f t="array" ref="G362">IFERROR(INDEX('Hàng hóa'!$F$4:$F$203,MATCH(B362,'Hàng hóa'!$B$4:$B$203,0)),"")</f>
        <v/>
      </c>
      <c r="H362" s="19">
        <f t="array" ref="H362">IFERROR(INDEX('Hàng hóa'!$G$4:$G$203,MATCH(B362,'Hàng hóa'!$B$4:$B$203,0)),0)</f>
        <v>0</v>
      </c>
      <c r="I362" s="7"/>
      <c r="J362" s="47">
        <f t="shared" si="1"/>
        <v>0</v>
      </c>
      <c r="K362" s="19">
        <f t="shared" si="2"/>
        <v>0</v>
      </c>
      <c r="L362" s="23"/>
      <c r="M362" s="23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43"/>
      <c r="B363" s="23"/>
      <c r="C363" s="37" t="str">
        <f t="array" ref="C363">IFERROR(INDEX('Hàng hóa'!$A$4:$A$203,MATCH(B363,'Hàng hóa'!$B$4:$B$203,0)),"")</f>
        <v/>
      </c>
      <c r="D363" s="37" t="str">
        <f t="array" ref="D363">IFERROR(INDEX('Hàng hóa'!$C$4:$C$203,MATCH(B363,'Hàng hóa'!$B$4:$B$203,0)),"")</f>
        <v/>
      </c>
      <c r="E363" s="44"/>
      <c r="F363" s="37">
        <f t="array" ref="F363">IFERROR(INDEX('Hàng hóa'!$E$4:$E$203,MATCH(B363,'Hàng hóa'!$B$4:$B$203,0)),0)</f>
        <v>0</v>
      </c>
      <c r="G363" s="37" t="str">
        <f t="array" ref="G363">IFERROR(INDEX('Hàng hóa'!$F$4:$F$203,MATCH(B363,'Hàng hóa'!$B$4:$B$203,0)),"")</f>
        <v/>
      </c>
      <c r="H363" s="19">
        <f t="array" ref="H363">IFERROR(INDEX('Hàng hóa'!$G$4:$G$203,MATCH(B363,'Hàng hóa'!$B$4:$B$203,0)),0)</f>
        <v>0</v>
      </c>
      <c r="I363" s="7"/>
      <c r="J363" s="47">
        <f t="shared" si="1"/>
        <v>0</v>
      </c>
      <c r="K363" s="19">
        <f t="shared" si="2"/>
        <v>0</v>
      </c>
      <c r="L363" s="23"/>
      <c r="M363" s="23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43"/>
      <c r="B364" s="23"/>
      <c r="C364" s="37" t="str">
        <f t="array" ref="C364">IFERROR(INDEX('Hàng hóa'!$A$4:$A$203,MATCH(B364,'Hàng hóa'!$B$4:$B$203,0)),"")</f>
        <v/>
      </c>
      <c r="D364" s="37" t="str">
        <f t="array" ref="D364">IFERROR(INDEX('Hàng hóa'!$C$4:$C$203,MATCH(B364,'Hàng hóa'!$B$4:$B$203,0)),"")</f>
        <v/>
      </c>
      <c r="E364" s="44"/>
      <c r="F364" s="37">
        <f t="array" ref="F364">IFERROR(INDEX('Hàng hóa'!$E$4:$E$203,MATCH(B364,'Hàng hóa'!$B$4:$B$203,0)),0)</f>
        <v>0</v>
      </c>
      <c r="G364" s="37" t="str">
        <f t="array" ref="G364">IFERROR(INDEX('Hàng hóa'!$F$4:$F$203,MATCH(B364,'Hàng hóa'!$B$4:$B$203,0)),"")</f>
        <v/>
      </c>
      <c r="H364" s="19">
        <f t="array" ref="H364">IFERROR(INDEX('Hàng hóa'!$G$4:$G$203,MATCH(B364,'Hàng hóa'!$B$4:$B$203,0)),0)</f>
        <v>0</v>
      </c>
      <c r="I364" s="7"/>
      <c r="J364" s="47">
        <f t="shared" si="1"/>
        <v>0</v>
      </c>
      <c r="K364" s="19">
        <f t="shared" si="2"/>
        <v>0</v>
      </c>
      <c r="L364" s="23"/>
      <c r="M364" s="23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43"/>
      <c r="B365" s="23"/>
      <c r="C365" s="37" t="str">
        <f t="array" ref="C365">IFERROR(INDEX('Hàng hóa'!$A$4:$A$203,MATCH(B365,'Hàng hóa'!$B$4:$B$203,0)),"")</f>
        <v/>
      </c>
      <c r="D365" s="37" t="str">
        <f t="array" ref="D365">IFERROR(INDEX('Hàng hóa'!$C$4:$C$203,MATCH(B365,'Hàng hóa'!$B$4:$B$203,0)),"")</f>
        <v/>
      </c>
      <c r="E365" s="44"/>
      <c r="F365" s="37">
        <f t="array" ref="F365">IFERROR(INDEX('Hàng hóa'!$E$4:$E$203,MATCH(B365,'Hàng hóa'!$B$4:$B$203,0)),0)</f>
        <v>0</v>
      </c>
      <c r="G365" s="37" t="str">
        <f t="array" ref="G365">IFERROR(INDEX('Hàng hóa'!$F$4:$F$203,MATCH(B365,'Hàng hóa'!$B$4:$B$203,0)),"")</f>
        <v/>
      </c>
      <c r="H365" s="19">
        <f t="array" ref="H365">IFERROR(INDEX('Hàng hóa'!$G$4:$G$203,MATCH(B365,'Hàng hóa'!$B$4:$B$203,0)),0)</f>
        <v>0</v>
      </c>
      <c r="I365" s="7"/>
      <c r="J365" s="47">
        <f t="shared" si="1"/>
        <v>0</v>
      </c>
      <c r="K365" s="19">
        <f t="shared" si="2"/>
        <v>0</v>
      </c>
      <c r="L365" s="23"/>
      <c r="M365" s="23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43"/>
      <c r="B366" s="23"/>
      <c r="C366" s="37" t="str">
        <f t="array" ref="C366">IFERROR(INDEX('Hàng hóa'!$A$4:$A$203,MATCH(B366,'Hàng hóa'!$B$4:$B$203,0)),"")</f>
        <v/>
      </c>
      <c r="D366" s="37" t="str">
        <f t="array" ref="D366">IFERROR(INDEX('Hàng hóa'!$C$4:$C$203,MATCH(B366,'Hàng hóa'!$B$4:$B$203,0)),"")</f>
        <v/>
      </c>
      <c r="E366" s="44"/>
      <c r="F366" s="37">
        <f t="array" ref="F366">IFERROR(INDEX('Hàng hóa'!$E$4:$E$203,MATCH(B366,'Hàng hóa'!$B$4:$B$203,0)),0)</f>
        <v>0</v>
      </c>
      <c r="G366" s="37" t="str">
        <f t="array" ref="G366">IFERROR(INDEX('Hàng hóa'!$F$4:$F$203,MATCH(B366,'Hàng hóa'!$B$4:$B$203,0)),"")</f>
        <v/>
      </c>
      <c r="H366" s="19">
        <f t="array" ref="H366">IFERROR(INDEX('Hàng hóa'!$G$4:$G$203,MATCH(B366,'Hàng hóa'!$B$4:$B$203,0)),0)</f>
        <v>0</v>
      </c>
      <c r="I366" s="7"/>
      <c r="J366" s="47">
        <f t="shared" si="1"/>
        <v>0</v>
      </c>
      <c r="K366" s="19">
        <f t="shared" si="2"/>
        <v>0</v>
      </c>
      <c r="L366" s="23"/>
      <c r="M366" s="23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43"/>
      <c r="B367" s="23"/>
      <c r="C367" s="37" t="str">
        <f t="array" ref="C367">IFERROR(INDEX('Hàng hóa'!$A$4:$A$203,MATCH(B367,'Hàng hóa'!$B$4:$B$203,0)),"")</f>
        <v/>
      </c>
      <c r="D367" s="37" t="str">
        <f t="array" ref="D367">IFERROR(INDEX('Hàng hóa'!$C$4:$C$203,MATCH(B367,'Hàng hóa'!$B$4:$B$203,0)),"")</f>
        <v/>
      </c>
      <c r="E367" s="44"/>
      <c r="F367" s="37">
        <f t="array" ref="F367">IFERROR(INDEX('Hàng hóa'!$E$4:$E$203,MATCH(B367,'Hàng hóa'!$B$4:$B$203,0)),0)</f>
        <v>0</v>
      </c>
      <c r="G367" s="37" t="str">
        <f t="array" ref="G367">IFERROR(INDEX('Hàng hóa'!$F$4:$F$203,MATCH(B367,'Hàng hóa'!$B$4:$B$203,0)),"")</f>
        <v/>
      </c>
      <c r="H367" s="19">
        <f t="array" ref="H367">IFERROR(INDEX('Hàng hóa'!$G$4:$G$203,MATCH(B367,'Hàng hóa'!$B$4:$B$203,0)),0)</f>
        <v>0</v>
      </c>
      <c r="I367" s="7"/>
      <c r="J367" s="47">
        <f t="shared" si="1"/>
        <v>0</v>
      </c>
      <c r="K367" s="19">
        <f t="shared" si="2"/>
        <v>0</v>
      </c>
      <c r="L367" s="23"/>
      <c r="M367" s="23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43"/>
      <c r="B368" s="23"/>
      <c r="C368" s="37" t="str">
        <f t="array" ref="C368">IFERROR(INDEX('Hàng hóa'!$A$4:$A$203,MATCH(B368,'Hàng hóa'!$B$4:$B$203,0)),"")</f>
        <v/>
      </c>
      <c r="D368" s="37" t="str">
        <f t="array" ref="D368">IFERROR(INDEX('Hàng hóa'!$C$4:$C$203,MATCH(B368,'Hàng hóa'!$B$4:$B$203,0)),"")</f>
        <v/>
      </c>
      <c r="E368" s="44"/>
      <c r="F368" s="37">
        <f t="array" ref="F368">IFERROR(INDEX('Hàng hóa'!$E$4:$E$203,MATCH(B368,'Hàng hóa'!$B$4:$B$203,0)),0)</f>
        <v>0</v>
      </c>
      <c r="G368" s="37" t="str">
        <f t="array" ref="G368">IFERROR(INDEX('Hàng hóa'!$F$4:$F$203,MATCH(B368,'Hàng hóa'!$B$4:$B$203,0)),"")</f>
        <v/>
      </c>
      <c r="H368" s="19">
        <f t="array" ref="H368">IFERROR(INDEX('Hàng hóa'!$G$4:$G$203,MATCH(B368,'Hàng hóa'!$B$4:$B$203,0)),0)</f>
        <v>0</v>
      </c>
      <c r="I368" s="7"/>
      <c r="J368" s="47">
        <f t="shared" si="1"/>
        <v>0</v>
      </c>
      <c r="K368" s="19">
        <f t="shared" si="2"/>
        <v>0</v>
      </c>
      <c r="L368" s="23"/>
      <c r="M368" s="23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43"/>
      <c r="B369" s="23"/>
      <c r="C369" s="37" t="str">
        <f t="array" ref="C369">IFERROR(INDEX('Hàng hóa'!$A$4:$A$203,MATCH(B369,'Hàng hóa'!$B$4:$B$203,0)),"")</f>
        <v/>
      </c>
      <c r="D369" s="37" t="str">
        <f t="array" ref="D369">IFERROR(INDEX('Hàng hóa'!$C$4:$C$203,MATCH(B369,'Hàng hóa'!$B$4:$B$203,0)),"")</f>
        <v/>
      </c>
      <c r="E369" s="44"/>
      <c r="F369" s="37">
        <f t="array" ref="F369">IFERROR(INDEX('Hàng hóa'!$E$4:$E$203,MATCH(B369,'Hàng hóa'!$B$4:$B$203,0)),0)</f>
        <v>0</v>
      </c>
      <c r="G369" s="37" t="str">
        <f t="array" ref="G369">IFERROR(INDEX('Hàng hóa'!$F$4:$F$203,MATCH(B369,'Hàng hóa'!$B$4:$B$203,0)),"")</f>
        <v/>
      </c>
      <c r="H369" s="19">
        <f t="array" ref="H369">IFERROR(INDEX('Hàng hóa'!$G$4:$G$203,MATCH(B369,'Hàng hóa'!$B$4:$B$203,0)),0)</f>
        <v>0</v>
      </c>
      <c r="I369" s="7"/>
      <c r="J369" s="47">
        <f t="shared" si="1"/>
        <v>0</v>
      </c>
      <c r="K369" s="19">
        <f t="shared" si="2"/>
        <v>0</v>
      </c>
      <c r="L369" s="23"/>
      <c r="M369" s="23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43"/>
      <c r="B370" s="23"/>
      <c r="C370" s="37" t="str">
        <f t="array" ref="C370">IFERROR(INDEX('Hàng hóa'!$A$4:$A$203,MATCH(B370,'Hàng hóa'!$B$4:$B$203,0)),"")</f>
        <v/>
      </c>
      <c r="D370" s="37" t="str">
        <f t="array" ref="D370">IFERROR(INDEX('Hàng hóa'!$C$4:$C$203,MATCH(B370,'Hàng hóa'!$B$4:$B$203,0)),"")</f>
        <v/>
      </c>
      <c r="E370" s="44"/>
      <c r="F370" s="37">
        <f t="array" ref="F370">IFERROR(INDEX('Hàng hóa'!$E$4:$E$203,MATCH(B370,'Hàng hóa'!$B$4:$B$203,0)),0)</f>
        <v>0</v>
      </c>
      <c r="G370" s="37" t="str">
        <f t="array" ref="G370">IFERROR(INDEX('Hàng hóa'!$F$4:$F$203,MATCH(B370,'Hàng hóa'!$B$4:$B$203,0)),"")</f>
        <v/>
      </c>
      <c r="H370" s="19">
        <f t="array" ref="H370">IFERROR(INDEX('Hàng hóa'!$G$4:$G$203,MATCH(B370,'Hàng hóa'!$B$4:$B$203,0)),0)</f>
        <v>0</v>
      </c>
      <c r="I370" s="7"/>
      <c r="J370" s="47">
        <f t="shared" si="1"/>
        <v>0</v>
      </c>
      <c r="K370" s="19">
        <f t="shared" si="2"/>
        <v>0</v>
      </c>
      <c r="L370" s="23"/>
      <c r="M370" s="23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43"/>
      <c r="B371" s="23"/>
      <c r="C371" s="37" t="str">
        <f t="array" ref="C371">IFERROR(INDEX('Hàng hóa'!$A$4:$A$203,MATCH(B371,'Hàng hóa'!$B$4:$B$203,0)),"")</f>
        <v/>
      </c>
      <c r="D371" s="37" t="str">
        <f t="array" ref="D371">IFERROR(INDEX('Hàng hóa'!$C$4:$C$203,MATCH(B371,'Hàng hóa'!$B$4:$B$203,0)),"")</f>
        <v/>
      </c>
      <c r="E371" s="44"/>
      <c r="F371" s="37">
        <f t="array" ref="F371">IFERROR(INDEX('Hàng hóa'!$E$4:$E$203,MATCH(B371,'Hàng hóa'!$B$4:$B$203,0)),0)</f>
        <v>0</v>
      </c>
      <c r="G371" s="37" t="str">
        <f t="array" ref="G371">IFERROR(INDEX('Hàng hóa'!$F$4:$F$203,MATCH(B371,'Hàng hóa'!$B$4:$B$203,0)),"")</f>
        <v/>
      </c>
      <c r="H371" s="19">
        <f t="array" ref="H371">IFERROR(INDEX('Hàng hóa'!$G$4:$G$203,MATCH(B371,'Hàng hóa'!$B$4:$B$203,0)),0)</f>
        <v>0</v>
      </c>
      <c r="I371" s="7"/>
      <c r="J371" s="47">
        <f t="shared" si="1"/>
        <v>0</v>
      </c>
      <c r="K371" s="19">
        <f t="shared" si="2"/>
        <v>0</v>
      </c>
      <c r="L371" s="23"/>
      <c r="M371" s="23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43"/>
      <c r="B372" s="23"/>
      <c r="C372" s="37" t="str">
        <f t="array" ref="C372">IFERROR(INDEX('Hàng hóa'!$A$4:$A$203,MATCH(B372,'Hàng hóa'!$B$4:$B$203,0)),"")</f>
        <v/>
      </c>
      <c r="D372" s="37" t="str">
        <f t="array" ref="D372">IFERROR(INDEX('Hàng hóa'!$C$4:$C$203,MATCH(B372,'Hàng hóa'!$B$4:$B$203,0)),"")</f>
        <v/>
      </c>
      <c r="E372" s="44"/>
      <c r="F372" s="37">
        <f t="array" ref="F372">IFERROR(INDEX('Hàng hóa'!$E$4:$E$203,MATCH(B372,'Hàng hóa'!$B$4:$B$203,0)),0)</f>
        <v>0</v>
      </c>
      <c r="G372" s="37" t="str">
        <f t="array" ref="G372">IFERROR(INDEX('Hàng hóa'!$F$4:$F$203,MATCH(B372,'Hàng hóa'!$B$4:$B$203,0)),"")</f>
        <v/>
      </c>
      <c r="H372" s="19">
        <f t="array" ref="H372">IFERROR(INDEX('Hàng hóa'!$G$4:$G$203,MATCH(B372,'Hàng hóa'!$B$4:$B$203,0)),0)</f>
        <v>0</v>
      </c>
      <c r="I372" s="7"/>
      <c r="J372" s="47">
        <f t="shared" si="1"/>
        <v>0</v>
      </c>
      <c r="K372" s="19">
        <f t="shared" si="2"/>
        <v>0</v>
      </c>
      <c r="L372" s="23"/>
      <c r="M372" s="23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43"/>
      <c r="B373" s="23"/>
      <c r="C373" s="37" t="str">
        <f t="array" ref="C373">IFERROR(INDEX('Hàng hóa'!$A$4:$A$203,MATCH(B373,'Hàng hóa'!$B$4:$B$203,0)),"")</f>
        <v/>
      </c>
      <c r="D373" s="37" t="str">
        <f t="array" ref="D373">IFERROR(INDEX('Hàng hóa'!$C$4:$C$203,MATCH(B373,'Hàng hóa'!$B$4:$B$203,0)),"")</f>
        <v/>
      </c>
      <c r="E373" s="44"/>
      <c r="F373" s="37">
        <f t="array" ref="F373">IFERROR(INDEX('Hàng hóa'!$E$4:$E$203,MATCH(B373,'Hàng hóa'!$B$4:$B$203,0)),0)</f>
        <v>0</v>
      </c>
      <c r="G373" s="37" t="str">
        <f t="array" ref="G373">IFERROR(INDEX('Hàng hóa'!$F$4:$F$203,MATCH(B373,'Hàng hóa'!$B$4:$B$203,0)),"")</f>
        <v/>
      </c>
      <c r="H373" s="19">
        <f t="array" ref="H373">IFERROR(INDEX('Hàng hóa'!$G$4:$G$203,MATCH(B373,'Hàng hóa'!$B$4:$B$203,0)),0)</f>
        <v>0</v>
      </c>
      <c r="I373" s="7"/>
      <c r="J373" s="47">
        <f t="shared" si="1"/>
        <v>0</v>
      </c>
      <c r="K373" s="19">
        <f t="shared" si="2"/>
        <v>0</v>
      </c>
      <c r="L373" s="23"/>
      <c r="M373" s="23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43"/>
      <c r="B374" s="23"/>
      <c r="C374" s="37" t="str">
        <f t="array" ref="C374">IFERROR(INDEX('Hàng hóa'!$A$4:$A$203,MATCH(B374,'Hàng hóa'!$B$4:$B$203,0)),"")</f>
        <v/>
      </c>
      <c r="D374" s="37" t="str">
        <f t="array" ref="D374">IFERROR(INDEX('Hàng hóa'!$C$4:$C$203,MATCH(B374,'Hàng hóa'!$B$4:$B$203,0)),"")</f>
        <v/>
      </c>
      <c r="E374" s="44"/>
      <c r="F374" s="37">
        <f t="array" ref="F374">IFERROR(INDEX('Hàng hóa'!$E$4:$E$203,MATCH(B374,'Hàng hóa'!$B$4:$B$203,0)),0)</f>
        <v>0</v>
      </c>
      <c r="G374" s="37" t="str">
        <f t="array" ref="G374">IFERROR(INDEX('Hàng hóa'!$F$4:$F$203,MATCH(B374,'Hàng hóa'!$B$4:$B$203,0)),"")</f>
        <v/>
      </c>
      <c r="H374" s="19">
        <f t="array" ref="H374">IFERROR(INDEX('Hàng hóa'!$G$4:$G$203,MATCH(B374,'Hàng hóa'!$B$4:$B$203,0)),0)</f>
        <v>0</v>
      </c>
      <c r="I374" s="7"/>
      <c r="J374" s="47">
        <f t="shared" si="1"/>
        <v>0</v>
      </c>
      <c r="K374" s="19">
        <f t="shared" si="2"/>
        <v>0</v>
      </c>
      <c r="L374" s="23"/>
      <c r="M374" s="23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43"/>
      <c r="B375" s="23"/>
      <c r="C375" s="37" t="str">
        <f t="array" ref="C375">IFERROR(INDEX('Hàng hóa'!$A$4:$A$203,MATCH(B375,'Hàng hóa'!$B$4:$B$203,0)),"")</f>
        <v/>
      </c>
      <c r="D375" s="37" t="str">
        <f t="array" ref="D375">IFERROR(INDEX('Hàng hóa'!$C$4:$C$203,MATCH(B375,'Hàng hóa'!$B$4:$B$203,0)),"")</f>
        <v/>
      </c>
      <c r="E375" s="44"/>
      <c r="F375" s="37">
        <f t="array" ref="F375">IFERROR(INDEX('Hàng hóa'!$E$4:$E$203,MATCH(B375,'Hàng hóa'!$B$4:$B$203,0)),0)</f>
        <v>0</v>
      </c>
      <c r="G375" s="37" t="str">
        <f t="array" ref="G375">IFERROR(INDEX('Hàng hóa'!$F$4:$F$203,MATCH(B375,'Hàng hóa'!$B$4:$B$203,0)),"")</f>
        <v/>
      </c>
      <c r="H375" s="19">
        <f t="array" ref="H375">IFERROR(INDEX('Hàng hóa'!$G$4:$G$203,MATCH(B375,'Hàng hóa'!$B$4:$B$203,0)),0)</f>
        <v>0</v>
      </c>
      <c r="I375" s="7"/>
      <c r="J375" s="47">
        <f t="shared" si="1"/>
        <v>0</v>
      </c>
      <c r="K375" s="19">
        <f t="shared" si="2"/>
        <v>0</v>
      </c>
      <c r="L375" s="23"/>
      <c r="M375" s="23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43"/>
      <c r="B376" s="23"/>
      <c r="C376" s="37" t="str">
        <f t="array" ref="C376">IFERROR(INDEX('Hàng hóa'!$A$4:$A$203,MATCH(B376,'Hàng hóa'!$B$4:$B$203,0)),"")</f>
        <v/>
      </c>
      <c r="D376" s="37" t="str">
        <f t="array" ref="D376">IFERROR(INDEX('Hàng hóa'!$C$4:$C$203,MATCH(B376,'Hàng hóa'!$B$4:$B$203,0)),"")</f>
        <v/>
      </c>
      <c r="E376" s="44"/>
      <c r="F376" s="37">
        <f t="array" ref="F376">IFERROR(INDEX('Hàng hóa'!$E$4:$E$203,MATCH(B376,'Hàng hóa'!$B$4:$B$203,0)),0)</f>
        <v>0</v>
      </c>
      <c r="G376" s="37" t="str">
        <f t="array" ref="G376">IFERROR(INDEX('Hàng hóa'!$F$4:$F$203,MATCH(B376,'Hàng hóa'!$B$4:$B$203,0)),"")</f>
        <v/>
      </c>
      <c r="H376" s="19">
        <f t="array" ref="H376">IFERROR(INDEX('Hàng hóa'!$G$4:$G$203,MATCH(B376,'Hàng hóa'!$B$4:$B$203,0)),0)</f>
        <v>0</v>
      </c>
      <c r="I376" s="7"/>
      <c r="J376" s="47">
        <f t="shared" si="1"/>
        <v>0</v>
      </c>
      <c r="K376" s="19">
        <f t="shared" si="2"/>
        <v>0</v>
      </c>
      <c r="L376" s="23"/>
      <c r="M376" s="23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43"/>
      <c r="B377" s="23"/>
      <c r="C377" s="37" t="str">
        <f t="array" ref="C377">IFERROR(INDEX('Hàng hóa'!$A$4:$A$203,MATCH(B377,'Hàng hóa'!$B$4:$B$203,0)),"")</f>
        <v/>
      </c>
      <c r="D377" s="37" t="str">
        <f t="array" ref="D377">IFERROR(INDEX('Hàng hóa'!$C$4:$C$203,MATCH(B377,'Hàng hóa'!$B$4:$B$203,0)),"")</f>
        <v/>
      </c>
      <c r="E377" s="44"/>
      <c r="F377" s="37">
        <f t="array" ref="F377">IFERROR(INDEX('Hàng hóa'!$E$4:$E$203,MATCH(B377,'Hàng hóa'!$B$4:$B$203,0)),0)</f>
        <v>0</v>
      </c>
      <c r="G377" s="37" t="str">
        <f t="array" ref="G377">IFERROR(INDEX('Hàng hóa'!$F$4:$F$203,MATCH(B377,'Hàng hóa'!$B$4:$B$203,0)),"")</f>
        <v/>
      </c>
      <c r="H377" s="19">
        <f t="array" ref="H377">IFERROR(INDEX('Hàng hóa'!$G$4:$G$203,MATCH(B377,'Hàng hóa'!$B$4:$B$203,0)),0)</f>
        <v>0</v>
      </c>
      <c r="I377" s="7"/>
      <c r="J377" s="47">
        <f t="shared" si="1"/>
        <v>0</v>
      </c>
      <c r="K377" s="19">
        <f t="shared" si="2"/>
        <v>0</v>
      </c>
      <c r="L377" s="23"/>
      <c r="M377" s="23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43"/>
      <c r="B378" s="23"/>
      <c r="C378" s="37" t="str">
        <f t="array" ref="C378">IFERROR(INDEX('Hàng hóa'!$A$4:$A$203,MATCH(B378,'Hàng hóa'!$B$4:$B$203,0)),"")</f>
        <v/>
      </c>
      <c r="D378" s="37" t="str">
        <f t="array" ref="D378">IFERROR(INDEX('Hàng hóa'!$C$4:$C$203,MATCH(B378,'Hàng hóa'!$B$4:$B$203,0)),"")</f>
        <v/>
      </c>
      <c r="E378" s="44"/>
      <c r="F378" s="37">
        <f t="array" ref="F378">IFERROR(INDEX('Hàng hóa'!$E$4:$E$203,MATCH(B378,'Hàng hóa'!$B$4:$B$203,0)),0)</f>
        <v>0</v>
      </c>
      <c r="G378" s="37" t="str">
        <f t="array" ref="G378">IFERROR(INDEX('Hàng hóa'!$F$4:$F$203,MATCH(B378,'Hàng hóa'!$B$4:$B$203,0)),"")</f>
        <v/>
      </c>
      <c r="H378" s="19">
        <f t="array" ref="H378">IFERROR(INDEX('Hàng hóa'!$G$4:$G$203,MATCH(B378,'Hàng hóa'!$B$4:$B$203,0)),0)</f>
        <v>0</v>
      </c>
      <c r="I378" s="7"/>
      <c r="J378" s="47">
        <f t="shared" si="1"/>
        <v>0</v>
      </c>
      <c r="K378" s="19">
        <f t="shared" si="2"/>
        <v>0</v>
      </c>
      <c r="L378" s="23"/>
      <c r="M378" s="23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43"/>
      <c r="B379" s="23"/>
      <c r="C379" s="37" t="str">
        <f t="array" ref="C379">IFERROR(INDEX('Hàng hóa'!$A$4:$A$203,MATCH(B379,'Hàng hóa'!$B$4:$B$203,0)),"")</f>
        <v/>
      </c>
      <c r="D379" s="37" t="str">
        <f t="array" ref="D379">IFERROR(INDEX('Hàng hóa'!$C$4:$C$203,MATCH(B379,'Hàng hóa'!$B$4:$B$203,0)),"")</f>
        <v/>
      </c>
      <c r="E379" s="44"/>
      <c r="F379" s="37">
        <f t="array" ref="F379">IFERROR(INDEX('Hàng hóa'!$E$4:$E$203,MATCH(B379,'Hàng hóa'!$B$4:$B$203,0)),0)</f>
        <v>0</v>
      </c>
      <c r="G379" s="37" t="str">
        <f t="array" ref="G379">IFERROR(INDEX('Hàng hóa'!$F$4:$F$203,MATCH(B379,'Hàng hóa'!$B$4:$B$203,0)),"")</f>
        <v/>
      </c>
      <c r="H379" s="19">
        <f t="array" ref="H379">IFERROR(INDEX('Hàng hóa'!$G$4:$G$203,MATCH(B379,'Hàng hóa'!$B$4:$B$203,0)),0)</f>
        <v>0</v>
      </c>
      <c r="I379" s="7"/>
      <c r="J379" s="47">
        <f t="shared" si="1"/>
        <v>0</v>
      </c>
      <c r="K379" s="19">
        <f t="shared" si="2"/>
        <v>0</v>
      </c>
      <c r="L379" s="23"/>
      <c r="M379" s="23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43"/>
      <c r="B380" s="23"/>
      <c r="C380" s="37" t="str">
        <f t="array" ref="C380">IFERROR(INDEX('Hàng hóa'!$A$4:$A$203,MATCH(B380,'Hàng hóa'!$B$4:$B$203,0)),"")</f>
        <v/>
      </c>
      <c r="D380" s="37" t="str">
        <f t="array" ref="D380">IFERROR(INDEX('Hàng hóa'!$C$4:$C$203,MATCH(B380,'Hàng hóa'!$B$4:$B$203,0)),"")</f>
        <v/>
      </c>
      <c r="E380" s="44"/>
      <c r="F380" s="37">
        <f t="array" ref="F380">IFERROR(INDEX('Hàng hóa'!$E$4:$E$203,MATCH(B380,'Hàng hóa'!$B$4:$B$203,0)),0)</f>
        <v>0</v>
      </c>
      <c r="G380" s="37" t="str">
        <f t="array" ref="G380">IFERROR(INDEX('Hàng hóa'!$F$4:$F$203,MATCH(B380,'Hàng hóa'!$B$4:$B$203,0)),"")</f>
        <v/>
      </c>
      <c r="H380" s="19">
        <f t="array" ref="H380">IFERROR(INDEX('Hàng hóa'!$G$4:$G$203,MATCH(B380,'Hàng hóa'!$B$4:$B$203,0)),0)</f>
        <v>0</v>
      </c>
      <c r="I380" s="7"/>
      <c r="J380" s="47">
        <f t="shared" si="1"/>
        <v>0</v>
      </c>
      <c r="K380" s="19">
        <f t="shared" si="2"/>
        <v>0</v>
      </c>
      <c r="L380" s="23"/>
      <c r="M380" s="23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43"/>
      <c r="B381" s="23"/>
      <c r="C381" s="37" t="str">
        <f t="array" ref="C381">IFERROR(INDEX('Hàng hóa'!$A$4:$A$203,MATCH(B381,'Hàng hóa'!$B$4:$B$203,0)),"")</f>
        <v/>
      </c>
      <c r="D381" s="37" t="str">
        <f t="array" ref="D381">IFERROR(INDEX('Hàng hóa'!$C$4:$C$203,MATCH(B381,'Hàng hóa'!$B$4:$B$203,0)),"")</f>
        <v/>
      </c>
      <c r="E381" s="44"/>
      <c r="F381" s="37">
        <f t="array" ref="F381">IFERROR(INDEX('Hàng hóa'!$E$4:$E$203,MATCH(B381,'Hàng hóa'!$B$4:$B$203,0)),0)</f>
        <v>0</v>
      </c>
      <c r="G381" s="37" t="str">
        <f t="array" ref="G381">IFERROR(INDEX('Hàng hóa'!$F$4:$F$203,MATCH(B381,'Hàng hóa'!$B$4:$B$203,0)),"")</f>
        <v/>
      </c>
      <c r="H381" s="19">
        <f t="array" ref="H381">IFERROR(INDEX('Hàng hóa'!$G$4:$G$203,MATCH(B381,'Hàng hóa'!$B$4:$B$203,0)),0)</f>
        <v>0</v>
      </c>
      <c r="I381" s="7"/>
      <c r="J381" s="47">
        <f t="shared" si="1"/>
        <v>0</v>
      </c>
      <c r="K381" s="19">
        <f t="shared" si="2"/>
        <v>0</v>
      </c>
      <c r="L381" s="23"/>
      <c r="M381" s="23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43"/>
      <c r="B382" s="23"/>
      <c r="C382" s="37" t="str">
        <f t="array" ref="C382">IFERROR(INDEX('Hàng hóa'!$A$4:$A$203,MATCH(B382,'Hàng hóa'!$B$4:$B$203,0)),"")</f>
        <v/>
      </c>
      <c r="D382" s="37" t="str">
        <f t="array" ref="D382">IFERROR(INDEX('Hàng hóa'!$C$4:$C$203,MATCH(B382,'Hàng hóa'!$B$4:$B$203,0)),"")</f>
        <v/>
      </c>
      <c r="E382" s="44"/>
      <c r="F382" s="37">
        <f t="array" ref="F382">IFERROR(INDEX('Hàng hóa'!$E$4:$E$203,MATCH(B382,'Hàng hóa'!$B$4:$B$203,0)),0)</f>
        <v>0</v>
      </c>
      <c r="G382" s="37" t="str">
        <f t="array" ref="G382">IFERROR(INDEX('Hàng hóa'!$F$4:$F$203,MATCH(B382,'Hàng hóa'!$B$4:$B$203,0)),"")</f>
        <v/>
      </c>
      <c r="H382" s="19">
        <f t="array" ref="H382">IFERROR(INDEX('Hàng hóa'!$G$4:$G$203,MATCH(B382,'Hàng hóa'!$B$4:$B$203,0)),0)</f>
        <v>0</v>
      </c>
      <c r="I382" s="7"/>
      <c r="J382" s="47">
        <f t="shared" si="1"/>
        <v>0</v>
      </c>
      <c r="K382" s="19">
        <f t="shared" si="2"/>
        <v>0</v>
      </c>
      <c r="L382" s="23"/>
      <c r="M382" s="23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43"/>
      <c r="B383" s="23"/>
      <c r="C383" s="37" t="str">
        <f t="array" ref="C383">IFERROR(INDEX('Hàng hóa'!$A$4:$A$203,MATCH(B383,'Hàng hóa'!$B$4:$B$203,0)),"")</f>
        <v/>
      </c>
      <c r="D383" s="37" t="str">
        <f t="array" ref="D383">IFERROR(INDEX('Hàng hóa'!$C$4:$C$203,MATCH(B383,'Hàng hóa'!$B$4:$B$203,0)),"")</f>
        <v/>
      </c>
      <c r="E383" s="44"/>
      <c r="F383" s="37">
        <f t="array" ref="F383">IFERROR(INDEX('Hàng hóa'!$E$4:$E$203,MATCH(B383,'Hàng hóa'!$B$4:$B$203,0)),0)</f>
        <v>0</v>
      </c>
      <c r="G383" s="37" t="str">
        <f t="array" ref="G383">IFERROR(INDEX('Hàng hóa'!$F$4:$F$203,MATCH(B383,'Hàng hóa'!$B$4:$B$203,0)),"")</f>
        <v/>
      </c>
      <c r="H383" s="19">
        <f t="array" ref="H383">IFERROR(INDEX('Hàng hóa'!$G$4:$G$203,MATCH(B383,'Hàng hóa'!$B$4:$B$203,0)),0)</f>
        <v>0</v>
      </c>
      <c r="I383" s="7"/>
      <c r="J383" s="47">
        <f t="shared" si="1"/>
        <v>0</v>
      </c>
      <c r="K383" s="19">
        <f t="shared" si="2"/>
        <v>0</v>
      </c>
      <c r="L383" s="23"/>
      <c r="M383" s="23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43"/>
      <c r="B384" s="23"/>
      <c r="C384" s="37" t="str">
        <f t="array" ref="C384">IFERROR(INDEX('Hàng hóa'!$A$4:$A$203,MATCH(B384,'Hàng hóa'!$B$4:$B$203,0)),"")</f>
        <v/>
      </c>
      <c r="D384" s="37" t="str">
        <f t="array" ref="D384">IFERROR(INDEX('Hàng hóa'!$C$4:$C$203,MATCH(B384,'Hàng hóa'!$B$4:$B$203,0)),"")</f>
        <v/>
      </c>
      <c r="E384" s="44"/>
      <c r="F384" s="37">
        <f t="array" ref="F384">IFERROR(INDEX('Hàng hóa'!$E$4:$E$203,MATCH(B384,'Hàng hóa'!$B$4:$B$203,0)),0)</f>
        <v>0</v>
      </c>
      <c r="G384" s="37" t="str">
        <f t="array" ref="G384">IFERROR(INDEX('Hàng hóa'!$F$4:$F$203,MATCH(B384,'Hàng hóa'!$B$4:$B$203,0)),"")</f>
        <v/>
      </c>
      <c r="H384" s="19">
        <f t="array" ref="H384">IFERROR(INDEX('Hàng hóa'!$G$4:$G$203,MATCH(B384,'Hàng hóa'!$B$4:$B$203,0)),0)</f>
        <v>0</v>
      </c>
      <c r="I384" s="7"/>
      <c r="J384" s="47">
        <f t="shared" si="1"/>
        <v>0</v>
      </c>
      <c r="K384" s="19">
        <f t="shared" si="2"/>
        <v>0</v>
      </c>
      <c r="L384" s="23"/>
      <c r="M384" s="23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43"/>
      <c r="B385" s="23"/>
      <c r="C385" s="37" t="str">
        <f t="array" ref="C385">IFERROR(INDEX('Hàng hóa'!$A$4:$A$203,MATCH(B385,'Hàng hóa'!$B$4:$B$203,0)),"")</f>
        <v/>
      </c>
      <c r="D385" s="37" t="str">
        <f t="array" ref="D385">IFERROR(INDEX('Hàng hóa'!$C$4:$C$203,MATCH(B385,'Hàng hóa'!$B$4:$B$203,0)),"")</f>
        <v/>
      </c>
      <c r="E385" s="44"/>
      <c r="F385" s="37">
        <f t="array" ref="F385">IFERROR(INDEX('Hàng hóa'!$E$4:$E$203,MATCH(B385,'Hàng hóa'!$B$4:$B$203,0)),0)</f>
        <v>0</v>
      </c>
      <c r="G385" s="37" t="str">
        <f t="array" ref="G385">IFERROR(INDEX('Hàng hóa'!$F$4:$F$203,MATCH(B385,'Hàng hóa'!$B$4:$B$203,0)),"")</f>
        <v/>
      </c>
      <c r="H385" s="19">
        <f t="array" ref="H385">IFERROR(INDEX('Hàng hóa'!$G$4:$G$203,MATCH(B385,'Hàng hóa'!$B$4:$B$203,0)),0)</f>
        <v>0</v>
      </c>
      <c r="I385" s="7"/>
      <c r="J385" s="47">
        <f t="shared" si="1"/>
        <v>0</v>
      </c>
      <c r="K385" s="19">
        <f t="shared" si="2"/>
        <v>0</v>
      </c>
      <c r="L385" s="23"/>
      <c r="M385" s="23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43"/>
      <c r="B386" s="23"/>
      <c r="C386" s="37" t="str">
        <f t="array" ref="C386">IFERROR(INDEX('Hàng hóa'!$A$4:$A$203,MATCH(B386,'Hàng hóa'!$B$4:$B$203,0)),"")</f>
        <v/>
      </c>
      <c r="D386" s="37" t="str">
        <f t="array" ref="D386">IFERROR(INDEX('Hàng hóa'!$C$4:$C$203,MATCH(B386,'Hàng hóa'!$B$4:$B$203,0)),"")</f>
        <v/>
      </c>
      <c r="E386" s="44"/>
      <c r="F386" s="37">
        <f t="array" ref="F386">IFERROR(INDEX('Hàng hóa'!$E$4:$E$203,MATCH(B386,'Hàng hóa'!$B$4:$B$203,0)),0)</f>
        <v>0</v>
      </c>
      <c r="G386" s="37" t="str">
        <f t="array" ref="G386">IFERROR(INDEX('Hàng hóa'!$F$4:$F$203,MATCH(B386,'Hàng hóa'!$B$4:$B$203,0)),"")</f>
        <v/>
      </c>
      <c r="H386" s="19">
        <f t="array" ref="H386">IFERROR(INDEX('Hàng hóa'!$G$4:$G$203,MATCH(B386,'Hàng hóa'!$B$4:$B$203,0)),0)</f>
        <v>0</v>
      </c>
      <c r="I386" s="7"/>
      <c r="J386" s="47">
        <f t="shared" si="1"/>
        <v>0</v>
      </c>
      <c r="K386" s="19">
        <f t="shared" si="2"/>
        <v>0</v>
      </c>
      <c r="L386" s="23"/>
      <c r="M386" s="23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43"/>
      <c r="B387" s="23"/>
      <c r="C387" s="37" t="str">
        <f t="array" ref="C387">IFERROR(INDEX('Hàng hóa'!$A$4:$A$203,MATCH(B387,'Hàng hóa'!$B$4:$B$203,0)),"")</f>
        <v/>
      </c>
      <c r="D387" s="37" t="str">
        <f t="array" ref="D387">IFERROR(INDEX('Hàng hóa'!$C$4:$C$203,MATCH(B387,'Hàng hóa'!$B$4:$B$203,0)),"")</f>
        <v/>
      </c>
      <c r="E387" s="44"/>
      <c r="F387" s="37">
        <f t="array" ref="F387">IFERROR(INDEX('Hàng hóa'!$E$4:$E$203,MATCH(B387,'Hàng hóa'!$B$4:$B$203,0)),0)</f>
        <v>0</v>
      </c>
      <c r="G387" s="37" t="str">
        <f t="array" ref="G387">IFERROR(INDEX('Hàng hóa'!$F$4:$F$203,MATCH(B387,'Hàng hóa'!$B$4:$B$203,0)),"")</f>
        <v/>
      </c>
      <c r="H387" s="19">
        <f t="array" ref="H387">IFERROR(INDEX('Hàng hóa'!$G$4:$G$203,MATCH(B387,'Hàng hóa'!$B$4:$B$203,0)),0)</f>
        <v>0</v>
      </c>
      <c r="I387" s="7"/>
      <c r="J387" s="47">
        <f t="shared" si="1"/>
        <v>0</v>
      </c>
      <c r="K387" s="19">
        <f t="shared" si="2"/>
        <v>0</v>
      </c>
      <c r="L387" s="23"/>
      <c r="M387" s="23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43"/>
      <c r="B388" s="23"/>
      <c r="C388" s="37" t="str">
        <f t="array" ref="C388">IFERROR(INDEX('Hàng hóa'!$A$4:$A$203,MATCH(B388,'Hàng hóa'!$B$4:$B$203,0)),"")</f>
        <v/>
      </c>
      <c r="D388" s="37" t="str">
        <f t="array" ref="D388">IFERROR(INDEX('Hàng hóa'!$C$4:$C$203,MATCH(B388,'Hàng hóa'!$B$4:$B$203,0)),"")</f>
        <v/>
      </c>
      <c r="E388" s="44"/>
      <c r="F388" s="37">
        <f t="array" ref="F388">IFERROR(INDEX('Hàng hóa'!$E$4:$E$203,MATCH(B388,'Hàng hóa'!$B$4:$B$203,0)),0)</f>
        <v>0</v>
      </c>
      <c r="G388" s="37" t="str">
        <f t="array" ref="G388">IFERROR(INDEX('Hàng hóa'!$F$4:$F$203,MATCH(B388,'Hàng hóa'!$B$4:$B$203,0)),"")</f>
        <v/>
      </c>
      <c r="H388" s="19">
        <f t="array" ref="H388">IFERROR(INDEX('Hàng hóa'!$G$4:$G$203,MATCH(B388,'Hàng hóa'!$B$4:$B$203,0)),0)</f>
        <v>0</v>
      </c>
      <c r="I388" s="7"/>
      <c r="J388" s="47">
        <f t="shared" si="1"/>
        <v>0</v>
      </c>
      <c r="K388" s="19">
        <f t="shared" si="2"/>
        <v>0</v>
      </c>
      <c r="L388" s="23"/>
      <c r="M388" s="23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43"/>
      <c r="B389" s="23"/>
      <c r="C389" s="37" t="str">
        <f t="array" ref="C389">IFERROR(INDEX('Hàng hóa'!$A$4:$A$203,MATCH(B389,'Hàng hóa'!$B$4:$B$203,0)),"")</f>
        <v/>
      </c>
      <c r="D389" s="37" t="str">
        <f t="array" ref="D389">IFERROR(INDEX('Hàng hóa'!$C$4:$C$203,MATCH(B389,'Hàng hóa'!$B$4:$B$203,0)),"")</f>
        <v/>
      </c>
      <c r="E389" s="44"/>
      <c r="F389" s="37">
        <f t="array" ref="F389">IFERROR(INDEX('Hàng hóa'!$E$4:$E$203,MATCH(B389,'Hàng hóa'!$B$4:$B$203,0)),0)</f>
        <v>0</v>
      </c>
      <c r="G389" s="37" t="str">
        <f t="array" ref="G389">IFERROR(INDEX('Hàng hóa'!$F$4:$F$203,MATCH(B389,'Hàng hóa'!$B$4:$B$203,0)),"")</f>
        <v/>
      </c>
      <c r="H389" s="19">
        <f t="array" ref="H389">IFERROR(INDEX('Hàng hóa'!$G$4:$G$203,MATCH(B389,'Hàng hóa'!$B$4:$B$203,0)),0)</f>
        <v>0</v>
      </c>
      <c r="I389" s="7"/>
      <c r="J389" s="47">
        <f t="shared" si="1"/>
        <v>0</v>
      </c>
      <c r="K389" s="19">
        <f t="shared" si="2"/>
        <v>0</v>
      </c>
      <c r="L389" s="23"/>
      <c r="M389" s="23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43"/>
      <c r="B390" s="23"/>
      <c r="C390" s="37" t="str">
        <f t="array" ref="C390">IFERROR(INDEX('Hàng hóa'!$A$4:$A$203,MATCH(B390,'Hàng hóa'!$B$4:$B$203,0)),"")</f>
        <v/>
      </c>
      <c r="D390" s="37" t="str">
        <f t="array" ref="D390">IFERROR(INDEX('Hàng hóa'!$C$4:$C$203,MATCH(B390,'Hàng hóa'!$B$4:$B$203,0)),"")</f>
        <v/>
      </c>
      <c r="E390" s="44"/>
      <c r="F390" s="37">
        <f t="array" ref="F390">IFERROR(INDEX('Hàng hóa'!$E$4:$E$203,MATCH(B390,'Hàng hóa'!$B$4:$B$203,0)),0)</f>
        <v>0</v>
      </c>
      <c r="G390" s="37" t="str">
        <f t="array" ref="G390">IFERROR(INDEX('Hàng hóa'!$F$4:$F$203,MATCH(B390,'Hàng hóa'!$B$4:$B$203,0)),"")</f>
        <v/>
      </c>
      <c r="H390" s="19">
        <f t="array" ref="H390">IFERROR(INDEX('Hàng hóa'!$G$4:$G$203,MATCH(B390,'Hàng hóa'!$B$4:$B$203,0)),0)</f>
        <v>0</v>
      </c>
      <c r="I390" s="7"/>
      <c r="J390" s="47">
        <f t="shared" si="1"/>
        <v>0</v>
      </c>
      <c r="K390" s="19">
        <f t="shared" si="2"/>
        <v>0</v>
      </c>
      <c r="L390" s="23"/>
      <c r="M390" s="23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43"/>
      <c r="B391" s="23"/>
      <c r="C391" s="37" t="str">
        <f t="array" ref="C391">IFERROR(INDEX('Hàng hóa'!$A$4:$A$203,MATCH(B391,'Hàng hóa'!$B$4:$B$203,0)),"")</f>
        <v/>
      </c>
      <c r="D391" s="37" t="str">
        <f t="array" ref="D391">IFERROR(INDEX('Hàng hóa'!$C$4:$C$203,MATCH(B391,'Hàng hóa'!$B$4:$B$203,0)),"")</f>
        <v/>
      </c>
      <c r="E391" s="44"/>
      <c r="F391" s="37">
        <f t="array" ref="F391">IFERROR(INDEX('Hàng hóa'!$E$4:$E$203,MATCH(B391,'Hàng hóa'!$B$4:$B$203,0)),0)</f>
        <v>0</v>
      </c>
      <c r="G391" s="37" t="str">
        <f t="array" ref="G391">IFERROR(INDEX('Hàng hóa'!$F$4:$F$203,MATCH(B391,'Hàng hóa'!$B$4:$B$203,0)),"")</f>
        <v/>
      </c>
      <c r="H391" s="19">
        <f t="array" ref="H391">IFERROR(INDEX('Hàng hóa'!$G$4:$G$203,MATCH(B391,'Hàng hóa'!$B$4:$B$203,0)),0)</f>
        <v>0</v>
      </c>
      <c r="I391" s="7"/>
      <c r="J391" s="47">
        <f t="shared" si="1"/>
        <v>0</v>
      </c>
      <c r="K391" s="19">
        <f t="shared" si="2"/>
        <v>0</v>
      </c>
      <c r="L391" s="23"/>
      <c r="M391" s="23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43"/>
      <c r="B392" s="23"/>
      <c r="C392" s="37" t="str">
        <f t="array" ref="C392">IFERROR(INDEX('Hàng hóa'!$A$4:$A$203,MATCH(B392,'Hàng hóa'!$B$4:$B$203,0)),"")</f>
        <v/>
      </c>
      <c r="D392" s="37" t="str">
        <f t="array" ref="D392">IFERROR(INDEX('Hàng hóa'!$C$4:$C$203,MATCH(B392,'Hàng hóa'!$B$4:$B$203,0)),"")</f>
        <v/>
      </c>
      <c r="E392" s="44"/>
      <c r="F392" s="37">
        <f t="array" ref="F392">IFERROR(INDEX('Hàng hóa'!$E$4:$E$203,MATCH(B392,'Hàng hóa'!$B$4:$B$203,0)),0)</f>
        <v>0</v>
      </c>
      <c r="G392" s="37" t="str">
        <f t="array" ref="G392">IFERROR(INDEX('Hàng hóa'!$F$4:$F$203,MATCH(B392,'Hàng hóa'!$B$4:$B$203,0)),"")</f>
        <v/>
      </c>
      <c r="H392" s="19">
        <f t="array" ref="H392">IFERROR(INDEX('Hàng hóa'!$G$4:$G$203,MATCH(B392,'Hàng hóa'!$B$4:$B$203,0)),0)</f>
        <v>0</v>
      </c>
      <c r="I392" s="7"/>
      <c r="J392" s="47">
        <f t="shared" si="1"/>
        <v>0</v>
      </c>
      <c r="K392" s="19">
        <f t="shared" si="2"/>
        <v>0</v>
      </c>
      <c r="L392" s="23"/>
      <c r="M392" s="23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43"/>
      <c r="B393" s="23"/>
      <c r="C393" s="37" t="str">
        <f t="array" ref="C393">IFERROR(INDEX('Hàng hóa'!$A$4:$A$203,MATCH(B393,'Hàng hóa'!$B$4:$B$203,0)),"")</f>
        <v/>
      </c>
      <c r="D393" s="37" t="str">
        <f t="array" ref="D393">IFERROR(INDEX('Hàng hóa'!$C$4:$C$203,MATCH(B393,'Hàng hóa'!$B$4:$B$203,0)),"")</f>
        <v/>
      </c>
      <c r="E393" s="44"/>
      <c r="F393" s="37">
        <f t="array" ref="F393">IFERROR(INDEX('Hàng hóa'!$E$4:$E$203,MATCH(B393,'Hàng hóa'!$B$4:$B$203,0)),0)</f>
        <v>0</v>
      </c>
      <c r="G393" s="37" t="str">
        <f t="array" ref="G393">IFERROR(INDEX('Hàng hóa'!$F$4:$F$203,MATCH(B393,'Hàng hóa'!$B$4:$B$203,0)),"")</f>
        <v/>
      </c>
      <c r="H393" s="19">
        <f t="array" ref="H393">IFERROR(INDEX('Hàng hóa'!$G$4:$G$203,MATCH(B393,'Hàng hóa'!$B$4:$B$203,0)),0)</f>
        <v>0</v>
      </c>
      <c r="I393" s="7"/>
      <c r="J393" s="47">
        <f t="shared" si="1"/>
        <v>0</v>
      </c>
      <c r="K393" s="19">
        <f t="shared" si="2"/>
        <v>0</v>
      </c>
      <c r="L393" s="23"/>
      <c r="M393" s="23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43"/>
      <c r="B394" s="23"/>
      <c r="C394" s="37" t="str">
        <f t="array" ref="C394">IFERROR(INDEX('Hàng hóa'!$A$4:$A$203,MATCH(B394,'Hàng hóa'!$B$4:$B$203,0)),"")</f>
        <v/>
      </c>
      <c r="D394" s="37" t="str">
        <f t="array" ref="D394">IFERROR(INDEX('Hàng hóa'!$C$4:$C$203,MATCH(B394,'Hàng hóa'!$B$4:$B$203,0)),"")</f>
        <v/>
      </c>
      <c r="E394" s="44"/>
      <c r="F394" s="37">
        <f t="array" ref="F394">IFERROR(INDEX('Hàng hóa'!$E$4:$E$203,MATCH(B394,'Hàng hóa'!$B$4:$B$203,0)),0)</f>
        <v>0</v>
      </c>
      <c r="G394" s="37" t="str">
        <f t="array" ref="G394">IFERROR(INDEX('Hàng hóa'!$F$4:$F$203,MATCH(B394,'Hàng hóa'!$B$4:$B$203,0)),"")</f>
        <v/>
      </c>
      <c r="H394" s="19">
        <f t="array" ref="H394">IFERROR(INDEX('Hàng hóa'!$G$4:$G$203,MATCH(B394,'Hàng hóa'!$B$4:$B$203,0)),0)</f>
        <v>0</v>
      </c>
      <c r="I394" s="7"/>
      <c r="J394" s="47">
        <f t="shared" si="1"/>
        <v>0</v>
      </c>
      <c r="K394" s="19">
        <f t="shared" si="2"/>
        <v>0</v>
      </c>
      <c r="L394" s="23"/>
      <c r="M394" s="23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43"/>
      <c r="B395" s="23"/>
      <c r="C395" s="37" t="str">
        <f t="array" ref="C395">IFERROR(INDEX('Hàng hóa'!$A$4:$A$203,MATCH(B395,'Hàng hóa'!$B$4:$B$203,0)),"")</f>
        <v/>
      </c>
      <c r="D395" s="37" t="str">
        <f t="array" ref="D395">IFERROR(INDEX('Hàng hóa'!$C$4:$C$203,MATCH(B395,'Hàng hóa'!$B$4:$B$203,0)),"")</f>
        <v/>
      </c>
      <c r="E395" s="44"/>
      <c r="F395" s="37">
        <f t="array" ref="F395">IFERROR(INDEX('Hàng hóa'!$E$4:$E$203,MATCH(B395,'Hàng hóa'!$B$4:$B$203,0)),0)</f>
        <v>0</v>
      </c>
      <c r="G395" s="37" t="str">
        <f t="array" ref="G395">IFERROR(INDEX('Hàng hóa'!$F$4:$F$203,MATCH(B395,'Hàng hóa'!$B$4:$B$203,0)),"")</f>
        <v/>
      </c>
      <c r="H395" s="19">
        <f t="array" ref="H395">IFERROR(INDEX('Hàng hóa'!$G$4:$G$203,MATCH(B395,'Hàng hóa'!$B$4:$B$203,0)),0)</f>
        <v>0</v>
      </c>
      <c r="I395" s="7"/>
      <c r="J395" s="47">
        <f t="shared" si="1"/>
        <v>0</v>
      </c>
      <c r="K395" s="19">
        <f t="shared" si="2"/>
        <v>0</v>
      </c>
      <c r="L395" s="23"/>
      <c r="M395" s="23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43"/>
      <c r="B396" s="23"/>
      <c r="C396" s="37" t="str">
        <f t="array" ref="C396">IFERROR(INDEX('Hàng hóa'!$A$4:$A$203,MATCH(B396,'Hàng hóa'!$B$4:$B$203,0)),"")</f>
        <v/>
      </c>
      <c r="D396" s="37" t="str">
        <f t="array" ref="D396">IFERROR(INDEX('Hàng hóa'!$C$4:$C$203,MATCH(B396,'Hàng hóa'!$B$4:$B$203,0)),"")</f>
        <v/>
      </c>
      <c r="E396" s="44"/>
      <c r="F396" s="37">
        <f t="array" ref="F396">IFERROR(INDEX('Hàng hóa'!$E$4:$E$203,MATCH(B396,'Hàng hóa'!$B$4:$B$203,0)),0)</f>
        <v>0</v>
      </c>
      <c r="G396" s="37" t="str">
        <f t="array" ref="G396">IFERROR(INDEX('Hàng hóa'!$F$4:$F$203,MATCH(B396,'Hàng hóa'!$B$4:$B$203,0)),"")</f>
        <v/>
      </c>
      <c r="H396" s="19">
        <f t="array" ref="H396">IFERROR(INDEX('Hàng hóa'!$G$4:$G$203,MATCH(B396,'Hàng hóa'!$B$4:$B$203,0)),0)</f>
        <v>0</v>
      </c>
      <c r="I396" s="7"/>
      <c r="J396" s="47">
        <f t="shared" si="1"/>
        <v>0</v>
      </c>
      <c r="K396" s="19">
        <f t="shared" si="2"/>
        <v>0</v>
      </c>
      <c r="L396" s="23"/>
      <c r="M396" s="23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43"/>
      <c r="B397" s="23"/>
      <c r="C397" s="37" t="str">
        <f t="array" ref="C397">IFERROR(INDEX('Hàng hóa'!$A$4:$A$203,MATCH(B397,'Hàng hóa'!$B$4:$B$203,0)),"")</f>
        <v/>
      </c>
      <c r="D397" s="37" t="str">
        <f t="array" ref="D397">IFERROR(INDEX('Hàng hóa'!$C$4:$C$203,MATCH(B397,'Hàng hóa'!$B$4:$B$203,0)),"")</f>
        <v/>
      </c>
      <c r="E397" s="44"/>
      <c r="F397" s="37">
        <f t="array" ref="F397">IFERROR(INDEX('Hàng hóa'!$E$4:$E$203,MATCH(B397,'Hàng hóa'!$B$4:$B$203,0)),0)</f>
        <v>0</v>
      </c>
      <c r="G397" s="37" t="str">
        <f t="array" ref="G397">IFERROR(INDEX('Hàng hóa'!$F$4:$F$203,MATCH(B397,'Hàng hóa'!$B$4:$B$203,0)),"")</f>
        <v/>
      </c>
      <c r="H397" s="19">
        <f t="array" ref="H397">IFERROR(INDEX('Hàng hóa'!$G$4:$G$203,MATCH(B397,'Hàng hóa'!$B$4:$B$203,0)),0)</f>
        <v>0</v>
      </c>
      <c r="I397" s="7"/>
      <c r="J397" s="47">
        <f t="shared" si="1"/>
        <v>0</v>
      </c>
      <c r="K397" s="19">
        <f t="shared" si="2"/>
        <v>0</v>
      </c>
      <c r="L397" s="23"/>
      <c r="M397" s="23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43"/>
      <c r="B398" s="23"/>
      <c r="C398" s="37" t="str">
        <f t="array" ref="C398">IFERROR(INDEX('Hàng hóa'!$A$4:$A$203,MATCH(B398,'Hàng hóa'!$B$4:$B$203,0)),"")</f>
        <v/>
      </c>
      <c r="D398" s="37" t="str">
        <f t="array" ref="D398">IFERROR(INDEX('Hàng hóa'!$C$4:$C$203,MATCH(B398,'Hàng hóa'!$B$4:$B$203,0)),"")</f>
        <v/>
      </c>
      <c r="E398" s="44"/>
      <c r="F398" s="37">
        <f t="array" ref="F398">IFERROR(INDEX('Hàng hóa'!$E$4:$E$203,MATCH(B398,'Hàng hóa'!$B$4:$B$203,0)),0)</f>
        <v>0</v>
      </c>
      <c r="G398" s="37" t="str">
        <f t="array" ref="G398">IFERROR(INDEX('Hàng hóa'!$F$4:$F$203,MATCH(B398,'Hàng hóa'!$B$4:$B$203,0)),"")</f>
        <v/>
      </c>
      <c r="H398" s="19">
        <f t="array" ref="H398">IFERROR(INDEX('Hàng hóa'!$G$4:$G$203,MATCH(B398,'Hàng hóa'!$B$4:$B$203,0)),0)</f>
        <v>0</v>
      </c>
      <c r="I398" s="7"/>
      <c r="J398" s="47">
        <f t="shared" si="1"/>
        <v>0</v>
      </c>
      <c r="K398" s="19">
        <f t="shared" si="2"/>
        <v>0</v>
      </c>
      <c r="L398" s="23"/>
      <c r="M398" s="23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43"/>
      <c r="B399" s="23"/>
      <c r="C399" s="37" t="str">
        <f t="array" ref="C399">IFERROR(INDEX('Hàng hóa'!$A$4:$A$203,MATCH(B399,'Hàng hóa'!$B$4:$B$203,0)),"")</f>
        <v/>
      </c>
      <c r="D399" s="37" t="str">
        <f t="array" ref="D399">IFERROR(INDEX('Hàng hóa'!$C$4:$C$203,MATCH(B399,'Hàng hóa'!$B$4:$B$203,0)),"")</f>
        <v/>
      </c>
      <c r="E399" s="44"/>
      <c r="F399" s="37">
        <f t="array" ref="F399">IFERROR(INDEX('Hàng hóa'!$E$4:$E$203,MATCH(B399,'Hàng hóa'!$B$4:$B$203,0)),0)</f>
        <v>0</v>
      </c>
      <c r="G399" s="37" t="str">
        <f t="array" ref="G399">IFERROR(INDEX('Hàng hóa'!$F$4:$F$203,MATCH(B399,'Hàng hóa'!$B$4:$B$203,0)),"")</f>
        <v/>
      </c>
      <c r="H399" s="19">
        <f t="array" ref="H399">IFERROR(INDEX('Hàng hóa'!$G$4:$G$203,MATCH(B399,'Hàng hóa'!$B$4:$B$203,0)),0)</f>
        <v>0</v>
      </c>
      <c r="I399" s="7"/>
      <c r="J399" s="47">
        <f t="shared" si="1"/>
        <v>0</v>
      </c>
      <c r="K399" s="19">
        <f t="shared" si="2"/>
        <v>0</v>
      </c>
      <c r="L399" s="23"/>
      <c r="M399" s="23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43"/>
      <c r="B400" s="23"/>
      <c r="C400" s="37" t="str">
        <f t="array" ref="C400">IFERROR(INDEX('Hàng hóa'!$A$4:$A$203,MATCH(B400,'Hàng hóa'!$B$4:$B$203,0)),"")</f>
        <v/>
      </c>
      <c r="D400" s="37" t="str">
        <f t="array" ref="D400">IFERROR(INDEX('Hàng hóa'!$C$4:$C$203,MATCH(B400,'Hàng hóa'!$B$4:$B$203,0)),"")</f>
        <v/>
      </c>
      <c r="E400" s="44"/>
      <c r="F400" s="37">
        <f t="array" ref="F400">IFERROR(INDEX('Hàng hóa'!$E$4:$E$203,MATCH(B400,'Hàng hóa'!$B$4:$B$203,0)),0)</f>
        <v>0</v>
      </c>
      <c r="G400" s="37" t="str">
        <f t="array" ref="G400">IFERROR(INDEX('Hàng hóa'!$F$4:$F$203,MATCH(B400,'Hàng hóa'!$B$4:$B$203,0)),"")</f>
        <v/>
      </c>
      <c r="H400" s="19">
        <f t="array" ref="H400">IFERROR(INDEX('Hàng hóa'!$G$4:$G$203,MATCH(B400,'Hàng hóa'!$B$4:$B$203,0)),0)</f>
        <v>0</v>
      </c>
      <c r="I400" s="7"/>
      <c r="J400" s="47">
        <f t="shared" si="1"/>
        <v>0</v>
      </c>
      <c r="K400" s="19">
        <f t="shared" si="2"/>
        <v>0</v>
      </c>
      <c r="L400" s="23"/>
      <c r="M400" s="23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43"/>
      <c r="B401" s="23"/>
      <c r="C401" s="37" t="str">
        <f t="array" ref="C401">IFERROR(INDEX('Hàng hóa'!$A$4:$A$203,MATCH(B401,'Hàng hóa'!$B$4:$B$203,0)),"")</f>
        <v/>
      </c>
      <c r="D401" s="37" t="str">
        <f t="array" ref="D401">IFERROR(INDEX('Hàng hóa'!$C$4:$C$203,MATCH(B401,'Hàng hóa'!$B$4:$B$203,0)),"")</f>
        <v/>
      </c>
      <c r="E401" s="44"/>
      <c r="F401" s="37">
        <f t="array" ref="F401">IFERROR(INDEX('Hàng hóa'!$E$4:$E$203,MATCH(B401,'Hàng hóa'!$B$4:$B$203,0)),0)</f>
        <v>0</v>
      </c>
      <c r="G401" s="37" t="str">
        <f t="array" ref="G401">IFERROR(INDEX('Hàng hóa'!$F$4:$F$203,MATCH(B401,'Hàng hóa'!$B$4:$B$203,0)),"")</f>
        <v/>
      </c>
      <c r="H401" s="19">
        <f t="array" ref="H401">IFERROR(INDEX('Hàng hóa'!$G$4:$G$203,MATCH(B401,'Hàng hóa'!$B$4:$B$203,0)),0)</f>
        <v>0</v>
      </c>
      <c r="I401" s="7"/>
      <c r="J401" s="47">
        <f t="shared" si="1"/>
        <v>0</v>
      </c>
      <c r="K401" s="19">
        <f t="shared" si="2"/>
        <v>0</v>
      </c>
      <c r="L401" s="23"/>
      <c r="M401" s="23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43"/>
      <c r="B402" s="23"/>
      <c r="C402" s="37" t="str">
        <f t="array" ref="C402">IFERROR(INDEX('Hàng hóa'!$A$4:$A$203,MATCH(B402,'Hàng hóa'!$B$4:$B$203,0)),"")</f>
        <v/>
      </c>
      <c r="D402" s="37" t="str">
        <f t="array" ref="D402">IFERROR(INDEX('Hàng hóa'!$C$4:$C$203,MATCH(B402,'Hàng hóa'!$B$4:$B$203,0)),"")</f>
        <v/>
      </c>
      <c r="E402" s="44"/>
      <c r="F402" s="37">
        <f t="array" ref="F402">IFERROR(INDEX('Hàng hóa'!$E$4:$E$203,MATCH(B402,'Hàng hóa'!$B$4:$B$203,0)),0)</f>
        <v>0</v>
      </c>
      <c r="G402" s="37" t="str">
        <f t="array" ref="G402">IFERROR(INDEX('Hàng hóa'!$F$4:$F$203,MATCH(B402,'Hàng hóa'!$B$4:$B$203,0)),"")</f>
        <v/>
      </c>
      <c r="H402" s="19">
        <f t="array" ref="H402">IFERROR(INDEX('Hàng hóa'!$G$4:$G$203,MATCH(B402,'Hàng hóa'!$B$4:$B$203,0)),0)</f>
        <v>0</v>
      </c>
      <c r="I402" s="7"/>
      <c r="J402" s="47">
        <f t="shared" si="1"/>
        <v>0</v>
      </c>
      <c r="K402" s="19">
        <f t="shared" si="2"/>
        <v>0</v>
      </c>
      <c r="L402" s="23"/>
      <c r="M402" s="23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>
      <c r="A403" s="43"/>
      <c r="B403" s="23"/>
      <c r="C403" s="37" t="str">
        <f t="array" ref="C403">IFERROR(INDEX('Hàng hóa'!$A$4:$A$203,MATCH(B403,'Hàng hóa'!$B$4:$B$203,0)),"")</f>
        <v/>
      </c>
      <c r="D403" s="37" t="str">
        <f t="array" ref="D403">IFERROR(INDEX('Hàng hóa'!$C$4:$C$203,MATCH(B403,'Hàng hóa'!$B$4:$B$203,0)),"")</f>
        <v/>
      </c>
      <c r="E403" s="44"/>
      <c r="F403" s="37">
        <f t="array" ref="F403">IFERROR(INDEX('Hàng hóa'!$E$4:$E$203,MATCH(B403,'Hàng hóa'!$B$4:$B$203,0)),0)</f>
        <v>0</v>
      </c>
      <c r="G403" s="37" t="str">
        <f t="array" ref="G403">IFERROR(INDEX('Hàng hóa'!$F$4:$F$203,MATCH(B403,'Hàng hóa'!$B$4:$B$203,0)),"")</f>
        <v/>
      </c>
      <c r="H403" s="19">
        <f t="array" ref="H403">IFERROR(INDEX('Hàng hóa'!$G$4:$G$203,MATCH(B403,'Hàng hóa'!$B$4:$B$203,0)),0)</f>
        <v>0</v>
      </c>
      <c r="I403" s="7"/>
      <c r="J403" s="47">
        <f t="shared" si="1"/>
        <v>0</v>
      </c>
      <c r="K403" s="19">
        <f t="shared" si="2"/>
        <v>0</v>
      </c>
      <c r="L403" s="23"/>
      <c r="M403" s="23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>
      <c r="A404" s="43"/>
      <c r="B404" s="23"/>
      <c r="C404" s="37" t="str">
        <f t="array" ref="C404">IFERROR(INDEX('Hàng hóa'!$A$4:$A$203,MATCH(B404,'Hàng hóa'!$B$4:$B$203,0)),"")</f>
        <v/>
      </c>
      <c r="D404" s="37" t="str">
        <f t="array" ref="D404">IFERROR(INDEX('Hàng hóa'!$C$4:$C$203,MATCH(B404,'Hàng hóa'!$B$4:$B$203,0)),"")</f>
        <v/>
      </c>
      <c r="E404" s="44"/>
      <c r="F404" s="37">
        <f t="array" ref="F404">IFERROR(INDEX('Hàng hóa'!$E$4:$E$203,MATCH(B404,'Hàng hóa'!$B$4:$B$203,0)),0)</f>
        <v>0</v>
      </c>
      <c r="G404" s="37" t="str">
        <f t="array" ref="G404">IFERROR(INDEX('Hàng hóa'!$F$4:$F$203,MATCH(B404,'Hàng hóa'!$B$4:$B$203,0)),"")</f>
        <v/>
      </c>
      <c r="H404" s="19">
        <f t="array" ref="H404">IFERROR(INDEX('Hàng hóa'!$G$4:$G$203,MATCH(B404,'Hàng hóa'!$B$4:$B$203,0)),0)</f>
        <v>0</v>
      </c>
      <c r="I404" s="7"/>
      <c r="J404" s="47">
        <f t="shared" si="1"/>
        <v>0</v>
      </c>
      <c r="K404" s="19">
        <f t="shared" si="2"/>
        <v>0</v>
      </c>
      <c r="L404" s="23"/>
      <c r="M404" s="23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5.75" customHeight="1">
      <c r="A405" s="43"/>
      <c r="B405" s="23"/>
      <c r="C405" s="37" t="str">
        <f t="array" ref="C405">IFERROR(INDEX('Hàng hóa'!$A$4:$A$203,MATCH(B405,'Hàng hóa'!$B$4:$B$203,0)),"")</f>
        <v/>
      </c>
      <c r="D405" s="37" t="str">
        <f t="array" ref="D405">IFERROR(INDEX('Hàng hóa'!$C$4:$C$203,MATCH(B405,'Hàng hóa'!$B$4:$B$203,0)),"")</f>
        <v/>
      </c>
      <c r="E405" s="44"/>
      <c r="F405" s="37">
        <f t="array" ref="F405">IFERROR(INDEX('Hàng hóa'!$E$4:$E$203,MATCH(B405,'Hàng hóa'!$B$4:$B$203,0)),0)</f>
        <v>0</v>
      </c>
      <c r="G405" s="37" t="str">
        <f t="array" ref="G405">IFERROR(INDEX('Hàng hóa'!$F$4:$F$203,MATCH(B405,'Hàng hóa'!$B$4:$B$203,0)),"")</f>
        <v/>
      </c>
      <c r="H405" s="19">
        <f t="array" ref="H405">IFERROR(INDEX('Hàng hóa'!$G$4:$G$203,MATCH(B405,'Hàng hóa'!$B$4:$B$203,0)),0)</f>
        <v>0</v>
      </c>
      <c r="I405" s="7"/>
      <c r="J405" s="47">
        <f t="shared" si="1"/>
        <v>0</v>
      </c>
      <c r="K405" s="19">
        <f t="shared" si="2"/>
        <v>0</v>
      </c>
      <c r="L405" s="23"/>
      <c r="M405" s="23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5.75" customHeight="1">
      <c r="A406" s="43"/>
      <c r="B406" s="23"/>
      <c r="C406" s="37" t="str">
        <f t="array" ref="C406">IFERROR(INDEX('Hàng hóa'!$A$4:$A$203,MATCH(B406,'Hàng hóa'!$B$4:$B$203,0)),"")</f>
        <v/>
      </c>
      <c r="D406" s="37" t="str">
        <f t="array" ref="D406">IFERROR(INDEX('Hàng hóa'!$C$4:$C$203,MATCH(B406,'Hàng hóa'!$B$4:$B$203,0)),"")</f>
        <v/>
      </c>
      <c r="E406" s="44"/>
      <c r="F406" s="37">
        <f t="array" ref="F406">IFERROR(INDEX('Hàng hóa'!$E$4:$E$203,MATCH(B406,'Hàng hóa'!$B$4:$B$203,0)),0)</f>
        <v>0</v>
      </c>
      <c r="G406" s="37" t="str">
        <f t="array" ref="G406">IFERROR(INDEX('Hàng hóa'!$F$4:$F$203,MATCH(B406,'Hàng hóa'!$B$4:$B$203,0)),"")</f>
        <v/>
      </c>
      <c r="H406" s="19">
        <f t="array" ref="H406">IFERROR(INDEX('Hàng hóa'!$G$4:$G$203,MATCH(B406,'Hàng hóa'!$B$4:$B$203,0)),0)</f>
        <v>0</v>
      </c>
      <c r="I406" s="7"/>
      <c r="J406" s="47">
        <f t="shared" si="1"/>
        <v>0</v>
      </c>
      <c r="K406" s="19">
        <f t="shared" si="2"/>
        <v>0</v>
      </c>
      <c r="L406" s="23"/>
      <c r="M406" s="23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5.75" customHeight="1">
      <c r="A407" s="43"/>
      <c r="B407" s="23"/>
      <c r="C407" s="37" t="str">
        <f t="array" ref="C407">IFERROR(INDEX('Hàng hóa'!$A$4:$A$203,MATCH(B407,'Hàng hóa'!$B$4:$B$203,0)),"")</f>
        <v/>
      </c>
      <c r="D407" s="37" t="str">
        <f t="array" ref="D407">IFERROR(INDEX('Hàng hóa'!$C$4:$C$203,MATCH(B407,'Hàng hóa'!$B$4:$B$203,0)),"")</f>
        <v/>
      </c>
      <c r="E407" s="44"/>
      <c r="F407" s="37">
        <f t="array" ref="F407">IFERROR(INDEX('Hàng hóa'!$E$4:$E$203,MATCH(B407,'Hàng hóa'!$B$4:$B$203,0)),0)</f>
        <v>0</v>
      </c>
      <c r="G407" s="37" t="str">
        <f t="array" ref="G407">IFERROR(INDEX('Hàng hóa'!$F$4:$F$203,MATCH(B407,'Hàng hóa'!$B$4:$B$203,0)),"")</f>
        <v/>
      </c>
      <c r="H407" s="19">
        <f t="array" ref="H407">IFERROR(INDEX('Hàng hóa'!$G$4:$G$203,MATCH(B407,'Hàng hóa'!$B$4:$B$203,0)),0)</f>
        <v>0</v>
      </c>
      <c r="I407" s="7"/>
      <c r="J407" s="47">
        <f t="shared" si="1"/>
        <v>0</v>
      </c>
      <c r="K407" s="19">
        <f t="shared" si="2"/>
        <v>0</v>
      </c>
      <c r="L407" s="23"/>
      <c r="M407" s="23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5.75" customHeight="1">
      <c r="A408" s="43"/>
      <c r="B408" s="23"/>
      <c r="C408" s="37" t="str">
        <f t="array" ref="C408">IFERROR(INDEX('Hàng hóa'!$A$4:$A$203,MATCH(B408,'Hàng hóa'!$B$4:$B$203,0)),"")</f>
        <v/>
      </c>
      <c r="D408" s="37" t="str">
        <f t="array" ref="D408">IFERROR(INDEX('Hàng hóa'!$C$4:$C$203,MATCH(B408,'Hàng hóa'!$B$4:$B$203,0)),"")</f>
        <v/>
      </c>
      <c r="E408" s="44"/>
      <c r="F408" s="37">
        <f t="array" ref="F408">IFERROR(INDEX('Hàng hóa'!$E$4:$E$203,MATCH(B408,'Hàng hóa'!$B$4:$B$203,0)),0)</f>
        <v>0</v>
      </c>
      <c r="G408" s="37" t="str">
        <f t="array" ref="G408">IFERROR(INDEX('Hàng hóa'!$F$4:$F$203,MATCH(B408,'Hàng hóa'!$B$4:$B$203,0)),"")</f>
        <v/>
      </c>
      <c r="H408" s="19">
        <f t="array" ref="H408">IFERROR(INDEX('Hàng hóa'!$G$4:$G$203,MATCH(B408,'Hàng hóa'!$B$4:$B$203,0)),0)</f>
        <v>0</v>
      </c>
      <c r="I408" s="7"/>
      <c r="J408" s="47">
        <f t="shared" si="1"/>
        <v>0</v>
      </c>
      <c r="K408" s="19">
        <f t="shared" si="2"/>
        <v>0</v>
      </c>
      <c r="L408" s="23"/>
      <c r="M408" s="23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5.75" customHeight="1">
      <c r="A409" s="43"/>
      <c r="B409" s="23"/>
      <c r="C409" s="37" t="str">
        <f t="array" ref="C409">IFERROR(INDEX('Hàng hóa'!$A$4:$A$203,MATCH(B409,'Hàng hóa'!$B$4:$B$203,0)),"")</f>
        <v/>
      </c>
      <c r="D409" s="37" t="str">
        <f t="array" ref="D409">IFERROR(INDEX('Hàng hóa'!$C$4:$C$203,MATCH(B409,'Hàng hóa'!$B$4:$B$203,0)),"")</f>
        <v/>
      </c>
      <c r="E409" s="44"/>
      <c r="F409" s="37">
        <f t="array" ref="F409">IFERROR(INDEX('Hàng hóa'!$E$4:$E$203,MATCH(B409,'Hàng hóa'!$B$4:$B$203,0)),0)</f>
        <v>0</v>
      </c>
      <c r="G409" s="37" t="str">
        <f t="array" ref="G409">IFERROR(INDEX('Hàng hóa'!$F$4:$F$203,MATCH(B409,'Hàng hóa'!$B$4:$B$203,0)),"")</f>
        <v/>
      </c>
      <c r="H409" s="19">
        <f t="array" ref="H409">IFERROR(INDEX('Hàng hóa'!$G$4:$G$203,MATCH(B409,'Hàng hóa'!$B$4:$B$203,0)),0)</f>
        <v>0</v>
      </c>
      <c r="I409" s="7"/>
      <c r="J409" s="47">
        <f t="shared" si="1"/>
        <v>0</v>
      </c>
      <c r="K409" s="19">
        <f t="shared" si="2"/>
        <v>0</v>
      </c>
      <c r="L409" s="23"/>
      <c r="M409" s="23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5.75" customHeight="1">
      <c r="A410" s="43"/>
      <c r="B410" s="23"/>
      <c r="C410" s="37" t="str">
        <f t="array" ref="C410">IFERROR(INDEX('Hàng hóa'!$A$4:$A$203,MATCH(B410,'Hàng hóa'!$B$4:$B$203,0)),"")</f>
        <v/>
      </c>
      <c r="D410" s="37" t="str">
        <f t="array" ref="D410">IFERROR(INDEX('Hàng hóa'!$C$4:$C$203,MATCH(B410,'Hàng hóa'!$B$4:$B$203,0)),"")</f>
        <v/>
      </c>
      <c r="E410" s="44"/>
      <c r="F410" s="37">
        <f t="array" ref="F410">IFERROR(INDEX('Hàng hóa'!$E$4:$E$203,MATCH(B410,'Hàng hóa'!$B$4:$B$203,0)),0)</f>
        <v>0</v>
      </c>
      <c r="G410" s="37" t="str">
        <f t="array" ref="G410">IFERROR(INDEX('Hàng hóa'!$F$4:$F$203,MATCH(B410,'Hàng hóa'!$B$4:$B$203,0)),"")</f>
        <v/>
      </c>
      <c r="H410" s="19">
        <f t="array" ref="H410">IFERROR(INDEX('Hàng hóa'!$G$4:$G$203,MATCH(B410,'Hàng hóa'!$B$4:$B$203,0)),0)</f>
        <v>0</v>
      </c>
      <c r="I410" s="7"/>
      <c r="J410" s="47">
        <f t="shared" si="1"/>
        <v>0</v>
      </c>
      <c r="K410" s="19">
        <f t="shared" si="2"/>
        <v>0</v>
      </c>
      <c r="L410" s="23"/>
      <c r="M410" s="23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5.75" customHeight="1">
      <c r="A411" s="43"/>
      <c r="B411" s="23"/>
      <c r="C411" s="37" t="str">
        <f t="array" ref="C411">IFERROR(INDEX('Hàng hóa'!$A$4:$A$203,MATCH(B411,'Hàng hóa'!$B$4:$B$203,0)),"")</f>
        <v/>
      </c>
      <c r="D411" s="37" t="str">
        <f t="array" ref="D411">IFERROR(INDEX('Hàng hóa'!$C$4:$C$203,MATCH(B411,'Hàng hóa'!$B$4:$B$203,0)),"")</f>
        <v/>
      </c>
      <c r="E411" s="44"/>
      <c r="F411" s="37">
        <f t="array" ref="F411">IFERROR(INDEX('Hàng hóa'!$E$4:$E$203,MATCH(B411,'Hàng hóa'!$B$4:$B$203,0)),0)</f>
        <v>0</v>
      </c>
      <c r="G411" s="37" t="str">
        <f t="array" ref="G411">IFERROR(INDEX('Hàng hóa'!$F$4:$F$203,MATCH(B411,'Hàng hóa'!$B$4:$B$203,0)),"")</f>
        <v/>
      </c>
      <c r="H411" s="19">
        <f t="array" ref="H411">IFERROR(INDEX('Hàng hóa'!$G$4:$G$203,MATCH(B411,'Hàng hóa'!$B$4:$B$203,0)),0)</f>
        <v>0</v>
      </c>
      <c r="I411" s="7"/>
      <c r="J411" s="47">
        <f t="shared" si="1"/>
        <v>0</v>
      </c>
      <c r="K411" s="19">
        <f t="shared" si="2"/>
        <v>0</v>
      </c>
      <c r="L411" s="23"/>
      <c r="M411" s="23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5.75" customHeight="1">
      <c r="A412" s="43"/>
      <c r="B412" s="23"/>
      <c r="C412" s="37" t="str">
        <f t="array" ref="C412">IFERROR(INDEX('Hàng hóa'!$A$4:$A$203,MATCH(B412,'Hàng hóa'!$B$4:$B$203,0)),"")</f>
        <v/>
      </c>
      <c r="D412" s="37" t="str">
        <f t="array" ref="D412">IFERROR(INDEX('Hàng hóa'!$C$4:$C$203,MATCH(B412,'Hàng hóa'!$B$4:$B$203,0)),"")</f>
        <v/>
      </c>
      <c r="E412" s="44"/>
      <c r="F412" s="37">
        <f t="array" ref="F412">IFERROR(INDEX('Hàng hóa'!$E$4:$E$203,MATCH(B412,'Hàng hóa'!$B$4:$B$203,0)),0)</f>
        <v>0</v>
      </c>
      <c r="G412" s="37" t="str">
        <f t="array" ref="G412">IFERROR(INDEX('Hàng hóa'!$F$4:$F$203,MATCH(B412,'Hàng hóa'!$B$4:$B$203,0)),"")</f>
        <v/>
      </c>
      <c r="H412" s="19">
        <f t="array" ref="H412">IFERROR(INDEX('Hàng hóa'!$G$4:$G$203,MATCH(B412,'Hàng hóa'!$B$4:$B$203,0)),0)</f>
        <v>0</v>
      </c>
      <c r="I412" s="7"/>
      <c r="J412" s="47">
        <f t="shared" si="1"/>
        <v>0</v>
      </c>
      <c r="K412" s="19">
        <f t="shared" si="2"/>
        <v>0</v>
      </c>
      <c r="L412" s="23"/>
      <c r="M412" s="23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5.75" customHeight="1">
      <c r="A413" s="43"/>
      <c r="B413" s="23"/>
      <c r="C413" s="37" t="str">
        <f t="array" ref="C413">IFERROR(INDEX('Hàng hóa'!$A$4:$A$203,MATCH(B413,'Hàng hóa'!$B$4:$B$203,0)),"")</f>
        <v/>
      </c>
      <c r="D413" s="37" t="str">
        <f t="array" ref="D413">IFERROR(INDEX('Hàng hóa'!$C$4:$C$203,MATCH(B413,'Hàng hóa'!$B$4:$B$203,0)),"")</f>
        <v/>
      </c>
      <c r="E413" s="44"/>
      <c r="F413" s="37">
        <f t="array" ref="F413">IFERROR(INDEX('Hàng hóa'!$E$4:$E$203,MATCH(B413,'Hàng hóa'!$B$4:$B$203,0)),0)</f>
        <v>0</v>
      </c>
      <c r="G413" s="37" t="str">
        <f t="array" ref="G413">IFERROR(INDEX('Hàng hóa'!$F$4:$F$203,MATCH(B413,'Hàng hóa'!$B$4:$B$203,0)),"")</f>
        <v/>
      </c>
      <c r="H413" s="19">
        <f t="array" ref="H413">IFERROR(INDEX('Hàng hóa'!$G$4:$G$203,MATCH(B413,'Hàng hóa'!$B$4:$B$203,0)),0)</f>
        <v>0</v>
      </c>
      <c r="I413" s="7"/>
      <c r="J413" s="47">
        <f t="shared" si="1"/>
        <v>0</v>
      </c>
      <c r="K413" s="19">
        <f t="shared" si="2"/>
        <v>0</v>
      </c>
      <c r="L413" s="23"/>
      <c r="M413" s="23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5.75" customHeight="1">
      <c r="A414" s="43"/>
      <c r="B414" s="23"/>
      <c r="C414" s="37" t="str">
        <f t="array" ref="C414">IFERROR(INDEX('Hàng hóa'!$A$4:$A$203,MATCH(B414,'Hàng hóa'!$B$4:$B$203,0)),"")</f>
        <v/>
      </c>
      <c r="D414" s="37" t="str">
        <f t="array" ref="D414">IFERROR(INDEX('Hàng hóa'!$C$4:$C$203,MATCH(B414,'Hàng hóa'!$B$4:$B$203,0)),"")</f>
        <v/>
      </c>
      <c r="E414" s="44"/>
      <c r="F414" s="37">
        <f t="array" ref="F414">IFERROR(INDEX('Hàng hóa'!$E$4:$E$203,MATCH(B414,'Hàng hóa'!$B$4:$B$203,0)),0)</f>
        <v>0</v>
      </c>
      <c r="G414" s="37" t="str">
        <f t="array" ref="G414">IFERROR(INDEX('Hàng hóa'!$F$4:$F$203,MATCH(B414,'Hàng hóa'!$B$4:$B$203,0)),"")</f>
        <v/>
      </c>
      <c r="H414" s="19">
        <f t="array" ref="H414">IFERROR(INDEX('Hàng hóa'!$G$4:$G$203,MATCH(B414,'Hàng hóa'!$B$4:$B$203,0)),0)</f>
        <v>0</v>
      </c>
      <c r="I414" s="7"/>
      <c r="J414" s="47">
        <f t="shared" si="1"/>
        <v>0</v>
      </c>
      <c r="K414" s="19">
        <f t="shared" si="2"/>
        <v>0</v>
      </c>
      <c r="L414" s="23"/>
      <c r="M414" s="23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5.75" customHeight="1">
      <c r="A415" s="43"/>
      <c r="B415" s="23"/>
      <c r="C415" s="37" t="str">
        <f t="array" ref="C415">IFERROR(INDEX('Hàng hóa'!$A$4:$A$203,MATCH(B415,'Hàng hóa'!$B$4:$B$203,0)),"")</f>
        <v/>
      </c>
      <c r="D415" s="37" t="str">
        <f t="array" ref="D415">IFERROR(INDEX('Hàng hóa'!$C$4:$C$203,MATCH(B415,'Hàng hóa'!$B$4:$B$203,0)),"")</f>
        <v/>
      </c>
      <c r="E415" s="44"/>
      <c r="F415" s="37">
        <f t="array" ref="F415">IFERROR(INDEX('Hàng hóa'!$E$4:$E$203,MATCH(B415,'Hàng hóa'!$B$4:$B$203,0)),0)</f>
        <v>0</v>
      </c>
      <c r="G415" s="37" t="str">
        <f t="array" ref="G415">IFERROR(INDEX('Hàng hóa'!$F$4:$F$203,MATCH(B415,'Hàng hóa'!$B$4:$B$203,0)),"")</f>
        <v/>
      </c>
      <c r="H415" s="19">
        <f t="array" ref="H415">IFERROR(INDEX('Hàng hóa'!$G$4:$G$203,MATCH(B415,'Hàng hóa'!$B$4:$B$203,0)),0)</f>
        <v>0</v>
      </c>
      <c r="I415" s="7"/>
      <c r="J415" s="47">
        <f t="shared" si="1"/>
        <v>0</v>
      </c>
      <c r="K415" s="19">
        <f t="shared" si="2"/>
        <v>0</v>
      </c>
      <c r="L415" s="23"/>
      <c r="M415" s="23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5.75" customHeight="1">
      <c r="A416" s="43"/>
      <c r="B416" s="23"/>
      <c r="C416" s="37" t="str">
        <f t="array" ref="C416">IFERROR(INDEX('Hàng hóa'!$A$4:$A$203,MATCH(B416,'Hàng hóa'!$B$4:$B$203,0)),"")</f>
        <v/>
      </c>
      <c r="D416" s="37" t="str">
        <f t="array" ref="D416">IFERROR(INDEX('Hàng hóa'!$C$4:$C$203,MATCH(B416,'Hàng hóa'!$B$4:$B$203,0)),"")</f>
        <v/>
      </c>
      <c r="E416" s="44"/>
      <c r="F416" s="37">
        <f t="array" ref="F416">IFERROR(INDEX('Hàng hóa'!$E$4:$E$203,MATCH(B416,'Hàng hóa'!$B$4:$B$203,0)),0)</f>
        <v>0</v>
      </c>
      <c r="G416" s="37" t="str">
        <f t="array" ref="G416">IFERROR(INDEX('Hàng hóa'!$F$4:$F$203,MATCH(B416,'Hàng hóa'!$B$4:$B$203,0)),"")</f>
        <v/>
      </c>
      <c r="H416" s="19">
        <f t="array" ref="H416">IFERROR(INDEX('Hàng hóa'!$G$4:$G$203,MATCH(B416,'Hàng hóa'!$B$4:$B$203,0)),0)</f>
        <v>0</v>
      </c>
      <c r="I416" s="7"/>
      <c r="J416" s="47">
        <f t="shared" si="1"/>
        <v>0</v>
      </c>
      <c r="K416" s="19">
        <f t="shared" si="2"/>
        <v>0</v>
      </c>
      <c r="L416" s="23"/>
      <c r="M416" s="23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5.75" customHeight="1">
      <c r="A417" s="43"/>
      <c r="B417" s="23"/>
      <c r="C417" s="37" t="str">
        <f t="array" ref="C417">IFERROR(INDEX('Hàng hóa'!$A$4:$A$203,MATCH(B417,'Hàng hóa'!$B$4:$B$203,0)),"")</f>
        <v/>
      </c>
      <c r="D417" s="37" t="str">
        <f t="array" ref="D417">IFERROR(INDEX('Hàng hóa'!$C$4:$C$203,MATCH(B417,'Hàng hóa'!$B$4:$B$203,0)),"")</f>
        <v/>
      </c>
      <c r="E417" s="44"/>
      <c r="F417" s="37">
        <f t="array" ref="F417">IFERROR(INDEX('Hàng hóa'!$E$4:$E$203,MATCH(B417,'Hàng hóa'!$B$4:$B$203,0)),0)</f>
        <v>0</v>
      </c>
      <c r="G417" s="37" t="str">
        <f t="array" ref="G417">IFERROR(INDEX('Hàng hóa'!$F$4:$F$203,MATCH(B417,'Hàng hóa'!$B$4:$B$203,0)),"")</f>
        <v/>
      </c>
      <c r="H417" s="19">
        <f t="array" ref="H417">IFERROR(INDEX('Hàng hóa'!$G$4:$G$203,MATCH(B417,'Hàng hóa'!$B$4:$B$203,0)),0)</f>
        <v>0</v>
      </c>
      <c r="I417" s="7"/>
      <c r="J417" s="47">
        <f t="shared" si="1"/>
        <v>0</v>
      </c>
      <c r="K417" s="19">
        <f t="shared" si="2"/>
        <v>0</v>
      </c>
      <c r="L417" s="23"/>
      <c r="M417" s="23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5.75" customHeight="1">
      <c r="A418" s="43"/>
      <c r="B418" s="23"/>
      <c r="C418" s="37" t="str">
        <f t="array" ref="C418">IFERROR(INDEX('Hàng hóa'!$A$4:$A$203,MATCH(B418,'Hàng hóa'!$B$4:$B$203,0)),"")</f>
        <v/>
      </c>
      <c r="D418" s="37" t="str">
        <f t="array" ref="D418">IFERROR(INDEX('Hàng hóa'!$C$4:$C$203,MATCH(B418,'Hàng hóa'!$B$4:$B$203,0)),"")</f>
        <v/>
      </c>
      <c r="E418" s="44"/>
      <c r="F418" s="37">
        <f t="array" ref="F418">IFERROR(INDEX('Hàng hóa'!$E$4:$E$203,MATCH(B418,'Hàng hóa'!$B$4:$B$203,0)),0)</f>
        <v>0</v>
      </c>
      <c r="G418" s="37" t="str">
        <f t="array" ref="G418">IFERROR(INDEX('Hàng hóa'!$F$4:$F$203,MATCH(B418,'Hàng hóa'!$B$4:$B$203,0)),"")</f>
        <v/>
      </c>
      <c r="H418" s="19">
        <f t="array" ref="H418">IFERROR(INDEX('Hàng hóa'!$G$4:$G$203,MATCH(B418,'Hàng hóa'!$B$4:$B$203,0)),0)</f>
        <v>0</v>
      </c>
      <c r="I418" s="7"/>
      <c r="J418" s="47">
        <f t="shared" si="1"/>
        <v>0</v>
      </c>
      <c r="K418" s="19">
        <f t="shared" si="2"/>
        <v>0</v>
      </c>
      <c r="L418" s="23"/>
      <c r="M418" s="23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5.75" customHeight="1">
      <c r="A419" s="43"/>
      <c r="B419" s="23"/>
      <c r="C419" s="37" t="str">
        <f t="array" ref="C419">IFERROR(INDEX('Hàng hóa'!$A$4:$A$203,MATCH(B419,'Hàng hóa'!$B$4:$B$203,0)),"")</f>
        <v/>
      </c>
      <c r="D419" s="37" t="str">
        <f t="array" ref="D419">IFERROR(INDEX('Hàng hóa'!$C$4:$C$203,MATCH(B419,'Hàng hóa'!$B$4:$B$203,0)),"")</f>
        <v/>
      </c>
      <c r="E419" s="44"/>
      <c r="F419" s="37">
        <f t="array" ref="F419">IFERROR(INDEX('Hàng hóa'!$E$4:$E$203,MATCH(B419,'Hàng hóa'!$B$4:$B$203,0)),0)</f>
        <v>0</v>
      </c>
      <c r="G419" s="37" t="str">
        <f t="array" ref="G419">IFERROR(INDEX('Hàng hóa'!$F$4:$F$203,MATCH(B419,'Hàng hóa'!$B$4:$B$203,0)),"")</f>
        <v/>
      </c>
      <c r="H419" s="19">
        <f t="array" ref="H419">IFERROR(INDEX('Hàng hóa'!$G$4:$G$203,MATCH(B419,'Hàng hóa'!$B$4:$B$203,0)),0)</f>
        <v>0</v>
      </c>
      <c r="I419" s="7"/>
      <c r="J419" s="47">
        <f t="shared" si="1"/>
        <v>0</v>
      </c>
      <c r="K419" s="19">
        <f t="shared" si="2"/>
        <v>0</v>
      </c>
      <c r="L419" s="23"/>
      <c r="M419" s="23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5.75" customHeight="1">
      <c r="A420" s="43"/>
      <c r="B420" s="23"/>
      <c r="C420" s="37" t="str">
        <f t="array" ref="C420">IFERROR(INDEX('Hàng hóa'!$A$4:$A$203,MATCH(B420,'Hàng hóa'!$B$4:$B$203,0)),"")</f>
        <v/>
      </c>
      <c r="D420" s="37" t="str">
        <f t="array" ref="D420">IFERROR(INDEX('Hàng hóa'!$C$4:$C$203,MATCH(B420,'Hàng hóa'!$B$4:$B$203,0)),"")</f>
        <v/>
      </c>
      <c r="E420" s="44"/>
      <c r="F420" s="37">
        <f t="array" ref="F420">IFERROR(INDEX('Hàng hóa'!$E$4:$E$203,MATCH(B420,'Hàng hóa'!$B$4:$B$203,0)),0)</f>
        <v>0</v>
      </c>
      <c r="G420" s="37" t="str">
        <f t="array" ref="G420">IFERROR(INDEX('Hàng hóa'!$F$4:$F$203,MATCH(B420,'Hàng hóa'!$B$4:$B$203,0)),"")</f>
        <v/>
      </c>
      <c r="H420" s="19">
        <f t="array" ref="H420">IFERROR(INDEX('Hàng hóa'!$G$4:$G$203,MATCH(B420,'Hàng hóa'!$B$4:$B$203,0)),0)</f>
        <v>0</v>
      </c>
      <c r="I420" s="7"/>
      <c r="J420" s="47">
        <f t="shared" si="1"/>
        <v>0</v>
      </c>
      <c r="K420" s="19">
        <f t="shared" si="2"/>
        <v>0</v>
      </c>
      <c r="L420" s="23"/>
      <c r="M420" s="23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5.75" customHeight="1">
      <c r="A421" s="43"/>
      <c r="B421" s="23"/>
      <c r="C421" s="37" t="str">
        <f t="array" ref="C421">IFERROR(INDEX('Hàng hóa'!$A$4:$A$203,MATCH(B421,'Hàng hóa'!$B$4:$B$203,0)),"")</f>
        <v/>
      </c>
      <c r="D421" s="37" t="str">
        <f t="array" ref="D421">IFERROR(INDEX('Hàng hóa'!$C$4:$C$203,MATCH(B421,'Hàng hóa'!$B$4:$B$203,0)),"")</f>
        <v/>
      </c>
      <c r="E421" s="44"/>
      <c r="F421" s="37">
        <f t="array" ref="F421">IFERROR(INDEX('Hàng hóa'!$E$4:$E$203,MATCH(B421,'Hàng hóa'!$B$4:$B$203,0)),0)</f>
        <v>0</v>
      </c>
      <c r="G421" s="37" t="str">
        <f t="array" ref="G421">IFERROR(INDEX('Hàng hóa'!$F$4:$F$203,MATCH(B421,'Hàng hóa'!$B$4:$B$203,0)),"")</f>
        <v/>
      </c>
      <c r="H421" s="19">
        <f t="array" ref="H421">IFERROR(INDEX('Hàng hóa'!$G$4:$G$203,MATCH(B421,'Hàng hóa'!$B$4:$B$203,0)),0)</f>
        <v>0</v>
      </c>
      <c r="I421" s="7"/>
      <c r="J421" s="47">
        <f t="shared" si="1"/>
        <v>0</v>
      </c>
      <c r="K421" s="19">
        <f t="shared" si="2"/>
        <v>0</v>
      </c>
      <c r="L421" s="23"/>
      <c r="M421" s="23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5.75" customHeight="1">
      <c r="A422" s="43"/>
      <c r="B422" s="23"/>
      <c r="C422" s="37" t="str">
        <f t="array" ref="C422">IFERROR(INDEX('Hàng hóa'!$A$4:$A$203,MATCH(B422,'Hàng hóa'!$B$4:$B$203,0)),"")</f>
        <v/>
      </c>
      <c r="D422" s="37" t="str">
        <f t="array" ref="D422">IFERROR(INDEX('Hàng hóa'!$C$4:$C$203,MATCH(B422,'Hàng hóa'!$B$4:$B$203,0)),"")</f>
        <v/>
      </c>
      <c r="E422" s="44"/>
      <c r="F422" s="37">
        <f t="array" ref="F422">IFERROR(INDEX('Hàng hóa'!$E$4:$E$203,MATCH(B422,'Hàng hóa'!$B$4:$B$203,0)),0)</f>
        <v>0</v>
      </c>
      <c r="G422" s="37" t="str">
        <f t="array" ref="G422">IFERROR(INDEX('Hàng hóa'!$F$4:$F$203,MATCH(B422,'Hàng hóa'!$B$4:$B$203,0)),"")</f>
        <v/>
      </c>
      <c r="H422" s="19">
        <f t="array" ref="H422">IFERROR(INDEX('Hàng hóa'!$G$4:$G$203,MATCH(B422,'Hàng hóa'!$B$4:$B$203,0)),0)</f>
        <v>0</v>
      </c>
      <c r="I422" s="7"/>
      <c r="J422" s="47">
        <f t="shared" si="1"/>
        <v>0</v>
      </c>
      <c r="K422" s="19">
        <f t="shared" si="2"/>
        <v>0</v>
      </c>
      <c r="L422" s="23"/>
      <c r="M422" s="23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5.75" customHeight="1">
      <c r="A423" s="43"/>
      <c r="B423" s="23"/>
      <c r="C423" s="37" t="str">
        <f t="array" ref="C423">IFERROR(INDEX('Hàng hóa'!$A$4:$A$203,MATCH(B423,'Hàng hóa'!$B$4:$B$203,0)),"")</f>
        <v/>
      </c>
      <c r="D423" s="37" t="str">
        <f t="array" ref="D423">IFERROR(INDEX('Hàng hóa'!$C$4:$C$203,MATCH(B423,'Hàng hóa'!$B$4:$B$203,0)),"")</f>
        <v/>
      </c>
      <c r="E423" s="44"/>
      <c r="F423" s="37">
        <f t="array" ref="F423">IFERROR(INDEX('Hàng hóa'!$E$4:$E$203,MATCH(B423,'Hàng hóa'!$B$4:$B$203,0)),0)</f>
        <v>0</v>
      </c>
      <c r="G423" s="37" t="str">
        <f t="array" ref="G423">IFERROR(INDEX('Hàng hóa'!$F$4:$F$203,MATCH(B423,'Hàng hóa'!$B$4:$B$203,0)),"")</f>
        <v/>
      </c>
      <c r="H423" s="19">
        <f t="array" ref="H423">IFERROR(INDEX('Hàng hóa'!$G$4:$G$203,MATCH(B423,'Hàng hóa'!$B$4:$B$203,0)),0)</f>
        <v>0</v>
      </c>
      <c r="I423" s="7"/>
      <c r="J423" s="47">
        <f t="shared" si="1"/>
        <v>0</v>
      </c>
      <c r="K423" s="19">
        <f t="shared" si="2"/>
        <v>0</v>
      </c>
      <c r="L423" s="23"/>
      <c r="M423" s="23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5.75" customHeight="1">
      <c r="A424" s="43"/>
      <c r="B424" s="23"/>
      <c r="C424" s="37" t="str">
        <f t="array" ref="C424">IFERROR(INDEX('Hàng hóa'!$A$4:$A$203,MATCH(B424,'Hàng hóa'!$B$4:$B$203,0)),"")</f>
        <v/>
      </c>
      <c r="D424" s="37" t="str">
        <f t="array" ref="D424">IFERROR(INDEX('Hàng hóa'!$C$4:$C$203,MATCH(B424,'Hàng hóa'!$B$4:$B$203,0)),"")</f>
        <v/>
      </c>
      <c r="E424" s="44"/>
      <c r="F424" s="37">
        <f t="array" ref="F424">IFERROR(INDEX('Hàng hóa'!$E$4:$E$203,MATCH(B424,'Hàng hóa'!$B$4:$B$203,0)),0)</f>
        <v>0</v>
      </c>
      <c r="G424" s="37" t="str">
        <f t="array" ref="G424">IFERROR(INDEX('Hàng hóa'!$F$4:$F$203,MATCH(B424,'Hàng hóa'!$B$4:$B$203,0)),"")</f>
        <v/>
      </c>
      <c r="H424" s="19">
        <f t="array" ref="H424">IFERROR(INDEX('Hàng hóa'!$G$4:$G$203,MATCH(B424,'Hàng hóa'!$B$4:$B$203,0)),0)</f>
        <v>0</v>
      </c>
      <c r="I424" s="7"/>
      <c r="J424" s="47">
        <f t="shared" si="1"/>
        <v>0</v>
      </c>
      <c r="K424" s="19">
        <f t="shared" si="2"/>
        <v>0</v>
      </c>
      <c r="L424" s="23"/>
      <c r="M424" s="23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5.75" customHeight="1">
      <c r="A425" s="43"/>
      <c r="B425" s="23"/>
      <c r="C425" s="37" t="str">
        <f t="array" ref="C425">IFERROR(INDEX('Hàng hóa'!$A$4:$A$203,MATCH(B425,'Hàng hóa'!$B$4:$B$203,0)),"")</f>
        <v/>
      </c>
      <c r="D425" s="37" t="str">
        <f t="array" ref="D425">IFERROR(INDEX('Hàng hóa'!$C$4:$C$203,MATCH(B425,'Hàng hóa'!$B$4:$B$203,0)),"")</f>
        <v/>
      </c>
      <c r="E425" s="44"/>
      <c r="F425" s="37">
        <f t="array" ref="F425">IFERROR(INDEX('Hàng hóa'!$E$4:$E$203,MATCH(B425,'Hàng hóa'!$B$4:$B$203,0)),0)</f>
        <v>0</v>
      </c>
      <c r="G425" s="37" t="str">
        <f t="array" ref="G425">IFERROR(INDEX('Hàng hóa'!$F$4:$F$203,MATCH(B425,'Hàng hóa'!$B$4:$B$203,0)),"")</f>
        <v/>
      </c>
      <c r="H425" s="19">
        <f t="array" ref="H425">IFERROR(INDEX('Hàng hóa'!$G$4:$G$203,MATCH(B425,'Hàng hóa'!$B$4:$B$203,0)),0)</f>
        <v>0</v>
      </c>
      <c r="I425" s="7"/>
      <c r="J425" s="47">
        <f t="shared" si="1"/>
        <v>0</v>
      </c>
      <c r="K425" s="19">
        <f t="shared" si="2"/>
        <v>0</v>
      </c>
      <c r="L425" s="23"/>
      <c r="M425" s="23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5.75" customHeight="1">
      <c r="A426" s="43"/>
      <c r="B426" s="23"/>
      <c r="C426" s="37" t="str">
        <f t="array" ref="C426">IFERROR(INDEX('Hàng hóa'!$A$4:$A$203,MATCH(B426,'Hàng hóa'!$B$4:$B$203,0)),"")</f>
        <v/>
      </c>
      <c r="D426" s="37" t="str">
        <f t="array" ref="D426">IFERROR(INDEX('Hàng hóa'!$C$4:$C$203,MATCH(B426,'Hàng hóa'!$B$4:$B$203,0)),"")</f>
        <v/>
      </c>
      <c r="E426" s="44"/>
      <c r="F426" s="37">
        <f t="array" ref="F426">IFERROR(INDEX('Hàng hóa'!$E$4:$E$203,MATCH(B426,'Hàng hóa'!$B$4:$B$203,0)),0)</f>
        <v>0</v>
      </c>
      <c r="G426" s="37" t="str">
        <f t="array" ref="G426">IFERROR(INDEX('Hàng hóa'!$F$4:$F$203,MATCH(B426,'Hàng hóa'!$B$4:$B$203,0)),"")</f>
        <v/>
      </c>
      <c r="H426" s="19">
        <f t="array" ref="H426">IFERROR(INDEX('Hàng hóa'!$G$4:$G$203,MATCH(B426,'Hàng hóa'!$B$4:$B$203,0)),0)</f>
        <v>0</v>
      </c>
      <c r="I426" s="7"/>
      <c r="J426" s="47">
        <f t="shared" si="1"/>
        <v>0</v>
      </c>
      <c r="K426" s="19">
        <f t="shared" si="2"/>
        <v>0</v>
      </c>
      <c r="L426" s="23"/>
      <c r="M426" s="23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5.75" customHeight="1">
      <c r="A427" s="43"/>
      <c r="B427" s="23"/>
      <c r="C427" s="37" t="str">
        <f t="array" ref="C427">IFERROR(INDEX('Hàng hóa'!$A$4:$A$203,MATCH(B427,'Hàng hóa'!$B$4:$B$203,0)),"")</f>
        <v/>
      </c>
      <c r="D427" s="37" t="str">
        <f t="array" ref="D427">IFERROR(INDEX('Hàng hóa'!$C$4:$C$203,MATCH(B427,'Hàng hóa'!$B$4:$B$203,0)),"")</f>
        <v/>
      </c>
      <c r="E427" s="44"/>
      <c r="F427" s="37">
        <f t="array" ref="F427">IFERROR(INDEX('Hàng hóa'!$E$4:$E$203,MATCH(B427,'Hàng hóa'!$B$4:$B$203,0)),0)</f>
        <v>0</v>
      </c>
      <c r="G427" s="37" t="str">
        <f t="array" ref="G427">IFERROR(INDEX('Hàng hóa'!$F$4:$F$203,MATCH(B427,'Hàng hóa'!$B$4:$B$203,0)),"")</f>
        <v/>
      </c>
      <c r="H427" s="19">
        <f t="array" ref="H427">IFERROR(INDEX('Hàng hóa'!$G$4:$G$203,MATCH(B427,'Hàng hóa'!$B$4:$B$203,0)),0)</f>
        <v>0</v>
      </c>
      <c r="I427" s="7"/>
      <c r="J427" s="47">
        <f t="shared" si="1"/>
        <v>0</v>
      </c>
      <c r="K427" s="19">
        <f t="shared" si="2"/>
        <v>0</v>
      </c>
      <c r="L427" s="23"/>
      <c r="M427" s="23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5.75" customHeight="1">
      <c r="A428" s="43"/>
      <c r="B428" s="23"/>
      <c r="C428" s="37" t="str">
        <f t="array" ref="C428">IFERROR(INDEX('Hàng hóa'!$A$4:$A$203,MATCH(B428,'Hàng hóa'!$B$4:$B$203,0)),"")</f>
        <v/>
      </c>
      <c r="D428" s="37" t="str">
        <f t="array" ref="D428">IFERROR(INDEX('Hàng hóa'!$C$4:$C$203,MATCH(B428,'Hàng hóa'!$B$4:$B$203,0)),"")</f>
        <v/>
      </c>
      <c r="E428" s="44"/>
      <c r="F428" s="37">
        <f t="array" ref="F428">IFERROR(INDEX('Hàng hóa'!$E$4:$E$203,MATCH(B428,'Hàng hóa'!$B$4:$B$203,0)),0)</f>
        <v>0</v>
      </c>
      <c r="G428" s="37" t="str">
        <f t="array" ref="G428">IFERROR(INDEX('Hàng hóa'!$F$4:$F$203,MATCH(B428,'Hàng hóa'!$B$4:$B$203,0)),"")</f>
        <v/>
      </c>
      <c r="H428" s="19">
        <f t="array" ref="H428">IFERROR(INDEX('Hàng hóa'!$G$4:$G$203,MATCH(B428,'Hàng hóa'!$B$4:$B$203,0)),0)</f>
        <v>0</v>
      </c>
      <c r="I428" s="7"/>
      <c r="J428" s="47">
        <f t="shared" si="1"/>
        <v>0</v>
      </c>
      <c r="K428" s="19">
        <f t="shared" si="2"/>
        <v>0</v>
      </c>
      <c r="L428" s="23"/>
      <c r="M428" s="23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5.75" customHeight="1">
      <c r="A429" s="43"/>
      <c r="B429" s="23"/>
      <c r="C429" s="37" t="str">
        <f t="array" ref="C429">IFERROR(INDEX('Hàng hóa'!$A$4:$A$203,MATCH(B429,'Hàng hóa'!$B$4:$B$203,0)),"")</f>
        <v/>
      </c>
      <c r="D429" s="37" t="str">
        <f t="array" ref="D429">IFERROR(INDEX('Hàng hóa'!$C$4:$C$203,MATCH(B429,'Hàng hóa'!$B$4:$B$203,0)),"")</f>
        <v/>
      </c>
      <c r="E429" s="44"/>
      <c r="F429" s="37">
        <f t="array" ref="F429">IFERROR(INDEX('Hàng hóa'!$E$4:$E$203,MATCH(B429,'Hàng hóa'!$B$4:$B$203,0)),0)</f>
        <v>0</v>
      </c>
      <c r="G429" s="37" t="str">
        <f t="array" ref="G429">IFERROR(INDEX('Hàng hóa'!$F$4:$F$203,MATCH(B429,'Hàng hóa'!$B$4:$B$203,0)),"")</f>
        <v/>
      </c>
      <c r="H429" s="19">
        <f t="array" ref="H429">IFERROR(INDEX('Hàng hóa'!$G$4:$G$203,MATCH(B429,'Hàng hóa'!$B$4:$B$203,0)),0)</f>
        <v>0</v>
      </c>
      <c r="I429" s="7"/>
      <c r="J429" s="47">
        <f t="shared" si="1"/>
        <v>0</v>
      </c>
      <c r="K429" s="19">
        <f t="shared" si="2"/>
        <v>0</v>
      </c>
      <c r="L429" s="23"/>
      <c r="M429" s="23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5.75" customHeight="1">
      <c r="A430" s="43"/>
      <c r="B430" s="23"/>
      <c r="C430" s="37" t="str">
        <f t="array" ref="C430">IFERROR(INDEX('Hàng hóa'!$A$4:$A$203,MATCH(B430,'Hàng hóa'!$B$4:$B$203,0)),"")</f>
        <v/>
      </c>
      <c r="D430" s="37" t="str">
        <f t="array" ref="D430">IFERROR(INDEX('Hàng hóa'!$C$4:$C$203,MATCH(B430,'Hàng hóa'!$B$4:$B$203,0)),"")</f>
        <v/>
      </c>
      <c r="E430" s="44"/>
      <c r="F430" s="37">
        <f t="array" ref="F430">IFERROR(INDEX('Hàng hóa'!$E$4:$E$203,MATCH(B430,'Hàng hóa'!$B$4:$B$203,0)),0)</f>
        <v>0</v>
      </c>
      <c r="G430" s="37" t="str">
        <f t="array" ref="G430">IFERROR(INDEX('Hàng hóa'!$F$4:$F$203,MATCH(B430,'Hàng hóa'!$B$4:$B$203,0)),"")</f>
        <v/>
      </c>
      <c r="H430" s="19">
        <f t="array" ref="H430">IFERROR(INDEX('Hàng hóa'!$G$4:$G$203,MATCH(B430,'Hàng hóa'!$B$4:$B$203,0)),0)</f>
        <v>0</v>
      </c>
      <c r="I430" s="7"/>
      <c r="J430" s="47">
        <f t="shared" si="1"/>
        <v>0</v>
      </c>
      <c r="K430" s="19">
        <f t="shared" si="2"/>
        <v>0</v>
      </c>
      <c r="L430" s="23"/>
      <c r="M430" s="23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5.75" customHeight="1">
      <c r="A431" s="43"/>
      <c r="B431" s="23"/>
      <c r="C431" s="37" t="str">
        <f t="array" ref="C431">IFERROR(INDEX('Hàng hóa'!$A$4:$A$203,MATCH(B431,'Hàng hóa'!$B$4:$B$203,0)),"")</f>
        <v/>
      </c>
      <c r="D431" s="37" t="str">
        <f t="array" ref="D431">IFERROR(INDEX('Hàng hóa'!$C$4:$C$203,MATCH(B431,'Hàng hóa'!$B$4:$B$203,0)),"")</f>
        <v/>
      </c>
      <c r="E431" s="44"/>
      <c r="F431" s="37">
        <f t="array" ref="F431">IFERROR(INDEX('Hàng hóa'!$E$4:$E$203,MATCH(B431,'Hàng hóa'!$B$4:$B$203,0)),0)</f>
        <v>0</v>
      </c>
      <c r="G431" s="37" t="str">
        <f t="array" ref="G431">IFERROR(INDEX('Hàng hóa'!$F$4:$F$203,MATCH(B431,'Hàng hóa'!$B$4:$B$203,0)),"")</f>
        <v/>
      </c>
      <c r="H431" s="19">
        <f t="array" ref="H431">IFERROR(INDEX('Hàng hóa'!$G$4:$G$203,MATCH(B431,'Hàng hóa'!$B$4:$B$203,0)),0)</f>
        <v>0</v>
      </c>
      <c r="I431" s="7"/>
      <c r="J431" s="47">
        <f t="shared" si="1"/>
        <v>0</v>
      </c>
      <c r="K431" s="19">
        <f t="shared" si="2"/>
        <v>0</v>
      </c>
      <c r="L431" s="23"/>
      <c r="M431" s="23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5.75" customHeight="1">
      <c r="A432" s="43"/>
      <c r="B432" s="23"/>
      <c r="C432" s="37" t="str">
        <f t="array" ref="C432">IFERROR(INDEX('Hàng hóa'!$A$4:$A$203,MATCH(B432,'Hàng hóa'!$B$4:$B$203,0)),"")</f>
        <v/>
      </c>
      <c r="D432" s="37" t="str">
        <f t="array" ref="D432">IFERROR(INDEX('Hàng hóa'!$C$4:$C$203,MATCH(B432,'Hàng hóa'!$B$4:$B$203,0)),"")</f>
        <v/>
      </c>
      <c r="E432" s="44"/>
      <c r="F432" s="37">
        <f t="array" ref="F432">IFERROR(INDEX('Hàng hóa'!$E$4:$E$203,MATCH(B432,'Hàng hóa'!$B$4:$B$203,0)),0)</f>
        <v>0</v>
      </c>
      <c r="G432" s="37" t="str">
        <f t="array" ref="G432">IFERROR(INDEX('Hàng hóa'!$F$4:$F$203,MATCH(B432,'Hàng hóa'!$B$4:$B$203,0)),"")</f>
        <v/>
      </c>
      <c r="H432" s="19">
        <f t="array" ref="H432">IFERROR(INDEX('Hàng hóa'!$G$4:$G$203,MATCH(B432,'Hàng hóa'!$B$4:$B$203,0)),0)</f>
        <v>0</v>
      </c>
      <c r="I432" s="7"/>
      <c r="J432" s="47">
        <f t="shared" si="1"/>
        <v>0</v>
      </c>
      <c r="K432" s="19">
        <f t="shared" si="2"/>
        <v>0</v>
      </c>
      <c r="L432" s="23"/>
      <c r="M432" s="23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5.75" customHeight="1">
      <c r="A433" s="43"/>
      <c r="B433" s="23"/>
      <c r="C433" s="37" t="str">
        <f t="array" ref="C433">IFERROR(INDEX('Hàng hóa'!$A$4:$A$203,MATCH(B433,'Hàng hóa'!$B$4:$B$203,0)),"")</f>
        <v/>
      </c>
      <c r="D433" s="37" t="str">
        <f t="array" ref="D433">IFERROR(INDEX('Hàng hóa'!$C$4:$C$203,MATCH(B433,'Hàng hóa'!$B$4:$B$203,0)),"")</f>
        <v/>
      </c>
      <c r="E433" s="44"/>
      <c r="F433" s="37">
        <f t="array" ref="F433">IFERROR(INDEX('Hàng hóa'!$E$4:$E$203,MATCH(B433,'Hàng hóa'!$B$4:$B$203,0)),0)</f>
        <v>0</v>
      </c>
      <c r="G433" s="37" t="str">
        <f t="array" ref="G433">IFERROR(INDEX('Hàng hóa'!$F$4:$F$203,MATCH(B433,'Hàng hóa'!$B$4:$B$203,0)),"")</f>
        <v/>
      </c>
      <c r="H433" s="19">
        <f t="array" ref="H433">IFERROR(INDEX('Hàng hóa'!$G$4:$G$203,MATCH(B433,'Hàng hóa'!$B$4:$B$203,0)),0)</f>
        <v>0</v>
      </c>
      <c r="I433" s="7"/>
      <c r="J433" s="47">
        <f t="shared" si="1"/>
        <v>0</v>
      </c>
      <c r="K433" s="19">
        <f t="shared" si="2"/>
        <v>0</v>
      </c>
      <c r="L433" s="23"/>
      <c r="M433" s="23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5.75" customHeight="1">
      <c r="A434" s="43"/>
      <c r="B434" s="23"/>
      <c r="C434" s="37" t="str">
        <f t="array" ref="C434">IFERROR(INDEX('Hàng hóa'!$A$4:$A$203,MATCH(B434,'Hàng hóa'!$B$4:$B$203,0)),"")</f>
        <v/>
      </c>
      <c r="D434" s="37" t="str">
        <f t="array" ref="D434">IFERROR(INDEX('Hàng hóa'!$C$4:$C$203,MATCH(B434,'Hàng hóa'!$B$4:$B$203,0)),"")</f>
        <v/>
      </c>
      <c r="E434" s="44"/>
      <c r="F434" s="37">
        <f t="array" ref="F434">IFERROR(INDEX('Hàng hóa'!$E$4:$E$203,MATCH(B434,'Hàng hóa'!$B$4:$B$203,0)),0)</f>
        <v>0</v>
      </c>
      <c r="G434" s="37" t="str">
        <f t="array" ref="G434">IFERROR(INDEX('Hàng hóa'!$F$4:$F$203,MATCH(B434,'Hàng hóa'!$B$4:$B$203,0)),"")</f>
        <v/>
      </c>
      <c r="H434" s="19">
        <f t="array" ref="H434">IFERROR(INDEX('Hàng hóa'!$G$4:$G$203,MATCH(B434,'Hàng hóa'!$B$4:$B$203,0)),0)</f>
        <v>0</v>
      </c>
      <c r="I434" s="7"/>
      <c r="J434" s="47">
        <f t="shared" si="1"/>
        <v>0</v>
      </c>
      <c r="K434" s="19">
        <f t="shared" si="2"/>
        <v>0</v>
      </c>
      <c r="L434" s="23"/>
      <c r="M434" s="23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5.75" customHeight="1">
      <c r="A435" s="43"/>
      <c r="B435" s="23"/>
      <c r="C435" s="37" t="str">
        <f t="array" ref="C435">IFERROR(INDEX('Hàng hóa'!$A$4:$A$203,MATCH(B435,'Hàng hóa'!$B$4:$B$203,0)),"")</f>
        <v/>
      </c>
      <c r="D435" s="37" t="str">
        <f t="array" ref="D435">IFERROR(INDEX('Hàng hóa'!$C$4:$C$203,MATCH(B435,'Hàng hóa'!$B$4:$B$203,0)),"")</f>
        <v/>
      </c>
      <c r="E435" s="44"/>
      <c r="F435" s="37">
        <f t="array" ref="F435">IFERROR(INDEX('Hàng hóa'!$E$4:$E$203,MATCH(B435,'Hàng hóa'!$B$4:$B$203,0)),0)</f>
        <v>0</v>
      </c>
      <c r="G435" s="37" t="str">
        <f t="array" ref="G435">IFERROR(INDEX('Hàng hóa'!$F$4:$F$203,MATCH(B435,'Hàng hóa'!$B$4:$B$203,0)),"")</f>
        <v/>
      </c>
      <c r="H435" s="19">
        <f t="array" ref="H435">IFERROR(INDEX('Hàng hóa'!$G$4:$G$203,MATCH(B435,'Hàng hóa'!$B$4:$B$203,0)),0)</f>
        <v>0</v>
      </c>
      <c r="I435" s="7"/>
      <c r="J435" s="47">
        <f t="shared" si="1"/>
        <v>0</v>
      </c>
      <c r="K435" s="19">
        <f t="shared" si="2"/>
        <v>0</v>
      </c>
      <c r="L435" s="23"/>
      <c r="M435" s="23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5.75" customHeight="1">
      <c r="A436" s="43"/>
      <c r="B436" s="23"/>
      <c r="C436" s="37" t="str">
        <f t="array" ref="C436">IFERROR(INDEX('Hàng hóa'!$A$4:$A$203,MATCH(B436,'Hàng hóa'!$B$4:$B$203,0)),"")</f>
        <v/>
      </c>
      <c r="D436" s="37" t="str">
        <f t="array" ref="D436">IFERROR(INDEX('Hàng hóa'!$C$4:$C$203,MATCH(B436,'Hàng hóa'!$B$4:$B$203,0)),"")</f>
        <v/>
      </c>
      <c r="E436" s="44"/>
      <c r="F436" s="37">
        <f t="array" ref="F436">IFERROR(INDEX('Hàng hóa'!$E$4:$E$203,MATCH(B436,'Hàng hóa'!$B$4:$B$203,0)),0)</f>
        <v>0</v>
      </c>
      <c r="G436" s="37" t="str">
        <f t="array" ref="G436">IFERROR(INDEX('Hàng hóa'!$F$4:$F$203,MATCH(B436,'Hàng hóa'!$B$4:$B$203,0)),"")</f>
        <v/>
      </c>
      <c r="H436" s="19">
        <f t="array" ref="H436">IFERROR(INDEX('Hàng hóa'!$G$4:$G$203,MATCH(B436,'Hàng hóa'!$B$4:$B$203,0)),0)</f>
        <v>0</v>
      </c>
      <c r="I436" s="7"/>
      <c r="J436" s="47">
        <f t="shared" si="1"/>
        <v>0</v>
      </c>
      <c r="K436" s="19">
        <f t="shared" si="2"/>
        <v>0</v>
      </c>
      <c r="L436" s="23"/>
      <c r="M436" s="23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5.75" customHeight="1">
      <c r="A437" s="43"/>
      <c r="B437" s="23"/>
      <c r="C437" s="37" t="str">
        <f t="array" ref="C437">IFERROR(INDEX('Hàng hóa'!$A$4:$A$203,MATCH(B437,'Hàng hóa'!$B$4:$B$203,0)),"")</f>
        <v/>
      </c>
      <c r="D437" s="37" t="str">
        <f t="array" ref="D437">IFERROR(INDEX('Hàng hóa'!$C$4:$C$203,MATCH(B437,'Hàng hóa'!$B$4:$B$203,0)),"")</f>
        <v/>
      </c>
      <c r="E437" s="44"/>
      <c r="F437" s="37">
        <f t="array" ref="F437">IFERROR(INDEX('Hàng hóa'!$E$4:$E$203,MATCH(B437,'Hàng hóa'!$B$4:$B$203,0)),0)</f>
        <v>0</v>
      </c>
      <c r="G437" s="37" t="str">
        <f t="array" ref="G437">IFERROR(INDEX('Hàng hóa'!$F$4:$F$203,MATCH(B437,'Hàng hóa'!$B$4:$B$203,0)),"")</f>
        <v/>
      </c>
      <c r="H437" s="19">
        <f t="array" ref="H437">IFERROR(INDEX('Hàng hóa'!$G$4:$G$203,MATCH(B437,'Hàng hóa'!$B$4:$B$203,0)),0)</f>
        <v>0</v>
      </c>
      <c r="I437" s="7"/>
      <c r="J437" s="47">
        <f t="shared" si="1"/>
        <v>0</v>
      </c>
      <c r="K437" s="19">
        <f t="shared" si="2"/>
        <v>0</v>
      </c>
      <c r="L437" s="23"/>
      <c r="M437" s="23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5.75" customHeight="1">
      <c r="A438" s="43"/>
      <c r="B438" s="23"/>
      <c r="C438" s="37" t="str">
        <f t="array" ref="C438">IFERROR(INDEX('Hàng hóa'!$A$4:$A$203,MATCH(B438,'Hàng hóa'!$B$4:$B$203,0)),"")</f>
        <v/>
      </c>
      <c r="D438" s="37" t="str">
        <f t="array" ref="D438">IFERROR(INDEX('Hàng hóa'!$C$4:$C$203,MATCH(B438,'Hàng hóa'!$B$4:$B$203,0)),"")</f>
        <v/>
      </c>
      <c r="E438" s="44"/>
      <c r="F438" s="37">
        <f t="array" ref="F438">IFERROR(INDEX('Hàng hóa'!$E$4:$E$203,MATCH(B438,'Hàng hóa'!$B$4:$B$203,0)),0)</f>
        <v>0</v>
      </c>
      <c r="G438" s="37" t="str">
        <f t="array" ref="G438">IFERROR(INDEX('Hàng hóa'!$F$4:$F$203,MATCH(B438,'Hàng hóa'!$B$4:$B$203,0)),"")</f>
        <v/>
      </c>
      <c r="H438" s="19">
        <f t="array" ref="H438">IFERROR(INDEX('Hàng hóa'!$G$4:$G$203,MATCH(B438,'Hàng hóa'!$B$4:$B$203,0)),0)</f>
        <v>0</v>
      </c>
      <c r="I438" s="7"/>
      <c r="J438" s="47">
        <f t="shared" si="1"/>
        <v>0</v>
      </c>
      <c r="K438" s="19">
        <f t="shared" si="2"/>
        <v>0</v>
      </c>
      <c r="L438" s="23"/>
      <c r="M438" s="23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5.75" customHeight="1">
      <c r="A439" s="43"/>
      <c r="B439" s="23"/>
      <c r="C439" s="37" t="str">
        <f t="array" ref="C439">IFERROR(INDEX('Hàng hóa'!$A$4:$A$203,MATCH(B439,'Hàng hóa'!$B$4:$B$203,0)),"")</f>
        <v/>
      </c>
      <c r="D439" s="37" t="str">
        <f t="array" ref="D439">IFERROR(INDEX('Hàng hóa'!$C$4:$C$203,MATCH(B439,'Hàng hóa'!$B$4:$B$203,0)),"")</f>
        <v/>
      </c>
      <c r="E439" s="44"/>
      <c r="F439" s="37">
        <f t="array" ref="F439">IFERROR(INDEX('Hàng hóa'!$E$4:$E$203,MATCH(B439,'Hàng hóa'!$B$4:$B$203,0)),0)</f>
        <v>0</v>
      </c>
      <c r="G439" s="37" t="str">
        <f t="array" ref="G439">IFERROR(INDEX('Hàng hóa'!$F$4:$F$203,MATCH(B439,'Hàng hóa'!$B$4:$B$203,0)),"")</f>
        <v/>
      </c>
      <c r="H439" s="19">
        <f t="array" ref="H439">IFERROR(INDEX('Hàng hóa'!$G$4:$G$203,MATCH(B439,'Hàng hóa'!$B$4:$B$203,0)),0)</f>
        <v>0</v>
      </c>
      <c r="I439" s="7"/>
      <c r="J439" s="47">
        <f t="shared" si="1"/>
        <v>0</v>
      </c>
      <c r="K439" s="19">
        <f t="shared" si="2"/>
        <v>0</v>
      </c>
      <c r="L439" s="23"/>
      <c r="M439" s="23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5.75" customHeight="1">
      <c r="A440" s="43"/>
      <c r="B440" s="23"/>
      <c r="C440" s="37" t="str">
        <f t="array" ref="C440">IFERROR(INDEX('Hàng hóa'!$A$4:$A$203,MATCH(B440,'Hàng hóa'!$B$4:$B$203,0)),"")</f>
        <v/>
      </c>
      <c r="D440" s="37" t="str">
        <f t="array" ref="D440">IFERROR(INDEX('Hàng hóa'!$C$4:$C$203,MATCH(B440,'Hàng hóa'!$B$4:$B$203,0)),"")</f>
        <v/>
      </c>
      <c r="E440" s="44"/>
      <c r="F440" s="37">
        <f t="array" ref="F440">IFERROR(INDEX('Hàng hóa'!$E$4:$E$203,MATCH(B440,'Hàng hóa'!$B$4:$B$203,0)),0)</f>
        <v>0</v>
      </c>
      <c r="G440" s="37" t="str">
        <f t="array" ref="G440">IFERROR(INDEX('Hàng hóa'!$F$4:$F$203,MATCH(B440,'Hàng hóa'!$B$4:$B$203,0)),"")</f>
        <v/>
      </c>
      <c r="H440" s="19">
        <f t="array" ref="H440">IFERROR(INDEX('Hàng hóa'!$G$4:$G$203,MATCH(B440,'Hàng hóa'!$B$4:$B$203,0)),0)</f>
        <v>0</v>
      </c>
      <c r="I440" s="7"/>
      <c r="J440" s="47">
        <f t="shared" si="1"/>
        <v>0</v>
      </c>
      <c r="K440" s="19">
        <f t="shared" si="2"/>
        <v>0</v>
      </c>
      <c r="L440" s="23"/>
      <c r="M440" s="23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5.75" customHeight="1">
      <c r="A441" s="43"/>
      <c r="B441" s="23"/>
      <c r="C441" s="37" t="str">
        <f t="array" ref="C441">IFERROR(INDEX('Hàng hóa'!$A$4:$A$203,MATCH(B441,'Hàng hóa'!$B$4:$B$203,0)),"")</f>
        <v/>
      </c>
      <c r="D441" s="37" t="str">
        <f t="array" ref="D441">IFERROR(INDEX('Hàng hóa'!$C$4:$C$203,MATCH(B441,'Hàng hóa'!$B$4:$B$203,0)),"")</f>
        <v/>
      </c>
      <c r="E441" s="44"/>
      <c r="F441" s="37">
        <f t="array" ref="F441">IFERROR(INDEX('Hàng hóa'!$E$4:$E$203,MATCH(B441,'Hàng hóa'!$B$4:$B$203,0)),0)</f>
        <v>0</v>
      </c>
      <c r="G441" s="37" t="str">
        <f t="array" ref="G441">IFERROR(INDEX('Hàng hóa'!$F$4:$F$203,MATCH(B441,'Hàng hóa'!$B$4:$B$203,0)),"")</f>
        <v/>
      </c>
      <c r="H441" s="19">
        <f t="array" ref="H441">IFERROR(INDEX('Hàng hóa'!$G$4:$G$203,MATCH(B441,'Hàng hóa'!$B$4:$B$203,0)),0)</f>
        <v>0</v>
      </c>
      <c r="I441" s="7"/>
      <c r="J441" s="47">
        <f t="shared" si="1"/>
        <v>0</v>
      </c>
      <c r="K441" s="19">
        <f t="shared" si="2"/>
        <v>0</v>
      </c>
      <c r="L441" s="23"/>
      <c r="M441" s="23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5.75" customHeight="1">
      <c r="A442" s="43"/>
      <c r="B442" s="23"/>
      <c r="C442" s="37" t="str">
        <f t="array" ref="C442">IFERROR(INDEX('Hàng hóa'!$A$4:$A$203,MATCH(B442,'Hàng hóa'!$B$4:$B$203,0)),"")</f>
        <v/>
      </c>
      <c r="D442" s="37" t="str">
        <f t="array" ref="D442">IFERROR(INDEX('Hàng hóa'!$C$4:$C$203,MATCH(B442,'Hàng hóa'!$B$4:$B$203,0)),"")</f>
        <v/>
      </c>
      <c r="E442" s="44"/>
      <c r="F442" s="37">
        <f t="array" ref="F442">IFERROR(INDEX('Hàng hóa'!$E$4:$E$203,MATCH(B442,'Hàng hóa'!$B$4:$B$203,0)),0)</f>
        <v>0</v>
      </c>
      <c r="G442" s="37" t="str">
        <f t="array" ref="G442">IFERROR(INDEX('Hàng hóa'!$F$4:$F$203,MATCH(B442,'Hàng hóa'!$B$4:$B$203,0)),"")</f>
        <v/>
      </c>
      <c r="H442" s="19">
        <f t="array" ref="H442">IFERROR(INDEX('Hàng hóa'!$G$4:$G$203,MATCH(B442,'Hàng hóa'!$B$4:$B$203,0)),0)</f>
        <v>0</v>
      </c>
      <c r="I442" s="7"/>
      <c r="J442" s="47">
        <f t="shared" si="1"/>
        <v>0</v>
      </c>
      <c r="K442" s="19">
        <f t="shared" si="2"/>
        <v>0</v>
      </c>
      <c r="L442" s="23"/>
      <c r="M442" s="23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5.75" customHeight="1">
      <c r="A443" s="43"/>
      <c r="B443" s="23"/>
      <c r="C443" s="37" t="str">
        <f t="array" ref="C443">IFERROR(INDEX('Hàng hóa'!$A$4:$A$203,MATCH(B443,'Hàng hóa'!$B$4:$B$203,0)),"")</f>
        <v/>
      </c>
      <c r="D443" s="37" t="str">
        <f t="array" ref="D443">IFERROR(INDEX('Hàng hóa'!$C$4:$C$203,MATCH(B443,'Hàng hóa'!$B$4:$B$203,0)),"")</f>
        <v/>
      </c>
      <c r="E443" s="44"/>
      <c r="F443" s="37">
        <f t="array" ref="F443">IFERROR(INDEX('Hàng hóa'!$E$4:$E$203,MATCH(B443,'Hàng hóa'!$B$4:$B$203,0)),0)</f>
        <v>0</v>
      </c>
      <c r="G443" s="37" t="str">
        <f t="array" ref="G443">IFERROR(INDEX('Hàng hóa'!$F$4:$F$203,MATCH(B443,'Hàng hóa'!$B$4:$B$203,0)),"")</f>
        <v/>
      </c>
      <c r="H443" s="19">
        <f t="array" ref="H443">IFERROR(INDEX('Hàng hóa'!$G$4:$G$203,MATCH(B443,'Hàng hóa'!$B$4:$B$203,0)),0)</f>
        <v>0</v>
      </c>
      <c r="I443" s="7"/>
      <c r="J443" s="47">
        <f t="shared" si="1"/>
        <v>0</v>
      </c>
      <c r="K443" s="19">
        <f t="shared" si="2"/>
        <v>0</v>
      </c>
      <c r="L443" s="23"/>
      <c r="M443" s="23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5.75" customHeight="1">
      <c r="A444" s="43"/>
      <c r="B444" s="23"/>
      <c r="C444" s="37" t="str">
        <f t="array" ref="C444">IFERROR(INDEX('Hàng hóa'!$A$4:$A$203,MATCH(B444,'Hàng hóa'!$B$4:$B$203,0)),"")</f>
        <v/>
      </c>
      <c r="D444" s="37" t="str">
        <f t="array" ref="D444">IFERROR(INDEX('Hàng hóa'!$C$4:$C$203,MATCH(B444,'Hàng hóa'!$B$4:$B$203,0)),"")</f>
        <v/>
      </c>
      <c r="E444" s="44"/>
      <c r="F444" s="37">
        <f t="array" ref="F444">IFERROR(INDEX('Hàng hóa'!$E$4:$E$203,MATCH(B444,'Hàng hóa'!$B$4:$B$203,0)),0)</f>
        <v>0</v>
      </c>
      <c r="G444" s="37" t="str">
        <f t="array" ref="G444">IFERROR(INDEX('Hàng hóa'!$F$4:$F$203,MATCH(B444,'Hàng hóa'!$B$4:$B$203,0)),"")</f>
        <v/>
      </c>
      <c r="H444" s="19">
        <f t="array" ref="H444">IFERROR(INDEX('Hàng hóa'!$G$4:$G$203,MATCH(B444,'Hàng hóa'!$B$4:$B$203,0)),0)</f>
        <v>0</v>
      </c>
      <c r="I444" s="7"/>
      <c r="J444" s="47">
        <f t="shared" si="1"/>
        <v>0</v>
      </c>
      <c r="K444" s="19">
        <f t="shared" si="2"/>
        <v>0</v>
      </c>
      <c r="L444" s="23"/>
      <c r="M444" s="23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5.75" customHeight="1">
      <c r="A445" s="43"/>
      <c r="B445" s="23"/>
      <c r="C445" s="37" t="str">
        <f t="array" ref="C445">IFERROR(INDEX('Hàng hóa'!$A$4:$A$203,MATCH(B445,'Hàng hóa'!$B$4:$B$203,0)),"")</f>
        <v/>
      </c>
      <c r="D445" s="37" t="str">
        <f t="array" ref="D445">IFERROR(INDEX('Hàng hóa'!$C$4:$C$203,MATCH(B445,'Hàng hóa'!$B$4:$B$203,0)),"")</f>
        <v/>
      </c>
      <c r="E445" s="44"/>
      <c r="F445" s="37">
        <f t="array" ref="F445">IFERROR(INDEX('Hàng hóa'!$E$4:$E$203,MATCH(B445,'Hàng hóa'!$B$4:$B$203,0)),0)</f>
        <v>0</v>
      </c>
      <c r="G445" s="37" t="str">
        <f t="array" ref="G445">IFERROR(INDEX('Hàng hóa'!$F$4:$F$203,MATCH(B445,'Hàng hóa'!$B$4:$B$203,0)),"")</f>
        <v/>
      </c>
      <c r="H445" s="19">
        <f t="array" ref="H445">IFERROR(INDEX('Hàng hóa'!$G$4:$G$203,MATCH(B445,'Hàng hóa'!$B$4:$B$203,0)),0)</f>
        <v>0</v>
      </c>
      <c r="I445" s="7"/>
      <c r="J445" s="47">
        <f t="shared" si="1"/>
        <v>0</v>
      </c>
      <c r="K445" s="19">
        <f t="shared" si="2"/>
        <v>0</v>
      </c>
      <c r="L445" s="23"/>
      <c r="M445" s="23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5.75" customHeight="1">
      <c r="A446" s="43"/>
      <c r="B446" s="23"/>
      <c r="C446" s="37" t="str">
        <f t="array" ref="C446">IFERROR(INDEX('Hàng hóa'!$A$4:$A$203,MATCH(B446,'Hàng hóa'!$B$4:$B$203,0)),"")</f>
        <v/>
      </c>
      <c r="D446" s="37" t="str">
        <f t="array" ref="D446">IFERROR(INDEX('Hàng hóa'!$C$4:$C$203,MATCH(B446,'Hàng hóa'!$B$4:$B$203,0)),"")</f>
        <v/>
      </c>
      <c r="E446" s="44"/>
      <c r="F446" s="37">
        <f t="array" ref="F446">IFERROR(INDEX('Hàng hóa'!$E$4:$E$203,MATCH(B446,'Hàng hóa'!$B$4:$B$203,0)),0)</f>
        <v>0</v>
      </c>
      <c r="G446" s="37" t="str">
        <f t="array" ref="G446">IFERROR(INDEX('Hàng hóa'!$F$4:$F$203,MATCH(B446,'Hàng hóa'!$B$4:$B$203,0)),"")</f>
        <v/>
      </c>
      <c r="H446" s="19">
        <f t="array" ref="H446">IFERROR(INDEX('Hàng hóa'!$G$4:$G$203,MATCH(B446,'Hàng hóa'!$B$4:$B$203,0)),0)</f>
        <v>0</v>
      </c>
      <c r="I446" s="7"/>
      <c r="J446" s="47">
        <f t="shared" si="1"/>
        <v>0</v>
      </c>
      <c r="K446" s="19">
        <f t="shared" si="2"/>
        <v>0</v>
      </c>
      <c r="L446" s="23"/>
      <c r="M446" s="23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5.75" customHeight="1">
      <c r="A447" s="43"/>
      <c r="B447" s="23"/>
      <c r="C447" s="37" t="str">
        <f t="array" ref="C447">IFERROR(INDEX('Hàng hóa'!$A$4:$A$203,MATCH(B447,'Hàng hóa'!$B$4:$B$203,0)),"")</f>
        <v/>
      </c>
      <c r="D447" s="37" t="str">
        <f t="array" ref="D447">IFERROR(INDEX('Hàng hóa'!$C$4:$C$203,MATCH(B447,'Hàng hóa'!$B$4:$B$203,0)),"")</f>
        <v/>
      </c>
      <c r="E447" s="44"/>
      <c r="F447" s="37">
        <f t="array" ref="F447">IFERROR(INDEX('Hàng hóa'!$E$4:$E$203,MATCH(B447,'Hàng hóa'!$B$4:$B$203,0)),0)</f>
        <v>0</v>
      </c>
      <c r="G447" s="37" t="str">
        <f t="array" ref="G447">IFERROR(INDEX('Hàng hóa'!$F$4:$F$203,MATCH(B447,'Hàng hóa'!$B$4:$B$203,0)),"")</f>
        <v/>
      </c>
      <c r="H447" s="19">
        <f t="array" ref="H447">IFERROR(INDEX('Hàng hóa'!$G$4:$G$203,MATCH(B447,'Hàng hóa'!$B$4:$B$203,0)),0)</f>
        <v>0</v>
      </c>
      <c r="I447" s="7"/>
      <c r="J447" s="47">
        <f t="shared" si="1"/>
        <v>0</v>
      </c>
      <c r="K447" s="19">
        <f t="shared" si="2"/>
        <v>0</v>
      </c>
      <c r="L447" s="23"/>
      <c r="M447" s="23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5.75" customHeight="1">
      <c r="A448" s="43"/>
      <c r="B448" s="23"/>
      <c r="C448" s="37" t="str">
        <f t="array" ref="C448">IFERROR(INDEX('Hàng hóa'!$A$4:$A$203,MATCH(B448,'Hàng hóa'!$B$4:$B$203,0)),"")</f>
        <v/>
      </c>
      <c r="D448" s="37" t="str">
        <f t="array" ref="D448">IFERROR(INDEX('Hàng hóa'!$C$4:$C$203,MATCH(B448,'Hàng hóa'!$B$4:$B$203,0)),"")</f>
        <v/>
      </c>
      <c r="E448" s="44"/>
      <c r="F448" s="37">
        <f t="array" ref="F448">IFERROR(INDEX('Hàng hóa'!$E$4:$E$203,MATCH(B448,'Hàng hóa'!$B$4:$B$203,0)),0)</f>
        <v>0</v>
      </c>
      <c r="G448" s="37" t="str">
        <f t="array" ref="G448">IFERROR(INDEX('Hàng hóa'!$F$4:$F$203,MATCH(B448,'Hàng hóa'!$B$4:$B$203,0)),"")</f>
        <v/>
      </c>
      <c r="H448" s="19">
        <f t="array" ref="H448">IFERROR(INDEX('Hàng hóa'!$G$4:$G$203,MATCH(B448,'Hàng hóa'!$B$4:$B$203,0)),0)</f>
        <v>0</v>
      </c>
      <c r="I448" s="7"/>
      <c r="J448" s="47">
        <f t="shared" si="1"/>
        <v>0</v>
      </c>
      <c r="K448" s="19">
        <f t="shared" si="2"/>
        <v>0</v>
      </c>
      <c r="L448" s="23"/>
      <c r="M448" s="23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5.75" customHeight="1">
      <c r="A449" s="43"/>
      <c r="B449" s="23"/>
      <c r="C449" s="37" t="str">
        <f t="array" ref="C449">IFERROR(INDEX('Hàng hóa'!$A$4:$A$203,MATCH(B449,'Hàng hóa'!$B$4:$B$203,0)),"")</f>
        <v/>
      </c>
      <c r="D449" s="37" t="str">
        <f t="array" ref="D449">IFERROR(INDEX('Hàng hóa'!$C$4:$C$203,MATCH(B449,'Hàng hóa'!$B$4:$B$203,0)),"")</f>
        <v/>
      </c>
      <c r="E449" s="44"/>
      <c r="F449" s="37">
        <f t="array" ref="F449">IFERROR(INDEX('Hàng hóa'!$E$4:$E$203,MATCH(B449,'Hàng hóa'!$B$4:$B$203,0)),0)</f>
        <v>0</v>
      </c>
      <c r="G449" s="37" t="str">
        <f t="array" ref="G449">IFERROR(INDEX('Hàng hóa'!$F$4:$F$203,MATCH(B449,'Hàng hóa'!$B$4:$B$203,0)),"")</f>
        <v/>
      </c>
      <c r="H449" s="19">
        <f t="array" ref="H449">IFERROR(INDEX('Hàng hóa'!$G$4:$G$203,MATCH(B449,'Hàng hóa'!$B$4:$B$203,0)),0)</f>
        <v>0</v>
      </c>
      <c r="I449" s="7"/>
      <c r="J449" s="47">
        <f t="shared" si="1"/>
        <v>0</v>
      </c>
      <c r="K449" s="19">
        <f t="shared" si="2"/>
        <v>0</v>
      </c>
      <c r="L449" s="23"/>
      <c r="M449" s="23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5.75" customHeight="1">
      <c r="A450" s="43"/>
      <c r="B450" s="23"/>
      <c r="C450" s="37" t="str">
        <f t="array" ref="C450">IFERROR(INDEX('Hàng hóa'!$A$4:$A$203,MATCH(B450,'Hàng hóa'!$B$4:$B$203,0)),"")</f>
        <v/>
      </c>
      <c r="D450" s="37" t="str">
        <f t="array" ref="D450">IFERROR(INDEX('Hàng hóa'!$C$4:$C$203,MATCH(B450,'Hàng hóa'!$B$4:$B$203,0)),"")</f>
        <v/>
      </c>
      <c r="E450" s="44"/>
      <c r="F450" s="37">
        <f t="array" ref="F450">IFERROR(INDEX('Hàng hóa'!$E$4:$E$203,MATCH(B450,'Hàng hóa'!$B$4:$B$203,0)),0)</f>
        <v>0</v>
      </c>
      <c r="G450" s="37" t="str">
        <f t="array" ref="G450">IFERROR(INDEX('Hàng hóa'!$F$4:$F$203,MATCH(B450,'Hàng hóa'!$B$4:$B$203,0)),"")</f>
        <v/>
      </c>
      <c r="H450" s="19">
        <f t="array" ref="H450">IFERROR(INDEX('Hàng hóa'!$G$4:$G$203,MATCH(B450,'Hàng hóa'!$B$4:$B$203,0)),0)</f>
        <v>0</v>
      </c>
      <c r="I450" s="7"/>
      <c r="J450" s="47">
        <f t="shared" si="1"/>
        <v>0</v>
      </c>
      <c r="K450" s="19">
        <f t="shared" si="2"/>
        <v>0</v>
      </c>
      <c r="L450" s="23"/>
      <c r="M450" s="23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5.75" customHeight="1">
      <c r="A451" s="43"/>
      <c r="B451" s="23"/>
      <c r="C451" s="37" t="str">
        <f t="array" ref="C451">IFERROR(INDEX('Hàng hóa'!$A$4:$A$203,MATCH(B451,'Hàng hóa'!$B$4:$B$203,0)),"")</f>
        <v/>
      </c>
      <c r="D451" s="37" t="str">
        <f t="array" ref="D451">IFERROR(INDEX('Hàng hóa'!$C$4:$C$203,MATCH(B451,'Hàng hóa'!$B$4:$B$203,0)),"")</f>
        <v/>
      </c>
      <c r="E451" s="44"/>
      <c r="F451" s="37">
        <f t="array" ref="F451">IFERROR(INDEX('Hàng hóa'!$E$4:$E$203,MATCH(B451,'Hàng hóa'!$B$4:$B$203,0)),0)</f>
        <v>0</v>
      </c>
      <c r="G451" s="37" t="str">
        <f t="array" ref="G451">IFERROR(INDEX('Hàng hóa'!$F$4:$F$203,MATCH(B451,'Hàng hóa'!$B$4:$B$203,0)),"")</f>
        <v/>
      </c>
      <c r="H451" s="19">
        <f t="array" ref="H451">IFERROR(INDEX('Hàng hóa'!$G$4:$G$203,MATCH(B451,'Hàng hóa'!$B$4:$B$203,0)),0)</f>
        <v>0</v>
      </c>
      <c r="I451" s="7"/>
      <c r="J451" s="47">
        <f t="shared" si="1"/>
        <v>0</v>
      </c>
      <c r="K451" s="19">
        <f t="shared" si="2"/>
        <v>0</v>
      </c>
      <c r="L451" s="23"/>
      <c r="M451" s="23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5.75" customHeight="1">
      <c r="A452" s="43"/>
      <c r="B452" s="23"/>
      <c r="C452" s="37" t="str">
        <f t="array" ref="C452">IFERROR(INDEX('Hàng hóa'!$A$4:$A$203,MATCH(B452,'Hàng hóa'!$B$4:$B$203,0)),"")</f>
        <v/>
      </c>
      <c r="D452" s="37" t="str">
        <f t="array" ref="D452">IFERROR(INDEX('Hàng hóa'!$C$4:$C$203,MATCH(B452,'Hàng hóa'!$B$4:$B$203,0)),"")</f>
        <v/>
      </c>
      <c r="E452" s="44"/>
      <c r="F452" s="37">
        <f t="array" ref="F452">IFERROR(INDEX('Hàng hóa'!$E$4:$E$203,MATCH(B452,'Hàng hóa'!$B$4:$B$203,0)),0)</f>
        <v>0</v>
      </c>
      <c r="G452" s="37" t="str">
        <f t="array" ref="G452">IFERROR(INDEX('Hàng hóa'!$F$4:$F$203,MATCH(B452,'Hàng hóa'!$B$4:$B$203,0)),"")</f>
        <v/>
      </c>
      <c r="H452" s="19">
        <f t="array" ref="H452">IFERROR(INDEX('Hàng hóa'!$G$4:$G$203,MATCH(B452,'Hàng hóa'!$B$4:$B$203,0)),0)</f>
        <v>0</v>
      </c>
      <c r="I452" s="7"/>
      <c r="J452" s="47">
        <f t="shared" si="1"/>
        <v>0</v>
      </c>
      <c r="K452" s="19">
        <f t="shared" si="2"/>
        <v>0</v>
      </c>
      <c r="L452" s="23"/>
      <c r="M452" s="23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5.75" customHeight="1">
      <c r="A453" s="43"/>
      <c r="B453" s="23"/>
      <c r="C453" s="37" t="str">
        <f t="array" ref="C453">IFERROR(INDEX('Hàng hóa'!$A$4:$A$203,MATCH(B453,'Hàng hóa'!$B$4:$B$203,0)),"")</f>
        <v/>
      </c>
      <c r="D453" s="37" t="str">
        <f t="array" ref="D453">IFERROR(INDEX('Hàng hóa'!$C$4:$C$203,MATCH(B453,'Hàng hóa'!$B$4:$B$203,0)),"")</f>
        <v/>
      </c>
      <c r="E453" s="44"/>
      <c r="F453" s="37">
        <f t="array" ref="F453">IFERROR(INDEX('Hàng hóa'!$E$4:$E$203,MATCH(B453,'Hàng hóa'!$B$4:$B$203,0)),0)</f>
        <v>0</v>
      </c>
      <c r="G453" s="37" t="str">
        <f t="array" ref="G453">IFERROR(INDEX('Hàng hóa'!$F$4:$F$203,MATCH(B453,'Hàng hóa'!$B$4:$B$203,0)),"")</f>
        <v/>
      </c>
      <c r="H453" s="19">
        <f t="array" ref="H453">IFERROR(INDEX('Hàng hóa'!$G$4:$G$203,MATCH(B453,'Hàng hóa'!$B$4:$B$203,0)),0)</f>
        <v>0</v>
      </c>
      <c r="I453" s="7"/>
      <c r="J453" s="47">
        <f t="shared" si="1"/>
        <v>0</v>
      </c>
      <c r="K453" s="19">
        <f t="shared" si="2"/>
        <v>0</v>
      </c>
      <c r="L453" s="23"/>
      <c r="M453" s="23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5.75" customHeight="1">
      <c r="A454" s="43"/>
      <c r="B454" s="23"/>
      <c r="C454" s="37" t="str">
        <f t="array" ref="C454">IFERROR(INDEX('Hàng hóa'!$A$4:$A$203,MATCH(B454,'Hàng hóa'!$B$4:$B$203,0)),"")</f>
        <v/>
      </c>
      <c r="D454" s="37" t="str">
        <f t="array" ref="D454">IFERROR(INDEX('Hàng hóa'!$C$4:$C$203,MATCH(B454,'Hàng hóa'!$B$4:$B$203,0)),"")</f>
        <v/>
      </c>
      <c r="E454" s="44"/>
      <c r="F454" s="37">
        <f t="array" ref="F454">IFERROR(INDEX('Hàng hóa'!$E$4:$E$203,MATCH(B454,'Hàng hóa'!$B$4:$B$203,0)),0)</f>
        <v>0</v>
      </c>
      <c r="G454" s="37" t="str">
        <f t="array" ref="G454">IFERROR(INDEX('Hàng hóa'!$F$4:$F$203,MATCH(B454,'Hàng hóa'!$B$4:$B$203,0)),"")</f>
        <v/>
      </c>
      <c r="H454" s="19">
        <f t="array" ref="H454">IFERROR(INDEX('Hàng hóa'!$G$4:$G$203,MATCH(B454,'Hàng hóa'!$B$4:$B$203,0)),0)</f>
        <v>0</v>
      </c>
      <c r="I454" s="7"/>
      <c r="J454" s="47">
        <f t="shared" si="1"/>
        <v>0</v>
      </c>
      <c r="K454" s="19">
        <f t="shared" si="2"/>
        <v>0</v>
      </c>
      <c r="L454" s="23"/>
      <c r="M454" s="23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5.75" customHeight="1">
      <c r="A455" s="43"/>
      <c r="B455" s="23"/>
      <c r="C455" s="37" t="str">
        <f t="array" ref="C455">IFERROR(INDEX('Hàng hóa'!$A$4:$A$203,MATCH(B455,'Hàng hóa'!$B$4:$B$203,0)),"")</f>
        <v/>
      </c>
      <c r="D455" s="37" t="str">
        <f t="array" ref="D455">IFERROR(INDEX('Hàng hóa'!$C$4:$C$203,MATCH(B455,'Hàng hóa'!$B$4:$B$203,0)),"")</f>
        <v/>
      </c>
      <c r="E455" s="44"/>
      <c r="F455" s="37">
        <f t="array" ref="F455">IFERROR(INDEX('Hàng hóa'!$E$4:$E$203,MATCH(B455,'Hàng hóa'!$B$4:$B$203,0)),0)</f>
        <v>0</v>
      </c>
      <c r="G455" s="37" t="str">
        <f t="array" ref="G455">IFERROR(INDEX('Hàng hóa'!$F$4:$F$203,MATCH(B455,'Hàng hóa'!$B$4:$B$203,0)),"")</f>
        <v/>
      </c>
      <c r="H455" s="19">
        <f t="array" ref="H455">IFERROR(INDEX('Hàng hóa'!$G$4:$G$203,MATCH(B455,'Hàng hóa'!$B$4:$B$203,0)),0)</f>
        <v>0</v>
      </c>
      <c r="I455" s="7"/>
      <c r="J455" s="47">
        <f t="shared" si="1"/>
        <v>0</v>
      </c>
      <c r="K455" s="19">
        <f t="shared" si="2"/>
        <v>0</v>
      </c>
      <c r="L455" s="23"/>
      <c r="M455" s="23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5.75" customHeight="1">
      <c r="A456" s="43"/>
      <c r="B456" s="23"/>
      <c r="C456" s="37" t="str">
        <f t="array" ref="C456">IFERROR(INDEX('Hàng hóa'!$A$4:$A$203,MATCH(B456,'Hàng hóa'!$B$4:$B$203,0)),"")</f>
        <v/>
      </c>
      <c r="D456" s="37" t="str">
        <f t="array" ref="D456">IFERROR(INDEX('Hàng hóa'!$C$4:$C$203,MATCH(B456,'Hàng hóa'!$B$4:$B$203,0)),"")</f>
        <v/>
      </c>
      <c r="E456" s="44"/>
      <c r="F456" s="37">
        <f t="array" ref="F456">IFERROR(INDEX('Hàng hóa'!$E$4:$E$203,MATCH(B456,'Hàng hóa'!$B$4:$B$203,0)),0)</f>
        <v>0</v>
      </c>
      <c r="G456" s="37" t="str">
        <f t="array" ref="G456">IFERROR(INDEX('Hàng hóa'!$F$4:$F$203,MATCH(B456,'Hàng hóa'!$B$4:$B$203,0)),"")</f>
        <v/>
      </c>
      <c r="H456" s="19">
        <f t="array" ref="H456">IFERROR(INDEX('Hàng hóa'!$G$4:$G$203,MATCH(B456,'Hàng hóa'!$B$4:$B$203,0)),0)</f>
        <v>0</v>
      </c>
      <c r="I456" s="7"/>
      <c r="J456" s="47">
        <f t="shared" si="1"/>
        <v>0</v>
      </c>
      <c r="K456" s="19">
        <f t="shared" si="2"/>
        <v>0</v>
      </c>
      <c r="L456" s="23"/>
      <c r="M456" s="23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5.75" customHeight="1">
      <c r="A457" s="43"/>
      <c r="B457" s="23"/>
      <c r="C457" s="37" t="str">
        <f t="array" ref="C457">IFERROR(INDEX('Hàng hóa'!$A$4:$A$203,MATCH(B457,'Hàng hóa'!$B$4:$B$203,0)),"")</f>
        <v/>
      </c>
      <c r="D457" s="37" t="str">
        <f t="array" ref="D457">IFERROR(INDEX('Hàng hóa'!$C$4:$C$203,MATCH(B457,'Hàng hóa'!$B$4:$B$203,0)),"")</f>
        <v/>
      </c>
      <c r="E457" s="44"/>
      <c r="F457" s="37">
        <f t="array" ref="F457">IFERROR(INDEX('Hàng hóa'!$E$4:$E$203,MATCH(B457,'Hàng hóa'!$B$4:$B$203,0)),0)</f>
        <v>0</v>
      </c>
      <c r="G457" s="37" t="str">
        <f t="array" ref="G457">IFERROR(INDEX('Hàng hóa'!$F$4:$F$203,MATCH(B457,'Hàng hóa'!$B$4:$B$203,0)),"")</f>
        <v/>
      </c>
      <c r="H457" s="19">
        <f t="array" ref="H457">IFERROR(INDEX('Hàng hóa'!$G$4:$G$203,MATCH(B457,'Hàng hóa'!$B$4:$B$203,0)),0)</f>
        <v>0</v>
      </c>
      <c r="I457" s="7"/>
      <c r="J457" s="47">
        <f t="shared" si="1"/>
        <v>0</v>
      </c>
      <c r="K457" s="19">
        <f t="shared" si="2"/>
        <v>0</v>
      </c>
      <c r="L457" s="23"/>
      <c r="M457" s="23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5.75" customHeight="1">
      <c r="A458" s="43"/>
      <c r="B458" s="23"/>
      <c r="C458" s="37" t="str">
        <f t="array" ref="C458">IFERROR(INDEX('Hàng hóa'!$A$4:$A$203,MATCH(B458,'Hàng hóa'!$B$4:$B$203,0)),"")</f>
        <v/>
      </c>
      <c r="D458" s="37" t="str">
        <f t="array" ref="D458">IFERROR(INDEX('Hàng hóa'!$C$4:$C$203,MATCH(B458,'Hàng hóa'!$B$4:$B$203,0)),"")</f>
        <v/>
      </c>
      <c r="E458" s="44"/>
      <c r="F458" s="37">
        <f t="array" ref="F458">IFERROR(INDEX('Hàng hóa'!$E$4:$E$203,MATCH(B458,'Hàng hóa'!$B$4:$B$203,0)),0)</f>
        <v>0</v>
      </c>
      <c r="G458" s="37" t="str">
        <f t="array" ref="G458">IFERROR(INDEX('Hàng hóa'!$F$4:$F$203,MATCH(B458,'Hàng hóa'!$B$4:$B$203,0)),"")</f>
        <v/>
      </c>
      <c r="H458" s="19">
        <f t="array" ref="H458">IFERROR(INDEX('Hàng hóa'!$G$4:$G$203,MATCH(B458,'Hàng hóa'!$B$4:$B$203,0)),0)</f>
        <v>0</v>
      </c>
      <c r="I458" s="7"/>
      <c r="J458" s="47">
        <f t="shared" si="1"/>
        <v>0</v>
      </c>
      <c r="K458" s="19">
        <f t="shared" si="2"/>
        <v>0</v>
      </c>
      <c r="L458" s="23"/>
      <c r="M458" s="23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5.75" customHeight="1">
      <c r="A459" s="43"/>
      <c r="B459" s="23"/>
      <c r="C459" s="37" t="str">
        <f t="array" ref="C459">IFERROR(INDEX('Hàng hóa'!$A$4:$A$203,MATCH(B459,'Hàng hóa'!$B$4:$B$203,0)),"")</f>
        <v/>
      </c>
      <c r="D459" s="37" t="str">
        <f t="array" ref="D459">IFERROR(INDEX('Hàng hóa'!$C$4:$C$203,MATCH(B459,'Hàng hóa'!$B$4:$B$203,0)),"")</f>
        <v/>
      </c>
      <c r="E459" s="44"/>
      <c r="F459" s="37">
        <f t="array" ref="F459">IFERROR(INDEX('Hàng hóa'!$E$4:$E$203,MATCH(B459,'Hàng hóa'!$B$4:$B$203,0)),0)</f>
        <v>0</v>
      </c>
      <c r="G459" s="37" t="str">
        <f t="array" ref="G459">IFERROR(INDEX('Hàng hóa'!$F$4:$F$203,MATCH(B459,'Hàng hóa'!$B$4:$B$203,0)),"")</f>
        <v/>
      </c>
      <c r="H459" s="19">
        <f t="array" ref="H459">IFERROR(INDEX('Hàng hóa'!$G$4:$G$203,MATCH(B459,'Hàng hóa'!$B$4:$B$203,0)),0)</f>
        <v>0</v>
      </c>
      <c r="I459" s="7"/>
      <c r="J459" s="47">
        <f t="shared" si="1"/>
        <v>0</v>
      </c>
      <c r="K459" s="19">
        <f t="shared" si="2"/>
        <v>0</v>
      </c>
      <c r="L459" s="23"/>
      <c r="M459" s="23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5.75" customHeight="1">
      <c r="A460" s="43"/>
      <c r="B460" s="23"/>
      <c r="C460" s="37" t="str">
        <f t="array" ref="C460">IFERROR(INDEX('Hàng hóa'!$A$4:$A$203,MATCH(B460,'Hàng hóa'!$B$4:$B$203,0)),"")</f>
        <v/>
      </c>
      <c r="D460" s="37" t="str">
        <f t="array" ref="D460">IFERROR(INDEX('Hàng hóa'!$C$4:$C$203,MATCH(B460,'Hàng hóa'!$B$4:$B$203,0)),"")</f>
        <v/>
      </c>
      <c r="E460" s="44"/>
      <c r="F460" s="37">
        <f t="array" ref="F460">IFERROR(INDEX('Hàng hóa'!$E$4:$E$203,MATCH(B460,'Hàng hóa'!$B$4:$B$203,0)),0)</f>
        <v>0</v>
      </c>
      <c r="G460" s="37" t="str">
        <f t="array" ref="G460">IFERROR(INDEX('Hàng hóa'!$F$4:$F$203,MATCH(B460,'Hàng hóa'!$B$4:$B$203,0)),"")</f>
        <v/>
      </c>
      <c r="H460" s="19">
        <f t="array" ref="H460">IFERROR(INDEX('Hàng hóa'!$G$4:$G$203,MATCH(B460,'Hàng hóa'!$B$4:$B$203,0)),0)</f>
        <v>0</v>
      </c>
      <c r="I460" s="7"/>
      <c r="J460" s="47">
        <f t="shared" si="1"/>
        <v>0</v>
      </c>
      <c r="K460" s="19">
        <f t="shared" si="2"/>
        <v>0</v>
      </c>
      <c r="L460" s="23"/>
      <c r="M460" s="23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5.75" customHeight="1">
      <c r="A461" s="43"/>
      <c r="B461" s="23"/>
      <c r="C461" s="37" t="str">
        <f t="array" ref="C461">IFERROR(INDEX('Hàng hóa'!$A$4:$A$203,MATCH(B461,'Hàng hóa'!$B$4:$B$203,0)),"")</f>
        <v/>
      </c>
      <c r="D461" s="37" t="str">
        <f t="array" ref="D461">IFERROR(INDEX('Hàng hóa'!$C$4:$C$203,MATCH(B461,'Hàng hóa'!$B$4:$B$203,0)),"")</f>
        <v/>
      </c>
      <c r="E461" s="44"/>
      <c r="F461" s="37">
        <f t="array" ref="F461">IFERROR(INDEX('Hàng hóa'!$E$4:$E$203,MATCH(B461,'Hàng hóa'!$B$4:$B$203,0)),0)</f>
        <v>0</v>
      </c>
      <c r="G461" s="37" t="str">
        <f t="array" ref="G461">IFERROR(INDEX('Hàng hóa'!$F$4:$F$203,MATCH(B461,'Hàng hóa'!$B$4:$B$203,0)),"")</f>
        <v/>
      </c>
      <c r="H461" s="19">
        <f t="array" ref="H461">IFERROR(INDEX('Hàng hóa'!$G$4:$G$203,MATCH(B461,'Hàng hóa'!$B$4:$B$203,0)),0)</f>
        <v>0</v>
      </c>
      <c r="I461" s="7"/>
      <c r="J461" s="47">
        <f t="shared" si="1"/>
        <v>0</v>
      </c>
      <c r="K461" s="19">
        <f t="shared" si="2"/>
        <v>0</v>
      </c>
      <c r="L461" s="23"/>
      <c r="M461" s="23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5.75" customHeight="1">
      <c r="A462" s="43"/>
      <c r="B462" s="23"/>
      <c r="C462" s="37" t="str">
        <f t="array" ref="C462">IFERROR(INDEX('Hàng hóa'!$A$4:$A$203,MATCH(B462,'Hàng hóa'!$B$4:$B$203,0)),"")</f>
        <v/>
      </c>
      <c r="D462" s="37" t="str">
        <f t="array" ref="D462">IFERROR(INDEX('Hàng hóa'!$C$4:$C$203,MATCH(B462,'Hàng hóa'!$B$4:$B$203,0)),"")</f>
        <v/>
      </c>
      <c r="E462" s="44"/>
      <c r="F462" s="37">
        <f t="array" ref="F462">IFERROR(INDEX('Hàng hóa'!$E$4:$E$203,MATCH(B462,'Hàng hóa'!$B$4:$B$203,0)),0)</f>
        <v>0</v>
      </c>
      <c r="G462" s="37" t="str">
        <f t="array" ref="G462">IFERROR(INDEX('Hàng hóa'!$F$4:$F$203,MATCH(B462,'Hàng hóa'!$B$4:$B$203,0)),"")</f>
        <v/>
      </c>
      <c r="H462" s="19">
        <f t="array" ref="H462">IFERROR(INDEX('Hàng hóa'!$G$4:$G$203,MATCH(B462,'Hàng hóa'!$B$4:$B$203,0)),0)</f>
        <v>0</v>
      </c>
      <c r="I462" s="7"/>
      <c r="J462" s="47">
        <f t="shared" si="1"/>
        <v>0</v>
      </c>
      <c r="K462" s="19">
        <f t="shared" si="2"/>
        <v>0</v>
      </c>
      <c r="L462" s="23"/>
      <c r="M462" s="23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5.75" customHeight="1">
      <c r="A463" s="43"/>
      <c r="B463" s="23"/>
      <c r="C463" s="37" t="str">
        <f t="array" ref="C463">IFERROR(INDEX('Hàng hóa'!$A$4:$A$203,MATCH(B463,'Hàng hóa'!$B$4:$B$203,0)),"")</f>
        <v/>
      </c>
      <c r="D463" s="37" t="str">
        <f t="array" ref="D463">IFERROR(INDEX('Hàng hóa'!$C$4:$C$203,MATCH(B463,'Hàng hóa'!$B$4:$B$203,0)),"")</f>
        <v/>
      </c>
      <c r="E463" s="44"/>
      <c r="F463" s="37">
        <f t="array" ref="F463">IFERROR(INDEX('Hàng hóa'!$E$4:$E$203,MATCH(B463,'Hàng hóa'!$B$4:$B$203,0)),0)</f>
        <v>0</v>
      </c>
      <c r="G463" s="37" t="str">
        <f t="array" ref="G463">IFERROR(INDEX('Hàng hóa'!$F$4:$F$203,MATCH(B463,'Hàng hóa'!$B$4:$B$203,0)),"")</f>
        <v/>
      </c>
      <c r="H463" s="19">
        <f t="array" ref="H463">IFERROR(INDEX('Hàng hóa'!$G$4:$G$203,MATCH(B463,'Hàng hóa'!$B$4:$B$203,0)),0)</f>
        <v>0</v>
      </c>
      <c r="I463" s="7"/>
      <c r="J463" s="47">
        <f t="shared" si="1"/>
        <v>0</v>
      </c>
      <c r="K463" s="19">
        <f t="shared" si="2"/>
        <v>0</v>
      </c>
      <c r="L463" s="23"/>
      <c r="M463" s="23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5.75" customHeight="1">
      <c r="A464" s="43"/>
      <c r="B464" s="23"/>
      <c r="C464" s="37" t="str">
        <f t="array" ref="C464">IFERROR(INDEX('Hàng hóa'!$A$4:$A$203,MATCH(B464,'Hàng hóa'!$B$4:$B$203,0)),"")</f>
        <v/>
      </c>
      <c r="D464" s="37" t="str">
        <f t="array" ref="D464">IFERROR(INDEX('Hàng hóa'!$C$4:$C$203,MATCH(B464,'Hàng hóa'!$B$4:$B$203,0)),"")</f>
        <v/>
      </c>
      <c r="E464" s="44"/>
      <c r="F464" s="37">
        <f t="array" ref="F464">IFERROR(INDEX('Hàng hóa'!$E$4:$E$203,MATCH(B464,'Hàng hóa'!$B$4:$B$203,0)),0)</f>
        <v>0</v>
      </c>
      <c r="G464" s="37" t="str">
        <f t="array" ref="G464">IFERROR(INDEX('Hàng hóa'!$F$4:$F$203,MATCH(B464,'Hàng hóa'!$B$4:$B$203,0)),"")</f>
        <v/>
      </c>
      <c r="H464" s="19">
        <f t="array" ref="H464">IFERROR(INDEX('Hàng hóa'!$G$4:$G$203,MATCH(B464,'Hàng hóa'!$B$4:$B$203,0)),0)</f>
        <v>0</v>
      </c>
      <c r="I464" s="7"/>
      <c r="J464" s="47">
        <f t="shared" si="1"/>
        <v>0</v>
      </c>
      <c r="K464" s="19">
        <f t="shared" si="2"/>
        <v>0</v>
      </c>
      <c r="L464" s="23"/>
      <c r="M464" s="23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5.75" customHeight="1">
      <c r="A465" s="43"/>
      <c r="B465" s="23"/>
      <c r="C465" s="37" t="str">
        <f t="array" ref="C465">IFERROR(INDEX('Hàng hóa'!$A$4:$A$203,MATCH(B465,'Hàng hóa'!$B$4:$B$203,0)),"")</f>
        <v/>
      </c>
      <c r="D465" s="37" t="str">
        <f t="array" ref="D465">IFERROR(INDEX('Hàng hóa'!$C$4:$C$203,MATCH(B465,'Hàng hóa'!$B$4:$B$203,0)),"")</f>
        <v/>
      </c>
      <c r="E465" s="44"/>
      <c r="F465" s="37">
        <f t="array" ref="F465">IFERROR(INDEX('Hàng hóa'!$E$4:$E$203,MATCH(B465,'Hàng hóa'!$B$4:$B$203,0)),0)</f>
        <v>0</v>
      </c>
      <c r="G465" s="37" t="str">
        <f t="array" ref="G465">IFERROR(INDEX('Hàng hóa'!$F$4:$F$203,MATCH(B465,'Hàng hóa'!$B$4:$B$203,0)),"")</f>
        <v/>
      </c>
      <c r="H465" s="19">
        <f t="array" ref="H465">IFERROR(INDEX('Hàng hóa'!$G$4:$G$203,MATCH(B465,'Hàng hóa'!$B$4:$B$203,0)),0)</f>
        <v>0</v>
      </c>
      <c r="I465" s="7"/>
      <c r="J465" s="47">
        <f t="shared" si="1"/>
        <v>0</v>
      </c>
      <c r="K465" s="19">
        <f t="shared" si="2"/>
        <v>0</v>
      </c>
      <c r="L465" s="23"/>
      <c r="M465" s="23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5.75" customHeight="1">
      <c r="A466" s="43"/>
      <c r="B466" s="23"/>
      <c r="C466" s="37" t="str">
        <f t="array" ref="C466">IFERROR(INDEX('Hàng hóa'!$A$4:$A$203,MATCH(B466,'Hàng hóa'!$B$4:$B$203,0)),"")</f>
        <v/>
      </c>
      <c r="D466" s="37" t="str">
        <f t="array" ref="D466">IFERROR(INDEX('Hàng hóa'!$C$4:$C$203,MATCH(B466,'Hàng hóa'!$B$4:$B$203,0)),"")</f>
        <v/>
      </c>
      <c r="E466" s="44"/>
      <c r="F466" s="37">
        <f t="array" ref="F466">IFERROR(INDEX('Hàng hóa'!$E$4:$E$203,MATCH(B466,'Hàng hóa'!$B$4:$B$203,0)),0)</f>
        <v>0</v>
      </c>
      <c r="G466" s="37" t="str">
        <f t="array" ref="G466">IFERROR(INDEX('Hàng hóa'!$F$4:$F$203,MATCH(B466,'Hàng hóa'!$B$4:$B$203,0)),"")</f>
        <v/>
      </c>
      <c r="H466" s="19">
        <f t="array" ref="H466">IFERROR(INDEX('Hàng hóa'!$G$4:$G$203,MATCH(B466,'Hàng hóa'!$B$4:$B$203,0)),0)</f>
        <v>0</v>
      </c>
      <c r="I466" s="7"/>
      <c r="J466" s="47">
        <f t="shared" si="1"/>
        <v>0</v>
      </c>
      <c r="K466" s="19">
        <f t="shared" si="2"/>
        <v>0</v>
      </c>
      <c r="L466" s="23"/>
      <c r="M466" s="23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5.75" customHeight="1">
      <c r="A467" s="43"/>
      <c r="B467" s="23"/>
      <c r="C467" s="37" t="str">
        <f t="array" ref="C467">IFERROR(INDEX('Hàng hóa'!$A$4:$A$203,MATCH(B467,'Hàng hóa'!$B$4:$B$203,0)),"")</f>
        <v/>
      </c>
      <c r="D467" s="37" t="str">
        <f t="array" ref="D467">IFERROR(INDEX('Hàng hóa'!$C$4:$C$203,MATCH(B467,'Hàng hóa'!$B$4:$B$203,0)),"")</f>
        <v/>
      </c>
      <c r="E467" s="44"/>
      <c r="F467" s="37">
        <f t="array" ref="F467">IFERROR(INDEX('Hàng hóa'!$E$4:$E$203,MATCH(B467,'Hàng hóa'!$B$4:$B$203,0)),0)</f>
        <v>0</v>
      </c>
      <c r="G467" s="37" t="str">
        <f t="array" ref="G467">IFERROR(INDEX('Hàng hóa'!$F$4:$F$203,MATCH(B467,'Hàng hóa'!$B$4:$B$203,0)),"")</f>
        <v/>
      </c>
      <c r="H467" s="19">
        <f t="array" ref="H467">IFERROR(INDEX('Hàng hóa'!$G$4:$G$203,MATCH(B467,'Hàng hóa'!$B$4:$B$203,0)),0)</f>
        <v>0</v>
      </c>
      <c r="I467" s="7"/>
      <c r="J467" s="47">
        <f t="shared" si="1"/>
        <v>0</v>
      </c>
      <c r="K467" s="19">
        <f t="shared" si="2"/>
        <v>0</v>
      </c>
      <c r="L467" s="23"/>
      <c r="M467" s="23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5.75" customHeight="1">
      <c r="A468" s="43"/>
      <c r="B468" s="23"/>
      <c r="C468" s="37" t="str">
        <f t="array" ref="C468">IFERROR(INDEX('Hàng hóa'!$A$4:$A$203,MATCH(B468,'Hàng hóa'!$B$4:$B$203,0)),"")</f>
        <v/>
      </c>
      <c r="D468" s="37" t="str">
        <f t="array" ref="D468">IFERROR(INDEX('Hàng hóa'!$C$4:$C$203,MATCH(B468,'Hàng hóa'!$B$4:$B$203,0)),"")</f>
        <v/>
      </c>
      <c r="E468" s="44"/>
      <c r="F468" s="37">
        <f t="array" ref="F468">IFERROR(INDEX('Hàng hóa'!$E$4:$E$203,MATCH(B468,'Hàng hóa'!$B$4:$B$203,0)),0)</f>
        <v>0</v>
      </c>
      <c r="G468" s="37" t="str">
        <f t="array" ref="G468">IFERROR(INDEX('Hàng hóa'!$F$4:$F$203,MATCH(B468,'Hàng hóa'!$B$4:$B$203,0)),"")</f>
        <v/>
      </c>
      <c r="H468" s="19">
        <f t="array" ref="H468">IFERROR(INDEX('Hàng hóa'!$G$4:$G$203,MATCH(B468,'Hàng hóa'!$B$4:$B$203,0)),0)</f>
        <v>0</v>
      </c>
      <c r="I468" s="7"/>
      <c r="J468" s="47">
        <f t="shared" si="1"/>
        <v>0</v>
      </c>
      <c r="K468" s="19">
        <f t="shared" si="2"/>
        <v>0</v>
      </c>
      <c r="L468" s="23"/>
      <c r="M468" s="23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5.75" customHeight="1">
      <c r="A469" s="43"/>
      <c r="B469" s="23"/>
      <c r="C469" s="37" t="str">
        <f t="array" ref="C469">IFERROR(INDEX('Hàng hóa'!$A$4:$A$203,MATCH(B469,'Hàng hóa'!$B$4:$B$203,0)),"")</f>
        <v/>
      </c>
      <c r="D469" s="37" t="str">
        <f t="array" ref="D469">IFERROR(INDEX('Hàng hóa'!$C$4:$C$203,MATCH(B469,'Hàng hóa'!$B$4:$B$203,0)),"")</f>
        <v/>
      </c>
      <c r="E469" s="44"/>
      <c r="F469" s="37">
        <f t="array" ref="F469">IFERROR(INDEX('Hàng hóa'!$E$4:$E$203,MATCH(B469,'Hàng hóa'!$B$4:$B$203,0)),0)</f>
        <v>0</v>
      </c>
      <c r="G469" s="37" t="str">
        <f t="array" ref="G469">IFERROR(INDEX('Hàng hóa'!$F$4:$F$203,MATCH(B469,'Hàng hóa'!$B$4:$B$203,0)),"")</f>
        <v/>
      </c>
      <c r="H469" s="19">
        <f t="array" ref="H469">IFERROR(INDEX('Hàng hóa'!$G$4:$G$203,MATCH(B469,'Hàng hóa'!$B$4:$B$203,0)),0)</f>
        <v>0</v>
      </c>
      <c r="I469" s="7"/>
      <c r="J469" s="47">
        <f t="shared" si="1"/>
        <v>0</v>
      </c>
      <c r="K469" s="19">
        <f t="shared" si="2"/>
        <v>0</v>
      </c>
      <c r="L469" s="23"/>
      <c r="M469" s="23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5.75" customHeight="1">
      <c r="A470" s="43"/>
      <c r="B470" s="23"/>
      <c r="C470" s="37" t="str">
        <f t="array" ref="C470">IFERROR(INDEX('Hàng hóa'!$A$4:$A$203,MATCH(B470,'Hàng hóa'!$B$4:$B$203,0)),"")</f>
        <v/>
      </c>
      <c r="D470" s="37" t="str">
        <f t="array" ref="D470">IFERROR(INDEX('Hàng hóa'!$C$4:$C$203,MATCH(B470,'Hàng hóa'!$B$4:$B$203,0)),"")</f>
        <v/>
      </c>
      <c r="E470" s="44"/>
      <c r="F470" s="37">
        <f t="array" ref="F470">IFERROR(INDEX('Hàng hóa'!$E$4:$E$203,MATCH(B470,'Hàng hóa'!$B$4:$B$203,0)),0)</f>
        <v>0</v>
      </c>
      <c r="G470" s="37" t="str">
        <f t="array" ref="G470">IFERROR(INDEX('Hàng hóa'!$F$4:$F$203,MATCH(B470,'Hàng hóa'!$B$4:$B$203,0)),"")</f>
        <v/>
      </c>
      <c r="H470" s="19">
        <f t="array" ref="H470">IFERROR(INDEX('Hàng hóa'!$G$4:$G$203,MATCH(B470,'Hàng hóa'!$B$4:$B$203,0)),0)</f>
        <v>0</v>
      </c>
      <c r="I470" s="7"/>
      <c r="J470" s="47">
        <f t="shared" si="1"/>
        <v>0</v>
      </c>
      <c r="K470" s="19">
        <f t="shared" si="2"/>
        <v>0</v>
      </c>
      <c r="L470" s="23"/>
      <c r="M470" s="23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5.75" customHeight="1">
      <c r="A471" s="43"/>
      <c r="B471" s="23"/>
      <c r="C471" s="37" t="str">
        <f t="array" ref="C471">IFERROR(INDEX('Hàng hóa'!$A$4:$A$203,MATCH(B471,'Hàng hóa'!$B$4:$B$203,0)),"")</f>
        <v/>
      </c>
      <c r="D471" s="37" t="str">
        <f t="array" ref="D471">IFERROR(INDEX('Hàng hóa'!$C$4:$C$203,MATCH(B471,'Hàng hóa'!$B$4:$B$203,0)),"")</f>
        <v/>
      </c>
      <c r="E471" s="44"/>
      <c r="F471" s="37">
        <f t="array" ref="F471">IFERROR(INDEX('Hàng hóa'!$E$4:$E$203,MATCH(B471,'Hàng hóa'!$B$4:$B$203,0)),0)</f>
        <v>0</v>
      </c>
      <c r="G471" s="37" t="str">
        <f t="array" ref="G471">IFERROR(INDEX('Hàng hóa'!$F$4:$F$203,MATCH(B471,'Hàng hóa'!$B$4:$B$203,0)),"")</f>
        <v/>
      </c>
      <c r="H471" s="19">
        <f t="array" ref="H471">IFERROR(INDEX('Hàng hóa'!$G$4:$G$203,MATCH(B471,'Hàng hóa'!$B$4:$B$203,0)),0)</f>
        <v>0</v>
      </c>
      <c r="I471" s="7"/>
      <c r="J471" s="47">
        <f t="shared" si="1"/>
        <v>0</v>
      </c>
      <c r="K471" s="19">
        <f t="shared" si="2"/>
        <v>0</v>
      </c>
      <c r="L471" s="23"/>
      <c r="M471" s="23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5.75" customHeight="1">
      <c r="A472" s="43"/>
      <c r="B472" s="23"/>
      <c r="C472" s="37" t="str">
        <f t="array" ref="C472">IFERROR(INDEX('Hàng hóa'!$A$4:$A$203,MATCH(B472,'Hàng hóa'!$B$4:$B$203,0)),"")</f>
        <v/>
      </c>
      <c r="D472" s="37" t="str">
        <f t="array" ref="D472">IFERROR(INDEX('Hàng hóa'!$C$4:$C$203,MATCH(B472,'Hàng hóa'!$B$4:$B$203,0)),"")</f>
        <v/>
      </c>
      <c r="E472" s="44"/>
      <c r="F472" s="37">
        <f t="array" ref="F472">IFERROR(INDEX('Hàng hóa'!$E$4:$E$203,MATCH(B472,'Hàng hóa'!$B$4:$B$203,0)),0)</f>
        <v>0</v>
      </c>
      <c r="G472" s="37" t="str">
        <f t="array" ref="G472">IFERROR(INDEX('Hàng hóa'!$F$4:$F$203,MATCH(B472,'Hàng hóa'!$B$4:$B$203,0)),"")</f>
        <v/>
      </c>
      <c r="H472" s="19">
        <f t="array" ref="H472">IFERROR(INDEX('Hàng hóa'!$G$4:$G$203,MATCH(B472,'Hàng hóa'!$B$4:$B$203,0)),0)</f>
        <v>0</v>
      </c>
      <c r="I472" s="7"/>
      <c r="J472" s="47">
        <f t="shared" si="1"/>
        <v>0</v>
      </c>
      <c r="K472" s="19">
        <f t="shared" si="2"/>
        <v>0</v>
      </c>
      <c r="L472" s="23"/>
      <c r="M472" s="23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5.75" customHeight="1">
      <c r="A473" s="43"/>
      <c r="B473" s="23"/>
      <c r="C473" s="37" t="str">
        <f t="array" ref="C473">IFERROR(INDEX('Hàng hóa'!$A$4:$A$203,MATCH(B473,'Hàng hóa'!$B$4:$B$203,0)),"")</f>
        <v/>
      </c>
      <c r="D473" s="37" t="str">
        <f t="array" ref="D473">IFERROR(INDEX('Hàng hóa'!$C$4:$C$203,MATCH(B473,'Hàng hóa'!$B$4:$B$203,0)),"")</f>
        <v/>
      </c>
      <c r="E473" s="44"/>
      <c r="F473" s="37">
        <f t="array" ref="F473">IFERROR(INDEX('Hàng hóa'!$E$4:$E$203,MATCH(B473,'Hàng hóa'!$B$4:$B$203,0)),0)</f>
        <v>0</v>
      </c>
      <c r="G473" s="37" t="str">
        <f t="array" ref="G473">IFERROR(INDEX('Hàng hóa'!$F$4:$F$203,MATCH(B473,'Hàng hóa'!$B$4:$B$203,0)),"")</f>
        <v/>
      </c>
      <c r="H473" s="19">
        <f t="array" ref="H473">IFERROR(INDEX('Hàng hóa'!$G$4:$G$203,MATCH(B473,'Hàng hóa'!$B$4:$B$203,0)),0)</f>
        <v>0</v>
      </c>
      <c r="I473" s="7"/>
      <c r="J473" s="47">
        <f t="shared" si="1"/>
        <v>0</v>
      </c>
      <c r="K473" s="19">
        <f t="shared" si="2"/>
        <v>0</v>
      </c>
      <c r="L473" s="23"/>
      <c r="M473" s="23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5.75" customHeight="1">
      <c r="A474" s="43"/>
      <c r="B474" s="23"/>
      <c r="C474" s="37" t="str">
        <f t="array" ref="C474">IFERROR(INDEX('Hàng hóa'!$A$4:$A$203,MATCH(B474,'Hàng hóa'!$B$4:$B$203,0)),"")</f>
        <v/>
      </c>
      <c r="D474" s="37" t="str">
        <f t="array" ref="D474">IFERROR(INDEX('Hàng hóa'!$C$4:$C$203,MATCH(B474,'Hàng hóa'!$B$4:$B$203,0)),"")</f>
        <v/>
      </c>
      <c r="E474" s="44"/>
      <c r="F474" s="37">
        <f t="array" ref="F474">IFERROR(INDEX('Hàng hóa'!$E$4:$E$203,MATCH(B474,'Hàng hóa'!$B$4:$B$203,0)),0)</f>
        <v>0</v>
      </c>
      <c r="G474" s="37" t="str">
        <f t="array" ref="G474">IFERROR(INDEX('Hàng hóa'!$F$4:$F$203,MATCH(B474,'Hàng hóa'!$B$4:$B$203,0)),"")</f>
        <v/>
      </c>
      <c r="H474" s="19">
        <f t="array" ref="H474">IFERROR(INDEX('Hàng hóa'!$G$4:$G$203,MATCH(B474,'Hàng hóa'!$B$4:$B$203,0)),0)</f>
        <v>0</v>
      </c>
      <c r="I474" s="7"/>
      <c r="J474" s="47">
        <f t="shared" si="1"/>
        <v>0</v>
      </c>
      <c r="K474" s="19">
        <f t="shared" si="2"/>
        <v>0</v>
      </c>
      <c r="L474" s="23"/>
      <c r="M474" s="23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5.75" customHeight="1">
      <c r="A475" s="43"/>
      <c r="B475" s="23"/>
      <c r="C475" s="37" t="str">
        <f t="array" ref="C475">IFERROR(INDEX('Hàng hóa'!$A$4:$A$203,MATCH(B475,'Hàng hóa'!$B$4:$B$203,0)),"")</f>
        <v/>
      </c>
      <c r="D475" s="37" t="str">
        <f t="array" ref="D475">IFERROR(INDEX('Hàng hóa'!$C$4:$C$203,MATCH(B475,'Hàng hóa'!$B$4:$B$203,0)),"")</f>
        <v/>
      </c>
      <c r="E475" s="44"/>
      <c r="F475" s="37">
        <f t="array" ref="F475">IFERROR(INDEX('Hàng hóa'!$E$4:$E$203,MATCH(B475,'Hàng hóa'!$B$4:$B$203,0)),0)</f>
        <v>0</v>
      </c>
      <c r="G475" s="37" t="str">
        <f t="array" ref="G475">IFERROR(INDEX('Hàng hóa'!$F$4:$F$203,MATCH(B475,'Hàng hóa'!$B$4:$B$203,0)),"")</f>
        <v/>
      </c>
      <c r="H475" s="19">
        <f t="array" ref="H475">IFERROR(INDEX('Hàng hóa'!$G$4:$G$203,MATCH(B475,'Hàng hóa'!$B$4:$B$203,0)),0)</f>
        <v>0</v>
      </c>
      <c r="I475" s="7"/>
      <c r="J475" s="47">
        <f t="shared" si="1"/>
        <v>0</v>
      </c>
      <c r="K475" s="19">
        <f t="shared" si="2"/>
        <v>0</v>
      </c>
      <c r="L475" s="23"/>
      <c r="M475" s="23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5.75" customHeight="1">
      <c r="A476" s="43"/>
      <c r="B476" s="23"/>
      <c r="C476" s="37" t="str">
        <f t="array" ref="C476">IFERROR(INDEX('Hàng hóa'!$A$4:$A$203,MATCH(B476,'Hàng hóa'!$B$4:$B$203,0)),"")</f>
        <v/>
      </c>
      <c r="D476" s="37" t="str">
        <f t="array" ref="D476">IFERROR(INDEX('Hàng hóa'!$C$4:$C$203,MATCH(B476,'Hàng hóa'!$B$4:$B$203,0)),"")</f>
        <v/>
      </c>
      <c r="E476" s="44"/>
      <c r="F476" s="37">
        <f t="array" ref="F476">IFERROR(INDEX('Hàng hóa'!$E$4:$E$203,MATCH(B476,'Hàng hóa'!$B$4:$B$203,0)),0)</f>
        <v>0</v>
      </c>
      <c r="G476" s="37" t="str">
        <f t="array" ref="G476">IFERROR(INDEX('Hàng hóa'!$F$4:$F$203,MATCH(B476,'Hàng hóa'!$B$4:$B$203,0)),"")</f>
        <v/>
      </c>
      <c r="H476" s="19">
        <f t="array" ref="H476">IFERROR(INDEX('Hàng hóa'!$G$4:$G$203,MATCH(B476,'Hàng hóa'!$B$4:$B$203,0)),0)</f>
        <v>0</v>
      </c>
      <c r="I476" s="7"/>
      <c r="J476" s="47">
        <f t="shared" si="1"/>
        <v>0</v>
      </c>
      <c r="K476" s="19">
        <f t="shared" si="2"/>
        <v>0</v>
      </c>
      <c r="L476" s="23"/>
      <c r="M476" s="23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5.75" customHeight="1">
      <c r="A477" s="43"/>
      <c r="B477" s="23"/>
      <c r="C477" s="37" t="str">
        <f t="array" ref="C477">IFERROR(INDEX('Hàng hóa'!$A$4:$A$203,MATCH(B477,'Hàng hóa'!$B$4:$B$203,0)),"")</f>
        <v/>
      </c>
      <c r="D477" s="37" t="str">
        <f t="array" ref="D477">IFERROR(INDEX('Hàng hóa'!$C$4:$C$203,MATCH(B477,'Hàng hóa'!$B$4:$B$203,0)),"")</f>
        <v/>
      </c>
      <c r="E477" s="44"/>
      <c r="F477" s="37">
        <f t="array" ref="F477">IFERROR(INDEX('Hàng hóa'!$E$4:$E$203,MATCH(B477,'Hàng hóa'!$B$4:$B$203,0)),0)</f>
        <v>0</v>
      </c>
      <c r="G477" s="37" t="str">
        <f t="array" ref="G477">IFERROR(INDEX('Hàng hóa'!$F$4:$F$203,MATCH(B477,'Hàng hóa'!$B$4:$B$203,0)),"")</f>
        <v/>
      </c>
      <c r="H477" s="19">
        <f t="array" ref="H477">IFERROR(INDEX('Hàng hóa'!$G$4:$G$203,MATCH(B477,'Hàng hóa'!$B$4:$B$203,0)),0)</f>
        <v>0</v>
      </c>
      <c r="I477" s="7"/>
      <c r="J477" s="47">
        <f t="shared" si="1"/>
        <v>0</v>
      </c>
      <c r="K477" s="19">
        <f t="shared" si="2"/>
        <v>0</v>
      </c>
      <c r="L477" s="23"/>
      <c r="M477" s="23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5.75" customHeight="1">
      <c r="A478" s="43"/>
      <c r="B478" s="23"/>
      <c r="C478" s="37" t="str">
        <f t="array" ref="C478">IFERROR(INDEX('Hàng hóa'!$A$4:$A$203,MATCH(B478,'Hàng hóa'!$B$4:$B$203,0)),"")</f>
        <v/>
      </c>
      <c r="D478" s="37" t="str">
        <f t="array" ref="D478">IFERROR(INDEX('Hàng hóa'!$C$4:$C$203,MATCH(B478,'Hàng hóa'!$B$4:$B$203,0)),"")</f>
        <v/>
      </c>
      <c r="E478" s="44"/>
      <c r="F478" s="37">
        <f t="array" ref="F478">IFERROR(INDEX('Hàng hóa'!$E$4:$E$203,MATCH(B478,'Hàng hóa'!$B$4:$B$203,0)),0)</f>
        <v>0</v>
      </c>
      <c r="G478" s="37" t="str">
        <f t="array" ref="G478">IFERROR(INDEX('Hàng hóa'!$F$4:$F$203,MATCH(B478,'Hàng hóa'!$B$4:$B$203,0)),"")</f>
        <v/>
      </c>
      <c r="H478" s="19">
        <f t="array" ref="H478">IFERROR(INDEX('Hàng hóa'!$G$4:$G$203,MATCH(B478,'Hàng hóa'!$B$4:$B$203,0)),0)</f>
        <v>0</v>
      </c>
      <c r="I478" s="7"/>
      <c r="J478" s="47">
        <f t="shared" si="1"/>
        <v>0</v>
      </c>
      <c r="K478" s="19">
        <f t="shared" si="2"/>
        <v>0</v>
      </c>
      <c r="L478" s="23"/>
      <c r="M478" s="23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5.75" customHeight="1">
      <c r="A479" s="43"/>
      <c r="B479" s="23"/>
      <c r="C479" s="37" t="str">
        <f t="array" ref="C479">IFERROR(INDEX('Hàng hóa'!$A$4:$A$203,MATCH(B479,'Hàng hóa'!$B$4:$B$203,0)),"")</f>
        <v/>
      </c>
      <c r="D479" s="37" t="str">
        <f t="array" ref="D479">IFERROR(INDEX('Hàng hóa'!$C$4:$C$203,MATCH(B479,'Hàng hóa'!$B$4:$B$203,0)),"")</f>
        <v/>
      </c>
      <c r="E479" s="44"/>
      <c r="F479" s="37">
        <f t="array" ref="F479">IFERROR(INDEX('Hàng hóa'!$E$4:$E$203,MATCH(B479,'Hàng hóa'!$B$4:$B$203,0)),0)</f>
        <v>0</v>
      </c>
      <c r="G479" s="37" t="str">
        <f t="array" ref="G479">IFERROR(INDEX('Hàng hóa'!$F$4:$F$203,MATCH(B479,'Hàng hóa'!$B$4:$B$203,0)),"")</f>
        <v/>
      </c>
      <c r="H479" s="19">
        <f t="array" ref="H479">IFERROR(INDEX('Hàng hóa'!$G$4:$G$203,MATCH(B479,'Hàng hóa'!$B$4:$B$203,0)),0)</f>
        <v>0</v>
      </c>
      <c r="I479" s="7"/>
      <c r="J479" s="47">
        <f t="shared" si="1"/>
        <v>0</v>
      </c>
      <c r="K479" s="19">
        <f t="shared" si="2"/>
        <v>0</v>
      </c>
      <c r="L479" s="23"/>
      <c r="M479" s="23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5.75" customHeight="1">
      <c r="A480" s="43"/>
      <c r="B480" s="23"/>
      <c r="C480" s="37" t="str">
        <f t="array" ref="C480">IFERROR(INDEX('Hàng hóa'!$A$4:$A$203,MATCH(B480,'Hàng hóa'!$B$4:$B$203,0)),"")</f>
        <v/>
      </c>
      <c r="D480" s="37" t="str">
        <f t="array" ref="D480">IFERROR(INDEX('Hàng hóa'!$C$4:$C$203,MATCH(B480,'Hàng hóa'!$B$4:$B$203,0)),"")</f>
        <v/>
      </c>
      <c r="E480" s="44"/>
      <c r="F480" s="37">
        <f t="array" ref="F480">IFERROR(INDEX('Hàng hóa'!$E$4:$E$203,MATCH(B480,'Hàng hóa'!$B$4:$B$203,0)),0)</f>
        <v>0</v>
      </c>
      <c r="G480" s="37" t="str">
        <f t="array" ref="G480">IFERROR(INDEX('Hàng hóa'!$F$4:$F$203,MATCH(B480,'Hàng hóa'!$B$4:$B$203,0)),"")</f>
        <v/>
      </c>
      <c r="H480" s="19">
        <f t="array" ref="H480">IFERROR(INDEX('Hàng hóa'!$G$4:$G$203,MATCH(B480,'Hàng hóa'!$B$4:$B$203,0)),0)</f>
        <v>0</v>
      </c>
      <c r="I480" s="7"/>
      <c r="J480" s="47">
        <f t="shared" si="1"/>
        <v>0</v>
      </c>
      <c r="K480" s="19">
        <f t="shared" si="2"/>
        <v>0</v>
      </c>
      <c r="L480" s="23"/>
      <c r="M480" s="23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5.75" customHeight="1">
      <c r="A481" s="43"/>
      <c r="B481" s="23"/>
      <c r="C481" s="37" t="str">
        <f t="array" ref="C481">IFERROR(INDEX('Hàng hóa'!$A$4:$A$203,MATCH(B481,'Hàng hóa'!$B$4:$B$203,0)),"")</f>
        <v/>
      </c>
      <c r="D481" s="37" t="str">
        <f t="array" ref="D481">IFERROR(INDEX('Hàng hóa'!$C$4:$C$203,MATCH(B481,'Hàng hóa'!$B$4:$B$203,0)),"")</f>
        <v/>
      </c>
      <c r="E481" s="44"/>
      <c r="F481" s="37">
        <f t="array" ref="F481">IFERROR(INDEX('Hàng hóa'!$E$4:$E$203,MATCH(B481,'Hàng hóa'!$B$4:$B$203,0)),0)</f>
        <v>0</v>
      </c>
      <c r="G481" s="37" t="str">
        <f t="array" ref="G481">IFERROR(INDEX('Hàng hóa'!$F$4:$F$203,MATCH(B481,'Hàng hóa'!$B$4:$B$203,0)),"")</f>
        <v/>
      </c>
      <c r="H481" s="19">
        <f t="array" ref="H481">IFERROR(INDEX('Hàng hóa'!$G$4:$G$203,MATCH(B481,'Hàng hóa'!$B$4:$B$203,0)),0)</f>
        <v>0</v>
      </c>
      <c r="I481" s="7"/>
      <c r="J481" s="47">
        <f t="shared" si="1"/>
        <v>0</v>
      </c>
      <c r="K481" s="19">
        <f t="shared" si="2"/>
        <v>0</v>
      </c>
      <c r="L481" s="23"/>
      <c r="M481" s="23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5.75" customHeight="1">
      <c r="A482" s="43"/>
      <c r="B482" s="23"/>
      <c r="C482" s="37" t="str">
        <f t="array" ref="C482">IFERROR(INDEX('Hàng hóa'!$A$4:$A$203,MATCH(B482,'Hàng hóa'!$B$4:$B$203,0)),"")</f>
        <v/>
      </c>
      <c r="D482" s="37" t="str">
        <f t="array" ref="D482">IFERROR(INDEX('Hàng hóa'!$C$4:$C$203,MATCH(B482,'Hàng hóa'!$B$4:$B$203,0)),"")</f>
        <v/>
      </c>
      <c r="E482" s="44"/>
      <c r="F482" s="37">
        <f t="array" ref="F482">IFERROR(INDEX('Hàng hóa'!$E$4:$E$203,MATCH(B482,'Hàng hóa'!$B$4:$B$203,0)),0)</f>
        <v>0</v>
      </c>
      <c r="G482" s="37" t="str">
        <f t="array" ref="G482">IFERROR(INDEX('Hàng hóa'!$F$4:$F$203,MATCH(B482,'Hàng hóa'!$B$4:$B$203,0)),"")</f>
        <v/>
      </c>
      <c r="H482" s="19">
        <f t="array" ref="H482">IFERROR(INDEX('Hàng hóa'!$G$4:$G$203,MATCH(B482,'Hàng hóa'!$B$4:$B$203,0)),0)</f>
        <v>0</v>
      </c>
      <c r="I482" s="7"/>
      <c r="J482" s="47">
        <f t="shared" si="1"/>
        <v>0</v>
      </c>
      <c r="K482" s="19">
        <f t="shared" si="2"/>
        <v>0</v>
      </c>
      <c r="L482" s="23"/>
      <c r="M482" s="23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5.75" customHeight="1">
      <c r="A483" s="43"/>
      <c r="B483" s="23"/>
      <c r="C483" s="37" t="str">
        <f t="array" ref="C483">IFERROR(INDEX('Hàng hóa'!$A$4:$A$203,MATCH(B483,'Hàng hóa'!$B$4:$B$203,0)),"")</f>
        <v/>
      </c>
      <c r="D483" s="37" t="str">
        <f t="array" ref="D483">IFERROR(INDEX('Hàng hóa'!$C$4:$C$203,MATCH(B483,'Hàng hóa'!$B$4:$B$203,0)),"")</f>
        <v/>
      </c>
      <c r="E483" s="44"/>
      <c r="F483" s="37">
        <f t="array" ref="F483">IFERROR(INDEX('Hàng hóa'!$E$4:$E$203,MATCH(B483,'Hàng hóa'!$B$4:$B$203,0)),0)</f>
        <v>0</v>
      </c>
      <c r="G483" s="37" t="str">
        <f t="array" ref="G483">IFERROR(INDEX('Hàng hóa'!$F$4:$F$203,MATCH(B483,'Hàng hóa'!$B$4:$B$203,0)),"")</f>
        <v/>
      </c>
      <c r="H483" s="19">
        <f t="array" ref="H483">IFERROR(INDEX('Hàng hóa'!$G$4:$G$203,MATCH(B483,'Hàng hóa'!$B$4:$B$203,0)),0)</f>
        <v>0</v>
      </c>
      <c r="I483" s="7"/>
      <c r="J483" s="47">
        <f t="shared" si="1"/>
        <v>0</v>
      </c>
      <c r="K483" s="19">
        <f t="shared" si="2"/>
        <v>0</v>
      </c>
      <c r="L483" s="23"/>
      <c r="M483" s="23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5.75" customHeight="1">
      <c r="A484" s="43"/>
      <c r="B484" s="23"/>
      <c r="C484" s="37" t="str">
        <f t="array" ref="C484">IFERROR(INDEX('Hàng hóa'!$A$4:$A$203,MATCH(B484,'Hàng hóa'!$B$4:$B$203,0)),"")</f>
        <v/>
      </c>
      <c r="D484" s="37" t="str">
        <f t="array" ref="D484">IFERROR(INDEX('Hàng hóa'!$C$4:$C$203,MATCH(B484,'Hàng hóa'!$B$4:$B$203,0)),"")</f>
        <v/>
      </c>
      <c r="E484" s="44"/>
      <c r="F484" s="37">
        <f t="array" ref="F484">IFERROR(INDEX('Hàng hóa'!$E$4:$E$203,MATCH(B484,'Hàng hóa'!$B$4:$B$203,0)),0)</f>
        <v>0</v>
      </c>
      <c r="G484" s="37" t="str">
        <f t="array" ref="G484">IFERROR(INDEX('Hàng hóa'!$F$4:$F$203,MATCH(B484,'Hàng hóa'!$B$4:$B$203,0)),"")</f>
        <v/>
      </c>
      <c r="H484" s="19">
        <f t="array" ref="H484">IFERROR(INDEX('Hàng hóa'!$G$4:$G$203,MATCH(B484,'Hàng hóa'!$B$4:$B$203,0)),0)</f>
        <v>0</v>
      </c>
      <c r="I484" s="7"/>
      <c r="J484" s="47">
        <f t="shared" si="1"/>
        <v>0</v>
      </c>
      <c r="K484" s="19">
        <f t="shared" si="2"/>
        <v>0</v>
      </c>
      <c r="L484" s="23"/>
      <c r="M484" s="23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5.75" customHeight="1">
      <c r="A485" s="43"/>
      <c r="B485" s="23"/>
      <c r="C485" s="37" t="str">
        <f t="array" ref="C485">IFERROR(INDEX('Hàng hóa'!$A$4:$A$203,MATCH(B485,'Hàng hóa'!$B$4:$B$203,0)),"")</f>
        <v/>
      </c>
      <c r="D485" s="37" t="str">
        <f t="array" ref="D485">IFERROR(INDEX('Hàng hóa'!$C$4:$C$203,MATCH(B485,'Hàng hóa'!$B$4:$B$203,0)),"")</f>
        <v/>
      </c>
      <c r="E485" s="44"/>
      <c r="F485" s="37">
        <f t="array" ref="F485">IFERROR(INDEX('Hàng hóa'!$E$4:$E$203,MATCH(B485,'Hàng hóa'!$B$4:$B$203,0)),0)</f>
        <v>0</v>
      </c>
      <c r="G485" s="37" t="str">
        <f t="array" ref="G485">IFERROR(INDEX('Hàng hóa'!$F$4:$F$203,MATCH(B485,'Hàng hóa'!$B$4:$B$203,0)),"")</f>
        <v/>
      </c>
      <c r="H485" s="19">
        <f t="array" ref="H485">IFERROR(INDEX('Hàng hóa'!$G$4:$G$203,MATCH(B485,'Hàng hóa'!$B$4:$B$203,0)),0)</f>
        <v>0</v>
      </c>
      <c r="I485" s="7"/>
      <c r="J485" s="47">
        <f t="shared" si="1"/>
        <v>0</v>
      </c>
      <c r="K485" s="19">
        <f t="shared" si="2"/>
        <v>0</v>
      </c>
      <c r="L485" s="23"/>
      <c r="M485" s="23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5.75" customHeight="1">
      <c r="A486" s="43"/>
      <c r="B486" s="23"/>
      <c r="C486" s="37" t="str">
        <f t="array" ref="C486">IFERROR(INDEX('Hàng hóa'!$A$4:$A$203,MATCH(B486,'Hàng hóa'!$B$4:$B$203,0)),"")</f>
        <v/>
      </c>
      <c r="D486" s="37" t="str">
        <f t="array" ref="D486">IFERROR(INDEX('Hàng hóa'!$C$4:$C$203,MATCH(B486,'Hàng hóa'!$B$4:$B$203,0)),"")</f>
        <v/>
      </c>
      <c r="E486" s="44"/>
      <c r="F486" s="37">
        <f t="array" ref="F486">IFERROR(INDEX('Hàng hóa'!$E$4:$E$203,MATCH(B486,'Hàng hóa'!$B$4:$B$203,0)),0)</f>
        <v>0</v>
      </c>
      <c r="G486" s="37" t="str">
        <f t="array" ref="G486">IFERROR(INDEX('Hàng hóa'!$F$4:$F$203,MATCH(B486,'Hàng hóa'!$B$4:$B$203,0)),"")</f>
        <v/>
      </c>
      <c r="H486" s="19">
        <f t="array" ref="H486">IFERROR(INDEX('Hàng hóa'!$G$4:$G$203,MATCH(B486,'Hàng hóa'!$B$4:$B$203,0)),0)</f>
        <v>0</v>
      </c>
      <c r="I486" s="7"/>
      <c r="J486" s="47">
        <f t="shared" si="1"/>
        <v>0</v>
      </c>
      <c r="K486" s="19">
        <f t="shared" si="2"/>
        <v>0</v>
      </c>
      <c r="L486" s="23"/>
      <c r="M486" s="23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5.75" customHeight="1">
      <c r="A487" s="43"/>
      <c r="B487" s="23"/>
      <c r="C487" s="37" t="str">
        <f t="array" ref="C487">IFERROR(INDEX('Hàng hóa'!$A$4:$A$203,MATCH(B487,'Hàng hóa'!$B$4:$B$203,0)),"")</f>
        <v/>
      </c>
      <c r="D487" s="37" t="str">
        <f t="array" ref="D487">IFERROR(INDEX('Hàng hóa'!$C$4:$C$203,MATCH(B487,'Hàng hóa'!$B$4:$B$203,0)),"")</f>
        <v/>
      </c>
      <c r="E487" s="44"/>
      <c r="F487" s="37">
        <f t="array" ref="F487">IFERROR(INDEX('Hàng hóa'!$E$4:$E$203,MATCH(B487,'Hàng hóa'!$B$4:$B$203,0)),0)</f>
        <v>0</v>
      </c>
      <c r="G487" s="37" t="str">
        <f t="array" ref="G487">IFERROR(INDEX('Hàng hóa'!$F$4:$F$203,MATCH(B487,'Hàng hóa'!$B$4:$B$203,0)),"")</f>
        <v/>
      </c>
      <c r="H487" s="19">
        <f t="array" ref="H487">IFERROR(INDEX('Hàng hóa'!$G$4:$G$203,MATCH(B487,'Hàng hóa'!$B$4:$B$203,0)),0)</f>
        <v>0</v>
      </c>
      <c r="I487" s="7"/>
      <c r="J487" s="47">
        <f t="shared" si="1"/>
        <v>0</v>
      </c>
      <c r="K487" s="19">
        <f t="shared" si="2"/>
        <v>0</v>
      </c>
      <c r="L487" s="23"/>
      <c r="M487" s="23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5.75" customHeight="1">
      <c r="A488" s="43"/>
      <c r="B488" s="23"/>
      <c r="C488" s="37" t="str">
        <f t="array" ref="C488">IFERROR(INDEX('Hàng hóa'!$A$4:$A$203,MATCH(B488,'Hàng hóa'!$B$4:$B$203,0)),"")</f>
        <v/>
      </c>
      <c r="D488" s="37" t="str">
        <f t="array" ref="D488">IFERROR(INDEX('Hàng hóa'!$C$4:$C$203,MATCH(B488,'Hàng hóa'!$B$4:$B$203,0)),"")</f>
        <v/>
      </c>
      <c r="E488" s="44"/>
      <c r="F488" s="37">
        <f t="array" ref="F488">IFERROR(INDEX('Hàng hóa'!$E$4:$E$203,MATCH(B488,'Hàng hóa'!$B$4:$B$203,0)),0)</f>
        <v>0</v>
      </c>
      <c r="G488" s="37" t="str">
        <f t="array" ref="G488">IFERROR(INDEX('Hàng hóa'!$F$4:$F$203,MATCH(B488,'Hàng hóa'!$B$4:$B$203,0)),"")</f>
        <v/>
      </c>
      <c r="H488" s="19">
        <f t="array" ref="H488">IFERROR(INDEX('Hàng hóa'!$G$4:$G$203,MATCH(B488,'Hàng hóa'!$B$4:$B$203,0)),0)</f>
        <v>0</v>
      </c>
      <c r="I488" s="7"/>
      <c r="J488" s="47">
        <f t="shared" si="1"/>
        <v>0</v>
      </c>
      <c r="K488" s="19">
        <f t="shared" si="2"/>
        <v>0</v>
      </c>
      <c r="L488" s="23"/>
      <c r="M488" s="23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5.75" customHeight="1">
      <c r="A489" s="43"/>
      <c r="B489" s="23"/>
      <c r="C489" s="37" t="str">
        <f t="array" ref="C489">IFERROR(INDEX('Hàng hóa'!$A$4:$A$203,MATCH(B489,'Hàng hóa'!$B$4:$B$203,0)),"")</f>
        <v/>
      </c>
      <c r="D489" s="37" t="str">
        <f t="array" ref="D489">IFERROR(INDEX('Hàng hóa'!$C$4:$C$203,MATCH(B489,'Hàng hóa'!$B$4:$B$203,0)),"")</f>
        <v/>
      </c>
      <c r="E489" s="44"/>
      <c r="F489" s="37">
        <f t="array" ref="F489">IFERROR(INDEX('Hàng hóa'!$E$4:$E$203,MATCH(B489,'Hàng hóa'!$B$4:$B$203,0)),0)</f>
        <v>0</v>
      </c>
      <c r="G489" s="37" t="str">
        <f t="array" ref="G489">IFERROR(INDEX('Hàng hóa'!$F$4:$F$203,MATCH(B489,'Hàng hóa'!$B$4:$B$203,0)),"")</f>
        <v/>
      </c>
      <c r="H489" s="19">
        <f t="array" ref="H489">IFERROR(INDEX('Hàng hóa'!$G$4:$G$203,MATCH(B489,'Hàng hóa'!$B$4:$B$203,0)),0)</f>
        <v>0</v>
      </c>
      <c r="I489" s="7"/>
      <c r="J489" s="47">
        <f t="shared" si="1"/>
        <v>0</v>
      </c>
      <c r="K489" s="19">
        <f t="shared" si="2"/>
        <v>0</v>
      </c>
      <c r="L489" s="23"/>
      <c r="M489" s="23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5.75" customHeight="1">
      <c r="A490" s="43"/>
      <c r="B490" s="23"/>
      <c r="C490" s="37" t="str">
        <f t="array" ref="C490">IFERROR(INDEX('Hàng hóa'!$A$4:$A$203,MATCH(B490,'Hàng hóa'!$B$4:$B$203,0)),"")</f>
        <v/>
      </c>
      <c r="D490" s="37" t="str">
        <f t="array" ref="D490">IFERROR(INDEX('Hàng hóa'!$C$4:$C$203,MATCH(B490,'Hàng hóa'!$B$4:$B$203,0)),"")</f>
        <v/>
      </c>
      <c r="E490" s="44"/>
      <c r="F490" s="37">
        <f t="array" ref="F490">IFERROR(INDEX('Hàng hóa'!$E$4:$E$203,MATCH(B490,'Hàng hóa'!$B$4:$B$203,0)),0)</f>
        <v>0</v>
      </c>
      <c r="G490" s="37" t="str">
        <f t="array" ref="G490">IFERROR(INDEX('Hàng hóa'!$F$4:$F$203,MATCH(B490,'Hàng hóa'!$B$4:$B$203,0)),"")</f>
        <v/>
      </c>
      <c r="H490" s="19">
        <f t="array" ref="H490">IFERROR(INDEX('Hàng hóa'!$G$4:$G$203,MATCH(B490,'Hàng hóa'!$B$4:$B$203,0)),0)</f>
        <v>0</v>
      </c>
      <c r="I490" s="7"/>
      <c r="J490" s="47">
        <f t="shared" si="1"/>
        <v>0</v>
      </c>
      <c r="K490" s="19">
        <f t="shared" si="2"/>
        <v>0</v>
      </c>
      <c r="L490" s="23"/>
      <c r="M490" s="23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5.75" customHeight="1">
      <c r="A491" s="43"/>
      <c r="B491" s="23"/>
      <c r="C491" s="37" t="str">
        <f t="array" ref="C491">IFERROR(INDEX('Hàng hóa'!$A$4:$A$203,MATCH(B491,'Hàng hóa'!$B$4:$B$203,0)),"")</f>
        <v/>
      </c>
      <c r="D491" s="37" t="str">
        <f t="array" ref="D491">IFERROR(INDEX('Hàng hóa'!$C$4:$C$203,MATCH(B491,'Hàng hóa'!$B$4:$B$203,0)),"")</f>
        <v/>
      </c>
      <c r="E491" s="44"/>
      <c r="F491" s="37">
        <f t="array" ref="F491">IFERROR(INDEX('Hàng hóa'!$E$4:$E$203,MATCH(B491,'Hàng hóa'!$B$4:$B$203,0)),0)</f>
        <v>0</v>
      </c>
      <c r="G491" s="37" t="str">
        <f t="array" ref="G491">IFERROR(INDEX('Hàng hóa'!$F$4:$F$203,MATCH(B491,'Hàng hóa'!$B$4:$B$203,0)),"")</f>
        <v/>
      </c>
      <c r="H491" s="19">
        <f t="array" ref="H491">IFERROR(INDEX('Hàng hóa'!$G$4:$G$203,MATCH(B491,'Hàng hóa'!$B$4:$B$203,0)),0)</f>
        <v>0</v>
      </c>
      <c r="I491" s="7"/>
      <c r="J491" s="47">
        <f t="shared" si="1"/>
        <v>0</v>
      </c>
      <c r="K491" s="19">
        <f t="shared" si="2"/>
        <v>0</v>
      </c>
      <c r="L491" s="23"/>
      <c r="M491" s="23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5.75" customHeight="1">
      <c r="A492" s="43"/>
      <c r="B492" s="23"/>
      <c r="C492" s="37" t="str">
        <f t="array" ref="C492">IFERROR(INDEX('Hàng hóa'!$A$4:$A$203,MATCH(B492,'Hàng hóa'!$B$4:$B$203,0)),"")</f>
        <v/>
      </c>
      <c r="D492" s="37" t="str">
        <f t="array" ref="D492">IFERROR(INDEX('Hàng hóa'!$C$4:$C$203,MATCH(B492,'Hàng hóa'!$B$4:$B$203,0)),"")</f>
        <v/>
      </c>
      <c r="E492" s="44"/>
      <c r="F492" s="37">
        <f t="array" ref="F492">IFERROR(INDEX('Hàng hóa'!$E$4:$E$203,MATCH(B492,'Hàng hóa'!$B$4:$B$203,0)),0)</f>
        <v>0</v>
      </c>
      <c r="G492" s="37" t="str">
        <f t="array" ref="G492">IFERROR(INDEX('Hàng hóa'!$F$4:$F$203,MATCH(B492,'Hàng hóa'!$B$4:$B$203,0)),"")</f>
        <v/>
      </c>
      <c r="H492" s="19">
        <f t="array" ref="H492">IFERROR(INDEX('Hàng hóa'!$G$4:$G$203,MATCH(B492,'Hàng hóa'!$B$4:$B$203,0)),0)</f>
        <v>0</v>
      </c>
      <c r="I492" s="7"/>
      <c r="J492" s="47">
        <f t="shared" si="1"/>
        <v>0</v>
      </c>
      <c r="K492" s="19">
        <f t="shared" si="2"/>
        <v>0</v>
      </c>
      <c r="L492" s="23"/>
      <c r="M492" s="23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5.75" customHeight="1">
      <c r="A493" s="43"/>
      <c r="B493" s="23"/>
      <c r="C493" s="37" t="str">
        <f t="array" ref="C493">IFERROR(INDEX('Hàng hóa'!$A$4:$A$203,MATCH(B493,'Hàng hóa'!$B$4:$B$203,0)),"")</f>
        <v/>
      </c>
      <c r="D493" s="37" t="str">
        <f t="array" ref="D493">IFERROR(INDEX('Hàng hóa'!$C$4:$C$203,MATCH(B493,'Hàng hóa'!$B$4:$B$203,0)),"")</f>
        <v/>
      </c>
      <c r="E493" s="44"/>
      <c r="F493" s="37">
        <f t="array" ref="F493">IFERROR(INDEX('Hàng hóa'!$E$4:$E$203,MATCH(B493,'Hàng hóa'!$B$4:$B$203,0)),0)</f>
        <v>0</v>
      </c>
      <c r="G493" s="37" t="str">
        <f t="array" ref="G493">IFERROR(INDEX('Hàng hóa'!$F$4:$F$203,MATCH(B493,'Hàng hóa'!$B$4:$B$203,0)),"")</f>
        <v/>
      </c>
      <c r="H493" s="19">
        <f t="array" ref="H493">IFERROR(INDEX('Hàng hóa'!$G$4:$G$203,MATCH(B493,'Hàng hóa'!$B$4:$B$203,0)),0)</f>
        <v>0</v>
      </c>
      <c r="I493" s="7"/>
      <c r="J493" s="47">
        <f t="shared" si="1"/>
        <v>0</v>
      </c>
      <c r="K493" s="19">
        <f t="shared" si="2"/>
        <v>0</v>
      </c>
      <c r="L493" s="23"/>
      <c r="M493" s="23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5.75" customHeight="1">
      <c r="A494" s="43"/>
      <c r="B494" s="23"/>
      <c r="C494" s="37" t="str">
        <f t="array" ref="C494">IFERROR(INDEX('Hàng hóa'!$A$4:$A$203,MATCH(B494,'Hàng hóa'!$B$4:$B$203,0)),"")</f>
        <v/>
      </c>
      <c r="D494" s="37" t="str">
        <f t="array" ref="D494">IFERROR(INDEX('Hàng hóa'!$C$4:$C$203,MATCH(B494,'Hàng hóa'!$B$4:$B$203,0)),"")</f>
        <v/>
      </c>
      <c r="E494" s="44"/>
      <c r="F494" s="37">
        <f t="array" ref="F494">IFERROR(INDEX('Hàng hóa'!$E$4:$E$203,MATCH(B494,'Hàng hóa'!$B$4:$B$203,0)),0)</f>
        <v>0</v>
      </c>
      <c r="G494" s="37" t="str">
        <f t="array" ref="G494">IFERROR(INDEX('Hàng hóa'!$F$4:$F$203,MATCH(B494,'Hàng hóa'!$B$4:$B$203,0)),"")</f>
        <v/>
      </c>
      <c r="H494" s="19">
        <f t="array" ref="H494">IFERROR(INDEX('Hàng hóa'!$G$4:$G$203,MATCH(B494,'Hàng hóa'!$B$4:$B$203,0)),0)</f>
        <v>0</v>
      </c>
      <c r="I494" s="7"/>
      <c r="J494" s="47">
        <f t="shared" si="1"/>
        <v>0</v>
      </c>
      <c r="K494" s="19">
        <f t="shared" si="2"/>
        <v>0</v>
      </c>
      <c r="L494" s="23"/>
      <c r="M494" s="23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5.75" customHeight="1">
      <c r="A495" s="43"/>
      <c r="B495" s="23"/>
      <c r="C495" s="37" t="str">
        <f t="array" ref="C495">IFERROR(INDEX('Hàng hóa'!$A$4:$A$203,MATCH(B495,'Hàng hóa'!$B$4:$B$203,0)),"")</f>
        <v/>
      </c>
      <c r="D495" s="37" t="str">
        <f t="array" ref="D495">IFERROR(INDEX('Hàng hóa'!$C$4:$C$203,MATCH(B495,'Hàng hóa'!$B$4:$B$203,0)),"")</f>
        <v/>
      </c>
      <c r="E495" s="44"/>
      <c r="F495" s="37">
        <f t="array" ref="F495">IFERROR(INDEX('Hàng hóa'!$E$4:$E$203,MATCH(B495,'Hàng hóa'!$B$4:$B$203,0)),0)</f>
        <v>0</v>
      </c>
      <c r="G495" s="37" t="str">
        <f t="array" ref="G495">IFERROR(INDEX('Hàng hóa'!$F$4:$F$203,MATCH(B495,'Hàng hóa'!$B$4:$B$203,0)),"")</f>
        <v/>
      </c>
      <c r="H495" s="19">
        <f t="array" ref="H495">IFERROR(INDEX('Hàng hóa'!$G$4:$G$203,MATCH(B495,'Hàng hóa'!$B$4:$B$203,0)),0)</f>
        <v>0</v>
      </c>
      <c r="I495" s="7"/>
      <c r="J495" s="47">
        <f t="shared" si="1"/>
        <v>0</v>
      </c>
      <c r="K495" s="19">
        <f t="shared" si="2"/>
        <v>0</v>
      </c>
      <c r="L495" s="23"/>
      <c r="M495" s="23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5.75" customHeight="1">
      <c r="A496" s="43"/>
      <c r="B496" s="23"/>
      <c r="C496" s="37" t="str">
        <f t="array" ref="C496">IFERROR(INDEX('Hàng hóa'!$A$4:$A$203,MATCH(B496,'Hàng hóa'!$B$4:$B$203,0)),"")</f>
        <v/>
      </c>
      <c r="D496" s="37" t="str">
        <f t="array" ref="D496">IFERROR(INDEX('Hàng hóa'!$C$4:$C$203,MATCH(B496,'Hàng hóa'!$B$4:$B$203,0)),"")</f>
        <v/>
      </c>
      <c r="E496" s="44"/>
      <c r="F496" s="37">
        <f t="array" ref="F496">IFERROR(INDEX('Hàng hóa'!$E$4:$E$203,MATCH(B496,'Hàng hóa'!$B$4:$B$203,0)),0)</f>
        <v>0</v>
      </c>
      <c r="G496" s="37" t="str">
        <f t="array" ref="G496">IFERROR(INDEX('Hàng hóa'!$F$4:$F$203,MATCH(B496,'Hàng hóa'!$B$4:$B$203,0)),"")</f>
        <v/>
      </c>
      <c r="H496" s="19">
        <f t="array" ref="H496">IFERROR(INDEX('Hàng hóa'!$G$4:$G$203,MATCH(B496,'Hàng hóa'!$B$4:$B$203,0)),0)</f>
        <v>0</v>
      </c>
      <c r="I496" s="7"/>
      <c r="J496" s="47">
        <f t="shared" si="1"/>
        <v>0</v>
      </c>
      <c r="K496" s="19">
        <f t="shared" si="2"/>
        <v>0</v>
      </c>
      <c r="L496" s="23"/>
      <c r="M496" s="23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5.75" customHeight="1">
      <c r="A497" s="43"/>
      <c r="B497" s="23"/>
      <c r="C497" s="37" t="str">
        <f t="array" ref="C497">IFERROR(INDEX('Hàng hóa'!$A$4:$A$203,MATCH(B497,'Hàng hóa'!$B$4:$B$203,0)),"")</f>
        <v/>
      </c>
      <c r="D497" s="37" t="str">
        <f t="array" ref="D497">IFERROR(INDEX('Hàng hóa'!$C$4:$C$203,MATCH(B497,'Hàng hóa'!$B$4:$B$203,0)),"")</f>
        <v/>
      </c>
      <c r="E497" s="44"/>
      <c r="F497" s="37">
        <f t="array" ref="F497">IFERROR(INDEX('Hàng hóa'!$E$4:$E$203,MATCH(B497,'Hàng hóa'!$B$4:$B$203,0)),0)</f>
        <v>0</v>
      </c>
      <c r="G497" s="37" t="str">
        <f t="array" ref="G497">IFERROR(INDEX('Hàng hóa'!$F$4:$F$203,MATCH(B497,'Hàng hóa'!$B$4:$B$203,0)),"")</f>
        <v/>
      </c>
      <c r="H497" s="19">
        <f t="array" ref="H497">IFERROR(INDEX('Hàng hóa'!$G$4:$G$203,MATCH(B497,'Hàng hóa'!$B$4:$B$203,0)),0)</f>
        <v>0</v>
      </c>
      <c r="I497" s="7"/>
      <c r="J497" s="47">
        <f t="shared" si="1"/>
        <v>0</v>
      </c>
      <c r="K497" s="19">
        <f t="shared" si="2"/>
        <v>0</v>
      </c>
      <c r="L497" s="23"/>
      <c r="M497" s="23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5.75" customHeight="1">
      <c r="A498" s="43"/>
      <c r="B498" s="23"/>
      <c r="C498" s="37" t="str">
        <f t="array" ref="C498">IFERROR(INDEX('Hàng hóa'!$A$4:$A$203,MATCH(B498,'Hàng hóa'!$B$4:$B$203,0)),"")</f>
        <v/>
      </c>
      <c r="D498" s="37" t="str">
        <f t="array" ref="D498">IFERROR(INDEX('Hàng hóa'!$C$4:$C$203,MATCH(B498,'Hàng hóa'!$B$4:$B$203,0)),"")</f>
        <v/>
      </c>
      <c r="E498" s="44"/>
      <c r="F498" s="37">
        <f t="array" ref="F498">IFERROR(INDEX('Hàng hóa'!$E$4:$E$203,MATCH(B498,'Hàng hóa'!$B$4:$B$203,0)),0)</f>
        <v>0</v>
      </c>
      <c r="G498" s="37" t="str">
        <f t="array" ref="G498">IFERROR(INDEX('Hàng hóa'!$F$4:$F$203,MATCH(B498,'Hàng hóa'!$B$4:$B$203,0)),"")</f>
        <v/>
      </c>
      <c r="H498" s="19">
        <f t="array" ref="H498">IFERROR(INDEX('Hàng hóa'!$G$4:$G$203,MATCH(B498,'Hàng hóa'!$B$4:$B$203,0)),0)</f>
        <v>0</v>
      </c>
      <c r="I498" s="7"/>
      <c r="J498" s="47">
        <f t="shared" si="1"/>
        <v>0</v>
      </c>
      <c r="K498" s="19">
        <f t="shared" si="2"/>
        <v>0</v>
      </c>
      <c r="L498" s="23"/>
      <c r="M498" s="23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5.75" customHeight="1">
      <c r="A499" s="43"/>
      <c r="B499" s="23"/>
      <c r="C499" s="37" t="str">
        <f t="array" ref="C499">IFERROR(INDEX('Hàng hóa'!$A$4:$A$203,MATCH(B499,'Hàng hóa'!$B$4:$B$203,0)),"")</f>
        <v/>
      </c>
      <c r="D499" s="37" t="str">
        <f t="array" ref="D499">IFERROR(INDEX('Hàng hóa'!$C$4:$C$203,MATCH(B499,'Hàng hóa'!$B$4:$B$203,0)),"")</f>
        <v/>
      </c>
      <c r="E499" s="44"/>
      <c r="F499" s="37">
        <f t="array" ref="F499">IFERROR(INDEX('Hàng hóa'!$E$4:$E$203,MATCH(B499,'Hàng hóa'!$B$4:$B$203,0)),0)</f>
        <v>0</v>
      </c>
      <c r="G499" s="37" t="str">
        <f t="array" ref="G499">IFERROR(INDEX('Hàng hóa'!$F$4:$F$203,MATCH(B499,'Hàng hóa'!$B$4:$B$203,0)),"")</f>
        <v/>
      </c>
      <c r="H499" s="19">
        <f t="array" ref="H499">IFERROR(INDEX('Hàng hóa'!$G$4:$G$203,MATCH(B499,'Hàng hóa'!$B$4:$B$203,0)),0)</f>
        <v>0</v>
      </c>
      <c r="I499" s="7"/>
      <c r="J499" s="47">
        <f t="shared" si="1"/>
        <v>0</v>
      </c>
      <c r="K499" s="19">
        <f t="shared" si="2"/>
        <v>0</v>
      </c>
      <c r="L499" s="23"/>
      <c r="M499" s="23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5.75" customHeight="1">
      <c r="A500" s="43"/>
      <c r="B500" s="23"/>
      <c r="C500" s="37" t="str">
        <f t="array" ref="C500">IFERROR(INDEX('Hàng hóa'!$A$4:$A$203,MATCH(B500,'Hàng hóa'!$B$4:$B$203,0)),"")</f>
        <v/>
      </c>
      <c r="D500" s="37" t="str">
        <f t="array" ref="D500">IFERROR(INDEX('Hàng hóa'!$C$4:$C$203,MATCH(B500,'Hàng hóa'!$B$4:$B$203,0)),"")</f>
        <v/>
      </c>
      <c r="E500" s="44"/>
      <c r="F500" s="37">
        <f t="array" ref="F500">IFERROR(INDEX('Hàng hóa'!$E$4:$E$203,MATCH(B500,'Hàng hóa'!$B$4:$B$203,0)),0)</f>
        <v>0</v>
      </c>
      <c r="G500" s="37" t="str">
        <f t="array" ref="G500">IFERROR(INDEX('Hàng hóa'!$F$4:$F$203,MATCH(B500,'Hàng hóa'!$B$4:$B$203,0)),"")</f>
        <v/>
      </c>
      <c r="H500" s="19">
        <f t="array" ref="H500">IFERROR(INDEX('Hàng hóa'!$G$4:$G$203,MATCH(B500,'Hàng hóa'!$B$4:$B$203,0)),0)</f>
        <v>0</v>
      </c>
      <c r="I500" s="7"/>
      <c r="J500" s="47">
        <f t="shared" si="1"/>
        <v>0</v>
      </c>
      <c r="K500" s="19">
        <f t="shared" si="2"/>
        <v>0</v>
      </c>
      <c r="L500" s="23"/>
      <c r="M500" s="23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5.75" customHeight="1">
      <c r="A501" s="43"/>
      <c r="B501" s="23"/>
      <c r="C501" s="37" t="str">
        <f t="array" ref="C501">IFERROR(INDEX('Hàng hóa'!$A$4:$A$203,MATCH(B501,'Hàng hóa'!$B$4:$B$203,0)),"")</f>
        <v/>
      </c>
      <c r="D501" s="37" t="str">
        <f t="array" ref="D501">IFERROR(INDEX('Hàng hóa'!$C$4:$C$203,MATCH(B501,'Hàng hóa'!$B$4:$B$203,0)),"")</f>
        <v/>
      </c>
      <c r="E501" s="44"/>
      <c r="F501" s="37">
        <f t="array" ref="F501">IFERROR(INDEX('Hàng hóa'!$E$4:$E$203,MATCH(B501,'Hàng hóa'!$B$4:$B$203,0)),0)</f>
        <v>0</v>
      </c>
      <c r="G501" s="37" t="str">
        <f t="array" ref="G501">IFERROR(INDEX('Hàng hóa'!$F$4:$F$203,MATCH(B501,'Hàng hóa'!$B$4:$B$203,0)),"")</f>
        <v/>
      </c>
      <c r="H501" s="19">
        <f t="array" ref="H501">IFERROR(INDEX('Hàng hóa'!$G$4:$G$203,MATCH(B501,'Hàng hóa'!$B$4:$B$203,0)),0)</f>
        <v>0</v>
      </c>
      <c r="I501" s="7"/>
      <c r="J501" s="47">
        <f t="shared" si="1"/>
        <v>0</v>
      </c>
      <c r="K501" s="19">
        <f t="shared" si="2"/>
        <v>0</v>
      </c>
      <c r="L501" s="23"/>
      <c r="M501" s="23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>
      <c r="A502" s="43"/>
      <c r="B502" s="23"/>
      <c r="C502" s="37" t="str">
        <f t="array" ref="C502">IFERROR(INDEX('Hàng hóa'!$A$4:$A$203,MATCH(B502,'Hàng hóa'!$B$4:$B$203,0)),"")</f>
        <v/>
      </c>
      <c r="D502" s="37" t="str">
        <f t="array" ref="D502">IFERROR(INDEX('Hàng hóa'!$C$4:$C$203,MATCH(B502,'Hàng hóa'!$B$4:$B$203,0)),"")</f>
        <v/>
      </c>
      <c r="E502" s="44"/>
      <c r="F502" s="37">
        <f t="array" ref="F502">IFERROR(INDEX('Hàng hóa'!$E$4:$E$203,MATCH(B502,'Hàng hóa'!$B$4:$B$203,0)),0)</f>
        <v>0</v>
      </c>
      <c r="G502" s="37" t="str">
        <f t="array" ref="G502">IFERROR(INDEX('Hàng hóa'!$F$4:$F$203,MATCH(B502,'Hàng hóa'!$B$4:$B$203,0)),"")</f>
        <v/>
      </c>
      <c r="H502" s="19">
        <f t="array" ref="H502">IFERROR(INDEX('Hàng hóa'!$G$4:$G$203,MATCH(B502,'Hàng hóa'!$B$4:$B$203,0)),0)</f>
        <v>0</v>
      </c>
      <c r="I502" s="7"/>
      <c r="J502" s="47">
        <f t="shared" si="1"/>
        <v>0</v>
      </c>
      <c r="K502" s="19">
        <f t="shared" si="2"/>
        <v>0</v>
      </c>
      <c r="L502" s="23"/>
      <c r="M502" s="23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>
      <c r="A503" s="43"/>
      <c r="B503" s="23"/>
      <c r="C503" s="37" t="str">
        <f t="array" ref="C503">IFERROR(INDEX('Hàng hóa'!$A$4:$A$203,MATCH(B503,'Hàng hóa'!$B$4:$B$203,0)),"")</f>
        <v/>
      </c>
      <c r="D503" s="37" t="str">
        <f t="array" ref="D503">IFERROR(INDEX('Hàng hóa'!$C$4:$C$203,MATCH(B503,'Hàng hóa'!$B$4:$B$203,0)),"")</f>
        <v/>
      </c>
      <c r="E503" s="44"/>
      <c r="F503" s="37">
        <f t="array" ref="F503">IFERROR(INDEX('Hàng hóa'!$E$4:$E$203,MATCH(B503,'Hàng hóa'!$B$4:$B$203,0)),0)</f>
        <v>0</v>
      </c>
      <c r="G503" s="37" t="str">
        <f t="array" ref="G503">IFERROR(INDEX('Hàng hóa'!$F$4:$F$203,MATCH(B503,'Hàng hóa'!$B$4:$B$203,0)),"")</f>
        <v/>
      </c>
      <c r="H503" s="19">
        <f t="array" ref="H503">IFERROR(INDEX('Hàng hóa'!$G$4:$G$203,MATCH(B503,'Hàng hóa'!$B$4:$B$203,0)),0)</f>
        <v>0</v>
      </c>
      <c r="I503" s="7"/>
      <c r="J503" s="47">
        <f t="shared" si="1"/>
        <v>0</v>
      </c>
      <c r="K503" s="19">
        <f t="shared" si="2"/>
        <v>0</v>
      </c>
      <c r="L503" s="23"/>
      <c r="M503" s="23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dataValidations>
    <dataValidation type="list" allowBlank="1" sqref="B4:B503">
      <formula1>$O$3:$O$202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5.0"/>
    <col customWidth="1" min="3" max="3" width="14.0"/>
    <col customWidth="1" min="4" max="4" width="25.0"/>
    <col customWidth="1" min="5" max="5" width="13.0"/>
    <col customWidth="1" min="6" max="6" width="12.0"/>
    <col customWidth="1" min="7" max="7" width="17.0"/>
    <col customWidth="1" min="8" max="8" width="15.0"/>
    <col customWidth="1" min="9" max="9" width="18.0"/>
    <col customWidth="1" min="10" max="11" width="17.0"/>
    <col customWidth="1" min="12" max="12" width="19.0"/>
    <col customWidth="1" min="13" max="13" width="18.0"/>
    <col customWidth="1" min="14" max="14" width="16.0"/>
    <col customWidth="1" min="15" max="15" width="17.0"/>
    <col customWidth="1" min="16" max="16" width="23.75"/>
    <col customWidth="1" min="17" max="17" width="17.0"/>
    <col customWidth="1" min="18" max="18" width="20.0"/>
    <col customWidth="1" min="19" max="19" width="30.0"/>
    <col customWidth="1" min="20" max="20" width="8.63"/>
    <col customWidth="1" min="21" max="21" width="9.88"/>
    <col customWidth="1" min="22" max="22" width="17.25"/>
    <col customWidth="1" min="23" max="23" width="17.75"/>
    <col customWidth="1" min="24" max="26" width="8.63"/>
  </cols>
  <sheetData>
    <row r="1">
      <c r="A1" s="57" t="s">
        <v>238</v>
      </c>
      <c r="T1" s="58"/>
      <c r="U1" s="36"/>
      <c r="V1" s="36"/>
      <c r="W1" s="58"/>
      <c r="X1" s="36"/>
      <c r="Y1" s="36"/>
      <c r="Z1" s="36"/>
    </row>
    <row r="2">
      <c r="A2" s="59" t="s">
        <v>239</v>
      </c>
      <c r="T2" s="58"/>
      <c r="U2" s="60" t="s">
        <v>138</v>
      </c>
      <c r="V2" s="60" t="s">
        <v>240</v>
      </c>
      <c r="W2" s="61" t="s">
        <v>241</v>
      </c>
      <c r="X2" s="36"/>
      <c r="Y2" s="36"/>
      <c r="Z2" s="36"/>
    </row>
    <row r="3">
      <c r="A3" s="62" t="s">
        <v>242</v>
      </c>
      <c r="B3" s="62" t="s">
        <v>118</v>
      </c>
      <c r="C3" s="62" t="s">
        <v>116</v>
      </c>
      <c r="D3" s="62" t="s">
        <v>243</v>
      </c>
      <c r="E3" s="62" t="s">
        <v>141</v>
      </c>
      <c r="F3" s="62" t="s">
        <v>25</v>
      </c>
      <c r="G3" s="62" t="s">
        <v>244</v>
      </c>
      <c r="H3" s="62" t="s">
        <v>245</v>
      </c>
      <c r="I3" s="62" t="s">
        <v>246</v>
      </c>
      <c r="J3" s="62" t="s">
        <v>63</v>
      </c>
      <c r="K3" s="62" t="s">
        <v>247</v>
      </c>
      <c r="L3" s="62" t="s">
        <v>248</v>
      </c>
      <c r="M3" s="62" t="s">
        <v>249</v>
      </c>
      <c r="N3" s="62" t="s">
        <v>250</v>
      </c>
      <c r="O3" s="62" t="s">
        <v>251</v>
      </c>
      <c r="P3" s="62" t="s">
        <v>252</v>
      </c>
      <c r="Q3" s="62" t="s">
        <v>253</v>
      </c>
      <c r="R3" s="62" t="s">
        <v>240</v>
      </c>
      <c r="S3" s="62" t="s">
        <v>32</v>
      </c>
      <c r="T3" s="58"/>
      <c r="U3" s="60" t="str">
        <f>IF('Mẻ sữa'!C4&lt;&gt;"",'Mẻ sữa'!C4,"")</f>
        <v>Mẻ test 15L</v>
      </c>
      <c r="V3" s="60" t="s">
        <v>254</v>
      </c>
      <c r="W3" s="60" t="str">
        <f>IF('Sản phẩm'!D4&lt;&gt;"",'Sản phẩm'!D4,"")</f>
        <v>Oreo - Size M</v>
      </c>
      <c r="X3" s="36"/>
      <c r="Y3" s="36"/>
      <c r="Z3" s="36"/>
    </row>
    <row r="4">
      <c r="A4" s="63">
        <f t="array" ref="A4">IF(B4="","",INDEX('Bán nhanh'!$A$4:$A$103,INT((ROW()-4)/10)+1))</f>
        <v>46224</v>
      </c>
      <c r="B4" s="64" t="str">
        <f t="array" ref="B4">IF(OR(INDEX('Bán nhanh'!$D$3:$M$3,1,MOD(ROW()-4,10)+1)="",INDEX('Bán nhanh'!$D$4:$M$103,INT((ROW()-4)/10)+1,MOD(ROW()-4,10)+1)&lt;=0),"",INDEX('Bán nhanh'!$D$3:$M$3,1,MOD(ROW()-4,10)+1))</f>
        <v>Oreo - Size M</v>
      </c>
      <c r="C4" s="65" t="str">
        <f t="array" ref="C4">IFERROR(INDEX('Sản phẩm'!$A$4:$A$103,MATCH(B4,'Sản phẩm'!$D$4:$D$103,0)),"")</f>
        <v>M-OREO</v>
      </c>
      <c r="D4" s="64" t="str">
        <f t="array" ref="D4">IF(B4="","",INDEX('Bán nhanh'!$B$4:$B$103,INT((ROW()-4)/10)+1))</f>
        <v>Mẻ test 15L</v>
      </c>
      <c r="E4" s="65" t="str">
        <f t="array" ref="E4">IFERROR(INDEX('Mẻ sữa'!$B$4:$B$203,MATCH(D4,'Mẻ sữa'!$C$4:$C$203,0)),"")</f>
        <v>ME-001</v>
      </c>
      <c r="F4" s="66">
        <f t="array" ref="F4">IF(B4="",0,INDEX('Bán nhanh'!$D$4:$M$103,INT((ROW()-4)/10)+1,MOD(ROW()-4,10)+1))</f>
        <v>8</v>
      </c>
      <c r="G4" s="46">
        <f t="array" ref="G4">IFERROR(INDEX('Sản phẩm'!$F$4:$F$103,MATCH(B4,'Sản phẩm'!$D$4:$D$103,0)),0)</f>
        <v>35000</v>
      </c>
      <c r="H4" s="67">
        <f>35000</f>
        <v>35000</v>
      </c>
      <c r="I4" s="46">
        <f t="shared" ref="I4:I1003" si="1">IF(B4="",0,F4*G4-H4)</f>
        <v>245000</v>
      </c>
      <c r="J4" s="46">
        <f t="array" ref="J4">IFERROR(INDEX('Sản phẩm'!$G$4:$G$103,MATCH(B4,'Sản phẩm'!$D$4:$D$103,0)),0)</f>
        <v>400</v>
      </c>
      <c r="K4" s="46">
        <f t="array" ref="K4">IFERROR(J4*INDEX('Mẻ sữa'!$N$4:$N$203,MATCH(D4,'Mẻ sữa'!$C$4:$C$203,0)),0)</f>
        <v>11862.08333</v>
      </c>
      <c r="L4" s="46">
        <f t="array" ref="L4">IFERROR(INDEX('Sản phẩm'!$I$4:$I$103,MATCH(B4,'Sản phẩm'!$D$4:$D$103,0)),0)</f>
        <v>3562.5</v>
      </c>
      <c r="M4" s="46">
        <f t="array" ref="M4">IFERROR(INDEX('Sản phẩm'!$J$4:$J$103,MATCH(B4,'Sản phẩm'!$D$4:$D$103,0)),0)</f>
        <v>900</v>
      </c>
      <c r="N4" s="46">
        <f>IF(B4="",0,(K4+L4+M4)*'Thiết lập'!$B$8)</f>
        <v>816.2291667</v>
      </c>
      <c r="O4" s="46">
        <f t="shared" ref="O4:O1003" si="2">IF(B4="",0,SUM(K4:N4))</f>
        <v>17140.8125</v>
      </c>
      <c r="P4" s="46">
        <f t="shared" ref="P4:P1003" si="3">IF(B4="",0,F4*O4)</f>
        <v>137126.5</v>
      </c>
      <c r="Q4" s="46">
        <f t="shared" ref="Q4:Q1003" si="4">IF(B4="",0,I4-P4)</f>
        <v>107873.5</v>
      </c>
      <c r="R4" s="64" t="str">
        <f t="array" ref="R4">IF(B4="","",INDEX('Bán nhanh'!$C$4:$C$103,INT((ROW()-4)/10)+1))</f>
        <v>Tiền mặt</v>
      </c>
      <c r="S4" s="64" t="str">
        <f t="array" ref="S4">IF(B4="","",INDEX('Bán nhanh'!$P$4:$P$103,INT((ROW()-4)/10)+1))</f>
        <v>Dòng mẫu — có thể sửa hoặc xóa</v>
      </c>
      <c r="T4" s="58"/>
      <c r="U4" s="60" t="str">
        <f>IF('Mẻ sữa'!C5&lt;&gt;"",'Mẻ sữa'!C5,"")</f>
        <v>Mẻ test 6L</v>
      </c>
      <c r="V4" s="60" t="s">
        <v>255</v>
      </c>
      <c r="W4" s="60" t="str">
        <f>IF('Sản phẩm'!D5&lt;&gt;"",'Sản phẩm'!D5,"")</f>
        <v>Oreo - Size L</v>
      </c>
      <c r="X4" s="36"/>
      <c r="Y4" s="36"/>
      <c r="Z4" s="36"/>
    </row>
    <row r="5">
      <c r="A5" s="63">
        <f t="array" ref="A5">IF(B5="","",INDEX('Bán nhanh'!$A$4:$A$103,INT((ROW()-4)/10)+1))</f>
        <v>46224</v>
      </c>
      <c r="B5" s="64" t="str">
        <f t="array" ref="B5">IF(OR(INDEX('Bán nhanh'!$D$3:$M$3,1,MOD(ROW()-4,10)+1)="",INDEX('Bán nhanh'!$D$4:$M$103,INT((ROW()-4)/10)+1,MOD(ROW()-4,10)+1)&lt;=0),"",INDEX('Bán nhanh'!$D$3:$M$3,1,MOD(ROW()-4,10)+1))</f>
        <v>Oreo - Size L</v>
      </c>
      <c r="C5" s="65" t="str">
        <f t="array" ref="C5">IFERROR(INDEX('Sản phẩm'!$A$4:$A$103,MATCH(B5,'Sản phẩm'!$D$4:$D$103,0)),"")</f>
        <v>L-OREO</v>
      </c>
      <c r="D5" s="64" t="str">
        <f t="array" ref="D5">IF(B5="","",INDEX('Bán nhanh'!$B$4:$B$103,INT((ROW()-4)/10)+1))</f>
        <v>Mẻ test 15L</v>
      </c>
      <c r="E5" s="65" t="str">
        <f t="array" ref="E5">IFERROR(INDEX('Mẻ sữa'!$B$4:$B$203,MATCH(D5,'Mẻ sữa'!$C$4:$C$203,0)),"")</f>
        <v>ME-001</v>
      </c>
      <c r="F5" s="66">
        <f t="array" ref="F5">IF(B5="",0,INDEX('Bán nhanh'!$D$4:$M$103,INT((ROW()-4)/10)+1,MOD(ROW()-4,10)+1))</f>
        <v>2</v>
      </c>
      <c r="G5" s="46">
        <f t="array" ref="G5">IFERROR(INDEX('Sản phẩm'!$F$4:$F$103,MATCH(B5,'Sản phẩm'!$D$4:$D$103,0)),0)</f>
        <v>40000</v>
      </c>
      <c r="H5" s="67">
        <f t="shared" ref="H5:H1003" si="5">0</f>
        <v>0</v>
      </c>
      <c r="I5" s="46">
        <f t="shared" si="1"/>
        <v>80000</v>
      </c>
      <c r="J5" s="46">
        <f t="array" ref="J5">IFERROR(INDEX('Sản phẩm'!$G$4:$G$103,MATCH(B5,'Sản phẩm'!$D$4:$D$103,0)),0)</f>
        <v>550</v>
      </c>
      <c r="K5" s="46">
        <f t="array" ref="K5">IFERROR(J5*INDEX('Mẻ sữa'!$N$4:$N$203,MATCH(D5,'Mẻ sữa'!$C$4:$C$203,0)),0)</f>
        <v>16310.36458</v>
      </c>
      <c r="L5" s="46">
        <f t="array" ref="L5">IFERROR(INDEX('Sản phẩm'!$I$4:$I$103,MATCH(B5,'Sản phẩm'!$D$4:$D$103,0)),0)</f>
        <v>3562.5</v>
      </c>
      <c r="M5" s="46">
        <f t="array" ref="M5">IFERROR(INDEX('Sản phẩm'!$J$4:$J$103,MATCH(B5,'Sản phẩm'!$D$4:$D$103,0)),0)</f>
        <v>900</v>
      </c>
      <c r="N5" s="46">
        <f>IF(B5="",0,(K5+L5+M5)*'Thiết lập'!$B$8)</f>
        <v>1038.643229</v>
      </c>
      <c r="O5" s="46">
        <f t="shared" si="2"/>
        <v>21811.50781</v>
      </c>
      <c r="P5" s="46">
        <f t="shared" si="3"/>
        <v>43623.01563</v>
      </c>
      <c r="Q5" s="46">
        <f t="shared" si="4"/>
        <v>36376.98438</v>
      </c>
      <c r="R5" s="64" t="str">
        <f t="array" ref="R5">IF(B5="","",INDEX('Bán nhanh'!$C$4:$C$103,INT((ROW()-4)/10)+1))</f>
        <v>Tiền mặt</v>
      </c>
      <c r="S5" s="64" t="str">
        <f t="array" ref="S5">IF(B5="","",INDEX('Bán nhanh'!$P$4:$P$103,INT((ROW()-4)/10)+1))</f>
        <v>Dòng mẫu — có thể sửa hoặc xóa</v>
      </c>
      <c r="T5" s="58"/>
      <c r="U5" s="60" t="str">
        <f>IF('Mẻ sữa'!C6&lt;&gt;"",'Mẻ sữa'!C6,"")</f>
        <v/>
      </c>
      <c r="V5" s="60" t="s">
        <v>256</v>
      </c>
      <c r="W5" s="60" t="str">
        <f>IF('Sản phẩm'!D6&lt;&gt;"",'Sản phẩm'!D6,"")</f>
        <v>Dừa non - Size M</v>
      </c>
      <c r="X5" s="36"/>
      <c r="Y5" s="36"/>
      <c r="Z5" s="36"/>
    </row>
    <row r="6">
      <c r="A6" s="63">
        <f t="array" ref="A6">IF(B6="","",INDEX('Bán nhanh'!$A$4:$A$103,INT((ROW()-4)/10)+1))</f>
        <v>46224</v>
      </c>
      <c r="B6" s="64" t="str">
        <f t="array" ref="B6">IF(OR(INDEX('Bán nhanh'!$D$3:$M$3,1,MOD(ROW()-4,10)+1)="",INDEX('Bán nhanh'!$D$4:$M$103,INT((ROW()-4)/10)+1,MOD(ROW()-4,10)+1)&lt;=0),"",INDEX('Bán nhanh'!$D$3:$M$3,1,MOD(ROW()-4,10)+1))</f>
        <v>Dừa non - Size M</v>
      </c>
      <c r="C6" s="65" t="str">
        <f t="array" ref="C6">IFERROR(INDEX('Sản phẩm'!$A$4:$A$103,MATCH(B6,'Sản phẩm'!$D$4:$D$103,0)),"")</f>
        <v>M-DUA</v>
      </c>
      <c r="D6" s="64" t="str">
        <f t="array" ref="D6">IF(B6="","",INDEX('Bán nhanh'!$B$4:$B$103,INT((ROW()-4)/10)+1))</f>
        <v>Mẻ test 15L</v>
      </c>
      <c r="E6" s="65" t="str">
        <f t="array" ref="E6">IFERROR(INDEX('Mẻ sữa'!$B$4:$B$203,MATCH(D6,'Mẻ sữa'!$C$4:$C$203,0)),"")</f>
        <v>ME-001</v>
      </c>
      <c r="F6" s="66">
        <f t="array" ref="F6">IF(B6="",0,INDEX('Bán nhanh'!$D$4:$M$103,INT((ROW()-4)/10)+1,MOD(ROW()-4,10)+1))</f>
        <v>5</v>
      </c>
      <c r="G6" s="46">
        <f t="array" ref="G6">IFERROR(INDEX('Sản phẩm'!$F$4:$F$103,MATCH(B6,'Sản phẩm'!$D$4:$D$103,0)),0)</f>
        <v>35000</v>
      </c>
      <c r="H6" s="67">
        <f t="shared" si="5"/>
        <v>0</v>
      </c>
      <c r="I6" s="46">
        <f t="shared" si="1"/>
        <v>175000</v>
      </c>
      <c r="J6" s="46">
        <f t="array" ref="J6">IFERROR(INDEX('Sản phẩm'!$G$4:$G$103,MATCH(B6,'Sản phẩm'!$D$4:$D$103,0)),0)</f>
        <v>400</v>
      </c>
      <c r="K6" s="46">
        <f t="array" ref="K6">IFERROR(J6*INDEX('Mẻ sữa'!$N$4:$N$203,MATCH(D6,'Mẻ sữa'!$C$4:$C$203,0)),0)</f>
        <v>11862.08333</v>
      </c>
      <c r="L6" s="46">
        <f t="array" ref="L6">IFERROR(INDEX('Sản phẩm'!$I$4:$I$103,MATCH(B6,'Sản phẩm'!$D$4:$D$103,0)),0)</f>
        <v>1581.818182</v>
      </c>
      <c r="M6" s="46">
        <f t="array" ref="M6">IFERROR(INDEX('Sản phẩm'!$J$4:$J$103,MATCH(B6,'Sản phẩm'!$D$4:$D$103,0)),0)</f>
        <v>900</v>
      </c>
      <c r="N6" s="46">
        <f>IF(B6="",0,(K6+L6+M6)*'Thiết lập'!$B$8)</f>
        <v>717.1950758</v>
      </c>
      <c r="O6" s="46">
        <f t="shared" si="2"/>
        <v>15061.09659</v>
      </c>
      <c r="P6" s="46">
        <f t="shared" si="3"/>
        <v>75305.48295</v>
      </c>
      <c r="Q6" s="46">
        <f t="shared" si="4"/>
        <v>99694.51705</v>
      </c>
      <c r="R6" s="64" t="str">
        <f t="array" ref="R6">IF(B6="","",INDEX('Bán nhanh'!$C$4:$C$103,INT((ROW()-4)/10)+1))</f>
        <v>Tiền mặt</v>
      </c>
      <c r="S6" s="64" t="str">
        <f t="array" ref="S6">IF(B6="","",INDEX('Bán nhanh'!$P$4:$P$103,INT((ROW()-4)/10)+1))</f>
        <v>Dòng mẫu — có thể sửa hoặc xóa</v>
      </c>
      <c r="T6" s="58"/>
      <c r="U6" s="60" t="str">
        <f>IF('Mẻ sữa'!C7&lt;&gt;"",'Mẻ sữa'!C7,"")</f>
        <v/>
      </c>
      <c r="V6" s="68"/>
      <c r="W6" s="60" t="str">
        <f>IF('Sản phẩm'!D7&lt;&gt;"",'Sản phẩm'!D7,"")</f>
        <v>Dừa non - Size L</v>
      </c>
      <c r="X6" s="36"/>
      <c r="Y6" s="36"/>
      <c r="Z6" s="36"/>
    </row>
    <row r="7">
      <c r="A7" s="63">
        <f t="array" ref="A7">IF(B7="","",INDEX('Bán nhanh'!$A$4:$A$103,INT((ROW()-4)/10)+1))</f>
        <v>46224</v>
      </c>
      <c r="B7" s="64" t="str">
        <f t="array" ref="B7">IF(OR(INDEX('Bán nhanh'!$D$3:$M$3,1,MOD(ROW()-4,10)+1)="",INDEX('Bán nhanh'!$D$4:$M$103,INT((ROW()-4)/10)+1,MOD(ROW()-4,10)+1)&lt;=0),"",INDEX('Bán nhanh'!$D$3:$M$3,1,MOD(ROW()-4,10)+1))</f>
        <v>Dừa non - Size L</v>
      </c>
      <c r="C7" s="65" t="str">
        <f t="array" ref="C7">IFERROR(INDEX('Sản phẩm'!$A$4:$A$103,MATCH(B7,'Sản phẩm'!$D$4:$D$103,0)),"")</f>
        <v>L-DUA</v>
      </c>
      <c r="D7" s="64" t="str">
        <f t="array" ref="D7">IF(B7="","",INDEX('Bán nhanh'!$B$4:$B$103,INT((ROW()-4)/10)+1))</f>
        <v>Mẻ test 15L</v>
      </c>
      <c r="E7" s="65" t="str">
        <f t="array" ref="E7">IFERROR(INDEX('Mẻ sữa'!$B$4:$B$203,MATCH(D7,'Mẻ sữa'!$C$4:$C$203,0)),"")</f>
        <v>ME-001</v>
      </c>
      <c r="F7" s="66">
        <f t="array" ref="F7">IF(B7="",0,INDEX('Bán nhanh'!$D$4:$M$103,INT((ROW()-4)/10)+1,MOD(ROW()-4,10)+1))</f>
        <v>1</v>
      </c>
      <c r="G7" s="46">
        <f t="array" ref="G7">IFERROR(INDEX('Sản phẩm'!$F$4:$F$103,MATCH(B7,'Sản phẩm'!$D$4:$D$103,0)),0)</f>
        <v>40000</v>
      </c>
      <c r="H7" s="67">
        <f t="shared" si="5"/>
        <v>0</v>
      </c>
      <c r="I7" s="46">
        <f t="shared" si="1"/>
        <v>40000</v>
      </c>
      <c r="J7" s="46">
        <f t="array" ref="J7">IFERROR(INDEX('Sản phẩm'!$G$4:$G$103,MATCH(B7,'Sản phẩm'!$D$4:$D$103,0)),0)</f>
        <v>550</v>
      </c>
      <c r="K7" s="46">
        <f t="array" ref="K7">IFERROR(J7*INDEX('Mẻ sữa'!$N$4:$N$203,MATCH(D7,'Mẻ sữa'!$C$4:$C$203,0)),0)</f>
        <v>16310.36458</v>
      </c>
      <c r="L7" s="46">
        <f t="array" ref="L7">IFERROR(INDEX('Sản phẩm'!$I$4:$I$103,MATCH(B7,'Sản phẩm'!$D$4:$D$103,0)),0)</f>
        <v>1581.818182</v>
      </c>
      <c r="M7" s="46">
        <f t="array" ref="M7">IFERROR(INDEX('Sản phẩm'!$J$4:$J$103,MATCH(B7,'Sản phẩm'!$D$4:$D$103,0)),0)</f>
        <v>900</v>
      </c>
      <c r="N7" s="46">
        <f>IF(B7="",0,(K7+L7+M7)*'Thiết lập'!$B$8)</f>
        <v>939.6091383</v>
      </c>
      <c r="O7" s="46">
        <f t="shared" si="2"/>
        <v>19731.7919</v>
      </c>
      <c r="P7" s="46">
        <f t="shared" si="3"/>
        <v>19731.7919</v>
      </c>
      <c r="Q7" s="46">
        <f t="shared" si="4"/>
        <v>20268.2081</v>
      </c>
      <c r="R7" s="64" t="str">
        <f t="array" ref="R7">IF(B7="","",INDEX('Bán nhanh'!$C$4:$C$103,INT((ROW()-4)/10)+1))</f>
        <v>Tiền mặt</v>
      </c>
      <c r="S7" s="64" t="str">
        <f t="array" ref="S7">IF(B7="","",INDEX('Bán nhanh'!$P$4:$P$103,INT((ROW()-4)/10)+1))</f>
        <v>Dòng mẫu — có thể sửa hoặc xóa</v>
      </c>
      <c r="T7" s="58"/>
      <c r="U7" s="60" t="str">
        <f>IF('Mẻ sữa'!C8&lt;&gt;"",'Mẻ sữa'!C8,"")</f>
        <v/>
      </c>
      <c r="V7" s="68"/>
      <c r="W7" s="60" t="str">
        <f>IF('Sản phẩm'!D8&lt;&gt;"",'Sản phẩm'!D8,"")</f>
        <v>Dâu giòn - Size M</v>
      </c>
      <c r="X7" s="36"/>
      <c r="Y7" s="36"/>
      <c r="Z7" s="36"/>
    </row>
    <row r="8">
      <c r="A8" s="63">
        <f t="array" ref="A8">IF(B8="","",INDEX('Bán nhanh'!$A$4:$A$103,INT((ROW()-4)/10)+1))</f>
        <v>46224</v>
      </c>
      <c r="B8" s="64" t="str">
        <f t="array" ref="B8">IF(OR(INDEX('Bán nhanh'!$D$3:$M$3,1,MOD(ROW()-4,10)+1)="",INDEX('Bán nhanh'!$D$4:$M$103,INT((ROW()-4)/10)+1,MOD(ROW()-4,10)+1)&lt;=0),"",INDEX('Bán nhanh'!$D$3:$M$3,1,MOD(ROW()-4,10)+1))</f>
        <v>Dâu giòn - Size M</v>
      </c>
      <c r="C8" s="65" t="str">
        <f t="array" ref="C8">IFERROR(INDEX('Sản phẩm'!$A$4:$A$103,MATCH(B8,'Sản phẩm'!$D$4:$D$103,0)),"")</f>
        <v>M-DAU</v>
      </c>
      <c r="D8" s="64" t="str">
        <f t="array" ref="D8">IF(B8="","",INDEX('Bán nhanh'!$B$4:$B$103,INT((ROW()-4)/10)+1))</f>
        <v>Mẻ test 15L</v>
      </c>
      <c r="E8" s="65" t="str">
        <f t="array" ref="E8">IFERROR(INDEX('Mẻ sữa'!$B$4:$B$203,MATCH(D8,'Mẻ sữa'!$C$4:$C$203,0)),"")</f>
        <v>ME-001</v>
      </c>
      <c r="F8" s="69">
        <v>0.0</v>
      </c>
      <c r="G8" s="46">
        <f t="array" ref="G8">IFERROR(INDEX('Sản phẩm'!$F$4:$F$103,MATCH(B8,'Sản phẩm'!$D$4:$D$103,0)),0)</f>
        <v>35000</v>
      </c>
      <c r="H8" s="67">
        <f t="shared" si="5"/>
        <v>0</v>
      </c>
      <c r="I8" s="46">
        <f t="shared" si="1"/>
        <v>0</v>
      </c>
      <c r="J8" s="46">
        <f t="array" ref="J8">IFERROR(INDEX('Sản phẩm'!$G$4:$G$103,MATCH(B8,'Sản phẩm'!$D$4:$D$103,0)),0)</f>
        <v>400</v>
      </c>
      <c r="K8" s="46">
        <f t="array" ref="K8">IFERROR(J8*INDEX('Mẻ sữa'!$N$4:$N$203,MATCH(D8,'Mẻ sữa'!$C$4:$C$203,0)),0)</f>
        <v>11862.08333</v>
      </c>
      <c r="L8" s="46">
        <f t="array" ref="L8">IFERROR(INDEX('Sản phẩm'!$I$4:$I$103,MATCH(B8,'Sản phẩm'!$D$4:$D$103,0)),0)</f>
        <v>5940000</v>
      </c>
      <c r="M8" s="46">
        <f t="array" ref="M8">IFERROR(INDEX('Sản phẩm'!$J$4:$J$103,MATCH(B8,'Sản phẩm'!$D$4:$D$103,0)),0)</f>
        <v>900</v>
      </c>
      <c r="N8" s="46">
        <f>IF(B8="",0,(K8+L8+M8)*'Thiết lập'!$B$8)</f>
        <v>297638.1042</v>
      </c>
      <c r="O8" s="46">
        <f t="shared" si="2"/>
        <v>6250400.188</v>
      </c>
      <c r="P8" s="46">
        <f t="shared" si="3"/>
        <v>0</v>
      </c>
      <c r="Q8" s="46">
        <f t="shared" si="4"/>
        <v>0</v>
      </c>
      <c r="R8" s="64" t="str">
        <f t="array" ref="R8">IF(B8="","",INDEX('Bán nhanh'!$C$4:$C$103,INT((ROW()-4)/10)+1))</f>
        <v>Tiền mặt</v>
      </c>
      <c r="S8" s="64" t="str">
        <f t="array" ref="S8">IF(B8="","",INDEX('Bán nhanh'!$P$4:$P$103,INT((ROW()-4)/10)+1))</f>
        <v>Dòng mẫu — có thể sửa hoặc xóa</v>
      </c>
      <c r="T8" s="58"/>
      <c r="U8" s="60" t="str">
        <f>IF('Mẻ sữa'!C9&lt;&gt;"",'Mẻ sữa'!C9,"")</f>
        <v/>
      </c>
      <c r="V8" s="68"/>
      <c r="W8" s="60" t="str">
        <f>IF('Sản phẩm'!D9&lt;&gt;"",'Sản phẩm'!D9,"")</f>
        <v>Dâu giòn - Size L</v>
      </c>
      <c r="X8" s="36"/>
      <c r="Y8" s="36"/>
      <c r="Z8" s="36"/>
    </row>
    <row r="9">
      <c r="A9" s="70" t="str">
        <f t="array" ref="A9">IF(B9="","",INDEX('Bán nhanh'!$A$4:$A$103,INT((ROW()-4)/10)+1))</f>
        <v/>
      </c>
      <c r="B9" s="71" t="str">
        <f t="array" ref="B9">IF(OR(INDEX('Bán nhanh'!$D$3:$M$3,1,MOD(ROW()-4,10)+1)="",INDEX('Bán nhanh'!$D$4:$M$103,INT((ROW()-4)/10)+1,MOD(ROW()-4,10)+1)&lt;=0),"",INDEX('Bán nhanh'!$D$3:$M$3,1,MOD(ROW()-4,10)+1))</f>
        <v/>
      </c>
      <c r="C9" s="58" t="str">
        <f t="array" ref="C9">IFERROR(INDEX('Sản phẩm'!$A$4:$A$103,MATCH(B9,'Sản phẩm'!$D$4:$D$103,0)),"")</f>
        <v/>
      </c>
      <c r="D9" s="71" t="str">
        <f t="array" ref="D9">IF(B9="","",INDEX('Bán nhanh'!$B$4:$B$103,INT((ROW()-4)/10)+1))</f>
        <v/>
      </c>
      <c r="E9" s="58" t="str">
        <f t="array" ref="E9">IFERROR(INDEX('Mẻ sữa'!$B$4:$B$203,MATCH(D9,'Mẻ sữa'!$C$4:$C$203,0)),"")</f>
        <v/>
      </c>
      <c r="F9" s="66">
        <f t="array" ref="F9">IF(B9="",0,INDEX('Bán nhanh'!$D$4:$M$103,INT((ROW()-4)/10)+1,MOD(ROW()-4,10)+1))</f>
        <v>0</v>
      </c>
      <c r="G9" s="46">
        <f t="array" ref="G9">IFERROR(INDEX('Sản phẩm'!$F$4:$F$103,MATCH(B9,'Sản phẩm'!$D$4:$D$103,0)),0)</f>
        <v>0</v>
      </c>
      <c r="H9" s="67">
        <f t="shared" si="5"/>
        <v>0</v>
      </c>
      <c r="I9" s="46">
        <f t="shared" si="1"/>
        <v>0</v>
      </c>
      <c r="J9" s="46">
        <f t="array" ref="J9">IFERROR(INDEX('Sản phẩm'!$G$4:$G$103,MATCH(B9,'Sản phẩm'!$D$4:$D$103,0)),0)</f>
        <v>0</v>
      </c>
      <c r="K9" s="46">
        <f t="array" ref="K9">IFERROR(J9*INDEX('Mẻ sữa'!$N$4:$N$203,MATCH(D9,'Mẻ sữa'!$C$4:$C$203,0)),0)</f>
        <v>0</v>
      </c>
      <c r="L9" s="46">
        <f t="array" ref="L9">IFERROR(INDEX('Sản phẩm'!$I$4:$I$103,MATCH(B9,'Sản phẩm'!$D$4:$D$103,0)),0)</f>
        <v>0</v>
      </c>
      <c r="M9" s="72" t="str">
        <f t="array" ref="M9">IFERROR(INDEX('Sản phẩm'!$J$4:$J$103,MATCH(B9,'Sản phẩm'!$D$4:$D$103,0)),0)</f>
        <v/>
      </c>
      <c r="N9" s="46">
        <f>IF(B9="",0,(K9+L9+M9)*'Thiết lập'!$B$8)</f>
        <v>0</v>
      </c>
      <c r="O9" s="46">
        <f t="shared" si="2"/>
        <v>0</v>
      </c>
      <c r="P9" s="46">
        <f t="shared" si="3"/>
        <v>0</v>
      </c>
      <c r="Q9" s="46">
        <f t="shared" si="4"/>
        <v>0</v>
      </c>
      <c r="R9" s="71" t="str">
        <f t="array" ref="R9">IF(B9="","",INDEX('Bán nhanh'!$C$4:$C$103,INT((ROW()-4)/10)+1))</f>
        <v/>
      </c>
      <c r="S9" s="71" t="str">
        <f t="array" ref="S9">IF(B9="","",INDEX('Bán nhanh'!$P$4:$P$103,INT((ROW()-4)/10)+1))</f>
        <v/>
      </c>
      <c r="T9" s="58"/>
      <c r="U9" s="60" t="str">
        <f>IF('Mẻ sữa'!C10&lt;&gt;"",'Mẻ sữa'!C10,"")</f>
        <v/>
      </c>
      <c r="V9" s="68"/>
      <c r="W9" s="60" t="str">
        <f>IF('Sản phẩm'!D10&lt;&gt;"",'Sản phẩm'!D10,"")</f>
        <v>Sữa chua sấy - Size M</v>
      </c>
      <c r="X9" s="36"/>
      <c r="Y9" s="36"/>
      <c r="Z9" s="36"/>
    </row>
    <row r="10">
      <c r="A10" s="63">
        <f t="array" ref="A10">IF(B10="","",INDEX('Bán nhanh'!$A$4:$A$103,INT((ROW()-4)/10)+1))</f>
        <v>46224</v>
      </c>
      <c r="B10" s="64" t="str">
        <f t="array" ref="B10">IF(OR(INDEX('Bán nhanh'!$D$3:$M$3,1,MOD(ROW()-4,10)+1)="",INDEX('Bán nhanh'!$D$4:$M$103,INT((ROW()-4)/10)+1,MOD(ROW()-4,10)+1)&lt;=0),"",INDEX('Bán nhanh'!$D$3:$M$3,1,MOD(ROW()-4,10)+1))</f>
        <v>Sữa chua sấy - Size M</v>
      </c>
      <c r="C10" s="65" t="str">
        <f t="array" ref="C10">IFERROR(INDEX('Sản phẩm'!$A$4:$A$103,MATCH(B10,'Sản phẩm'!$D$4:$D$103,0)),"")</f>
        <v>M-SC</v>
      </c>
      <c r="D10" s="64" t="str">
        <f t="array" ref="D10">IF(B10="","",INDEX('Bán nhanh'!$B$4:$B$103,INT((ROW()-4)/10)+1))</f>
        <v>Mẻ test 15L</v>
      </c>
      <c r="E10" s="65" t="str">
        <f t="array" ref="E10">IFERROR(INDEX('Mẻ sữa'!$B$4:$B$203,MATCH(D10,'Mẻ sữa'!$C$4:$C$203,0)),"")</f>
        <v>ME-001</v>
      </c>
      <c r="F10" s="69">
        <v>0.0</v>
      </c>
      <c r="G10" s="46">
        <f t="array" ref="G10">IFERROR(INDEX('Sản phẩm'!$F$4:$F$103,MATCH(B10,'Sản phẩm'!$D$4:$D$103,0)),0)</f>
        <v>35000</v>
      </c>
      <c r="H10" s="67">
        <f t="shared" si="5"/>
        <v>0</v>
      </c>
      <c r="I10" s="46">
        <f t="shared" si="1"/>
        <v>0</v>
      </c>
      <c r="J10" s="46">
        <f t="array" ref="J10">IFERROR(INDEX('Sản phẩm'!$G$4:$G$103,MATCH(B10,'Sản phẩm'!$D$4:$D$103,0)),0)</f>
        <v>400</v>
      </c>
      <c r="K10" s="46">
        <f t="array" ref="K10">IFERROR(J10*INDEX('Mẻ sữa'!$N$4:$N$203,MATCH(D10,'Mẻ sữa'!$C$4:$C$203,0)),0)</f>
        <v>11862.08333</v>
      </c>
      <c r="L10" s="46">
        <f t="array" ref="L10">IFERROR(INDEX('Sản phẩm'!$I$4:$I$103,MATCH(B10,'Sản phẩm'!$D$4:$D$103,0)),0)</f>
        <v>4855500</v>
      </c>
      <c r="M10" s="46">
        <f t="array" ref="M10">IFERROR(INDEX('Sản phẩm'!$J$4:$J$103,MATCH(B10,'Sản phẩm'!$D$4:$D$103,0)),0)</f>
        <v>900</v>
      </c>
      <c r="N10" s="46">
        <f>IF(B10="",0,(K10+L10+M10)*'Thiết lập'!$B$8)</f>
        <v>243413.1042</v>
      </c>
      <c r="O10" s="46">
        <f t="shared" si="2"/>
        <v>5111675.188</v>
      </c>
      <c r="P10" s="46">
        <f t="shared" si="3"/>
        <v>0</v>
      </c>
      <c r="Q10" s="46">
        <f t="shared" si="4"/>
        <v>0</v>
      </c>
      <c r="R10" s="64" t="str">
        <f t="array" ref="R10">IF(B10="","",INDEX('Bán nhanh'!$C$4:$C$103,INT((ROW()-4)/10)+1))</f>
        <v>Tiền mặt</v>
      </c>
      <c r="S10" s="64" t="str">
        <f t="array" ref="S10">IF(B10="","",INDEX('Bán nhanh'!$P$4:$P$103,INT((ROW()-4)/10)+1))</f>
        <v>Dòng mẫu — có thể sửa hoặc xóa</v>
      </c>
      <c r="T10" s="58"/>
      <c r="U10" s="60" t="str">
        <f>IF('Mẻ sữa'!C11&lt;&gt;"",'Mẻ sữa'!C11,"")</f>
        <v/>
      </c>
      <c r="V10" s="68"/>
      <c r="W10" s="60" t="str">
        <f>IF('Sản phẩm'!D11&lt;&gt;"",'Sản phẩm'!D11,"")</f>
        <v>Sữa chua sấy - Size L</v>
      </c>
      <c r="X10" s="36"/>
      <c r="Y10" s="36"/>
      <c r="Z10" s="36"/>
    </row>
    <row r="11">
      <c r="A11" s="70" t="str">
        <f t="array" ref="A11">IF(B11="","",INDEX('Bán nhanh'!$A$4:$A$103,INT((ROW()-4)/10)+1))</f>
        <v/>
      </c>
      <c r="B11" s="71" t="str">
        <f t="array" ref="B11">IF(OR(INDEX('Bán nhanh'!$D$3:$M$3,1,MOD(ROW()-4,10)+1)="",INDEX('Bán nhanh'!$D$4:$M$103,INT((ROW()-4)/10)+1,MOD(ROW()-4,10)+1)&lt;=0),"",INDEX('Bán nhanh'!$D$3:$M$3,1,MOD(ROW()-4,10)+1))</f>
        <v/>
      </c>
      <c r="C11" s="58" t="str">
        <f t="array" ref="C11">IFERROR(INDEX('Sản phẩm'!$A$4:$A$103,MATCH(B11,'Sản phẩm'!$D$4:$D$103,0)),"")</f>
        <v/>
      </c>
      <c r="D11" s="71" t="str">
        <f t="array" ref="D11">IF(B11="","",INDEX('Bán nhanh'!$B$4:$B$103,INT((ROW()-4)/10)+1))</f>
        <v/>
      </c>
      <c r="E11" s="58" t="str">
        <f t="array" ref="E11">IFERROR(INDEX('Mẻ sữa'!$B$4:$B$203,MATCH(D11,'Mẻ sữa'!$C$4:$C$203,0)),"")</f>
        <v/>
      </c>
      <c r="F11" s="66">
        <f t="array" ref="F11">IF(B11="",0,INDEX('Bán nhanh'!$D$4:$M$103,INT((ROW()-4)/10)+1,MOD(ROW()-4,10)+1))</f>
        <v>0</v>
      </c>
      <c r="G11" s="46">
        <f t="array" ref="G11">IFERROR(INDEX('Sản phẩm'!$F$4:$F$103,MATCH(B11,'Sản phẩm'!$D$4:$D$103,0)),0)</f>
        <v>0</v>
      </c>
      <c r="H11" s="67">
        <f t="shared" si="5"/>
        <v>0</v>
      </c>
      <c r="I11" s="46">
        <f t="shared" si="1"/>
        <v>0</v>
      </c>
      <c r="J11" s="46">
        <f t="array" ref="J11">IFERROR(INDEX('Sản phẩm'!$G$4:$G$103,MATCH(B11,'Sản phẩm'!$D$4:$D$103,0)),0)</f>
        <v>0</v>
      </c>
      <c r="K11" s="46">
        <f t="array" ref="K11">IFERROR(J11*INDEX('Mẻ sữa'!$N$4:$N$203,MATCH(D11,'Mẻ sữa'!$C$4:$C$203,0)),0)</f>
        <v>0</v>
      </c>
      <c r="L11" s="46">
        <f t="array" ref="L11">IFERROR(INDEX('Sản phẩm'!$I$4:$I$103,MATCH(B11,'Sản phẩm'!$D$4:$D$103,0)),0)</f>
        <v>0</v>
      </c>
      <c r="M11" s="72" t="str">
        <f t="array" ref="M11">IFERROR(INDEX('Sản phẩm'!$J$4:$J$103,MATCH(B11,'Sản phẩm'!$D$4:$D$103,0)),0)</f>
        <v/>
      </c>
      <c r="N11" s="46">
        <f>IF(B11="",0,(K11+L11+M11)*'Thiết lập'!$B$8)</f>
        <v>0</v>
      </c>
      <c r="O11" s="46">
        <f t="shared" si="2"/>
        <v>0</v>
      </c>
      <c r="P11" s="46">
        <f t="shared" si="3"/>
        <v>0</v>
      </c>
      <c r="Q11" s="46">
        <f t="shared" si="4"/>
        <v>0</v>
      </c>
      <c r="R11" s="71" t="str">
        <f t="array" ref="R11">IF(B11="","",INDEX('Bán nhanh'!$C$4:$C$103,INT((ROW()-4)/10)+1))</f>
        <v/>
      </c>
      <c r="S11" s="71" t="str">
        <f t="array" ref="S11">IF(B11="","",INDEX('Bán nhanh'!$P$4:$P$103,INT((ROW()-4)/10)+1))</f>
        <v/>
      </c>
      <c r="T11" s="58"/>
      <c r="U11" s="60" t="str">
        <f>IF('Mẻ sữa'!C12&lt;&gt;"",'Mẻ sữa'!C12,"")</f>
        <v/>
      </c>
      <c r="V11" s="68"/>
      <c r="W11" s="60" t="str">
        <f>IF('Sản phẩm'!D12&lt;&gt;"",'Sản phẩm'!D12,"")</f>
        <v>Choco Ball - Size M</v>
      </c>
      <c r="X11" s="36"/>
      <c r="Y11" s="36"/>
      <c r="Z11" s="36"/>
    </row>
    <row r="12">
      <c r="A12" s="63">
        <f t="array" ref="A12">IF(B12="","",INDEX('Bán nhanh'!$A$4:$A$103,INT((ROW()-4)/10)+1))</f>
        <v>46224</v>
      </c>
      <c r="B12" s="64" t="str">
        <f t="array" ref="B12">IF(OR(INDEX('Bán nhanh'!$D$3:$M$3,1,MOD(ROW()-4,10)+1)="",INDEX('Bán nhanh'!$D$4:$M$103,INT((ROW()-4)/10)+1,MOD(ROW()-4,10)+1)&lt;=0),"",INDEX('Bán nhanh'!$D$3:$M$3,1,MOD(ROW()-4,10)+1))</f>
        <v>Choco Ball - Size M</v>
      </c>
      <c r="C12" s="65" t="str">
        <f t="array" ref="C12">IFERROR(INDEX('Sản phẩm'!$A$4:$A$103,MATCH(B12,'Sản phẩm'!$D$4:$D$103,0)),"")</f>
        <v>M-CHOCO</v>
      </c>
      <c r="D12" s="64" t="str">
        <f t="array" ref="D12">IF(B12="","",INDEX('Bán nhanh'!$B$4:$B$103,INT((ROW()-4)/10)+1))</f>
        <v>Mẻ test 15L</v>
      </c>
      <c r="E12" s="65" t="str">
        <f t="array" ref="E12">IFERROR(INDEX('Mẻ sữa'!$B$4:$B$203,MATCH(D12,'Mẻ sữa'!$C$4:$C$203,0)),"")</f>
        <v>ME-001</v>
      </c>
      <c r="F12" s="69">
        <v>0.0</v>
      </c>
      <c r="G12" s="46">
        <f t="array" ref="G12">IFERROR(INDEX('Sản phẩm'!$F$4:$F$103,MATCH(B12,'Sản phẩm'!$D$4:$D$103,0)),0)</f>
        <v>35000</v>
      </c>
      <c r="H12" s="67">
        <f t="shared" si="5"/>
        <v>0</v>
      </c>
      <c r="I12" s="46">
        <f t="shared" si="1"/>
        <v>0</v>
      </c>
      <c r="J12" s="46">
        <f t="array" ref="J12">IFERROR(INDEX('Sản phẩm'!$G$4:$G$103,MATCH(B12,'Sản phẩm'!$D$4:$D$103,0)),0)</f>
        <v>400</v>
      </c>
      <c r="K12" s="46">
        <f t="array" ref="K12">IFERROR(J12*INDEX('Mẻ sữa'!$N$4:$N$203,MATCH(D12,'Mẻ sữa'!$C$4:$C$203,0)),0)</f>
        <v>11862.08333</v>
      </c>
      <c r="L12" s="46">
        <f t="array" ref="L12">IFERROR(INDEX('Sản phẩm'!$I$4:$I$103,MATCH(B12,'Sản phẩm'!$D$4:$D$103,0)),0)</f>
        <v>4280000</v>
      </c>
      <c r="M12" s="46">
        <f t="array" ref="M12">IFERROR(INDEX('Sản phẩm'!$J$4:$J$103,MATCH(B12,'Sản phẩm'!$D$4:$D$103,0)),0)</f>
        <v>900</v>
      </c>
      <c r="N12" s="46">
        <f>IF(B12="",0,(K12+L12+M12)*'Thiết lập'!$B$8)</f>
        <v>214638.1042</v>
      </c>
      <c r="O12" s="46">
        <f t="shared" si="2"/>
        <v>4507400.188</v>
      </c>
      <c r="P12" s="46">
        <f t="shared" si="3"/>
        <v>0</v>
      </c>
      <c r="Q12" s="46">
        <f t="shared" si="4"/>
        <v>0</v>
      </c>
      <c r="R12" s="64" t="str">
        <f t="array" ref="R12">IF(B12="","",INDEX('Bán nhanh'!$C$4:$C$103,INT((ROW()-4)/10)+1))</f>
        <v>Tiền mặt</v>
      </c>
      <c r="S12" s="64" t="str">
        <f t="array" ref="S12">IF(B12="","",INDEX('Bán nhanh'!$P$4:$P$103,INT((ROW()-4)/10)+1))</f>
        <v>Dòng mẫu — có thể sửa hoặc xóa</v>
      </c>
      <c r="T12" s="58"/>
      <c r="U12" s="60" t="str">
        <f>IF('Mẻ sữa'!C13&lt;&gt;"",'Mẻ sữa'!C13,"")</f>
        <v/>
      </c>
      <c r="V12" s="68"/>
      <c r="W12" s="60" t="str">
        <f>IF('Sản phẩm'!D13&lt;&gt;"",'Sản phẩm'!D13,"")</f>
        <v>Choco Ball - Size L</v>
      </c>
      <c r="X12" s="36"/>
      <c r="Y12" s="36"/>
      <c r="Z12" s="36"/>
    </row>
    <row r="13">
      <c r="A13" s="70" t="str">
        <f t="array" ref="A13">IF(B13="","",INDEX('Bán nhanh'!$A$4:$A$103,INT((ROW()-4)/10)+1))</f>
        <v/>
      </c>
      <c r="B13" s="71" t="str">
        <f t="array" ref="B13">IF(OR(INDEX('Bán nhanh'!$D$3:$M$3,1,MOD(ROW()-4,10)+1)="",INDEX('Bán nhanh'!$D$4:$M$103,INT((ROW()-4)/10)+1,MOD(ROW()-4,10)+1)&lt;=0),"",INDEX('Bán nhanh'!$D$3:$M$3,1,MOD(ROW()-4,10)+1))</f>
        <v/>
      </c>
      <c r="C13" s="58" t="str">
        <f t="array" ref="C13">IFERROR(INDEX('Sản phẩm'!$A$4:$A$103,MATCH(B13,'Sản phẩm'!$D$4:$D$103,0)),"")</f>
        <v/>
      </c>
      <c r="D13" s="71" t="str">
        <f t="array" ref="D13">IF(B13="","",INDEX('Bán nhanh'!$B$4:$B$103,INT((ROW()-4)/10)+1))</f>
        <v/>
      </c>
      <c r="E13" s="58" t="str">
        <f t="array" ref="E13">IFERROR(INDEX('Mẻ sữa'!$B$4:$B$203,MATCH(D13,'Mẻ sữa'!$C$4:$C$203,0)),"")</f>
        <v/>
      </c>
      <c r="F13" s="66">
        <f t="array" ref="F13">IF(B13="",0,INDEX('Bán nhanh'!$D$4:$M$103,INT((ROW()-4)/10)+1,MOD(ROW()-4,10)+1))</f>
        <v>0</v>
      </c>
      <c r="G13" s="46">
        <f t="array" ref="G13">IFERROR(INDEX('Sản phẩm'!$F$4:$F$103,MATCH(B13,'Sản phẩm'!$D$4:$D$103,0)),0)</f>
        <v>0</v>
      </c>
      <c r="H13" s="67">
        <f t="shared" si="5"/>
        <v>0</v>
      </c>
      <c r="I13" s="46">
        <f t="shared" si="1"/>
        <v>0</v>
      </c>
      <c r="J13" s="46">
        <f t="array" ref="J13">IFERROR(INDEX('Sản phẩm'!$G$4:$G$103,MATCH(B13,'Sản phẩm'!$D$4:$D$103,0)),0)</f>
        <v>0</v>
      </c>
      <c r="K13" s="46">
        <f t="array" ref="K13">IFERROR(J13*INDEX('Mẻ sữa'!$N$4:$N$203,MATCH(D13,'Mẻ sữa'!$C$4:$C$203,0)),0)</f>
        <v>0</v>
      </c>
      <c r="L13" s="46">
        <f t="array" ref="L13">IFERROR(INDEX('Sản phẩm'!$I$4:$I$103,MATCH(B13,'Sản phẩm'!$D$4:$D$103,0)),0)</f>
        <v>0</v>
      </c>
      <c r="M13" s="72" t="str">
        <f t="array" ref="M13">IFERROR(INDEX('Sản phẩm'!$J$4:$J$103,MATCH(B13,'Sản phẩm'!$D$4:$D$103,0)),0)</f>
        <v/>
      </c>
      <c r="N13" s="46">
        <f>IF(B13="",0,(K13+L13+M13)*'Thiết lập'!$B$8)</f>
        <v>0</v>
      </c>
      <c r="O13" s="46">
        <f t="shared" si="2"/>
        <v>0</v>
      </c>
      <c r="P13" s="46">
        <f t="shared" si="3"/>
        <v>0</v>
      </c>
      <c r="Q13" s="46">
        <f t="shared" si="4"/>
        <v>0</v>
      </c>
      <c r="R13" s="71" t="str">
        <f t="array" ref="R13">IF(B13="","",INDEX('Bán nhanh'!$C$4:$C$103,INT((ROW()-4)/10)+1))</f>
        <v/>
      </c>
      <c r="S13" s="71" t="str">
        <f t="array" ref="S13">IF(B13="","",INDEX('Bán nhanh'!$P$4:$P$103,INT((ROW()-4)/10)+1))</f>
        <v/>
      </c>
      <c r="T13" s="58"/>
      <c r="U13" s="60" t="str">
        <f>IF('Mẻ sữa'!C14&lt;&gt;"",'Mẻ sữa'!C14,"")</f>
        <v/>
      </c>
      <c r="V13" s="68"/>
      <c r="W13" s="60" t="str">
        <f>IF('Sản phẩm'!D14&lt;&gt;"",'Sản phẩm'!D14,"")</f>
        <v/>
      </c>
      <c r="X13" s="36"/>
      <c r="Y13" s="36"/>
      <c r="Z13" s="36"/>
    </row>
    <row r="14">
      <c r="A14" s="70" t="str">
        <f t="array" ref="A14">IF(B14="","",INDEX('Bán nhanh'!$A$4:$A$103,INT((ROW()-4)/10)+1))</f>
        <v/>
      </c>
      <c r="B14" s="71" t="str">
        <f t="array" ref="B14">IF(OR(INDEX('Bán nhanh'!$D$3:$M$3,1,MOD(ROW()-4,10)+1)="",INDEX('Bán nhanh'!$D$4:$M$103,INT((ROW()-4)/10)+1,MOD(ROW()-4,10)+1)&lt;=0),"",INDEX('Bán nhanh'!$D$3:$M$3,1,MOD(ROW()-4,10)+1))</f>
        <v/>
      </c>
      <c r="C14" s="58" t="str">
        <f t="array" ref="C14">IFERROR(INDEX('Sản phẩm'!$A$4:$A$103,MATCH(B14,'Sản phẩm'!$D$4:$D$103,0)),"")</f>
        <v/>
      </c>
      <c r="D14" s="71" t="str">
        <f t="array" ref="D14">IF(B14="","",INDEX('Bán nhanh'!$B$4:$B$103,INT((ROW()-4)/10)+1))</f>
        <v/>
      </c>
      <c r="E14" s="58" t="str">
        <f t="array" ref="E14">IFERROR(INDEX('Mẻ sữa'!$B$4:$B$203,MATCH(D14,'Mẻ sữa'!$C$4:$C$203,0)),"")</f>
        <v/>
      </c>
      <c r="F14" s="66">
        <f t="array" ref="F14">IF(B14="",0,INDEX('Bán nhanh'!$D$4:$M$103,INT((ROW()-4)/10)+1,MOD(ROW()-4,10)+1))</f>
        <v>0</v>
      </c>
      <c r="G14" s="46">
        <f t="array" ref="G14">IFERROR(INDEX('Sản phẩm'!$F$4:$F$103,MATCH(B14,'Sản phẩm'!$D$4:$D$103,0)),0)</f>
        <v>0</v>
      </c>
      <c r="H14" s="67">
        <f t="shared" si="5"/>
        <v>0</v>
      </c>
      <c r="I14" s="46">
        <f t="shared" si="1"/>
        <v>0</v>
      </c>
      <c r="J14" s="46">
        <f t="array" ref="J14">IFERROR(INDEX('Sản phẩm'!$G$4:$G$103,MATCH(B14,'Sản phẩm'!$D$4:$D$103,0)),0)</f>
        <v>0</v>
      </c>
      <c r="K14" s="46">
        <f t="array" ref="K14">IFERROR(J14*INDEX('Mẻ sữa'!$N$4:$N$203,MATCH(D14,'Mẻ sữa'!$C$4:$C$203,0)),0)</f>
        <v>0</v>
      </c>
      <c r="L14" s="46">
        <f t="array" ref="L14">IFERROR(INDEX('Sản phẩm'!$I$4:$I$103,MATCH(B14,'Sản phẩm'!$D$4:$D$103,0)),0)</f>
        <v>0</v>
      </c>
      <c r="M14" s="72" t="str">
        <f t="array" ref="M14">IFERROR(INDEX('Sản phẩm'!$J$4:$J$103,MATCH(B14,'Sản phẩm'!$D$4:$D$103,0)),0)</f>
        <v/>
      </c>
      <c r="N14" s="46">
        <f>IF(B14="",0,(K14+L14+M14)*'Thiết lập'!$B$8)</f>
        <v>0</v>
      </c>
      <c r="O14" s="46">
        <f t="shared" si="2"/>
        <v>0</v>
      </c>
      <c r="P14" s="46">
        <f t="shared" si="3"/>
        <v>0</v>
      </c>
      <c r="Q14" s="46">
        <f t="shared" si="4"/>
        <v>0</v>
      </c>
      <c r="R14" s="71" t="str">
        <f t="array" ref="R14">IF(B14="","",INDEX('Bán nhanh'!$C$4:$C$103,INT((ROW()-4)/10)+1))</f>
        <v/>
      </c>
      <c r="S14" s="71" t="str">
        <f t="array" ref="S14">IF(B14="","",INDEX('Bán nhanh'!$P$4:$P$103,INT((ROW()-4)/10)+1))</f>
        <v/>
      </c>
      <c r="T14" s="58"/>
      <c r="U14" s="60" t="str">
        <f>IF('Mẻ sữa'!C15&lt;&gt;"",'Mẻ sữa'!C15,"")</f>
        <v/>
      </c>
      <c r="V14" s="68"/>
      <c r="W14" s="60" t="str">
        <f>IF('Sản phẩm'!D15&lt;&gt;"",'Sản phẩm'!D15,"")</f>
        <v/>
      </c>
      <c r="X14" s="36"/>
      <c r="Y14" s="36"/>
      <c r="Z14" s="36"/>
    </row>
    <row r="15">
      <c r="A15" s="70" t="str">
        <f t="array" ref="A15">IF(B15="","",INDEX('Bán nhanh'!$A$4:$A$103,INT((ROW()-4)/10)+1))</f>
        <v/>
      </c>
      <c r="B15" s="71" t="str">
        <f t="array" ref="B15">IF(OR(INDEX('Bán nhanh'!$D$3:$M$3,1,MOD(ROW()-4,10)+1)="",INDEX('Bán nhanh'!$D$4:$M$103,INT((ROW()-4)/10)+1,MOD(ROW()-4,10)+1)&lt;=0),"",INDEX('Bán nhanh'!$D$3:$M$3,1,MOD(ROW()-4,10)+1))</f>
        <v/>
      </c>
      <c r="C15" s="58" t="str">
        <f t="array" ref="C15">IFERROR(INDEX('Sản phẩm'!$A$4:$A$103,MATCH(B15,'Sản phẩm'!$D$4:$D$103,0)),"")</f>
        <v/>
      </c>
      <c r="D15" s="71" t="str">
        <f t="array" ref="D15">IF(B15="","",INDEX('Bán nhanh'!$B$4:$B$103,INT((ROW()-4)/10)+1))</f>
        <v/>
      </c>
      <c r="E15" s="58" t="str">
        <f t="array" ref="E15">IFERROR(INDEX('Mẻ sữa'!$B$4:$B$203,MATCH(D15,'Mẻ sữa'!$C$4:$C$203,0)),"")</f>
        <v/>
      </c>
      <c r="F15" s="66">
        <f t="array" ref="F15">IF(B15="",0,INDEX('Bán nhanh'!$D$4:$M$103,INT((ROW()-4)/10)+1,MOD(ROW()-4,10)+1))</f>
        <v>0</v>
      </c>
      <c r="G15" s="46">
        <f t="array" ref="G15">IFERROR(INDEX('Sản phẩm'!$F$4:$F$103,MATCH(B15,'Sản phẩm'!$D$4:$D$103,0)),0)</f>
        <v>0</v>
      </c>
      <c r="H15" s="67">
        <f t="shared" si="5"/>
        <v>0</v>
      </c>
      <c r="I15" s="46">
        <f t="shared" si="1"/>
        <v>0</v>
      </c>
      <c r="J15" s="46">
        <f t="array" ref="J15">IFERROR(INDEX('Sản phẩm'!$G$4:$G$103,MATCH(B15,'Sản phẩm'!$D$4:$D$103,0)),0)</f>
        <v>0</v>
      </c>
      <c r="K15" s="46">
        <f t="array" ref="K15">IFERROR(J15*INDEX('Mẻ sữa'!$N$4:$N$203,MATCH(D15,'Mẻ sữa'!$C$4:$C$203,0)),0)</f>
        <v>0</v>
      </c>
      <c r="L15" s="46">
        <f t="array" ref="L15">IFERROR(INDEX('Sản phẩm'!$I$4:$I$103,MATCH(B15,'Sản phẩm'!$D$4:$D$103,0)),0)</f>
        <v>0</v>
      </c>
      <c r="M15" s="72" t="str">
        <f t="array" ref="M15">IFERROR(INDEX('Sản phẩm'!$J$4:$J$103,MATCH(B15,'Sản phẩm'!$D$4:$D$103,0)),0)</f>
        <v/>
      </c>
      <c r="N15" s="46">
        <f>IF(B15="",0,(K15+L15+M15)*'Thiết lập'!$B$8)</f>
        <v>0</v>
      </c>
      <c r="O15" s="46">
        <f t="shared" si="2"/>
        <v>0</v>
      </c>
      <c r="P15" s="46">
        <f t="shared" si="3"/>
        <v>0</v>
      </c>
      <c r="Q15" s="46">
        <f t="shared" si="4"/>
        <v>0</v>
      </c>
      <c r="R15" s="71" t="str">
        <f t="array" ref="R15">IF(B15="","",INDEX('Bán nhanh'!$C$4:$C$103,INT((ROW()-4)/10)+1))</f>
        <v/>
      </c>
      <c r="S15" s="71" t="str">
        <f t="array" ref="S15">IF(B15="","",INDEX('Bán nhanh'!$P$4:$P$103,INT((ROW()-4)/10)+1))</f>
        <v/>
      </c>
      <c r="T15" s="58"/>
      <c r="U15" s="60" t="str">
        <f>IF('Mẻ sữa'!C16&lt;&gt;"",'Mẻ sữa'!C16,"")</f>
        <v/>
      </c>
      <c r="V15" s="68"/>
      <c r="W15" s="60" t="str">
        <f>IF('Sản phẩm'!D16&lt;&gt;"",'Sản phẩm'!D16,"")</f>
        <v/>
      </c>
      <c r="X15" s="36"/>
      <c r="Y15" s="36"/>
      <c r="Z15" s="36"/>
    </row>
    <row r="16">
      <c r="A16" s="70" t="str">
        <f t="array" ref="A16">IF(B16="","",INDEX('Bán nhanh'!$A$4:$A$103,INT((ROW()-4)/10)+1))</f>
        <v/>
      </c>
      <c r="B16" s="71" t="str">
        <f t="array" ref="B16">IF(OR(INDEX('Bán nhanh'!$D$3:$M$3,1,MOD(ROW()-4,10)+1)="",INDEX('Bán nhanh'!$D$4:$M$103,INT((ROW()-4)/10)+1,MOD(ROW()-4,10)+1)&lt;=0),"",INDEX('Bán nhanh'!$D$3:$M$3,1,MOD(ROW()-4,10)+1))</f>
        <v/>
      </c>
      <c r="C16" s="58" t="str">
        <f t="array" ref="C16">IFERROR(INDEX('Sản phẩm'!$A$4:$A$103,MATCH(B16,'Sản phẩm'!$D$4:$D$103,0)),"")</f>
        <v/>
      </c>
      <c r="D16" s="71" t="str">
        <f t="array" ref="D16">IF(B16="","",INDEX('Bán nhanh'!$B$4:$B$103,INT((ROW()-4)/10)+1))</f>
        <v/>
      </c>
      <c r="E16" s="58" t="str">
        <f t="array" ref="E16">IFERROR(INDEX('Mẻ sữa'!$B$4:$B$203,MATCH(D16,'Mẻ sữa'!$C$4:$C$203,0)),"")</f>
        <v/>
      </c>
      <c r="F16" s="66">
        <f t="array" ref="F16">IF(B16="",0,INDEX('Bán nhanh'!$D$4:$M$103,INT((ROW()-4)/10)+1,MOD(ROW()-4,10)+1))</f>
        <v>0</v>
      </c>
      <c r="G16" s="46">
        <f t="array" ref="G16">IFERROR(INDEX('Sản phẩm'!$F$4:$F$103,MATCH(B16,'Sản phẩm'!$D$4:$D$103,0)),0)</f>
        <v>0</v>
      </c>
      <c r="H16" s="67">
        <f t="shared" si="5"/>
        <v>0</v>
      </c>
      <c r="I16" s="46">
        <f t="shared" si="1"/>
        <v>0</v>
      </c>
      <c r="J16" s="46">
        <f t="array" ref="J16">IFERROR(INDEX('Sản phẩm'!$G$4:$G$103,MATCH(B16,'Sản phẩm'!$D$4:$D$103,0)),0)</f>
        <v>0</v>
      </c>
      <c r="K16" s="46">
        <f t="array" ref="K16">IFERROR(J16*INDEX('Mẻ sữa'!$N$4:$N$203,MATCH(D16,'Mẻ sữa'!$C$4:$C$203,0)),0)</f>
        <v>0</v>
      </c>
      <c r="L16" s="46">
        <f t="array" ref="L16">IFERROR(INDEX('Sản phẩm'!$I$4:$I$103,MATCH(B16,'Sản phẩm'!$D$4:$D$103,0)),0)</f>
        <v>0</v>
      </c>
      <c r="M16" s="72" t="str">
        <f t="array" ref="M16">IFERROR(INDEX('Sản phẩm'!$J$4:$J$103,MATCH(B16,'Sản phẩm'!$D$4:$D$103,0)),0)</f>
        <v/>
      </c>
      <c r="N16" s="46">
        <f>IF(B16="",0,(K16+L16+M16)*'Thiết lập'!$B$8)</f>
        <v>0</v>
      </c>
      <c r="O16" s="46">
        <f t="shared" si="2"/>
        <v>0</v>
      </c>
      <c r="P16" s="46">
        <f t="shared" si="3"/>
        <v>0</v>
      </c>
      <c r="Q16" s="46">
        <f t="shared" si="4"/>
        <v>0</v>
      </c>
      <c r="R16" s="71" t="str">
        <f t="array" ref="R16">IF(B16="","",INDEX('Bán nhanh'!$C$4:$C$103,INT((ROW()-4)/10)+1))</f>
        <v/>
      </c>
      <c r="S16" s="71" t="str">
        <f t="array" ref="S16">IF(B16="","",INDEX('Bán nhanh'!$P$4:$P$103,INT((ROW()-4)/10)+1))</f>
        <v/>
      </c>
      <c r="T16" s="58"/>
      <c r="U16" s="60" t="str">
        <f>IF('Mẻ sữa'!C17&lt;&gt;"",'Mẻ sữa'!C17,"")</f>
        <v/>
      </c>
      <c r="V16" s="68"/>
      <c r="W16" s="60" t="str">
        <f>IF('Sản phẩm'!D17&lt;&gt;"",'Sản phẩm'!D17,"")</f>
        <v/>
      </c>
      <c r="X16" s="36"/>
      <c r="Y16" s="36"/>
      <c r="Z16" s="36"/>
    </row>
    <row r="17">
      <c r="A17" s="70" t="str">
        <f t="array" ref="A17">IF(B17="","",INDEX('Bán nhanh'!$A$4:$A$103,INT((ROW()-4)/10)+1))</f>
        <v/>
      </c>
      <c r="B17" s="71" t="str">
        <f t="array" ref="B17">IF(OR(INDEX('Bán nhanh'!$D$3:$M$3,1,MOD(ROW()-4,10)+1)="",INDEX('Bán nhanh'!$D$4:$M$103,INT((ROW()-4)/10)+1,MOD(ROW()-4,10)+1)&lt;=0),"",INDEX('Bán nhanh'!$D$3:$M$3,1,MOD(ROW()-4,10)+1))</f>
        <v/>
      </c>
      <c r="C17" s="58" t="str">
        <f t="array" ref="C17">IFERROR(INDEX('Sản phẩm'!$A$4:$A$103,MATCH(B17,'Sản phẩm'!$D$4:$D$103,0)),"")</f>
        <v/>
      </c>
      <c r="D17" s="71" t="str">
        <f t="array" ref="D17">IF(B17="","",INDEX('Bán nhanh'!$B$4:$B$103,INT((ROW()-4)/10)+1))</f>
        <v/>
      </c>
      <c r="E17" s="58" t="str">
        <f t="array" ref="E17">IFERROR(INDEX('Mẻ sữa'!$B$4:$B$203,MATCH(D17,'Mẻ sữa'!$C$4:$C$203,0)),"")</f>
        <v/>
      </c>
      <c r="F17" s="66">
        <f t="array" ref="F17">IF(B17="",0,INDEX('Bán nhanh'!$D$4:$M$103,INT((ROW()-4)/10)+1,MOD(ROW()-4,10)+1))</f>
        <v>0</v>
      </c>
      <c r="G17" s="46">
        <f t="array" ref="G17">IFERROR(INDEX('Sản phẩm'!$F$4:$F$103,MATCH(B17,'Sản phẩm'!$D$4:$D$103,0)),0)</f>
        <v>0</v>
      </c>
      <c r="H17" s="67">
        <f t="shared" si="5"/>
        <v>0</v>
      </c>
      <c r="I17" s="46">
        <f t="shared" si="1"/>
        <v>0</v>
      </c>
      <c r="J17" s="46">
        <f t="array" ref="J17">IFERROR(INDEX('Sản phẩm'!$G$4:$G$103,MATCH(B17,'Sản phẩm'!$D$4:$D$103,0)),0)</f>
        <v>0</v>
      </c>
      <c r="K17" s="46">
        <f t="array" ref="K17">IFERROR(J17*INDEX('Mẻ sữa'!$N$4:$N$203,MATCH(D17,'Mẻ sữa'!$C$4:$C$203,0)),0)</f>
        <v>0</v>
      </c>
      <c r="L17" s="46">
        <f t="array" ref="L17">IFERROR(INDEX('Sản phẩm'!$I$4:$I$103,MATCH(B17,'Sản phẩm'!$D$4:$D$103,0)),0)</f>
        <v>0</v>
      </c>
      <c r="M17" s="72" t="str">
        <f t="array" ref="M17">IFERROR(INDEX('Sản phẩm'!$J$4:$J$103,MATCH(B17,'Sản phẩm'!$D$4:$D$103,0)),0)</f>
        <v/>
      </c>
      <c r="N17" s="46">
        <f>IF(B17="",0,(K17+L17+M17)*'Thiết lập'!$B$8)</f>
        <v>0</v>
      </c>
      <c r="O17" s="46">
        <f t="shared" si="2"/>
        <v>0</v>
      </c>
      <c r="P17" s="46">
        <f t="shared" si="3"/>
        <v>0</v>
      </c>
      <c r="Q17" s="46">
        <f t="shared" si="4"/>
        <v>0</v>
      </c>
      <c r="R17" s="71" t="str">
        <f t="array" ref="R17">IF(B17="","",INDEX('Bán nhanh'!$C$4:$C$103,INT((ROW()-4)/10)+1))</f>
        <v/>
      </c>
      <c r="S17" s="71" t="str">
        <f t="array" ref="S17">IF(B17="","",INDEX('Bán nhanh'!$P$4:$P$103,INT((ROW()-4)/10)+1))</f>
        <v/>
      </c>
      <c r="T17" s="58"/>
      <c r="U17" s="60" t="str">
        <f>IF('Mẻ sữa'!C18&lt;&gt;"",'Mẻ sữa'!C18,"")</f>
        <v/>
      </c>
      <c r="V17" s="68"/>
      <c r="W17" s="60" t="str">
        <f>IF('Sản phẩm'!D18&lt;&gt;"",'Sản phẩm'!D18,"")</f>
        <v/>
      </c>
      <c r="X17" s="36"/>
      <c r="Y17" s="36"/>
      <c r="Z17" s="36"/>
    </row>
    <row r="18">
      <c r="A18" s="70" t="str">
        <f t="array" ref="A18">IF(B18="","",INDEX('Bán nhanh'!$A$4:$A$103,INT((ROW()-4)/10)+1))</f>
        <v/>
      </c>
      <c r="B18" s="71" t="str">
        <f t="array" ref="B18">IF(OR(INDEX('Bán nhanh'!$D$3:$M$3,1,MOD(ROW()-4,10)+1)="",INDEX('Bán nhanh'!$D$4:$M$103,INT((ROW()-4)/10)+1,MOD(ROW()-4,10)+1)&lt;=0),"",INDEX('Bán nhanh'!$D$3:$M$3,1,MOD(ROW()-4,10)+1))</f>
        <v/>
      </c>
      <c r="C18" s="58" t="str">
        <f t="array" ref="C18">IFERROR(INDEX('Sản phẩm'!$A$4:$A$103,MATCH(B18,'Sản phẩm'!$D$4:$D$103,0)),"")</f>
        <v/>
      </c>
      <c r="D18" s="71" t="str">
        <f t="array" ref="D18">IF(B18="","",INDEX('Bán nhanh'!$B$4:$B$103,INT((ROW()-4)/10)+1))</f>
        <v/>
      </c>
      <c r="E18" s="58" t="str">
        <f t="array" ref="E18">IFERROR(INDEX('Mẻ sữa'!$B$4:$B$203,MATCH(D18,'Mẻ sữa'!$C$4:$C$203,0)),"")</f>
        <v/>
      </c>
      <c r="F18" s="66">
        <f t="array" ref="F18">IF(B18="",0,INDEX('Bán nhanh'!$D$4:$M$103,INT((ROW()-4)/10)+1,MOD(ROW()-4,10)+1))</f>
        <v>0</v>
      </c>
      <c r="G18" s="46">
        <f t="array" ref="G18">IFERROR(INDEX('Sản phẩm'!$F$4:$F$103,MATCH(B18,'Sản phẩm'!$D$4:$D$103,0)),0)</f>
        <v>0</v>
      </c>
      <c r="H18" s="67">
        <f t="shared" si="5"/>
        <v>0</v>
      </c>
      <c r="I18" s="46">
        <f t="shared" si="1"/>
        <v>0</v>
      </c>
      <c r="J18" s="46">
        <f t="array" ref="J18">IFERROR(INDEX('Sản phẩm'!$G$4:$G$103,MATCH(B18,'Sản phẩm'!$D$4:$D$103,0)),0)</f>
        <v>0</v>
      </c>
      <c r="K18" s="46">
        <f t="array" ref="K18">IFERROR(J18*INDEX('Mẻ sữa'!$N$4:$N$203,MATCH(D18,'Mẻ sữa'!$C$4:$C$203,0)),0)</f>
        <v>0</v>
      </c>
      <c r="L18" s="46">
        <f t="array" ref="L18">IFERROR(INDEX('Sản phẩm'!$I$4:$I$103,MATCH(B18,'Sản phẩm'!$D$4:$D$103,0)),0)</f>
        <v>0</v>
      </c>
      <c r="M18" s="72" t="str">
        <f t="array" ref="M18">IFERROR(INDEX('Sản phẩm'!$J$4:$J$103,MATCH(B18,'Sản phẩm'!$D$4:$D$103,0)),0)</f>
        <v/>
      </c>
      <c r="N18" s="46">
        <f>IF(B18="",0,(K18+L18+M18)*'Thiết lập'!$B$8)</f>
        <v>0</v>
      </c>
      <c r="O18" s="46">
        <f t="shared" si="2"/>
        <v>0</v>
      </c>
      <c r="P18" s="46">
        <f t="shared" si="3"/>
        <v>0</v>
      </c>
      <c r="Q18" s="46">
        <f t="shared" si="4"/>
        <v>0</v>
      </c>
      <c r="R18" s="71" t="str">
        <f t="array" ref="R18">IF(B18="","",INDEX('Bán nhanh'!$C$4:$C$103,INT((ROW()-4)/10)+1))</f>
        <v/>
      </c>
      <c r="S18" s="71" t="str">
        <f t="array" ref="S18">IF(B18="","",INDEX('Bán nhanh'!$P$4:$P$103,INT((ROW()-4)/10)+1))</f>
        <v/>
      </c>
      <c r="T18" s="58"/>
      <c r="U18" s="60" t="str">
        <f>IF('Mẻ sữa'!C19&lt;&gt;"",'Mẻ sữa'!C19,"")</f>
        <v/>
      </c>
      <c r="V18" s="68"/>
      <c r="W18" s="60" t="str">
        <f>IF('Sản phẩm'!D19&lt;&gt;"",'Sản phẩm'!D19,"")</f>
        <v/>
      </c>
      <c r="X18" s="36"/>
      <c r="Y18" s="36"/>
      <c r="Z18" s="36"/>
    </row>
    <row r="19">
      <c r="A19" s="70" t="str">
        <f t="array" ref="A19">IF(B19="","",INDEX('Bán nhanh'!$A$4:$A$103,INT((ROW()-4)/10)+1))</f>
        <v/>
      </c>
      <c r="B19" s="71" t="str">
        <f t="array" ref="B19">IF(OR(INDEX('Bán nhanh'!$D$3:$M$3,1,MOD(ROW()-4,10)+1)="",INDEX('Bán nhanh'!$D$4:$M$103,INT((ROW()-4)/10)+1,MOD(ROW()-4,10)+1)&lt;=0),"",INDEX('Bán nhanh'!$D$3:$M$3,1,MOD(ROW()-4,10)+1))</f>
        <v/>
      </c>
      <c r="C19" s="58" t="str">
        <f t="array" ref="C19">IFERROR(INDEX('Sản phẩm'!$A$4:$A$103,MATCH(B19,'Sản phẩm'!$D$4:$D$103,0)),"")</f>
        <v/>
      </c>
      <c r="D19" s="71" t="str">
        <f t="array" ref="D19">IF(B19="","",INDEX('Bán nhanh'!$B$4:$B$103,INT((ROW()-4)/10)+1))</f>
        <v/>
      </c>
      <c r="E19" s="58" t="str">
        <f t="array" ref="E19">IFERROR(INDEX('Mẻ sữa'!$B$4:$B$203,MATCH(D19,'Mẻ sữa'!$C$4:$C$203,0)),"")</f>
        <v/>
      </c>
      <c r="F19" s="66">
        <f t="array" ref="F19">IF(B19="",0,INDEX('Bán nhanh'!$D$4:$M$103,INT((ROW()-4)/10)+1,MOD(ROW()-4,10)+1))</f>
        <v>0</v>
      </c>
      <c r="G19" s="46">
        <f t="array" ref="G19">IFERROR(INDEX('Sản phẩm'!$F$4:$F$103,MATCH(B19,'Sản phẩm'!$D$4:$D$103,0)),0)</f>
        <v>0</v>
      </c>
      <c r="H19" s="67">
        <f t="shared" si="5"/>
        <v>0</v>
      </c>
      <c r="I19" s="46">
        <f t="shared" si="1"/>
        <v>0</v>
      </c>
      <c r="J19" s="46">
        <f t="array" ref="J19">IFERROR(INDEX('Sản phẩm'!$G$4:$G$103,MATCH(B19,'Sản phẩm'!$D$4:$D$103,0)),0)</f>
        <v>0</v>
      </c>
      <c r="K19" s="46">
        <f t="array" ref="K19">IFERROR(J19*INDEX('Mẻ sữa'!$N$4:$N$203,MATCH(D19,'Mẻ sữa'!$C$4:$C$203,0)),0)</f>
        <v>0</v>
      </c>
      <c r="L19" s="46">
        <f t="array" ref="L19">IFERROR(INDEX('Sản phẩm'!$I$4:$I$103,MATCH(B19,'Sản phẩm'!$D$4:$D$103,0)),0)</f>
        <v>0</v>
      </c>
      <c r="M19" s="72" t="str">
        <f t="array" ref="M19">IFERROR(INDEX('Sản phẩm'!$J$4:$J$103,MATCH(B19,'Sản phẩm'!$D$4:$D$103,0)),0)</f>
        <v/>
      </c>
      <c r="N19" s="46">
        <f>IF(B19="",0,(K19+L19+M19)*'Thiết lập'!$B$8)</f>
        <v>0</v>
      </c>
      <c r="O19" s="46">
        <f t="shared" si="2"/>
        <v>0</v>
      </c>
      <c r="P19" s="46">
        <f t="shared" si="3"/>
        <v>0</v>
      </c>
      <c r="Q19" s="46">
        <f t="shared" si="4"/>
        <v>0</v>
      </c>
      <c r="R19" s="71" t="str">
        <f t="array" ref="R19">IF(B19="","",INDEX('Bán nhanh'!$C$4:$C$103,INT((ROW()-4)/10)+1))</f>
        <v/>
      </c>
      <c r="S19" s="71" t="str">
        <f t="array" ref="S19">IF(B19="","",INDEX('Bán nhanh'!$P$4:$P$103,INT((ROW()-4)/10)+1))</f>
        <v/>
      </c>
      <c r="T19" s="58"/>
      <c r="U19" s="60" t="str">
        <f>IF('Mẻ sữa'!C20&lt;&gt;"",'Mẻ sữa'!C20,"")</f>
        <v/>
      </c>
      <c r="V19" s="68"/>
      <c r="W19" s="60" t="str">
        <f>IF('Sản phẩm'!D20&lt;&gt;"",'Sản phẩm'!D20,"")</f>
        <v/>
      </c>
      <c r="X19" s="36"/>
      <c r="Y19" s="36"/>
      <c r="Z19" s="36"/>
    </row>
    <row r="20">
      <c r="A20" s="70" t="str">
        <f t="array" ref="A20">IF(B20="","",INDEX('Bán nhanh'!$A$4:$A$103,INT((ROW()-4)/10)+1))</f>
        <v/>
      </c>
      <c r="B20" s="71" t="str">
        <f t="array" ref="B20">IF(OR(INDEX('Bán nhanh'!$D$3:$M$3,1,MOD(ROW()-4,10)+1)="",INDEX('Bán nhanh'!$D$4:$M$103,INT((ROW()-4)/10)+1,MOD(ROW()-4,10)+1)&lt;=0),"",INDEX('Bán nhanh'!$D$3:$M$3,1,MOD(ROW()-4,10)+1))</f>
        <v/>
      </c>
      <c r="C20" s="58" t="str">
        <f t="array" ref="C20">IFERROR(INDEX('Sản phẩm'!$A$4:$A$103,MATCH(B20,'Sản phẩm'!$D$4:$D$103,0)),"")</f>
        <v/>
      </c>
      <c r="D20" s="71" t="str">
        <f t="array" ref="D20">IF(B20="","",INDEX('Bán nhanh'!$B$4:$B$103,INT((ROW()-4)/10)+1))</f>
        <v/>
      </c>
      <c r="E20" s="58" t="str">
        <f t="array" ref="E20">IFERROR(INDEX('Mẻ sữa'!$B$4:$B$203,MATCH(D20,'Mẻ sữa'!$C$4:$C$203,0)),"")</f>
        <v/>
      </c>
      <c r="F20" s="66">
        <f t="array" ref="F20">IF(B20="",0,INDEX('Bán nhanh'!$D$4:$M$103,INT((ROW()-4)/10)+1,MOD(ROW()-4,10)+1))</f>
        <v>0</v>
      </c>
      <c r="G20" s="46">
        <f t="array" ref="G20">IFERROR(INDEX('Sản phẩm'!$F$4:$F$103,MATCH(B20,'Sản phẩm'!$D$4:$D$103,0)),0)</f>
        <v>0</v>
      </c>
      <c r="H20" s="67">
        <f t="shared" si="5"/>
        <v>0</v>
      </c>
      <c r="I20" s="46">
        <f t="shared" si="1"/>
        <v>0</v>
      </c>
      <c r="J20" s="46">
        <f t="array" ref="J20">IFERROR(INDEX('Sản phẩm'!$G$4:$G$103,MATCH(B20,'Sản phẩm'!$D$4:$D$103,0)),0)</f>
        <v>0</v>
      </c>
      <c r="K20" s="46">
        <f t="array" ref="K20">IFERROR(J20*INDEX('Mẻ sữa'!$N$4:$N$203,MATCH(D20,'Mẻ sữa'!$C$4:$C$203,0)),0)</f>
        <v>0</v>
      </c>
      <c r="L20" s="46">
        <f t="array" ref="L20">IFERROR(INDEX('Sản phẩm'!$I$4:$I$103,MATCH(B20,'Sản phẩm'!$D$4:$D$103,0)),0)</f>
        <v>0</v>
      </c>
      <c r="M20" s="72" t="str">
        <f t="array" ref="M20">IFERROR(INDEX('Sản phẩm'!$J$4:$J$103,MATCH(B20,'Sản phẩm'!$D$4:$D$103,0)),0)</f>
        <v/>
      </c>
      <c r="N20" s="46">
        <f>IF(B20="",0,(K20+L20+M20)*'Thiết lập'!$B$8)</f>
        <v>0</v>
      </c>
      <c r="O20" s="46">
        <f t="shared" si="2"/>
        <v>0</v>
      </c>
      <c r="P20" s="46">
        <f t="shared" si="3"/>
        <v>0</v>
      </c>
      <c r="Q20" s="46">
        <f t="shared" si="4"/>
        <v>0</v>
      </c>
      <c r="R20" s="71" t="str">
        <f t="array" ref="R20">IF(B20="","",INDEX('Bán nhanh'!$C$4:$C$103,INT((ROW()-4)/10)+1))</f>
        <v/>
      </c>
      <c r="S20" s="71" t="str">
        <f t="array" ref="S20">IF(B20="","",INDEX('Bán nhanh'!$P$4:$P$103,INT((ROW()-4)/10)+1))</f>
        <v/>
      </c>
      <c r="T20" s="58"/>
      <c r="U20" s="60" t="str">
        <f>IF('Mẻ sữa'!C21&lt;&gt;"",'Mẻ sữa'!C21,"")</f>
        <v/>
      </c>
      <c r="V20" s="68"/>
      <c r="W20" s="60" t="str">
        <f>IF('Sản phẩm'!D21&lt;&gt;"",'Sản phẩm'!D21,"")</f>
        <v/>
      </c>
      <c r="X20" s="36"/>
      <c r="Y20" s="36"/>
      <c r="Z20" s="36"/>
    </row>
    <row r="21" ht="15.75" customHeight="1">
      <c r="A21" s="70" t="str">
        <f t="array" ref="A21">IF(B21="","",INDEX('Bán nhanh'!$A$4:$A$103,INT((ROW()-4)/10)+1))</f>
        <v/>
      </c>
      <c r="B21" s="71" t="str">
        <f t="array" ref="B21">IF(OR(INDEX('Bán nhanh'!$D$3:$M$3,1,MOD(ROW()-4,10)+1)="",INDEX('Bán nhanh'!$D$4:$M$103,INT((ROW()-4)/10)+1,MOD(ROW()-4,10)+1)&lt;=0),"",INDEX('Bán nhanh'!$D$3:$M$3,1,MOD(ROW()-4,10)+1))</f>
        <v/>
      </c>
      <c r="C21" s="58" t="str">
        <f t="array" ref="C21">IFERROR(INDEX('Sản phẩm'!$A$4:$A$103,MATCH(B21,'Sản phẩm'!$D$4:$D$103,0)),"")</f>
        <v/>
      </c>
      <c r="D21" s="71" t="str">
        <f t="array" ref="D21">IF(B21="","",INDEX('Bán nhanh'!$B$4:$B$103,INT((ROW()-4)/10)+1))</f>
        <v/>
      </c>
      <c r="E21" s="58" t="str">
        <f t="array" ref="E21">IFERROR(INDEX('Mẻ sữa'!$B$4:$B$203,MATCH(D21,'Mẻ sữa'!$C$4:$C$203,0)),"")</f>
        <v/>
      </c>
      <c r="F21" s="66">
        <f t="array" ref="F21">IF(B21="",0,INDEX('Bán nhanh'!$D$4:$M$103,INT((ROW()-4)/10)+1,MOD(ROW()-4,10)+1))</f>
        <v>0</v>
      </c>
      <c r="G21" s="46">
        <f t="array" ref="G21">IFERROR(INDEX('Sản phẩm'!$F$4:$F$103,MATCH(B21,'Sản phẩm'!$D$4:$D$103,0)),0)</f>
        <v>0</v>
      </c>
      <c r="H21" s="67">
        <f t="shared" si="5"/>
        <v>0</v>
      </c>
      <c r="I21" s="46">
        <f t="shared" si="1"/>
        <v>0</v>
      </c>
      <c r="J21" s="46">
        <f t="array" ref="J21">IFERROR(INDEX('Sản phẩm'!$G$4:$G$103,MATCH(B21,'Sản phẩm'!$D$4:$D$103,0)),0)</f>
        <v>0</v>
      </c>
      <c r="K21" s="46">
        <f t="array" ref="K21">IFERROR(J21*INDEX('Mẻ sữa'!$N$4:$N$203,MATCH(D21,'Mẻ sữa'!$C$4:$C$203,0)),0)</f>
        <v>0</v>
      </c>
      <c r="L21" s="46">
        <f t="array" ref="L21">IFERROR(INDEX('Sản phẩm'!$I$4:$I$103,MATCH(B21,'Sản phẩm'!$D$4:$D$103,0)),0)</f>
        <v>0</v>
      </c>
      <c r="M21" s="72" t="str">
        <f t="array" ref="M21">IFERROR(INDEX('Sản phẩm'!$J$4:$J$103,MATCH(B21,'Sản phẩm'!$D$4:$D$103,0)),0)</f>
        <v/>
      </c>
      <c r="N21" s="46">
        <f>IF(B21="",0,(K21+L21+M21)*'Thiết lập'!$B$8)</f>
        <v>0</v>
      </c>
      <c r="O21" s="46">
        <f t="shared" si="2"/>
        <v>0</v>
      </c>
      <c r="P21" s="46">
        <f t="shared" si="3"/>
        <v>0</v>
      </c>
      <c r="Q21" s="46">
        <f t="shared" si="4"/>
        <v>0</v>
      </c>
      <c r="R21" s="71" t="str">
        <f t="array" ref="R21">IF(B21="","",INDEX('Bán nhanh'!$C$4:$C$103,INT((ROW()-4)/10)+1))</f>
        <v/>
      </c>
      <c r="S21" s="71" t="str">
        <f t="array" ref="S21">IF(B21="","",INDEX('Bán nhanh'!$P$4:$P$103,INT((ROW()-4)/10)+1))</f>
        <v/>
      </c>
      <c r="T21" s="58"/>
      <c r="U21" s="60" t="str">
        <f>IF('Mẻ sữa'!C22&lt;&gt;"",'Mẻ sữa'!C22,"")</f>
        <v/>
      </c>
      <c r="V21" s="68"/>
      <c r="W21" s="60" t="str">
        <f>IF('Sản phẩm'!D22&lt;&gt;"",'Sản phẩm'!D22,"")</f>
        <v/>
      </c>
      <c r="X21" s="36"/>
      <c r="Y21" s="36"/>
      <c r="Z21" s="36"/>
    </row>
    <row r="22" ht="15.75" customHeight="1">
      <c r="A22" s="70" t="str">
        <f t="array" ref="A22">IF(B22="","",INDEX('Bán nhanh'!$A$4:$A$103,INT((ROW()-4)/10)+1))</f>
        <v/>
      </c>
      <c r="B22" s="71" t="str">
        <f t="array" ref="B22">IF(OR(INDEX('Bán nhanh'!$D$3:$M$3,1,MOD(ROW()-4,10)+1)="",INDEX('Bán nhanh'!$D$4:$M$103,INT((ROW()-4)/10)+1,MOD(ROW()-4,10)+1)&lt;=0),"",INDEX('Bán nhanh'!$D$3:$M$3,1,MOD(ROW()-4,10)+1))</f>
        <v/>
      </c>
      <c r="C22" s="58" t="str">
        <f t="array" ref="C22">IFERROR(INDEX('Sản phẩm'!$A$4:$A$103,MATCH(B22,'Sản phẩm'!$D$4:$D$103,0)),"")</f>
        <v/>
      </c>
      <c r="D22" s="71" t="str">
        <f t="array" ref="D22">IF(B22="","",INDEX('Bán nhanh'!$B$4:$B$103,INT((ROW()-4)/10)+1))</f>
        <v/>
      </c>
      <c r="E22" s="58" t="str">
        <f t="array" ref="E22">IFERROR(INDEX('Mẻ sữa'!$B$4:$B$203,MATCH(D22,'Mẻ sữa'!$C$4:$C$203,0)),"")</f>
        <v/>
      </c>
      <c r="F22" s="66">
        <f t="array" ref="F22">IF(B22="",0,INDEX('Bán nhanh'!$D$4:$M$103,INT((ROW()-4)/10)+1,MOD(ROW()-4,10)+1))</f>
        <v>0</v>
      </c>
      <c r="G22" s="46">
        <f t="array" ref="G22">IFERROR(INDEX('Sản phẩm'!$F$4:$F$103,MATCH(B22,'Sản phẩm'!$D$4:$D$103,0)),0)</f>
        <v>0</v>
      </c>
      <c r="H22" s="67">
        <f t="shared" si="5"/>
        <v>0</v>
      </c>
      <c r="I22" s="46">
        <f t="shared" si="1"/>
        <v>0</v>
      </c>
      <c r="J22" s="46">
        <f t="array" ref="J22">IFERROR(INDEX('Sản phẩm'!$G$4:$G$103,MATCH(B22,'Sản phẩm'!$D$4:$D$103,0)),0)</f>
        <v>0</v>
      </c>
      <c r="K22" s="46">
        <f t="array" ref="K22">IFERROR(J22*INDEX('Mẻ sữa'!$N$4:$N$203,MATCH(D22,'Mẻ sữa'!$C$4:$C$203,0)),0)</f>
        <v>0</v>
      </c>
      <c r="L22" s="46">
        <f t="array" ref="L22">IFERROR(INDEX('Sản phẩm'!$I$4:$I$103,MATCH(B22,'Sản phẩm'!$D$4:$D$103,0)),0)</f>
        <v>0</v>
      </c>
      <c r="M22" s="72" t="str">
        <f t="array" ref="M22">IFERROR(INDEX('Sản phẩm'!$J$4:$J$103,MATCH(B22,'Sản phẩm'!$D$4:$D$103,0)),0)</f>
        <v/>
      </c>
      <c r="N22" s="46">
        <f>IF(B22="",0,(K22+L22+M22)*'Thiết lập'!$B$8)</f>
        <v>0</v>
      </c>
      <c r="O22" s="46">
        <f t="shared" si="2"/>
        <v>0</v>
      </c>
      <c r="P22" s="46">
        <f t="shared" si="3"/>
        <v>0</v>
      </c>
      <c r="Q22" s="46">
        <f t="shared" si="4"/>
        <v>0</v>
      </c>
      <c r="R22" s="71" t="str">
        <f t="array" ref="R22">IF(B22="","",INDEX('Bán nhanh'!$C$4:$C$103,INT((ROW()-4)/10)+1))</f>
        <v/>
      </c>
      <c r="S22" s="71" t="str">
        <f t="array" ref="S22">IF(B22="","",INDEX('Bán nhanh'!$P$4:$P$103,INT((ROW()-4)/10)+1))</f>
        <v/>
      </c>
      <c r="T22" s="58"/>
      <c r="U22" s="60" t="str">
        <f>IF('Mẻ sữa'!C23&lt;&gt;"",'Mẻ sữa'!C23,"")</f>
        <v/>
      </c>
      <c r="V22" s="68"/>
      <c r="W22" s="60" t="str">
        <f>IF('Sản phẩm'!D23&lt;&gt;"",'Sản phẩm'!D23,"")</f>
        <v/>
      </c>
      <c r="X22" s="36"/>
      <c r="Y22" s="36"/>
      <c r="Z22" s="36"/>
    </row>
    <row r="23" ht="15.75" customHeight="1">
      <c r="A23" s="70" t="str">
        <f t="array" ref="A23">IF(B23="","",INDEX('Bán nhanh'!$A$4:$A$103,INT((ROW()-4)/10)+1))</f>
        <v/>
      </c>
      <c r="B23" s="71" t="str">
        <f t="array" ref="B23">IF(OR(INDEX('Bán nhanh'!$D$3:$M$3,1,MOD(ROW()-4,10)+1)="",INDEX('Bán nhanh'!$D$4:$M$103,INT((ROW()-4)/10)+1,MOD(ROW()-4,10)+1)&lt;=0),"",INDEX('Bán nhanh'!$D$3:$M$3,1,MOD(ROW()-4,10)+1))</f>
        <v/>
      </c>
      <c r="C23" s="58" t="str">
        <f t="array" ref="C23">IFERROR(INDEX('Sản phẩm'!$A$4:$A$103,MATCH(B23,'Sản phẩm'!$D$4:$D$103,0)),"")</f>
        <v/>
      </c>
      <c r="D23" s="71" t="str">
        <f t="array" ref="D23">IF(B23="","",INDEX('Bán nhanh'!$B$4:$B$103,INT((ROW()-4)/10)+1))</f>
        <v/>
      </c>
      <c r="E23" s="58" t="str">
        <f t="array" ref="E23">IFERROR(INDEX('Mẻ sữa'!$B$4:$B$203,MATCH(D23,'Mẻ sữa'!$C$4:$C$203,0)),"")</f>
        <v/>
      </c>
      <c r="F23" s="66">
        <f t="array" ref="F23">IF(B23="",0,INDEX('Bán nhanh'!$D$4:$M$103,INT((ROW()-4)/10)+1,MOD(ROW()-4,10)+1))</f>
        <v>0</v>
      </c>
      <c r="G23" s="46">
        <f t="array" ref="G23">IFERROR(INDEX('Sản phẩm'!$F$4:$F$103,MATCH(B23,'Sản phẩm'!$D$4:$D$103,0)),0)</f>
        <v>0</v>
      </c>
      <c r="H23" s="67">
        <f t="shared" si="5"/>
        <v>0</v>
      </c>
      <c r="I23" s="46">
        <f t="shared" si="1"/>
        <v>0</v>
      </c>
      <c r="J23" s="46">
        <f t="array" ref="J23">IFERROR(INDEX('Sản phẩm'!$G$4:$G$103,MATCH(B23,'Sản phẩm'!$D$4:$D$103,0)),0)</f>
        <v>0</v>
      </c>
      <c r="K23" s="46">
        <f t="array" ref="K23">IFERROR(J23*INDEX('Mẻ sữa'!$N$4:$N$203,MATCH(D23,'Mẻ sữa'!$C$4:$C$203,0)),0)</f>
        <v>0</v>
      </c>
      <c r="L23" s="46">
        <f t="array" ref="L23">IFERROR(INDEX('Sản phẩm'!$I$4:$I$103,MATCH(B23,'Sản phẩm'!$D$4:$D$103,0)),0)</f>
        <v>0</v>
      </c>
      <c r="M23" s="72" t="str">
        <f t="array" ref="M23">IFERROR(INDEX('Sản phẩm'!$J$4:$J$103,MATCH(B23,'Sản phẩm'!$D$4:$D$103,0)),0)</f>
        <v/>
      </c>
      <c r="N23" s="46">
        <f>IF(B23="",0,(K23+L23+M23)*'Thiết lập'!$B$8)</f>
        <v>0</v>
      </c>
      <c r="O23" s="46">
        <f t="shared" si="2"/>
        <v>0</v>
      </c>
      <c r="P23" s="46">
        <f t="shared" si="3"/>
        <v>0</v>
      </c>
      <c r="Q23" s="46">
        <f t="shared" si="4"/>
        <v>0</v>
      </c>
      <c r="R23" s="71" t="str">
        <f t="array" ref="R23">IF(B23="","",INDEX('Bán nhanh'!$C$4:$C$103,INT((ROW()-4)/10)+1))</f>
        <v/>
      </c>
      <c r="S23" s="71" t="str">
        <f t="array" ref="S23">IF(B23="","",INDEX('Bán nhanh'!$P$4:$P$103,INT((ROW()-4)/10)+1))</f>
        <v/>
      </c>
      <c r="T23" s="58"/>
      <c r="U23" s="60" t="str">
        <f>IF('Mẻ sữa'!C24&lt;&gt;"",'Mẻ sữa'!C24,"")</f>
        <v/>
      </c>
      <c r="V23" s="68"/>
      <c r="W23" s="60" t="str">
        <f>IF('Sản phẩm'!D24&lt;&gt;"",'Sản phẩm'!D24,"")</f>
        <v/>
      </c>
      <c r="X23" s="36"/>
      <c r="Y23" s="36"/>
      <c r="Z23" s="36"/>
    </row>
    <row r="24" ht="15.75" customHeight="1">
      <c r="A24" s="70" t="str">
        <f t="array" ref="A24">IF(B24="","",INDEX('Bán nhanh'!$A$4:$A$103,INT((ROW()-4)/10)+1))</f>
        <v/>
      </c>
      <c r="B24" s="71" t="str">
        <f t="array" ref="B24">IF(OR(INDEX('Bán nhanh'!$D$3:$M$3,1,MOD(ROW()-4,10)+1)="",INDEX('Bán nhanh'!$D$4:$M$103,INT((ROW()-4)/10)+1,MOD(ROW()-4,10)+1)&lt;=0),"",INDEX('Bán nhanh'!$D$3:$M$3,1,MOD(ROW()-4,10)+1))</f>
        <v/>
      </c>
      <c r="C24" s="58" t="str">
        <f t="array" ref="C24">IFERROR(INDEX('Sản phẩm'!$A$4:$A$103,MATCH(B24,'Sản phẩm'!$D$4:$D$103,0)),"")</f>
        <v/>
      </c>
      <c r="D24" s="71" t="str">
        <f t="array" ref="D24">IF(B24="","",INDEX('Bán nhanh'!$B$4:$B$103,INT((ROW()-4)/10)+1))</f>
        <v/>
      </c>
      <c r="E24" s="58" t="str">
        <f t="array" ref="E24">IFERROR(INDEX('Mẻ sữa'!$B$4:$B$203,MATCH(D24,'Mẻ sữa'!$C$4:$C$203,0)),"")</f>
        <v/>
      </c>
      <c r="F24" s="66">
        <f t="array" ref="F24">IF(B24="",0,INDEX('Bán nhanh'!$D$4:$M$103,INT((ROW()-4)/10)+1,MOD(ROW()-4,10)+1))</f>
        <v>0</v>
      </c>
      <c r="G24" s="46">
        <f t="array" ref="G24">IFERROR(INDEX('Sản phẩm'!$F$4:$F$103,MATCH(B24,'Sản phẩm'!$D$4:$D$103,0)),0)</f>
        <v>0</v>
      </c>
      <c r="H24" s="67">
        <f t="shared" si="5"/>
        <v>0</v>
      </c>
      <c r="I24" s="46">
        <f t="shared" si="1"/>
        <v>0</v>
      </c>
      <c r="J24" s="46">
        <f t="array" ref="J24">IFERROR(INDEX('Sản phẩm'!$G$4:$G$103,MATCH(B24,'Sản phẩm'!$D$4:$D$103,0)),0)</f>
        <v>0</v>
      </c>
      <c r="K24" s="46">
        <f t="array" ref="K24">IFERROR(J24*INDEX('Mẻ sữa'!$N$4:$N$203,MATCH(D24,'Mẻ sữa'!$C$4:$C$203,0)),0)</f>
        <v>0</v>
      </c>
      <c r="L24" s="46">
        <f t="array" ref="L24">IFERROR(INDEX('Sản phẩm'!$I$4:$I$103,MATCH(B24,'Sản phẩm'!$D$4:$D$103,0)),0)</f>
        <v>0</v>
      </c>
      <c r="M24" s="72" t="str">
        <f t="array" ref="M24">IFERROR(INDEX('Sản phẩm'!$J$4:$J$103,MATCH(B24,'Sản phẩm'!$D$4:$D$103,0)),0)</f>
        <v/>
      </c>
      <c r="N24" s="46">
        <f>IF(B24="",0,(K24+L24+M24)*'Thiết lập'!$B$8)</f>
        <v>0</v>
      </c>
      <c r="O24" s="46">
        <f t="shared" si="2"/>
        <v>0</v>
      </c>
      <c r="P24" s="46">
        <f t="shared" si="3"/>
        <v>0</v>
      </c>
      <c r="Q24" s="46">
        <f t="shared" si="4"/>
        <v>0</v>
      </c>
      <c r="R24" s="71" t="str">
        <f t="array" ref="R24">IF(B24="","",INDEX('Bán nhanh'!$C$4:$C$103,INT((ROW()-4)/10)+1))</f>
        <v/>
      </c>
      <c r="S24" s="71" t="str">
        <f t="array" ref="S24">IF(B24="","",INDEX('Bán nhanh'!$P$4:$P$103,INT((ROW()-4)/10)+1))</f>
        <v/>
      </c>
      <c r="T24" s="58"/>
      <c r="U24" s="60" t="str">
        <f>IF('Mẻ sữa'!C25&lt;&gt;"",'Mẻ sữa'!C25,"")</f>
        <v/>
      </c>
      <c r="V24" s="68"/>
      <c r="W24" s="60" t="str">
        <f>IF('Sản phẩm'!D25&lt;&gt;"",'Sản phẩm'!D25,"")</f>
        <v/>
      </c>
      <c r="X24" s="36"/>
      <c r="Y24" s="36"/>
      <c r="Z24" s="36"/>
    </row>
    <row r="25" ht="15.75" customHeight="1">
      <c r="A25" s="70" t="str">
        <f t="array" ref="A25">IF(B25="","",INDEX('Bán nhanh'!$A$4:$A$103,INT((ROW()-4)/10)+1))</f>
        <v/>
      </c>
      <c r="B25" s="71" t="str">
        <f t="array" ref="B25">IF(OR(INDEX('Bán nhanh'!$D$3:$M$3,1,MOD(ROW()-4,10)+1)="",INDEX('Bán nhanh'!$D$4:$M$103,INT((ROW()-4)/10)+1,MOD(ROW()-4,10)+1)&lt;=0),"",INDEX('Bán nhanh'!$D$3:$M$3,1,MOD(ROW()-4,10)+1))</f>
        <v/>
      </c>
      <c r="C25" s="58" t="str">
        <f t="array" ref="C25">IFERROR(INDEX('Sản phẩm'!$A$4:$A$103,MATCH(B25,'Sản phẩm'!$D$4:$D$103,0)),"")</f>
        <v/>
      </c>
      <c r="D25" s="71" t="str">
        <f t="array" ref="D25">IF(B25="","",INDEX('Bán nhanh'!$B$4:$B$103,INT((ROW()-4)/10)+1))</f>
        <v/>
      </c>
      <c r="E25" s="58" t="str">
        <f t="array" ref="E25">IFERROR(INDEX('Mẻ sữa'!$B$4:$B$203,MATCH(D25,'Mẻ sữa'!$C$4:$C$203,0)),"")</f>
        <v/>
      </c>
      <c r="F25" s="66">
        <f t="array" ref="F25">IF(B25="",0,INDEX('Bán nhanh'!$D$4:$M$103,INT((ROW()-4)/10)+1,MOD(ROW()-4,10)+1))</f>
        <v>0</v>
      </c>
      <c r="G25" s="46">
        <f t="array" ref="G25">IFERROR(INDEX('Sản phẩm'!$F$4:$F$103,MATCH(B25,'Sản phẩm'!$D$4:$D$103,0)),0)</f>
        <v>0</v>
      </c>
      <c r="H25" s="67">
        <f t="shared" si="5"/>
        <v>0</v>
      </c>
      <c r="I25" s="46">
        <f t="shared" si="1"/>
        <v>0</v>
      </c>
      <c r="J25" s="46">
        <f t="array" ref="J25">IFERROR(INDEX('Sản phẩm'!$G$4:$G$103,MATCH(B25,'Sản phẩm'!$D$4:$D$103,0)),0)</f>
        <v>0</v>
      </c>
      <c r="K25" s="46">
        <f t="array" ref="K25">IFERROR(J25*INDEX('Mẻ sữa'!$N$4:$N$203,MATCH(D25,'Mẻ sữa'!$C$4:$C$203,0)),0)</f>
        <v>0</v>
      </c>
      <c r="L25" s="46">
        <f t="array" ref="L25">IFERROR(INDEX('Sản phẩm'!$I$4:$I$103,MATCH(B25,'Sản phẩm'!$D$4:$D$103,0)),0)</f>
        <v>0</v>
      </c>
      <c r="M25" s="72" t="str">
        <f t="array" ref="M25">IFERROR(INDEX('Sản phẩm'!$J$4:$J$103,MATCH(B25,'Sản phẩm'!$D$4:$D$103,0)),0)</f>
        <v/>
      </c>
      <c r="N25" s="46">
        <f>IF(B25="",0,(K25+L25+M25)*'Thiết lập'!$B$8)</f>
        <v>0</v>
      </c>
      <c r="O25" s="46">
        <f t="shared" si="2"/>
        <v>0</v>
      </c>
      <c r="P25" s="46">
        <f t="shared" si="3"/>
        <v>0</v>
      </c>
      <c r="Q25" s="46">
        <f t="shared" si="4"/>
        <v>0</v>
      </c>
      <c r="R25" s="71" t="str">
        <f t="array" ref="R25">IF(B25="","",INDEX('Bán nhanh'!$C$4:$C$103,INT((ROW()-4)/10)+1))</f>
        <v/>
      </c>
      <c r="S25" s="71" t="str">
        <f t="array" ref="S25">IF(B25="","",INDEX('Bán nhanh'!$P$4:$P$103,INT((ROW()-4)/10)+1))</f>
        <v/>
      </c>
      <c r="T25" s="58"/>
      <c r="U25" s="60" t="str">
        <f>IF('Mẻ sữa'!C26&lt;&gt;"",'Mẻ sữa'!C26,"")</f>
        <v/>
      </c>
      <c r="V25" s="68"/>
      <c r="W25" s="60" t="str">
        <f>IF('Sản phẩm'!D26&lt;&gt;"",'Sản phẩm'!D26,"")</f>
        <v/>
      </c>
      <c r="X25" s="36"/>
      <c r="Y25" s="36"/>
      <c r="Z25" s="36"/>
    </row>
    <row r="26" ht="15.75" customHeight="1">
      <c r="A26" s="70" t="str">
        <f t="array" ref="A26">IF(B26="","",INDEX('Bán nhanh'!$A$4:$A$103,INT((ROW()-4)/10)+1))</f>
        <v/>
      </c>
      <c r="B26" s="71" t="str">
        <f t="array" ref="B26">IF(OR(INDEX('Bán nhanh'!$D$3:$M$3,1,MOD(ROW()-4,10)+1)="",INDEX('Bán nhanh'!$D$4:$M$103,INT((ROW()-4)/10)+1,MOD(ROW()-4,10)+1)&lt;=0),"",INDEX('Bán nhanh'!$D$3:$M$3,1,MOD(ROW()-4,10)+1))</f>
        <v/>
      </c>
      <c r="C26" s="58" t="str">
        <f t="array" ref="C26">IFERROR(INDEX('Sản phẩm'!$A$4:$A$103,MATCH(B26,'Sản phẩm'!$D$4:$D$103,0)),"")</f>
        <v/>
      </c>
      <c r="D26" s="71" t="str">
        <f t="array" ref="D26">IF(B26="","",INDEX('Bán nhanh'!$B$4:$B$103,INT((ROW()-4)/10)+1))</f>
        <v/>
      </c>
      <c r="E26" s="58" t="str">
        <f t="array" ref="E26">IFERROR(INDEX('Mẻ sữa'!$B$4:$B$203,MATCH(D26,'Mẻ sữa'!$C$4:$C$203,0)),"")</f>
        <v/>
      </c>
      <c r="F26" s="66">
        <f t="array" ref="F26">IF(B26="",0,INDEX('Bán nhanh'!$D$4:$M$103,INT((ROW()-4)/10)+1,MOD(ROW()-4,10)+1))</f>
        <v>0</v>
      </c>
      <c r="G26" s="46">
        <f t="array" ref="G26">IFERROR(INDEX('Sản phẩm'!$F$4:$F$103,MATCH(B26,'Sản phẩm'!$D$4:$D$103,0)),0)</f>
        <v>0</v>
      </c>
      <c r="H26" s="67">
        <f t="shared" si="5"/>
        <v>0</v>
      </c>
      <c r="I26" s="46">
        <f t="shared" si="1"/>
        <v>0</v>
      </c>
      <c r="J26" s="46">
        <f t="array" ref="J26">IFERROR(INDEX('Sản phẩm'!$G$4:$G$103,MATCH(B26,'Sản phẩm'!$D$4:$D$103,0)),0)</f>
        <v>0</v>
      </c>
      <c r="K26" s="46">
        <f t="array" ref="K26">IFERROR(J26*INDEX('Mẻ sữa'!$N$4:$N$203,MATCH(D26,'Mẻ sữa'!$C$4:$C$203,0)),0)</f>
        <v>0</v>
      </c>
      <c r="L26" s="46">
        <f t="array" ref="L26">IFERROR(INDEX('Sản phẩm'!$I$4:$I$103,MATCH(B26,'Sản phẩm'!$D$4:$D$103,0)),0)</f>
        <v>0</v>
      </c>
      <c r="M26" s="72" t="str">
        <f t="array" ref="M26">IFERROR(INDEX('Sản phẩm'!$J$4:$J$103,MATCH(B26,'Sản phẩm'!$D$4:$D$103,0)),0)</f>
        <v/>
      </c>
      <c r="N26" s="46">
        <f>IF(B26="",0,(K26+L26+M26)*'Thiết lập'!$B$8)</f>
        <v>0</v>
      </c>
      <c r="O26" s="46">
        <f t="shared" si="2"/>
        <v>0</v>
      </c>
      <c r="P26" s="46">
        <f t="shared" si="3"/>
        <v>0</v>
      </c>
      <c r="Q26" s="46">
        <f t="shared" si="4"/>
        <v>0</v>
      </c>
      <c r="R26" s="71" t="str">
        <f t="array" ref="R26">IF(B26="","",INDEX('Bán nhanh'!$C$4:$C$103,INT((ROW()-4)/10)+1))</f>
        <v/>
      </c>
      <c r="S26" s="71" t="str">
        <f t="array" ref="S26">IF(B26="","",INDEX('Bán nhanh'!$P$4:$P$103,INT((ROW()-4)/10)+1))</f>
        <v/>
      </c>
      <c r="T26" s="58"/>
      <c r="U26" s="68" t="str">
        <f>IF('Mẻ sữa'!F27&lt;&gt;"",'Mẻ sữa'!F27,"")</f>
        <v/>
      </c>
      <c r="V26" s="68"/>
      <c r="W26" s="60" t="str">
        <f>IF('Sản phẩm'!D27&lt;&gt;"",'Sản phẩm'!D27,"")</f>
        <v/>
      </c>
      <c r="X26" s="36"/>
      <c r="Y26" s="36"/>
      <c r="Z26" s="36"/>
    </row>
    <row r="27" ht="15.75" customHeight="1">
      <c r="A27" s="70" t="str">
        <f t="array" ref="A27">IF(B27="","",INDEX('Bán nhanh'!$A$4:$A$103,INT((ROW()-4)/10)+1))</f>
        <v/>
      </c>
      <c r="B27" s="71" t="str">
        <f t="array" ref="B27">IF(OR(INDEX('Bán nhanh'!$D$3:$M$3,1,MOD(ROW()-4,10)+1)="",INDEX('Bán nhanh'!$D$4:$M$103,INT((ROW()-4)/10)+1,MOD(ROW()-4,10)+1)&lt;=0),"",INDEX('Bán nhanh'!$D$3:$M$3,1,MOD(ROW()-4,10)+1))</f>
        <v/>
      </c>
      <c r="C27" s="58" t="str">
        <f t="array" ref="C27">IFERROR(INDEX('Sản phẩm'!$A$4:$A$103,MATCH(B27,'Sản phẩm'!$D$4:$D$103,0)),"")</f>
        <v/>
      </c>
      <c r="D27" s="71" t="str">
        <f t="array" ref="D27">IF(B27="","",INDEX('Bán nhanh'!$B$4:$B$103,INT((ROW()-4)/10)+1))</f>
        <v/>
      </c>
      <c r="E27" s="58" t="str">
        <f t="array" ref="E27">IFERROR(INDEX('Mẻ sữa'!$B$4:$B$203,MATCH(D27,'Mẻ sữa'!$C$4:$C$203,0)),"")</f>
        <v/>
      </c>
      <c r="F27" s="66">
        <f t="array" ref="F27">IF(B27="",0,INDEX('Bán nhanh'!$D$4:$M$103,INT((ROW()-4)/10)+1,MOD(ROW()-4,10)+1))</f>
        <v>0</v>
      </c>
      <c r="G27" s="46">
        <f t="array" ref="G27">IFERROR(INDEX('Sản phẩm'!$F$4:$F$103,MATCH(B27,'Sản phẩm'!$D$4:$D$103,0)),0)</f>
        <v>0</v>
      </c>
      <c r="H27" s="67">
        <f t="shared" si="5"/>
        <v>0</v>
      </c>
      <c r="I27" s="46">
        <f t="shared" si="1"/>
        <v>0</v>
      </c>
      <c r="J27" s="46">
        <f t="array" ref="J27">IFERROR(INDEX('Sản phẩm'!$G$4:$G$103,MATCH(B27,'Sản phẩm'!$D$4:$D$103,0)),0)</f>
        <v>0</v>
      </c>
      <c r="K27" s="46">
        <f t="array" ref="K27">IFERROR(J27*INDEX('Mẻ sữa'!$N$4:$N$203,MATCH(D27,'Mẻ sữa'!$C$4:$C$203,0)),0)</f>
        <v>0</v>
      </c>
      <c r="L27" s="46">
        <f t="array" ref="L27">IFERROR(INDEX('Sản phẩm'!$I$4:$I$103,MATCH(B27,'Sản phẩm'!$D$4:$D$103,0)),0)</f>
        <v>0</v>
      </c>
      <c r="M27" s="72" t="str">
        <f t="array" ref="M27">IFERROR(INDEX('Sản phẩm'!$J$4:$J$103,MATCH(B27,'Sản phẩm'!$D$4:$D$103,0)),0)</f>
        <v/>
      </c>
      <c r="N27" s="46">
        <f>IF(B27="",0,(K27+L27+M27)*'Thiết lập'!$B$8)</f>
        <v>0</v>
      </c>
      <c r="O27" s="46">
        <f t="shared" si="2"/>
        <v>0</v>
      </c>
      <c r="P27" s="46">
        <f t="shared" si="3"/>
        <v>0</v>
      </c>
      <c r="Q27" s="46">
        <f t="shared" si="4"/>
        <v>0</v>
      </c>
      <c r="R27" s="71" t="str">
        <f t="array" ref="R27">IF(B27="","",INDEX('Bán nhanh'!$C$4:$C$103,INT((ROW()-4)/10)+1))</f>
        <v/>
      </c>
      <c r="S27" s="71" t="str">
        <f t="array" ref="S27">IF(B27="","",INDEX('Bán nhanh'!$P$4:$P$103,INT((ROW()-4)/10)+1))</f>
        <v/>
      </c>
      <c r="T27" s="58"/>
      <c r="U27" s="68" t="str">
        <f>IF('Mẻ sữa'!F28&lt;&gt;"",'Mẻ sữa'!F28,"")</f>
        <v/>
      </c>
      <c r="V27" s="68"/>
      <c r="W27" s="60" t="str">
        <f>IF('Sản phẩm'!D28&lt;&gt;"",'Sản phẩm'!D28,"")</f>
        <v/>
      </c>
      <c r="X27" s="36"/>
      <c r="Y27" s="36"/>
      <c r="Z27" s="36"/>
    </row>
    <row r="28" ht="15.75" customHeight="1">
      <c r="A28" s="70" t="str">
        <f t="array" ref="A28">IF(B28="","",INDEX('Bán nhanh'!$A$4:$A$103,INT((ROW()-4)/10)+1))</f>
        <v/>
      </c>
      <c r="B28" s="71" t="str">
        <f t="array" ref="B28">IF(OR(INDEX('Bán nhanh'!$D$3:$M$3,1,MOD(ROW()-4,10)+1)="",INDEX('Bán nhanh'!$D$4:$M$103,INT((ROW()-4)/10)+1,MOD(ROW()-4,10)+1)&lt;=0),"",INDEX('Bán nhanh'!$D$3:$M$3,1,MOD(ROW()-4,10)+1))</f>
        <v/>
      </c>
      <c r="C28" s="58" t="str">
        <f t="array" ref="C28">IFERROR(INDEX('Sản phẩm'!$A$4:$A$103,MATCH(B28,'Sản phẩm'!$D$4:$D$103,0)),"")</f>
        <v/>
      </c>
      <c r="D28" s="71" t="str">
        <f t="array" ref="D28">IF(B28="","",INDEX('Bán nhanh'!$B$4:$B$103,INT((ROW()-4)/10)+1))</f>
        <v/>
      </c>
      <c r="E28" s="58" t="str">
        <f t="array" ref="E28">IFERROR(INDEX('Mẻ sữa'!$B$4:$B$203,MATCH(D28,'Mẻ sữa'!$C$4:$C$203,0)),"")</f>
        <v/>
      </c>
      <c r="F28" s="66">
        <f t="array" ref="F28">IF(B28="",0,INDEX('Bán nhanh'!$D$4:$M$103,INT((ROW()-4)/10)+1,MOD(ROW()-4,10)+1))</f>
        <v>0</v>
      </c>
      <c r="G28" s="46">
        <f t="array" ref="G28">IFERROR(INDEX('Sản phẩm'!$F$4:$F$103,MATCH(B28,'Sản phẩm'!$D$4:$D$103,0)),0)</f>
        <v>0</v>
      </c>
      <c r="H28" s="67">
        <f t="shared" si="5"/>
        <v>0</v>
      </c>
      <c r="I28" s="46">
        <f t="shared" si="1"/>
        <v>0</v>
      </c>
      <c r="J28" s="46">
        <f t="array" ref="J28">IFERROR(INDEX('Sản phẩm'!$G$4:$G$103,MATCH(B28,'Sản phẩm'!$D$4:$D$103,0)),0)</f>
        <v>0</v>
      </c>
      <c r="K28" s="46">
        <f t="array" ref="K28">IFERROR(J28*INDEX('Mẻ sữa'!$N$4:$N$203,MATCH(D28,'Mẻ sữa'!$C$4:$C$203,0)),0)</f>
        <v>0</v>
      </c>
      <c r="L28" s="46">
        <f t="array" ref="L28">IFERROR(INDEX('Sản phẩm'!$I$4:$I$103,MATCH(B28,'Sản phẩm'!$D$4:$D$103,0)),0)</f>
        <v>0</v>
      </c>
      <c r="M28" s="72" t="str">
        <f t="array" ref="M28">IFERROR(INDEX('Sản phẩm'!$J$4:$J$103,MATCH(B28,'Sản phẩm'!$D$4:$D$103,0)),0)</f>
        <v/>
      </c>
      <c r="N28" s="46">
        <f>IF(B28="",0,(K28+L28+M28)*'Thiết lập'!$B$8)</f>
        <v>0</v>
      </c>
      <c r="O28" s="46">
        <f t="shared" si="2"/>
        <v>0</v>
      </c>
      <c r="P28" s="46">
        <f t="shared" si="3"/>
        <v>0</v>
      </c>
      <c r="Q28" s="46">
        <f t="shared" si="4"/>
        <v>0</v>
      </c>
      <c r="R28" s="71" t="str">
        <f t="array" ref="R28">IF(B28="","",INDEX('Bán nhanh'!$C$4:$C$103,INT((ROW()-4)/10)+1))</f>
        <v/>
      </c>
      <c r="S28" s="71" t="str">
        <f t="array" ref="S28">IF(B28="","",INDEX('Bán nhanh'!$P$4:$P$103,INT((ROW()-4)/10)+1))</f>
        <v/>
      </c>
      <c r="T28" s="58"/>
      <c r="U28" s="68" t="str">
        <f>IF('Mẻ sữa'!F29&lt;&gt;"",'Mẻ sữa'!F29,"")</f>
        <v/>
      </c>
      <c r="V28" s="68"/>
      <c r="W28" s="60" t="str">
        <f>IF('Sản phẩm'!D29&lt;&gt;"",'Sản phẩm'!D29,"")</f>
        <v/>
      </c>
      <c r="X28" s="36"/>
      <c r="Y28" s="36"/>
      <c r="Z28" s="36"/>
    </row>
    <row r="29" ht="15.75" customHeight="1">
      <c r="A29" s="70" t="str">
        <f t="array" ref="A29">IF(B29="","",INDEX('Bán nhanh'!$A$4:$A$103,INT((ROW()-4)/10)+1))</f>
        <v/>
      </c>
      <c r="B29" s="71" t="str">
        <f t="array" ref="B29">IF(OR(INDEX('Bán nhanh'!$D$3:$M$3,1,MOD(ROW()-4,10)+1)="",INDEX('Bán nhanh'!$D$4:$M$103,INT((ROW()-4)/10)+1,MOD(ROW()-4,10)+1)&lt;=0),"",INDEX('Bán nhanh'!$D$3:$M$3,1,MOD(ROW()-4,10)+1))</f>
        <v/>
      </c>
      <c r="C29" s="58" t="str">
        <f t="array" ref="C29">IFERROR(INDEX('Sản phẩm'!$A$4:$A$103,MATCH(B29,'Sản phẩm'!$D$4:$D$103,0)),"")</f>
        <v/>
      </c>
      <c r="D29" s="71" t="str">
        <f t="array" ref="D29">IF(B29="","",INDEX('Bán nhanh'!$B$4:$B$103,INT((ROW()-4)/10)+1))</f>
        <v/>
      </c>
      <c r="E29" s="58" t="str">
        <f t="array" ref="E29">IFERROR(INDEX('Mẻ sữa'!$B$4:$B$203,MATCH(D29,'Mẻ sữa'!$C$4:$C$203,0)),"")</f>
        <v/>
      </c>
      <c r="F29" s="66">
        <f t="array" ref="F29">IF(B29="",0,INDEX('Bán nhanh'!$D$4:$M$103,INT((ROW()-4)/10)+1,MOD(ROW()-4,10)+1))</f>
        <v>0</v>
      </c>
      <c r="G29" s="46">
        <f t="array" ref="G29">IFERROR(INDEX('Sản phẩm'!$F$4:$F$103,MATCH(B29,'Sản phẩm'!$D$4:$D$103,0)),0)</f>
        <v>0</v>
      </c>
      <c r="H29" s="67">
        <f t="shared" si="5"/>
        <v>0</v>
      </c>
      <c r="I29" s="46">
        <f t="shared" si="1"/>
        <v>0</v>
      </c>
      <c r="J29" s="46">
        <f t="array" ref="J29">IFERROR(INDEX('Sản phẩm'!$G$4:$G$103,MATCH(B29,'Sản phẩm'!$D$4:$D$103,0)),0)</f>
        <v>0</v>
      </c>
      <c r="K29" s="46">
        <f t="array" ref="K29">IFERROR(J29*INDEX('Mẻ sữa'!$N$4:$N$203,MATCH(D29,'Mẻ sữa'!$C$4:$C$203,0)),0)</f>
        <v>0</v>
      </c>
      <c r="L29" s="46">
        <f t="array" ref="L29">IFERROR(INDEX('Sản phẩm'!$I$4:$I$103,MATCH(B29,'Sản phẩm'!$D$4:$D$103,0)),0)</f>
        <v>0</v>
      </c>
      <c r="M29" s="72" t="str">
        <f t="array" ref="M29">IFERROR(INDEX('Sản phẩm'!$J$4:$J$103,MATCH(B29,'Sản phẩm'!$D$4:$D$103,0)),0)</f>
        <v/>
      </c>
      <c r="N29" s="46">
        <f>IF(B29="",0,(K29+L29+M29)*'Thiết lập'!$B$8)</f>
        <v>0</v>
      </c>
      <c r="O29" s="46">
        <f t="shared" si="2"/>
        <v>0</v>
      </c>
      <c r="P29" s="46">
        <f t="shared" si="3"/>
        <v>0</v>
      </c>
      <c r="Q29" s="46">
        <f t="shared" si="4"/>
        <v>0</v>
      </c>
      <c r="R29" s="71" t="str">
        <f t="array" ref="R29">IF(B29="","",INDEX('Bán nhanh'!$C$4:$C$103,INT((ROW()-4)/10)+1))</f>
        <v/>
      </c>
      <c r="S29" s="71" t="str">
        <f t="array" ref="S29">IF(B29="","",INDEX('Bán nhanh'!$P$4:$P$103,INT((ROW()-4)/10)+1))</f>
        <v/>
      </c>
      <c r="T29" s="58"/>
      <c r="U29" s="68" t="str">
        <f>IF('Mẻ sữa'!F30&lt;&gt;"",'Mẻ sữa'!F30,"")</f>
        <v/>
      </c>
      <c r="V29" s="68"/>
      <c r="W29" s="60" t="str">
        <f>IF('Sản phẩm'!D30&lt;&gt;"",'Sản phẩm'!D30,"")</f>
        <v/>
      </c>
      <c r="X29" s="36"/>
      <c r="Y29" s="36"/>
      <c r="Z29" s="36"/>
    </row>
    <row r="30" ht="15.75" customHeight="1">
      <c r="A30" s="70" t="str">
        <f t="array" ref="A30">IF(B30="","",INDEX('Bán nhanh'!$A$4:$A$103,INT((ROW()-4)/10)+1))</f>
        <v/>
      </c>
      <c r="B30" s="71" t="str">
        <f t="array" ref="B30">IF(OR(INDEX('Bán nhanh'!$D$3:$M$3,1,MOD(ROW()-4,10)+1)="",INDEX('Bán nhanh'!$D$4:$M$103,INT((ROW()-4)/10)+1,MOD(ROW()-4,10)+1)&lt;=0),"",INDEX('Bán nhanh'!$D$3:$M$3,1,MOD(ROW()-4,10)+1))</f>
        <v/>
      </c>
      <c r="C30" s="58" t="str">
        <f t="array" ref="C30">IFERROR(INDEX('Sản phẩm'!$A$4:$A$103,MATCH(B30,'Sản phẩm'!$D$4:$D$103,0)),"")</f>
        <v/>
      </c>
      <c r="D30" s="71" t="str">
        <f t="array" ref="D30">IF(B30="","",INDEX('Bán nhanh'!$B$4:$B$103,INT((ROW()-4)/10)+1))</f>
        <v/>
      </c>
      <c r="E30" s="58" t="str">
        <f t="array" ref="E30">IFERROR(INDEX('Mẻ sữa'!$B$4:$B$203,MATCH(D30,'Mẻ sữa'!$C$4:$C$203,0)),"")</f>
        <v/>
      </c>
      <c r="F30" s="66">
        <f t="array" ref="F30">IF(B30="",0,INDEX('Bán nhanh'!$D$4:$M$103,INT((ROW()-4)/10)+1,MOD(ROW()-4,10)+1))</f>
        <v>0</v>
      </c>
      <c r="G30" s="46">
        <f t="array" ref="G30">IFERROR(INDEX('Sản phẩm'!$F$4:$F$103,MATCH(B30,'Sản phẩm'!$D$4:$D$103,0)),0)</f>
        <v>0</v>
      </c>
      <c r="H30" s="67">
        <f t="shared" si="5"/>
        <v>0</v>
      </c>
      <c r="I30" s="46">
        <f t="shared" si="1"/>
        <v>0</v>
      </c>
      <c r="J30" s="46">
        <f t="array" ref="J30">IFERROR(INDEX('Sản phẩm'!$G$4:$G$103,MATCH(B30,'Sản phẩm'!$D$4:$D$103,0)),0)</f>
        <v>0</v>
      </c>
      <c r="K30" s="46">
        <f t="array" ref="K30">IFERROR(J30*INDEX('Mẻ sữa'!$N$4:$N$203,MATCH(D30,'Mẻ sữa'!$C$4:$C$203,0)),0)</f>
        <v>0</v>
      </c>
      <c r="L30" s="46">
        <f t="array" ref="L30">IFERROR(INDEX('Sản phẩm'!$I$4:$I$103,MATCH(B30,'Sản phẩm'!$D$4:$D$103,0)),0)</f>
        <v>0</v>
      </c>
      <c r="M30" s="72" t="str">
        <f t="array" ref="M30">IFERROR(INDEX('Sản phẩm'!$J$4:$J$103,MATCH(B30,'Sản phẩm'!$D$4:$D$103,0)),0)</f>
        <v/>
      </c>
      <c r="N30" s="46">
        <f>IF(B30="",0,(K30+L30+M30)*'Thiết lập'!$B$8)</f>
        <v>0</v>
      </c>
      <c r="O30" s="46">
        <f t="shared" si="2"/>
        <v>0</v>
      </c>
      <c r="P30" s="46">
        <f t="shared" si="3"/>
        <v>0</v>
      </c>
      <c r="Q30" s="46">
        <f t="shared" si="4"/>
        <v>0</v>
      </c>
      <c r="R30" s="71" t="str">
        <f t="array" ref="R30">IF(B30="","",INDEX('Bán nhanh'!$C$4:$C$103,INT((ROW()-4)/10)+1))</f>
        <v/>
      </c>
      <c r="S30" s="71" t="str">
        <f t="array" ref="S30">IF(B30="","",INDEX('Bán nhanh'!$P$4:$P$103,INT((ROW()-4)/10)+1))</f>
        <v/>
      </c>
      <c r="T30" s="58"/>
      <c r="U30" s="68" t="str">
        <f>IF('Mẻ sữa'!F31&lt;&gt;"",'Mẻ sữa'!F31,"")</f>
        <v/>
      </c>
      <c r="V30" s="68"/>
      <c r="W30" s="60" t="str">
        <f>IF('Sản phẩm'!D31&lt;&gt;"",'Sản phẩm'!D31,"")</f>
        <v/>
      </c>
      <c r="X30" s="36"/>
      <c r="Y30" s="36"/>
      <c r="Z30" s="36"/>
    </row>
    <row r="31" ht="15.75" customHeight="1">
      <c r="A31" s="70" t="str">
        <f t="array" ref="A31">IF(B31="","",INDEX('Bán nhanh'!$A$4:$A$103,INT((ROW()-4)/10)+1))</f>
        <v/>
      </c>
      <c r="B31" s="71" t="str">
        <f t="array" ref="B31">IF(OR(INDEX('Bán nhanh'!$D$3:$M$3,1,MOD(ROW()-4,10)+1)="",INDEX('Bán nhanh'!$D$4:$M$103,INT((ROW()-4)/10)+1,MOD(ROW()-4,10)+1)&lt;=0),"",INDEX('Bán nhanh'!$D$3:$M$3,1,MOD(ROW()-4,10)+1))</f>
        <v/>
      </c>
      <c r="C31" s="58" t="str">
        <f t="array" ref="C31">IFERROR(INDEX('Sản phẩm'!$A$4:$A$103,MATCH(B31,'Sản phẩm'!$D$4:$D$103,0)),"")</f>
        <v/>
      </c>
      <c r="D31" s="71" t="str">
        <f t="array" ref="D31">IF(B31="","",INDEX('Bán nhanh'!$B$4:$B$103,INT((ROW()-4)/10)+1))</f>
        <v/>
      </c>
      <c r="E31" s="58" t="str">
        <f t="array" ref="E31">IFERROR(INDEX('Mẻ sữa'!$B$4:$B$203,MATCH(D31,'Mẻ sữa'!$C$4:$C$203,0)),"")</f>
        <v/>
      </c>
      <c r="F31" s="66">
        <f t="array" ref="F31">IF(B31="",0,INDEX('Bán nhanh'!$D$4:$M$103,INT((ROW()-4)/10)+1,MOD(ROW()-4,10)+1))</f>
        <v>0</v>
      </c>
      <c r="G31" s="46">
        <f t="array" ref="G31">IFERROR(INDEX('Sản phẩm'!$F$4:$F$103,MATCH(B31,'Sản phẩm'!$D$4:$D$103,0)),0)</f>
        <v>0</v>
      </c>
      <c r="H31" s="67">
        <f t="shared" si="5"/>
        <v>0</v>
      </c>
      <c r="I31" s="46">
        <f t="shared" si="1"/>
        <v>0</v>
      </c>
      <c r="J31" s="46">
        <f t="array" ref="J31">IFERROR(INDEX('Sản phẩm'!$G$4:$G$103,MATCH(B31,'Sản phẩm'!$D$4:$D$103,0)),0)</f>
        <v>0</v>
      </c>
      <c r="K31" s="46">
        <f t="array" ref="K31">IFERROR(J31*INDEX('Mẻ sữa'!$N$4:$N$203,MATCH(D31,'Mẻ sữa'!$C$4:$C$203,0)),0)</f>
        <v>0</v>
      </c>
      <c r="L31" s="46">
        <f t="array" ref="L31">IFERROR(INDEX('Sản phẩm'!$I$4:$I$103,MATCH(B31,'Sản phẩm'!$D$4:$D$103,0)),0)</f>
        <v>0</v>
      </c>
      <c r="M31" s="72" t="str">
        <f t="array" ref="M31">IFERROR(INDEX('Sản phẩm'!$J$4:$J$103,MATCH(B31,'Sản phẩm'!$D$4:$D$103,0)),0)</f>
        <v/>
      </c>
      <c r="N31" s="46">
        <f>IF(B31="",0,(K31+L31+M31)*'Thiết lập'!$B$8)</f>
        <v>0</v>
      </c>
      <c r="O31" s="46">
        <f t="shared" si="2"/>
        <v>0</v>
      </c>
      <c r="P31" s="46">
        <f t="shared" si="3"/>
        <v>0</v>
      </c>
      <c r="Q31" s="46">
        <f t="shared" si="4"/>
        <v>0</v>
      </c>
      <c r="R31" s="71" t="str">
        <f t="array" ref="R31">IF(B31="","",INDEX('Bán nhanh'!$C$4:$C$103,INT((ROW()-4)/10)+1))</f>
        <v/>
      </c>
      <c r="S31" s="71" t="str">
        <f t="array" ref="S31">IF(B31="","",INDEX('Bán nhanh'!$P$4:$P$103,INT((ROW()-4)/10)+1))</f>
        <v/>
      </c>
      <c r="T31" s="58"/>
      <c r="U31" s="68" t="str">
        <f>IF('Mẻ sữa'!F32&lt;&gt;"",'Mẻ sữa'!F32,"")</f>
        <v/>
      </c>
      <c r="V31" s="68"/>
      <c r="W31" s="60" t="str">
        <f>IF('Sản phẩm'!D32&lt;&gt;"",'Sản phẩm'!D32,"")</f>
        <v/>
      </c>
      <c r="X31" s="36"/>
      <c r="Y31" s="36"/>
      <c r="Z31" s="36"/>
    </row>
    <row r="32" ht="15.75" customHeight="1">
      <c r="A32" s="70" t="str">
        <f t="array" ref="A32">IF(B32="","",INDEX('Bán nhanh'!$A$4:$A$103,INT((ROW()-4)/10)+1))</f>
        <v/>
      </c>
      <c r="B32" s="71" t="str">
        <f t="array" ref="B32">IF(OR(INDEX('Bán nhanh'!$D$3:$M$3,1,MOD(ROW()-4,10)+1)="",INDEX('Bán nhanh'!$D$4:$M$103,INT((ROW()-4)/10)+1,MOD(ROW()-4,10)+1)&lt;=0),"",INDEX('Bán nhanh'!$D$3:$M$3,1,MOD(ROW()-4,10)+1))</f>
        <v/>
      </c>
      <c r="C32" s="58" t="str">
        <f t="array" ref="C32">IFERROR(INDEX('Sản phẩm'!$A$4:$A$103,MATCH(B32,'Sản phẩm'!$D$4:$D$103,0)),"")</f>
        <v/>
      </c>
      <c r="D32" s="71" t="str">
        <f t="array" ref="D32">IF(B32="","",INDEX('Bán nhanh'!$B$4:$B$103,INT((ROW()-4)/10)+1))</f>
        <v/>
      </c>
      <c r="E32" s="58" t="str">
        <f t="array" ref="E32">IFERROR(INDEX('Mẻ sữa'!$B$4:$B$203,MATCH(D32,'Mẻ sữa'!$C$4:$C$203,0)),"")</f>
        <v/>
      </c>
      <c r="F32" s="66">
        <f t="array" ref="F32">IF(B32="",0,INDEX('Bán nhanh'!$D$4:$M$103,INT((ROW()-4)/10)+1,MOD(ROW()-4,10)+1))</f>
        <v>0</v>
      </c>
      <c r="G32" s="46">
        <f t="array" ref="G32">IFERROR(INDEX('Sản phẩm'!$F$4:$F$103,MATCH(B32,'Sản phẩm'!$D$4:$D$103,0)),0)</f>
        <v>0</v>
      </c>
      <c r="H32" s="67">
        <f t="shared" si="5"/>
        <v>0</v>
      </c>
      <c r="I32" s="46">
        <f t="shared" si="1"/>
        <v>0</v>
      </c>
      <c r="J32" s="46">
        <f t="array" ref="J32">IFERROR(INDEX('Sản phẩm'!$G$4:$G$103,MATCH(B32,'Sản phẩm'!$D$4:$D$103,0)),0)</f>
        <v>0</v>
      </c>
      <c r="K32" s="46">
        <f t="array" ref="K32">IFERROR(J32*INDEX('Mẻ sữa'!$N$4:$N$203,MATCH(D32,'Mẻ sữa'!$C$4:$C$203,0)),0)</f>
        <v>0</v>
      </c>
      <c r="L32" s="46">
        <f t="array" ref="L32">IFERROR(INDEX('Sản phẩm'!$I$4:$I$103,MATCH(B32,'Sản phẩm'!$D$4:$D$103,0)),0)</f>
        <v>0</v>
      </c>
      <c r="M32" s="72" t="str">
        <f t="array" ref="M32">IFERROR(INDEX('Sản phẩm'!$J$4:$J$103,MATCH(B32,'Sản phẩm'!$D$4:$D$103,0)),0)</f>
        <v/>
      </c>
      <c r="N32" s="46">
        <f>IF(B32="",0,(K32+L32+M32)*'Thiết lập'!$B$8)</f>
        <v>0</v>
      </c>
      <c r="O32" s="46">
        <f t="shared" si="2"/>
        <v>0</v>
      </c>
      <c r="P32" s="46">
        <f t="shared" si="3"/>
        <v>0</v>
      </c>
      <c r="Q32" s="46">
        <f t="shared" si="4"/>
        <v>0</v>
      </c>
      <c r="R32" s="71" t="str">
        <f t="array" ref="R32">IF(B32="","",INDEX('Bán nhanh'!$C$4:$C$103,INT((ROW()-4)/10)+1))</f>
        <v/>
      </c>
      <c r="S32" s="71" t="str">
        <f t="array" ref="S32">IF(B32="","",INDEX('Bán nhanh'!$P$4:$P$103,INT((ROW()-4)/10)+1))</f>
        <v/>
      </c>
      <c r="T32" s="58"/>
      <c r="U32" s="68" t="str">
        <f>IF('Mẻ sữa'!F33&lt;&gt;"",'Mẻ sữa'!F33,"")</f>
        <v/>
      </c>
      <c r="V32" s="68"/>
      <c r="W32" s="60" t="str">
        <f>IF('Sản phẩm'!D33&lt;&gt;"",'Sản phẩm'!D33,"")</f>
        <v/>
      </c>
      <c r="X32" s="36"/>
      <c r="Y32" s="36"/>
      <c r="Z32" s="36"/>
    </row>
    <row r="33" ht="15.75" customHeight="1">
      <c r="A33" s="70" t="str">
        <f t="array" ref="A33">IF(B33="","",INDEX('Bán nhanh'!$A$4:$A$103,INT((ROW()-4)/10)+1))</f>
        <v/>
      </c>
      <c r="B33" s="71" t="str">
        <f t="array" ref="B33">IF(OR(INDEX('Bán nhanh'!$D$3:$M$3,1,MOD(ROW()-4,10)+1)="",INDEX('Bán nhanh'!$D$4:$M$103,INT((ROW()-4)/10)+1,MOD(ROW()-4,10)+1)&lt;=0),"",INDEX('Bán nhanh'!$D$3:$M$3,1,MOD(ROW()-4,10)+1))</f>
        <v/>
      </c>
      <c r="C33" s="58" t="str">
        <f t="array" ref="C33">IFERROR(INDEX('Sản phẩm'!$A$4:$A$103,MATCH(B33,'Sản phẩm'!$D$4:$D$103,0)),"")</f>
        <v/>
      </c>
      <c r="D33" s="71" t="str">
        <f t="array" ref="D33">IF(B33="","",INDEX('Bán nhanh'!$B$4:$B$103,INT((ROW()-4)/10)+1))</f>
        <v/>
      </c>
      <c r="E33" s="58" t="str">
        <f t="array" ref="E33">IFERROR(INDEX('Mẻ sữa'!$B$4:$B$203,MATCH(D33,'Mẻ sữa'!$C$4:$C$203,0)),"")</f>
        <v/>
      </c>
      <c r="F33" s="66">
        <f t="array" ref="F33">IF(B33="",0,INDEX('Bán nhanh'!$D$4:$M$103,INT((ROW()-4)/10)+1,MOD(ROW()-4,10)+1))</f>
        <v>0</v>
      </c>
      <c r="G33" s="46">
        <f t="array" ref="G33">IFERROR(INDEX('Sản phẩm'!$F$4:$F$103,MATCH(B33,'Sản phẩm'!$D$4:$D$103,0)),0)</f>
        <v>0</v>
      </c>
      <c r="H33" s="67">
        <f t="shared" si="5"/>
        <v>0</v>
      </c>
      <c r="I33" s="46">
        <f t="shared" si="1"/>
        <v>0</v>
      </c>
      <c r="J33" s="46">
        <f t="array" ref="J33">IFERROR(INDEX('Sản phẩm'!$G$4:$G$103,MATCH(B33,'Sản phẩm'!$D$4:$D$103,0)),0)</f>
        <v>0</v>
      </c>
      <c r="K33" s="46">
        <f t="array" ref="K33">IFERROR(J33*INDEX('Mẻ sữa'!$N$4:$N$203,MATCH(D33,'Mẻ sữa'!$C$4:$C$203,0)),0)</f>
        <v>0</v>
      </c>
      <c r="L33" s="46">
        <f t="array" ref="L33">IFERROR(INDEX('Sản phẩm'!$I$4:$I$103,MATCH(B33,'Sản phẩm'!$D$4:$D$103,0)),0)</f>
        <v>0</v>
      </c>
      <c r="M33" s="72" t="str">
        <f t="array" ref="M33">IFERROR(INDEX('Sản phẩm'!$J$4:$J$103,MATCH(B33,'Sản phẩm'!$D$4:$D$103,0)),0)</f>
        <v/>
      </c>
      <c r="N33" s="46">
        <f>IF(B33="",0,(K33+L33+M33)*'Thiết lập'!$B$8)</f>
        <v>0</v>
      </c>
      <c r="O33" s="46">
        <f t="shared" si="2"/>
        <v>0</v>
      </c>
      <c r="P33" s="46">
        <f t="shared" si="3"/>
        <v>0</v>
      </c>
      <c r="Q33" s="46">
        <f t="shared" si="4"/>
        <v>0</v>
      </c>
      <c r="R33" s="71" t="str">
        <f t="array" ref="R33">IF(B33="","",INDEX('Bán nhanh'!$C$4:$C$103,INT((ROW()-4)/10)+1))</f>
        <v/>
      </c>
      <c r="S33" s="71" t="str">
        <f t="array" ref="S33">IF(B33="","",INDEX('Bán nhanh'!$P$4:$P$103,INT((ROW()-4)/10)+1))</f>
        <v/>
      </c>
      <c r="T33" s="58"/>
      <c r="U33" s="68" t="str">
        <f>IF('Mẻ sữa'!F34&lt;&gt;"",'Mẻ sữa'!F34,"")</f>
        <v/>
      </c>
      <c r="V33" s="68"/>
      <c r="W33" s="60" t="str">
        <f>IF('Sản phẩm'!D34&lt;&gt;"",'Sản phẩm'!D34,"")</f>
        <v/>
      </c>
      <c r="X33" s="36"/>
      <c r="Y33" s="36"/>
      <c r="Z33" s="36"/>
    </row>
    <row r="34" ht="15.75" customHeight="1">
      <c r="A34" s="70" t="str">
        <f t="array" ref="A34">IF(B34="","",INDEX('Bán nhanh'!$A$4:$A$103,INT((ROW()-4)/10)+1))</f>
        <v/>
      </c>
      <c r="B34" s="71" t="str">
        <f t="array" ref="B34">IF(OR(INDEX('Bán nhanh'!$D$3:$M$3,1,MOD(ROW()-4,10)+1)="",INDEX('Bán nhanh'!$D$4:$M$103,INT((ROW()-4)/10)+1,MOD(ROW()-4,10)+1)&lt;=0),"",INDEX('Bán nhanh'!$D$3:$M$3,1,MOD(ROW()-4,10)+1))</f>
        <v/>
      </c>
      <c r="C34" s="58" t="str">
        <f t="array" ref="C34">IFERROR(INDEX('Sản phẩm'!$A$4:$A$103,MATCH(B34,'Sản phẩm'!$D$4:$D$103,0)),"")</f>
        <v/>
      </c>
      <c r="D34" s="71" t="str">
        <f t="array" ref="D34">IF(B34="","",INDEX('Bán nhanh'!$B$4:$B$103,INT((ROW()-4)/10)+1))</f>
        <v/>
      </c>
      <c r="E34" s="58" t="str">
        <f t="array" ref="E34">IFERROR(INDEX('Mẻ sữa'!$B$4:$B$203,MATCH(D34,'Mẻ sữa'!$C$4:$C$203,0)),"")</f>
        <v/>
      </c>
      <c r="F34" s="66">
        <f t="array" ref="F34">IF(B34="",0,INDEX('Bán nhanh'!$D$4:$M$103,INT((ROW()-4)/10)+1,MOD(ROW()-4,10)+1))</f>
        <v>0</v>
      </c>
      <c r="G34" s="46">
        <f t="array" ref="G34">IFERROR(INDEX('Sản phẩm'!$F$4:$F$103,MATCH(B34,'Sản phẩm'!$D$4:$D$103,0)),0)</f>
        <v>0</v>
      </c>
      <c r="H34" s="67">
        <f t="shared" si="5"/>
        <v>0</v>
      </c>
      <c r="I34" s="46">
        <f t="shared" si="1"/>
        <v>0</v>
      </c>
      <c r="J34" s="46">
        <f t="array" ref="J34">IFERROR(INDEX('Sản phẩm'!$G$4:$G$103,MATCH(B34,'Sản phẩm'!$D$4:$D$103,0)),0)</f>
        <v>0</v>
      </c>
      <c r="K34" s="46">
        <f t="array" ref="K34">IFERROR(J34*INDEX('Mẻ sữa'!$N$4:$N$203,MATCH(D34,'Mẻ sữa'!$C$4:$C$203,0)),0)</f>
        <v>0</v>
      </c>
      <c r="L34" s="46">
        <f t="array" ref="L34">IFERROR(INDEX('Sản phẩm'!$I$4:$I$103,MATCH(B34,'Sản phẩm'!$D$4:$D$103,0)),0)</f>
        <v>0</v>
      </c>
      <c r="M34" s="72" t="str">
        <f t="array" ref="M34">IFERROR(INDEX('Sản phẩm'!$J$4:$J$103,MATCH(B34,'Sản phẩm'!$D$4:$D$103,0)),0)</f>
        <v/>
      </c>
      <c r="N34" s="46">
        <f>IF(B34="",0,(K34+L34+M34)*'Thiết lập'!$B$8)</f>
        <v>0</v>
      </c>
      <c r="O34" s="46">
        <f t="shared" si="2"/>
        <v>0</v>
      </c>
      <c r="P34" s="46">
        <f t="shared" si="3"/>
        <v>0</v>
      </c>
      <c r="Q34" s="46">
        <f t="shared" si="4"/>
        <v>0</v>
      </c>
      <c r="R34" s="71" t="str">
        <f t="array" ref="R34">IF(B34="","",INDEX('Bán nhanh'!$C$4:$C$103,INT((ROW()-4)/10)+1))</f>
        <v/>
      </c>
      <c r="S34" s="71" t="str">
        <f t="array" ref="S34">IF(B34="","",INDEX('Bán nhanh'!$P$4:$P$103,INT((ROW()-4)/10)+1))</f>
        <v/>
      </c>
      <c r="T34" s="58"/>
      <c r="U34" s="68" t="str">
        <f>IF('Mẻ sữa'!F35&lt;&gt;"",'Mẻ sữa'!F35,"")</f>
        <v/>
      </c>
      <c r="V34" s="68"/>
      <c r="W34" s="60" t="str">
        <f>IF('Sản phẩm'!D35&lt;&gt;"",'Sản phẩm'!D35,"")</f>
        <v/>
      </c>
      <c r="X34" s="36"/>
      <c r="Y34" s="36"/>
      <c r="Z34" s="36"/>
    </row>
    <row r="35" ht="15.75" customHeight="1">
      <c r="A35" s="70" t="str">
        <f t="array" ref="A35">IF(B35="","",INDEX('Bán nhanh'!$A$4:$A$103,INT((ROW()-4)/10)+1))</f>
        <v/>
      </c>
      <c r="B35" s="71" t="str">
        <f t="array" ref="B35">IF(OR(INDEX('Bán nhanh'!$D$3:$M$3,1,MOD(ROW()-4,10)+1)="",INDEX('Bán nhanh'!$D$4:$M$103,INT((ROW()-4)/10)+1,MOD(ROW()-4,10)+1)&lt;=0),"",INDEX('Bán nhanh'!$D$3:$M$3,1,MOD(ROW()-4,10)+1))</f>
        <v/>
      </c>
      <c r="C35" s="58" t="str">
        <f t="array" ref="C35">IFERROR(INDEX('Sản phẩm'!$A$4:$A$103,MATCH(B35,'Sản phẩm'!$D$4:$D$103,0)),"")</f>
        <v/>
      </c>
      <c r="D35" s="71" t="str">
        <f t="array" ref="D35">IF(B35="","",INDEX('Bán nhanh'!$B$4:$B$103,INT((ROW()-4)/10)+1))</f>
        <v/>
      </c>
      <c r="E35" s="58" t="str">
        <f t="array" ref="E35">IFERROR(INDEX('Mẻ sữa'!$B$4:$B$203,MATCH(D35,'Mẻ sữa'!$C$4:$C$203,0)),"")</f>
        <v/>
      </c>
      <c r="F35" s="66">
        <f t="array" ref="F35">IF(B35="",0,INDEX('Bán nhanh'!$D$4:$M$103,INT((ROW()-4)/10)+1,MOD(ROW()-4,10)+1))</f>
        <v>0</v>
      </c>
      <c r="G35" s="46">
        <f t="array" ref="G35">IFERROR(INDEX('Sản phẩm'!$F$4:$F$103,MATCH(B35,'Sản phẩm'!$D$4:$D$103,0)),0)</f>
        <v>0</v>
      </c>
      <c r="H35" s="67">
        <f t="shared" si="5"/>
        <v>0</v>
      </c>
      <c r="I35" s="46">
        <f t="shared" si="1"/>
        <v>0</v>
      </c>
      <c r="J35" s="46">
        <f t="array" ref="J35">IFERROR(INDEX('Sản phẩm'!$G$4:$G$103,MATCH(B35,'Sản phẩm'!$D$4:$D$103,0)),0)</f>
        <v>0</v>
      </c>
      <c r="K35" s="46">
        <f t="array" ref="K35">IFERROR(J35*INDEX('Mẻ sữa'!$N$4:$N$203,MATCH(D35,'Mẻ sữa'!$C$4:$C$203,0)),0)</f>
        <v>0</v>
      </c>
      <c r="L35" s="46">
        <f t="array" ref="L35">IFERROR(INDEX('Sản phẩm'!$I$4:$I$103,MATCH(B35,'Sản phẩm'!$D$4:$D$103,0)),0)</f>
        <v>0</v>
      </c>
      <c r="M35" s="72" t="str">
        <f t="array" ref="M35">IFERROR(INDEX('Sản phẩm'!$J$4:$J$103,MATCH(B35,'Sản phẩm'!$D$4:$D$103,0)),0)</f>
        <v/>
      </c>
      <c r="N35" s="46">
        <f>IF(B35="",0,(K35+L35+M35)*'Thiết lập'!$B$8)</f>
        <v>0</v>
      </c>
      <c r="O35" s="46">
        <f t="shared" si="2"/>
        <v>0</v>
      </c>
      <c r="P35" s="46">
        <f t="shared" si="3"/>
        <v>0</v>
      </c>
      <c r="Q35" s="46">
        <f t="shared" si="4"/>
        <v>0</v>
      </c>
      <c r="R35" s="71" t="str">
        <f t="array" ref="R35">IF(B35="","",INDEX('Bán nhanh'!$C$4:$C$103,INT((ROW()-4)/10)+1))</f>
        <v/>
      </c>
      <c r="S35" s="71" t="str">
        <f t="array" ref="S35">IF(B35="","",INDEX('Bán nhanh'!$P$4:$P$103,INT((ROW()-4)/10)+1))</f>
        <v/>
      </c>
      <c r="T35" s="58"/>
      <c r="U35" s="68" t="str">
        <f>IF('Mẻ sữa'!F36&lt;&gt;"",'Mẻ sữa'!F36,"")</f>
        <v/>
      </c>
      <c r="V35" s="68"/>
      <c r="W35" s="60" t="str">
        <f>IF('Sản phẩm'!D36&lt;&gt;"",'Sản phẩm'!D36,"")</f>
        <v/>
      </c>
      <c r="X35" s="36"/>
      <c r="Y35" s="36"/>
      <c r="Z35" s="36"/>
    </row>
    <row r="36" ht="15.75" customHeight="1">
      <c r="A36" s="70" t="str">
        <f t="array" ref="A36">IF(B36="","",INDEX('Bán nhanh'!$A$4:$A$103,INT((ROW()-4)/10)+1))</f>
        <v/>
      </c>
      <c r="B36" s="71" t="str">
        <f t="array" ref="B36">IF(OR(INDEX('Bán nhanh'!$D$3:$M$3,1,MOD(ROW()-4,10)+1)="",INDEX('Bán nhanh'!$D$4:$M$103,INT((ROW()-4)/10)+1,MOD(ROW()-4,10)+1)&lt;=0),"",INDEX('Bán nhanh'!$D$3:$M$3,1,MOD(ROW()-4,10)+1))</f>
        <v/>
      </c>
      <c r="C36" s="58" t="str">
        <f t="array" ref="C36">IFERROR(INDEX('Sản phẩm'!$A$4:$A$103,MATCH(B36,'Sản phẩm'!$D$4:$D$103,0)),"")</f>
        <v/>
      </c>
      <c r="D36" s="71" t="str">
        <f t="array" ref="D36">IF(B36="","",INDEX('Bán nhanh'!$B$4:$B$103,INT((ROW()-4)/10)+1))</f>
        <v/>
      </c>
      <c r="E36" s="58" t="str">
        <f t="array" ref="E36">IFERROR(INDEX('Mẻ sữa'!$B$4:$B$203,MATCH(D36,'Mẻ sữa'!$C$4:$C$203,0)),"")</f>
        <v/>
      </c>
      <c r="F36" s="66">
        <f t="array" ref="F36">IF(B36="",0,INDEX('Bán nhanh'!$D$4:$M$103,INT((ROW()-4)/10)+1,MOD(ROW()-4,10)+1))</f>
        <v>0</v>
      </c>
      <c r="G36" s="46">
        <f t="array" ref="G36">IFERROR(INDEX('Sản phẩm'!$F$4:$F$103,MATCH(B36,'Sản phẩm'!$D$4:$D$103,0)),0)</f>
        <v>0</v>
      </c>
      <c r="H36" s="67">
        <f t="shared" si="5"/>
        <v>0</v>
      </c>
      <c r="I36" s="46">
        <f t="shared" si="1"/>
        <v>0</v>
      </c>
      <c r="J36" s="46">
        <f t="array" ref="J36">IFERROR(INDEX('Sản phẩm'!$G$4:$G$103,MATCH(B36,'Sản phẩm'!$D$4:$D$103,0)),0)</f>
        <v>0</v>
      </c>
      <c r="K36" s="46">
        <f t="array" ref="K36">IFERROR(J36*INDEX('Mẻ sữa'!$N$4:$N$203,MATCH(D36,'Mẻ sữa'!$C$4:$C$203,0)),0)</f>
        <v>0</v>
      </c>
      <c r="L36" s="46">
        <f t="array" ref="L36">IFERROR(INDEX('Sản phẩm'!$I$4:$I$103,MATCH(B36,'Sản phẩm'!$D$4:$D$103,0)),0)</f>
        <v>0</v>
      </c>
      <c r="M36" s="72" t="str">
        <f t="array" ref="M36">IFERROR(INDEX('Sản phẩm'!$J$4:$J$103,MATCH(B36,'Sản phẩm'!$D$4:$D$103,0)),0)</f>
        <v/>
      </c>
      <c r="N36" s="46">
        <f>IF(B36="",0,(K36+L36+M36)*'Thiết lập'!$B$8)</f>
        <v>0</v>
      </c>
      <c r="O36" s="46">
        <f t="shared" si="2"/>
        <v>0</v>
      </c>
      <c r="P36" s="46">
        <f t="shared" si="3"/>
        <v>0</v>
      </c>
      <c r="Q36" s="46">
        <f t="shared" si="4"/>
        <v>0</v>
      </c>
      <c r="R36" s="71" t="str">
        <f t="array" ref="R36">IF(B36="","",INDEX('Bán nhanh'!$C$4:$C$103,INT((ROW()-4)/10)+1))</f>
        <v/>
      </c>
      <c r="S36" s="71" t="str">
        <f t="array" ref="S36">IF(B36="","",INDEX('Bán nhanh'!$P$4:$P$103,INT((ROW()-4)/10)+1))</f>
        <v/>
      </c>
      <c r="T36" s="58"/>
      <c r="U36" s="68" t="str">
        <f>IF('Mẻ sữa'!F37&lt;&gt;"",'Mẻ sữa'!F37,"")</f>
        <v/>
      </c>
      <c r="V36" s="68"/>
      <c r="W36" s="60" t="str">
        <f>IF('Sản phẩm'!D37&lt;&gt;"",'Sản phẩm'!D37,"")</f>
        <v/>
      </c>
      <c r="X36" s="36"/>
      <c r="Y36" s="36"/>
      <c r="Z36" s="36"/>
    </row>
    <row r="37" ht="15.75" customHeight="1">
      <c r="A37" s="70" t="str">
        <f t="array" ref="A37">IF(B37="","",INDEX('Bán nhanh'!$A$4:$A$103,INT((ROW()-4)/10)+1))</f>
        <v/>
      </c>
      <c r="B37" s="71" t="str">
        <f t="array" ref="B37">IF(OR(INDEX('Bán nhanh'!$D$3:$M$3,1,MOD(ROW()-4,10)+1)="",INDEX('Bán nhanh'!$D$4:$M$103,INT((ROW()-4)/10)+1,MOD(ROW()-4,10)+1)&lt;=0),"",INDEX('Bán nhanh'!$D$3:$M$3,1,MOD(ROW()-4,10)+1))</f>
        <v/>
      </c>
      <c r="C37" s="58" t="str">
        <f t="array" ref="C37">IFERROR(INDEX('Sản phẩm'!$A$4:$A$103,MATCH(B37,'Sản phẩm'!$D$4:$D$103,0)),"")</f>
        <v/>
      </c>
      <c r="D37" s="71" t="str">
        <f t="array" ref="D37">IF(B37="","",INDEX('Bán nhanh'!$B$4:$B$103,INT((ROW()-4)/10)+1))</f>
        <v/>
      </c>
      <c r="E37" s="58" t="str">
        <f t="array" ref="E37">IFERROR(INDEX('Mẻ sữa'!$B$4:$B$203,MATCH(D37,'Mẻ sữa'!$C$4:$C$203,0)),"")</f>
        <v/>
      </c>
      <c r="F37" s="66">
        <f t="array" ref="F37">IF(B37="",0,INDEX('Bán nhanh'!$D$4:$M$103,INT((ROW()-4)/10)+1,MOD(ROW()-4,10)+1))</f>
        <v>0</v>
      </c>
      <c r="G37" s="46">
        <f t="array" ref="G37">IFERROR(INDEX('Sản phẩm'!$F$4:$F$103,MATCH(B37,'Sản phẩm'!$D$4:$D$103,0)),0)</f>
        <v>0</v>
      </c>
      <c r="H37" s="67">
        <f t="shared" si="5"/>
        <v>0</v>
      </c>
      <c r="I37" s="46">
        <f t="shared" si="1"/>
        <v>0</v>
      </c>
      <c r="J37" s="46">
        <f t="array" ref="J37">IFERROR(INDEX('Sản phẩm'!$G$4:$G$103,MATCH(B37,'Sản phẩm'!$D$4:$D$103,0)),0)</f>
        <v>0</v>
      </c>
      <c r="K37" s="46">
        <f t="array" ref="K37">IFERROR(J37*INDEX('Mẻ sữa'!$N$4:$N$203,MATCH(D37,'Mẻ sữa'!$C$4:$C$203,0)),0)</f>
        <v>0</v>
      </c>
      <c r="L37" s="46">
        <f t="array" ref="L37">IFERROR(INDEX('Sản phẩm'!$I$4:$I$103,MATCH(B37,'Sản phẩm'!$D$4:$D$103,0)),0)</f>
        <v>0</v>
      </c>
      <c r="M37" s="72" t="str">
        <f t="array" ref="M37">IFERROR(INDEX('Sản phẩm'!$J$4:$J$103,MATCH(B37,'Sản phẩm'!$D$4:$D$103,0)),0)</f>
        <v/>
      </c>
      <c r="N37" s="46">
        <f>IF(B37="",0,(K37+L37+M37)*'Thiết lập'!$B$8)</f>
        <v>0</v>
      </c>
      <c r="O37" s="46">
        <f t="shared" si="2"/>
        <v>0</v>
      </c>
      <c r="P37" s="46">
        <f t="shared" si="3"/>
        <v>0</v>
      </c>
      <c r="Q37" s="46">
        <f t="shared" si="4"/>
        <v>0</v>
      </c>
      <c r="R37" s="71" t="str">
        <f t="array" ref="R37">IF(B37="","",INDEX('Bán nhanh'!$C$4:$C$103,INT((ROW()-4)/10)+1))</f>
        <v/>
      </c>
      <c r="S37" s="71" t="str">
        <f t="array" ref="S37">IF(B37="","",INDEX('Bán nhanh'!$P$4:$P$103,INT((ROW()-4)/10)+1))</f>
        <v/>
      </c>
      <c r="T37" s="58"/>
      <c r="U37" s="68" t="str">
        <f>IF('Mẻ sữa'!F38&lt;&gt;"",'Mẻ sữa'!F38,"")</f>
        <v/>
      </c>
      <c r="V37" s="68"/>
      <c r="W37" s="60" t="str">
        <f>IF('Sản phẩm'!D38&lt;&gt;"",'Sản phẩm'!D38,"")</f>
        <v/>
      </c>
      <c r="X37" s="36"/>
      <c r="Y37" s="36"/>
      <c r="Z37" s="36"/>
    </row>
    <row r="38" ht="15.75" customHeight="1">
      <c r="A38" s="70" t="str">
        <f t="array" ref="A38">IF(B38="","",INDEX('Bán nhanh'!$A$4:$A$103,INT((ROW()-4)/10)+1))</f>
        <v/>
      </c>
      <c r="B38" s="71" t="str">
        <f t="array" ref="B38">IF(OR(INDEX('Bán nhanh'!$D$3:$M$3,1,MOD(ROW()-4,10)+1)="",INDEX('Bán nhanh'!$D$4:$M$103,INT((ROW()-4)/10)+1,MOD(ROW()-4,10)+1)&lt;=0),"",INDEX('Bán nhanh'!$D$3:$M$3,1,MOD(ROW()-4,10)+1))</f>
        <v/>
      </c>
      <c r="C38" s="58" t="str">
        <f t="array" ref="C38">IFERROR(INDEX('Sản phẩm'!$A$4:$A$103,MATCH(B38,'Sản phẩm'!$D$4:$D$103,0)),"")</f>
        <v/>
      </c>
      <c r="D38" s="71" t="str">
        <f t="array" ref="D38">IF(B38="","",INDEX('Bán nhanh'!$B$4:$B$103,INT((ROW()-4)/10)+1))</f>
        <v/>
      </c>
      <c r="E38" s="58" t="str">
        <f t="array" ref="E38">IFERROR(INDEX('Mẻ sữa'!$B$4:$B$203,MATCH(D38,'Mẻ sữa'!$C$4:$C$203,0)),"")</f>
        <v/>
      </c>
      <c r="F38" s="66">
        <f t="array" ref="F38">IF(B38="",0,INDEX('Bán nhanh'!$D$4:$M$103,INT((ROW()-4)/10)+1,MOD(ROW()-4,10)+1))</f>
        <v>0</v>
      </c>
      <c r="G38" s="46">
        <f t="array" ref="G38">IFERROR(INDEX('Sản phẩm'!$F$4:$F$103,MATCH(B38,'Sản phẩm'!$D$4:$D$103,0)),0)</f>
        <v>0</v>
      </c>
      <c r="H38" s="67">
        <f t="shared" si="5"/>
        <v>0</v>
      </c>
      <c r="I38" s="46">
        <f t="shared" si="1"/>
        <v>0</v>
      </c>
      <c r="J38" s="46">
        <f t="array" ref="J38">IFERROR(INDEX('Sản phẩm'!$G$4:$G$103,MATCH(B38,'Sản phẩm'!$D$4:$D$103,0)),0)</f>
        <v>0</v>
      </c>
      <c r="K38" s="46">
        <f t="array" ref="K38">IFERROR(J38*INDEX('Mẻ sữa'!$N$4:$N$203,MATCH(D38,'Mẻ sữa'!$C$4:$C$203,0)),0)</f>
        <v>0</v>
      </c>
      <c r="L38" s="46">
        <f t="array" ref="L38">IFERROR(INDEX('Sản phẩm'!$I$4:$I$103,MATCH(B38,'Sản phẩm'!$D$4:$D$103,0)),0)</f>
        <v>0</v>
      </c>
      <c r="M38" s="72" t="str">
        <f t="array" ref="M38">IFERROR(INDEX('Sản phẩm'!$J$4:$J$103,MATCH(B38,'Sản phẩm'!$D$4:$D$103,0)),0)</f>
        <v/>
      </c>
      <c r="N38" s="46">
        <f>IF(B38="",0,(K38+L38+M38)*'Thiết lập'!$B$8)</f>
        <v>0</v>
      </c>
      <c r="O38" s="46">
        <f t="shared" si="2"/>
        <v>0</v>
      </c>
      <c r="P38" s="46">
        <f t="shared" si="3"/>
        <v>0</v>
      </c>
      <c r="Q38" s="46">
        <f t="shared" si="4"/>
        <v>0</v>
      </c>
      <c r="R38" s="71" t="str">
        <f t="array" ref="R38">IF(B38="","",INDEX('Bán nhanh'!$C$4:$C$103,INT((ROW()-4)/10)+1))</f>
        <v/>
      </c>
      <c r="S38" s="71" t="str">
        <f t="array" ref="S38">IF(B38="","",INDEX('Bán nhanh'!$P$4:$P$103,INT((ROW()-4)/10)+1))</f>
        <v/>
      </c>
      <c r="T38" s="58"/>
      <c r="U38" s="68" t="str">
        <f>IF('Mẻ sữa'!F39&lt;&gt;"",'Mẻ sữa'!F39,"")</f>
        <v/>
      </c>
      <c r="V38" s="68"/>
      <c r="W38" s="60" t="str">
        <f>IF('Sản phẩm'!D39&lt;&gt;"",'Sản phẩm'!D39,"")</f>
        <v/>
      </c>
      <c r="X38" s="36"/>
      <c r="Y38" s="36"/>
      <c r="Z38" s="36"/>
    </row>
    <row r="39" ht="15.75" customHeight="1">
      <c r="A39" s="70" t="str">
        <f t="array" ref="A39">IF(B39="","",INDEX('Bán nhanh'!$A$4:$A$103,INT((ROW()-4)/10)+1))</f>
        <v/>
      </c>
      <c r="B39" s="71" t="str">
        <f t="array" ref="B39">IF(OR(INDEX('Bán nhanh'!$D$3:$M$3,1,MOD(ROW()-4,10)+1)="",INDEX('Bán nhanh'!$D$4:$M$103,INT((ROW()-4)/10)+1,MOD(ROW()-4,10)+1)&lt;=0),"",INDEX('Bán nhanh'!$D$3:$M$3,1,MOD(ROW()-4,10)+1))</f>
        <v/>
      </c>
      <c r="C39" s="58" t="str">
        <f t="array" ref="C39">IFERROR(INDEX('Sản phẩm'!$A$4:$A$103,MATCH(B39,'Sản phẩm'!$D$4:$D$103,0)),"")</f>
        <v/>
      </c>
      <c r="D39" s="71" t="str">
        <f t="array" ref="D39">IF(B39="","",INDEX('Bán nhanh'!$B$4:$B$103,INT((ROW()-4)/10)+1))</f>
        <v/>
      </c>
      <c r="E39" s="58" t="str">
        <f t="array" ref="E39">IFERROR(INDEX('Mẻ sữa'!$B$4:$B$203,MATCH(D39,'Mẻ sữa'!$C$4:$C$203,0)),"")</f>
        <v/>
      </c>
      <c r="F39" s="66">
        <f t="array" ref="F39">IF(B39="",0,INDEX('Bán nhanh'!$D$4:$M$103,INT((ROW()-4)/10)+1,MOD(ROW()-4,10)+1))</f>
        <v>0</v>
      </c>
      <c r="G39" s="46">
        <f t="array" ref="G39">IFERROR(INDEX('Sản phẩm'!$F$4:$F$103,MATCH(B39,'Sản phẩm'!$D$4:$D$103,0)),0)</f>
        <v>0</v>
      </c>
      <c r="H39" s="67">
        <f t="shared" si="5"/>
        <v>0</v>
      </c>
      <c r="I39" s="46">
        <f t="shared" si="1"/>
        <v>0</v>
      </c>
      <c r="J39" s="46">
        <f t="array" ref="J39">IFERROR(INDEX('Sản phẩm'!$G$4:$G$103,MATCH(B39,'Sản phẩm'!$D$4:$D$103,0)),0)</f>
        <v>0</v>
      </c>
      <c r="K39" s="46">
        <f t="array" ref="K39">IFERROR(J39*INDEX('Mẻ sữa'!$N$4:$N$203,MATCH(D39,'Mẻ sữa'!$C$4:$C$203,0)),0)</f>
        <v>0</v>
      </c>
      <c r="L39" s="46">
        <f t="array" ref="L39">IFERROR(INDEX('Sản phẩm'!$I$4:$I$103,MATCH(B39,'Sản phẩm'!$D$4:$D$103,0)),0)</f>
        <v>0</v>
      </c>
      <c r="M39" s="72" t="str">
        <f t="array" ref="M39">IFERROR(INDEX('Sản phẩm'!$J$4:$J$103,MATCH(B39,'Sản phẩm'!$D$4:$D$103,0)),0)</f>
        <v/>
      </c>
      <c r="N39" s="46">
        <f>IF(B39="",0,(K39+L39+M39)*'Thiết lập'!$B$8)</f>
        <v>0</v>
      </c>
      <c r="O39" s="46">
        <f t="shared" si="2"/>
        <v>0</v>
      </c>
      <c r="P39" s="46">
        <f t="shared" si="3"/>
        <v>0</v>
      </c>
      <c r="Q39" s="46">
        <f t="shared" si="4"/>
        <v>0</v>
      </c>
      <c r="R39" s="71" t="str">
        <f t="array" ref="R39">IF(B39="","",INDEX('Bán nhanh'!$C$4:$C$103,INT((ROW()-4)/10)+1))</f>
        <v/>
      </c>
      <c r="S39" s="71" t="str">
        <f t="array" ref="S39">IF(B39="","",INDEX('Bán nhanh'!$P$4:$P$103,INT((ROW()-4)/10)+1))</f>
        <v/>
      </c>
      <c r="T39" s="58"/>
      <c r="U39" s="68" t="str">
        <f>IF('Mẻ sữa'!F40&lt;&gt;"",'Mẻ sữa'!F40,"")</f>
        <v/>
      </c>
      <c r="V39" s="68"/>
      <c r="W39" s="60" t="str">
        <f>IF('Sản phẩm'!D40&lt;&gt;"",'Sản phẩm'!D40,"")</f>
        <v/>
      </c>
      <c r="X39" s="36"/>
      <c r="Y39" s="36"/>
      <c r="Z39" s="36"/>
    </row>
    <row r="40" ht="15.75" customHeight="1">
      <c r="A40" s="70" t="str">
        <f t="array" ref="A40">IF(B40="","",INDEX('Bán nhanh'!$A$4:$A$103,INT((ROW()-4)/10)+1))</f>
        <v/>
      </c>
      <c r="B40" s="71" t="str">
        <f t="array" ref="B40">IF(OR(INDEX('Bán nhanh'!$D$3:$M$3,1,MOD(ROW()-4,10)+1)="",INDEX('Bán nhanh'!$D$4:$M$103,INT((ROW()-4)/10)+1,MOD(ROW()-4,10)+1)&lt;=0),"",INDEX('Bán nhanh'!$D$3:$M$3,1,MOD(ROW()-4,10)+1))</f>
        <v/>
      </c>
      <c r="C40" s="58" t="str">
        <f t="array" ref="C40">IFERROR(INDEX('Sản phẩm'!$A$4:$A$103,MATCH(B40,'Sản phẩm'!$D$4:$D$103,0)),"")</f>
        <v/>
      </c>
      <c r="D40" s="71" t="str">
        <f t="array" ref="D40">IF(B40="","",INDEX('Bán nhanh'!$B$4:$B$103,INT((ROW()-4)/10)+1))</f>
        <v/>
      </c>
      <c r="E40" s="58" t="str">
        <f t="array" ref="E40">IFERROR(INDEX('Mẻ sữa'!$B$4:$B$203,MATCH(D40,'Mẻ sữa'!$C$4:$C$203,0)),"")</f>
        <v/>
      </c>
      <c r="F40" s="66">
        <f t="array" ref="F40">IF(B40="",0,INDEX('Bán nhanh'!$D$4:$M$103,INT((ROW()-4)/10)+1,MOD(ROW()-4,10)+1))</f>
        <v>0</v>
      </c>
      <c r="G40" s="46">
        <f t="array" ref="G40">IFERROR(INDEX('Sản phẩm'!$F$4:$F$103,MATCH(B40,'Sản phẩm'!$D$4:$D$103,0)),0)</f>
        <v>0</v>
      </c>
      <c r="H40" s="67">
        <f t="shared" si="5"/>
        <v>0</v>
      </c>
      <c r="I40" s="46">
        <f t="shared" si="1"/>
        <v>0</v>
      </c>
      <c r="J40" s="46">
        <f t="array" ref="J40">IFERROR(INDEX('Sản phẩm'!$G$4:$G$103,MATCH(B40,'Sản phẩm'!$D$4:$D$103,0)),0)</f>
        <v>0</v>
      </c>
      <c r="K40" s="46">
        <f t="array" ref="K40">IFERROR(J40*INDEX('Mẻ sữa'!$N$4:$N$203,MATCH(D40,'Mẻ sữa'!$C$4:$C$203,0)),0)</f>
        <v>0</v>
      </c>
      <c r="L40" s="46">
        <f t="array" ref="L40">IFERROR(INDEX('Sản phẩm'!$I$4:$I$103,MATCH(B40,'Sản phẩm'!$D$4:$D$103,0)),0)</f>
        <v>0</v>
      </c>
      <c r="M40" s="72" t="str">
        <f t="array" ref="M40">IFERROR(INDEX('Sản phẩm'!$J$4:$J$103,MATCH(B40,'Sản phẩm'!$D$4:$D$103,0)),0)</f>
        <v/>
      </c>
      <c r="N40" s="46">
        <f>IF(B40="",0,(K40+L40+M40)*'Thiết lập'!$B$8)</f>
        <v>0</v>
      </c>
      <c r="O40" s="46">
        <f t="shared" si="2"/>
        <v>0</v>
      </c>
      <c r="P40" s="46">
        <f t="shared" si="3"/>
        <v>0</v>
      </c>
      <c r="Q40" s="46">
        <f t="shared" si="4"/>
        <v>0</v>
      </c>
      <c r="R40" s="71" t="str">
        <f t="array" ref="R40">IF(B40="","",INDEX('Bán nhanh'!$C$4:$C$103,INT((ROW()-4)/10)+1))</f>
        <v/>
      </c>
      <c r="S40" s="71" t="str">
        <f t="array" ref="S40">IF(B40="","",INDEX('Bán nhanh'!$P$4:$P$103,INT((ROW()-4)/10)+1))</f>
        <v/>
      </c>
      <c r="T40" s="58"/>
      <c r="U40" s="68" t="str">
        <f>IF('Mẻ sữa'!F41&lt;&gt;"",'Mẻ sữa'!F41,"")</f>
        <v/>
      </c>
      <c r="V40" s="68"/>
      <c r="W40" s="87"/>
      <c r="X40" s="36"/>
      <c r="Y40" s="36"/>
      <c r="Z40" s="36"/>
    </row>
    <row r="41" ht="15.75" customHeight="1">
      <c r="A41" s="70" t="str">
        <f t="array" ref="A41">IF(B41="","",INDEX('Bán nhanh'!$A$4:$A$103,INT((ROW()-4)/10)+1))</f>
        <v/>
      </c>
      <c r="B41" s="71" t="str">
        <f t="array" ref="B41">IF(OR(INDEX('Bán nhanh'!$D$3:$M$3,1,MOD(ROW()-4,10)+1)="",INDEX('Bán nhanh'!$D$4:$M$103,INT((ROW()-4)/10)+1,MOD(ROW()-4,10)+1)&lt;=0),"",INDEX('Bán nhanh'!$D$3:$M$3,1,MOD(ROW()-4,10)+1))</f>
        <v/>
      </c>
      <c r="C41" s="58" t="str">
        <f t="array" ref="C41">IFERROR(INDEX('Sản phẩm'!$A$4:$A$103,MATCH(B41,'Sản phẩm'!$D$4:$D$103,0)),"")</f>
        <v/>
      </c>
      <c r="D41" s="71" t="str">
        <f t="array" ref="D41">IF(B41="","",INDEX('Bán nhanh'!$B$4:$B$103,INT((ROW()-4)/10)+1))</f>
        <v/>
      </c>
      <c r="E41" s="58" t="str">
        <f t="array" ref="E41">IFERROR(INDEX('Mẻ sữa'!$B$4:$B$203,MATCH(D41,'Mẻ sữa'!$C$4:$C$203,0)),"")</f>
        <v/>
      </c>
      <c r="F41" s="66">
        <f t="array" ref="F41">IF(B41="",0,INDEX('Bán nhanh'!$D$4:$M$103,INT((ROW()-4)/10)+1,MOD(ROW()-4,10)+1))</f>
        <v>0</v>
      </c>
      <c r="G41" s="46">
        <f t="array" ref="G41">IFERROR(INDEX('Sản phẩm'!$F$4:$F$103,MATCH(B41,'Sản phẩm'!$D$4:$D$103,0)),0)</f>
        <v>0</v>
      </c>
      <c r="H41" s="67">
        <f t="shared" si="5"/>
        <v>0</v>
      </c>
      <c r="I41" s="46">
        <f t="shared" si="1"/>
        <v>0</v>
      </c>
      <c r="J41" s="46">
        <f t="array" ref="J41">IFERROR(INDEX('Sản phẩm'!$G$4:$G$103,MATCH(B41,'Sản phẩm'!$D$4:$D$103,0)),0)</f>
        <v>0</v>
      </c>
      <c r="K41" s="46">
        <f t="array" ref="K41">IFERROR(J41*INDEX('Mẻ sữa'!$N$4:$N$203,MATCH(D41,'Mẻ sữa'!$C$4:$C$203,0)),0)</f>
        <v>0</v>
      </c>
      <c r="L41" s="46">
        <f t="array" ref="L41">IFERROR(INDEX('Sản phẩm'!$I$4:$I$103,MATCH(B41,'Sản phẩm'!$D$4:$D$103,0)),0)</f>
        <v>0</v>
      </c>
      <c r="M41" s="72" t="str">
        <f t="array" ref="M41">IFERROR(INDEX('Sản phẩm'!$J$4:$J$103,MATCH(B41,'Sản phẩm'!$D$4:$D$103,0)),0)</f>
        <v/>
      </c>
      <c r="N41" s="46">
        <f>IF(B41="",0,(K41+L41+M41)*'Thiết lập'!$B$8)</f>
        <v>0</v>
      </c>
      <c r="O41" s="46">
        <f t="shared" si="2"/>
        <v>0</v>
      </c>
      <c r="P41" s="46">
        <f t="shared" si="3"/>
        <v>0</v>
      </c>
      <c r="Q41" s="46">
        <f t="shared" si="4"/>
        <v>0</v>
      </c>
      <c r="R41" s="71" t="str">
        <f t="array" ref="R41">IF(B41="","",INDEX('Bán nhanh'!$C$4:$C$103,INT((ROW()-4)/10)+1))</f>
        <v/>
      </c>
      <c r="S41" s="71" t="str">
        <f t="array" ref="S41">IF(B41="","",INDEX('Bán nhanh'!$P$4:$P$103,INT((ROW()-4)/10)+1))</f>
        <v/>
      </c>
      <c r="T41" s="58"/>
      <c r="U41" s="68" t="str">
        <f>IF('Mẻ sữa'!F42&lt;&gt;"",'Mẻ sữa'!F42,"")</f>
        <v/>
      </c>
      <c r="V41" s="68"/>
      <c r="W41" s="87"/>
      <c r="X41" s="36"/>
      <c r="Y41" s="36"/>
      <c r="Z41" s="36"/>
    </row>
    <row r="42" ht="15.75" customHeight="1">
      <c r="A42" s="70" t="str">
        <f t="array" ref="A42">IF(B42="","",INDEX('Bán nhanh'!$A$4:$A$103,INT((ROW()-4)/10)+1))</f>
        <v/>
      </c>
      <c r="B42" s="71" t="str">
        <f t="array" ref="B42">IF(OR(INDEX('Bán nhanh'!$D$3:$M$3,1,MOD(ROW()-4,10)+1)="",INDEX('Bán nhanh'!$D$4:$M$103,INT((ROW()-4)/10)+1,MOD(ROW()-4,10)+1)&lt;=0),"",INDEX('Bán nhanh'!$D$3:$M$3,1,MOD(ROW()-4,10)+1))</f>
        <v/>
      </c>
      <c r="C42" s="58" t="str">
        <f t="array" ref="C42">IFERROR(INDEX('Sản phẩm'!$A$4:$A$103,MATCH(B42,'Sản phẩm'!$D$4:$D$103,0)),"")</f>
        <v/>
      </c>
      <c r="D42" s="71" t="str">
        <f t="array" ref="D42">IF(B42="","",INDEX('Bán nhanh'!$B$4:$B$103,INT((ROW()-4)/10)+1))</f>
        <v/>
      </c>
      <c r="E42" s="58" t="str">
        <f t="array" ref="E42">IFERROR(INDEX('Mẻ sữa'!$B$4:$B$203,MATCH(D42,'Mẻ sữa'!$C$4:$C$203,0)),"")</f>
        <v/>
      </c>
      <c r="F42" s="66">
        <f t="array" ref="F42">IF(B42="",0,INDEX('Bán nhanh'!$D$4:$M$103,INT((ROW()-4)/10)+1,MOD(ROW()-4,10)+1))</f>
        <v>0</v>
      </c>
      <c r="G42" s="46">
        <f t="array" ref="G42">IFERROR(INDEX('Sản phẩm'!$F$4:$F$103,MATCH(B42,'Sản phẩm'!$D$4:$D$103,0)),0)</f>
        <v>0</v>
      </c>
      <c r="H42" s="67">
        <f t="shared" si="5"/>
        <v>0</v>
      </c>
      <c r="I42" s="46">
        <f t="shared" si="1"/>
        <v>0</v>
      </c>
      <c r="J42" s="46">
        <f t="array" ref="J42">IFERROR(INDEX('Sản phẩm'!$G$4:$G$103,MATCH(B42,'Sản phẩm'!$D$4:$D$103,0)),0)</f>
        <v>0</v>
      </c>
      <c r="K42" s="46">
        <f t="array" ref="K42">IFERROR(J42*INDEX('Mẻ sữa'!$N$4:$N$203,MATCH(D42,'Mẻ sữa'!$C$4:$C$203,0)),0)</f>
        <v>0</v>
      </c>
      <c r="L42" s="46">
        <f t="array" ref="L42">IFERROR(INDEX('Sản phẩm'!$I$4:$I$103,MATCH(B42,'Sản phẩm'!$D$4:$D$103,0)),0)</f>
        <v>0</v>
      </c>
      <c r="M42" s="72" t="str">
        <f t="array" ref="M42">IFERROR(INDEX('Sản phẩm'!$J$4:$J$103,MATCH(B42,'Sản phẩm'!$D$4:$D$103,0)),0)</f>
        <v/>
      </c>
      <c r="N42" s="46">
        <f>IF(B42="",0,(K42+L42+M42)*'Thiết lập'!$B$8)</f>
        <v>0</v>
      </c>
      <c r="O42" s="46">
        <f t="shared" si="2"/>
        <v>0</v>
      </c>
      <c r="P42" s="46">
        <f t="shared" si="3"/>
        <v>0</v>
      </c>
      <c r="Q42" s="46">
        <f t="shared" si="4"/>
        <v>0</v>
      </c>
      <c r="R42" s="71" t="str">
        <f t="array" ref="R42">IF(B42="","",INDEX('Bán nhanh'!$C$4:$C$103,INT((ROW()-4)/10)+1))</f>
        <v/>
      </c>
      <c r="S42" s="71" t="str">
        <f t="array" ref="S42">IF(B42="","",INDEX('Bán nhanh'!$P$4:$P$103,INT((ROW()-4)/10)+1))</f>
        <v/>
      </c>
      <c r="T42" s="58"/>
      <c r="U42" s="68" t="str">
        <f>IF('Mẻ sữa'!F43&lt;&gt;"",'Mẻ sữa'!F43,"")</f>
        <v/>
      </c>
      <c r="V42" s="68"/>
      <c r="W42" s="87"/>
      <c r="X42" s="36"/>
      <c r="Y42" s="36"/>
      <c r="Z42" s="36"/>
    </row>
    <row r="43" ht="15.75" customHeight="1">
      <c r="A43" s="70" t="str">
        <f t="array" ref="A43">IF(B43="","",INDEX('Bán nhanh'!$A$4:$A$103,INT((ROW()-4)/10)+1))</f>
        <v/>
      </c>
      <c r="B43" s="71" t="str">
        <f t="array" ref="B43">IF(OR(INDEX('Bán nhanh'!$D$3:$M$3,1,MOD(ROW()-4,10)+1)="",INDEX('Bán nhanh'!$D$4:$M$103,INT((ROW()-4)/10)+1,MOD(ROW()-4,10)+1)&lt;=0),"",INDEX('Bán nhanh'!$D$3:$M$3,1,MOD(ROW()-4,10)+1))</f>
        <v/>
      </c>
      <c r="C43" s="58" t="str">
        <f t="array" ref="C43">IFERROR(INDEX('Sản phẩm'!$A$4:$A$103,MATCH(B43,'Sản phẩm'!$D$4:$D$103,0)),"")</f>
        <v/>
      </c>
      <c r="D43" s="71" t="str">
        <f t="array" ref="D43">IF(B43="","",INDEX('Bán nhanh'!$B$4:$B$103,INT((ROW()-4)/10)+1))</f>
        <v/>
      </c>
      <c r="E43" s="58" t="str">
        <f t="array" ref="E43">IFERROR(INDEX('Mẻ sữa'!$B$4:$B$203,MATCH(D43,'Mẻ sữa'!$C$4:$C$203,0)),"")</f>
        <v/>
      </c>
      <c r="F43" s="66">
        <f t="array" ref="F43">IF(B43="",0,INDEX('Bán nhanh'!$D$4:$M$103,INT((ROW()-4)/10)+1,MOD(ROW()-4,10)+1))</f>
        <v>0</v>
      </c>
      <c r="G43" s="46">
        <f t="array" ref="G43">IFERROR(INDEX('Sản phẩm'!$F$4:$F$103,MATCH(B43,'Sản phẩm'!$D$4:$D$103,0)),0)</f>
        <v>0</v>
      </c>
      <c r="H43" s="67">
        <f t="shared" si="5"/>
        <v>0</v>
      </c>
      <c r="I43" s="46">
        <f t="shared" si="1"/>
        <v>0</v>
      </c>
      <c r="J43" s="46">
        <f t="array" ref="J43">IFERROR(INDEX('Sản phẩm'!$G$4:$G$103,MATCH(B43,'Sản phẩm'!$D$4:$D$103,0)),0)</f>
        <v>0</v>
      </c>
      <c r="K43" s="46">
        <f t="array" ref="K43">IFERROR(J43*INDEX('Mẻ sữa'!$N$4:$N$203,MATCH(D43,'Mẻ sữa'!$C$4:$C$203,0)),0)</f>
        <v>0</v>
      </c>
      <c r="L43" s="46">
        <f t="array" ref="L43">IFERROR(INDEX('Sản phẩm'!$I$4:$I$103,MATCH(B43,'Sản phẩm'!$D$4:$D$103,0)),0)</f>
        <v>0</v>
      </c>
      <c r="M43" s="72" t="str">
        <f t="array" ref="M43">IFERROR(INDEX('Sản phẩm'!$J$4:$J$103,MATCH(B43,'Sản phẩm'!$D$4:$D$103,0)),0)</f>
        <v/>
      </c>
      <c r="N43" s="46">
        <f>IF(B43="",0,(K43+L43+M43)*'Thiết lập'!$B$8)</f>
        <v>0</v>
      </c>
      <c r="O43" s="46">
        <f t="shared" si="2"/>
        <v>0</v>
      </c>
      <c r="P43" s="46">
        <f t="shared" si="3"/>
        <v>0</v>
      </c>
      <c r="Q43" s="46">
        <f t="shared" si="4"/>
        <v>0</v>
      </c>
      <c r="R43" s="71" t="str">
        <f t="array" ref="R43">IF(B43="","",INDEX('Bán nhanh'!$C$4:$C$103,INT((ROW()-4)/10)+1))</f>
        <v/>
      </c>
      <c r="S43" s="71" t="str">
        <f t="array" ref="S43">IF(B43="","",INDEX('Bán nhanh'!$P$4:$P$103,INT((ROW()-4)/10)+1))</f>
        <v/>
      </c>
      <c r="T43" s="58"/>
      <c r="U43" s="68" t="str">
        <f>IF('Mẻ sữa'!F44&lt;&gt;"",'Mẻ sữa'!F44,"")</f>
        <v/>
      </c>
      <c r="V43" s="68"/>
      <c r="W43" s="87"/>
      <c r="X43" s="36"/>
      <c r="Y43" s="36"/>
      <c r="Z43" s="36"/>
    </row>
    <row r="44" ht="15.75" customHeight="1">
      <c r="A44" s="70" t="str">
        <f t="array" ref="A44">IF(B44="","",INDEX('Bán nhanh'!$A$4:$A$103,INT((ROW()-4)/10)+1))</f>
        <v/>
      </c>
      <c r="B44" s="71" t="str">
        <f t="array" ref="B44">IF(OR(INDEX('Bán nhanh'!$D$3:$M$3,1,MOD(ROW()-4,10)+1)="",INDEX('Bán nhanh'!$D$4:$M$103,INT((ROW()-4)/10)+1,MOD(ROW()-4,10)+1)&lt;=0),"",INDEX('Bán nhanh'!$D$3:$M$3,1,MOD(ROW()-4,10)+1))</f>
        <v/>
      </c>
      <c r="C44" s="58" t="str">
        <f t="array" ref="C44">IFERROR(INDEX('Sản phẩm'!$A$4:$A$103,MATCH(B44,'Sản phẩm'!$D$4:$D$103,0)),"")</f>
        <v/>
      </c>
      <c r="D44" s="71" t="str">
        <f t="array" ref="D44">IF(B44="","",INDEX('Bán nhanh'!$B$4:$B$103,INT((ROW()-4)/10)+1))</f>
        <v/>
      </c>
      <c r="E44" s="58" t="str">
        <f t="array" ref="E44">IFERROR(INDEX('Mẻ sữa'!$B$4:$B$203,MATCH(D44,'Mẻ sữa'!$C$4:$C$203,0)),"")</f>
        <v/>
      </c>
      <c r="F44" s="66">
        <f t="array" ref="F44">IF(B44="",0,INDEX('Bán nhanh'!$D$4:$M$103,INT((ROW()-4)/10)+1,MOD(ROW()-4,10)+1))</f>
        <v>0</v>
      </c>
      <c r="G44" s="46">
        <f t="array" ref="G44">IFERROR(INDEX('Sản phẩm'!$F$4:$F$103,MATCH(B44,'Sản phẩm'!$D$4:$D$103,0)),0)</f>
        <v>0</v>
      </c>
      <c r="H44" s="67">
        <f t="shared" si="5"/>
        <v>0</v>
      </c>
      <c r="I44" s="46">
        <f t="shared" si="1"/>
        <v>0</v>
      </c>
      <c r="J44" s="46">
        <f t="array" ref="J44">IFERROR(INDEX('Sản phẩm'!$G$4:$G$103,MATCH(B44,'Sản phẩm'!$D$4:$D$103,0)),0)</f>
        <v>0</v>
      </c>
      <c r="K44" s="46">
        <f t="array" ref="K44">IFERROR(J44*INDEX('Mẻ sữa'!$N$4:$N$203,MATCH(D44,'Mẻ sữa'!$C$4:$C$203,0)),0)</f>
        <v>0</v>
      </c>
      <c r="L44" s="46">
        <f t="array" ref="L44">IFERROR(INDEX('Sản phẩm'!$I$4:$I$103,MATCH(B44,'Sản phẩm'!$D$4:$D$103,0)),0)</f>
        <v>0</v>
      </c>
      <c r="M44" s="72" t="str">
        <f t="array" ref="M44">IFERROR(INDEX('Sản phẩm'!$J$4:$J$103,MATCH(B44,'Sản phẩm'!$D$4:$D$103,0)),0)</f>
        <v/>
      </c>
      <c r="N44" s="46">
        <f>IF(B44="",0,(K44+L44+M44)*'Thiết lập'!$B$8)</f>
        <v>0</v>
      </c>
      <c r="O44" s="46">
        <f t="shared" si="2"/>
        <v>0</v>
      </c>
      <c r="P44" s="46">
        <f t="shared" si="3"/>
        <v>0</v>
      </c>
      <c r="Q44" s="46">
        <f t="shared" si="4"/>
        <v>0</v>
      </c>
      <c r="R44" s="71" t="str">
        <f t="array" ref="R44">IF(B44="","",INDEX('Bán nhanh'!$C$4:$C$103,INT((ROW()-4)/10)+1))</f>
        <v/>
      </c>
      <c r="S44" s="71" t="str">
        <f t="array" ref="S44">IF(B44="","",INDEX('Bán nhanh'!$P$4:$P$103,INT((ROW()-4)/10)+1))</f>
        <v/>
      </c>
      <c r="T44" s="58"/>
      <c r="U44" s="68" t="str">
        <f>IF('Mẻ sữa'!F45&lt;&gt;"",'Mẻ sữa'!F45,"")</f>
        <v/>
      </c>
      <c r="V44" s="68"/>
      <c r="W44" s="87"/>
      <c r="X44" s="36"/>
      <c r="Y44" s="36"/>
      <c r="Z44" s="36"/>
    </row>
    <row r="45" ht="15.75" customHeight="1">
      <c r="A45" s="70" t="str">
        <f t="array" ref="A45">IF(B45="","",INDEX('Bán nhanh'!$A$4:$A$103,INT((ROW()-4)/10)+1))</f>
        <v/>
      </c>
      <c r="B45" s="71" t="str">
        <f t="array" ref="B45">IF(OR(INDEX('Bán nhanh'!$D$3:$M$3,1,MOD(ROW()-4,10)+1)="",INDEX('Bán nhanh'!$D$4:$M$103,INT((ROW()-4)/10)+1,MOD(ROW()-4,10)+1)&lt;=0),"",INDEX('Bán nhanh'!$D$3:$M$3,1,MOD(ROW()-4,10)+1))</f>
        <v/>
      </c>
      <c r="C45" s="58" t="str">
        <f t="array" ref="C45">IFERROR(INDEX('Sản phẩm'!$A$4:$A$103,MATCH(B45,'Sản phẩm'!$D$4:$D$103,0)),"")</f>
        <v/>
      </c>
      <c r="D45" s="71" t="str">
        <f t="array" ref="D45">IF(B45="","",INDEX('Bán nhanh'!$B$4:$B$103,INT((ROW()-4)/10)+1))</f>
        <v/>
      </c>
      <c r="E45" s="58" t="str">
        <f t="array" ref="E45">IFERROR(INDEX('Mẻ sữa'!$B$4:$B$203,MATCH(D45,'Mẻ sữa'!$C$4:$C$203,0)),"")</f>
        <v/>
      </c>
      <c r="F45" s="66">
        <f t="array" ref="F45">IF(B45="",0,INDEX('Bán nhanh'!$D$4:$M$103,INT((ROW()-4)/10)+1,MOD(ROW()-4,10)+1))</f>
        <v>0</v>
      </c>
      <c r="G45" s="46">
        <f t="array" ref="G45">IFERROR(INDEX('Sản phẩm'!$F$4:$F$103,MATCH(B45,'Sản phẩm'!$D$4:$D$103,0)),0)</f>
        <v>0</v>
      </c>
      <c r="H45" s="67">
        <f t="shared" si="5"/>
        <v>0</v>
      </c>
      <c r="I45" s="46">
        <f t="shared" si="1"/>
        <v>0</v>
      </c>
      <c r="J45" s="46">
        <f t="array" ref="J45">IFERROR(INDEX('Sản phẩm'!$G$4:$G$103,MATCH(B45,'Sản phẩm'!$D$4:$D$103,0)),0)</f>
        <v>0</v>
      </c>
      <c r="K45" s="46">
        <f t="array" ref="K45">IFERROR(J45*INDEX('Mẻ sữa'!$N$4:$N$203,MATCH(D45,'Mẻ sữa'!$C$4:$C$203,0)),0)</f>
        <v>0</v>
      </c>
      <c r="L45" s="46">
        <f t="array" ref="L45">IFERROR(INDEX('Sản phẩm'!$I$4:$I$103,MATCH(B45,'Sản phẩm'!$D$4:$D$103,0)),0)</f>
        <v>0</v>
      </c>
      <c r="M45" s="72" t="str">
        <f t="array" ref="M45">IFERROR(INDEX('Sản phẩm'!$J$4:$J$103,MATCH(B45,'Sản phẩm'!$D$4:$D$103,0)),0)</f>
        <v/>
      </c>
      <c r="N45" s="46">
        <f>IF(B45="",0,(K45+L45+M45)*'Thiết lập'!$B$8)</f>
        <v>0</v>
      </c>
      <c r="O45" s="46">
        <f t="shared" si="2"/>
        <v>0</v>
      </c>
      <c r="P45" s="46">
        <f t="shared" si="3"/>
        <v>0</v>
      </c>
      <c r="Q45" s="46">
        <f t="shared" si="4"/>
        <v>0</v>
      </c>
      <c r="R45" s="71" t="str">
        <f t="array" ref="R45">IF(B45="","",INDEX('Bán nhanh'!$C$4:$C$103,INT((ROW()-4)/10)+1))</f>
        <v/>
      </c>
      <c r="S45" s="71" t="str">
        <f t="array" ref="S45">IF(B45="","",INDEX('Bán nhanh'!$P$4:$P$103,INT((ROW()-4)/10)+1))</f>
        <v/>
      </c>
      <c r="T45" s="58"/>
      <c r="U45" s="68" t="str">
        <f>IF('Mẻ sữa'!F46&lt;&gt;"",'Mẻ sữa'!F46,"")</f>
        <v/>
      </c>
      <c r="V45" s="68"/>
      <c r="W45" s="87"/>
      <c r="X45" s="36"/>
      <c r="Y45" s="36"/>
      <c r="Z45" s="36"/>
    </row>
    <row r="46" ht="15.75" customHeight="1">
      <c r="A46" s="70" t="str">
        <f t="array" ref="A46">IF(B46="","",INDEX('Bán nhanh'!$A$4:$A$103,INT((ROW()-4)/10)+1))</f>
        <v/>
      </c>
      <c r="B46" s="71" t="str">
        <f t="array" ref="B46">IF(OR(INDEX('Bán nhanh'!$D$3:$M$3,1,MOD(ROW()-4,10)+1)="",INDEX('Bán nhanh'!$D$4:$M$103,INT((ROW()-4)/10)+1,MOD(ROW()-4,10)+1)&lt;=0),"",INDEX('Bán nhanh'!$D$3:$M$3,1,MOD(ROW()-4,10)+1))</f>
        <v/>
      </c>
      <c r="C46" s="58" t="str">
        <f t="array" ref="C46">IFERROR(INDEX('Sản phẩm'!$A$4:$A$103,MATCH(B46,'Sản phẩm'!$D$4:$D$103,0)),"")</f>
        <v/>
      </c>
      <c r="D46" s="71" t="str">
        <f t="array" ref="D46">IF(B46="","",INDEX('Bán nhanh'!$B$4:$B$103,INT((ROW()-4)/10)+1))</f>
        <v/>
      </c>
      <c r="E46" s="58" t="str">
        <f t="array" ref="E46">IFERROR(INDEX('Mẻ sữa'!$B$4:$B$203,MATCH(D46,'Mẻ sữa'!$C$4:$C$203,0)),"")</f>
        <v/>
      </c>
      <c r="F46" s="66">
        <f t="array" ref="F46">IF(B46="",0,INDEX('Bán nhanh'!$D$4:$M$103,INT((ROW()-4)/10)+1,MOD(ROW()-4,10)+1))</f>
        <v>0</v>
      </c>
      <c r="G46" s="46">
        <f t="array" ref="G46">IFERROR(INDEX('Sản phẩm'!$F$4:$F$103,MATCH(B46,'Sản phẩm'!$D$4:$D$103,0)),0)</f>
        <v>0</v>
      </c>
      <c r="H46" s="67">
        <f t="shared" si="5"/>
        <v>0</v>
      </c>
      <c r="I46" s="46">
        <f t="shared" si="1"/>
        <v>0</v>
      </c>
      <c r="J46" s="46">
        <f t="array" ref="J46">IFERROR(INDEX('Sản phẩm'!$G$4:$G$103,MATCH(B46,'Sản phẩm'!$D$4:$D$103,0)),0)</f>
        <v>0</v>
      </c>
      <c r="K46" s="46">
        <f t="array" ref="K46">IFERROR(J46*INDEX('Mẻ sữa'!$N$4:$N$203,MATCH(D46,'Mẻ sữa'!$C$4:$C$203,0)),0)</f>
        <v>0</v>
      </c>
      <c r="L46" s="46">
        <f t="array" ref="L46">IFERROR(INDEX('Sản phẩm'!$I$4:$I$103,MATCH(B46,'Sản phẩm'!$D$4:$D$103,0)),0)</f>
        <v>0</v>
      </c>
      <c r="M46" s="72" t="str">
        <f t="array" ref="M46">IFERROR(INDEX('Sản phẩm'!$J$4:$J$103,MATCH(B46,'Sản phẩm'!$D$4:$D$103,0)),0)</f>
        <v/>
      </c>
      <c r="N46" s="46">
        <f>IF(B46="",0,(K46+L46+M46)*'Thiết lập'!$B$8)</f>
        <v>0</v>
      </c>
      <c r="O46" s="46">
        <f t="shared" si="2"/>
        <v>0</v>
      </c>
      <c r="P46" s="46">
        <f t="shared" si="3"/>
        <v>0</v>
      </c>
      <c r="Q46" s="46">
        <f t="shared" si="4"/>
        <v>0</v>
      </c>
      <c r="R46" s="71" t="str">
        <f t="array" ref="R46">IF(B46="","",INDEX('Bán nhanh'!$C$4:$C$103,INT((ROW()-4)/10)+1))</f>
        <v/>
      </c>
      <c r="S46" s="71" t="str">
        <f t="array" ref="S46">IF(B46="","",INDEX('Bán nhanh'!$P$4:$P$103,INT((ROW()-4)/10)+1))</f>
        <v/>
      </c>
      <c r="T46" s="58"/>
      <c r="U46" s="68" t="str">
        <f>IF('Mẻ sữa'!F47&lt;&gt;"",'Mẻ sữa'!F47,"")</f>
        <v/>
      </c>
      <c r="V46" s="68"/>
      <c r="W46" s="87"/>
      <c r="X46" s="36"/>
      <c r="Y46" s="36"/>
      <c r="Z46" s="36"/>
    </row>
    <row r="47" ht="15.75" customHeight="1">
      <c r="A47" s="70" t="str">
        <f t="array" ref="A47">IF(B47="","",INDEX('Bán nhanh'!$A$4:$A$103,INT((ROW()-4)/10)+1))</f>
        <v/>
      </c>
      <c r="B47" s="71" t="str">
        <f t="array" ref="B47">IF(OR(INDEX('Bán nhanh'!$D$3:$M$3,1,MOD(ROW()-4,10)+1)="",INDEX('Bán nhanh'!$D$4:$M$103,INT((ROW()-4)/10)+1,MOD(ROW()-4,10)+1)&lt;=0),"",INDEX('Bán nhanh'!$D$3:$M$3,1,MOD(ROW()-4,10)+1))</f>
        <v/>
      </c>
      <c r="C47" s="58" t="str">
        <f t="array" ref="C47">IFERROR(INDEX('Sản phẩm'!$A$4:$A$103,MATCH(B47,'Sản phẩm'!$D$4:$D$103,0)),"")</f>
        <v/>
      </c>
      <c r="D47" s="71" t="str">
        <f t="array" ref="D47">IF(B47="","",INDEX('Bán nhanh'!$B$4:$B$103,INT((ROW()-4)/10)+1))</f>
        <v/>
      </c>
      <c r="E47" s="58" t="str">
        <f t="array" ref="E47">IFERROR(INDEX('Mẻ sữa'!$B$4:$B$203,MATCH(D47,'Mẻ sữa'!$C$4:$C$203,0)),"")</f>
        <v/>
      </c>
      <c r="F47" s="66">
        <f t="array" ref="F47">IF(B47="",0,INDEX('Bán nhanh'!$D$4:$M$103,INT((ROW()-4)/10)+1,MOD(ROW()-4,10)+1))</f>
        <v>0</v>
      </c>
      <c r="G47" s="46">
        <f t="array" ref="G47">IFERROR(INDEX('Sản phẩm'!$F$4:$F$103,MATCH(B47,'Sản phẩm'!$D$4:$D$103,0)),0)</f>
        <v>0</v>
      </c>
      <c r="H47" s="67">
        <f t="shared" si="5"/>
        <v>0</v>
      </c>
      <c r="I47" s="46">
        <f t="shared" si="1"/>
        <v>0</v>
      </c>
      <c r="J47" s="46">
        <f t="array" ref="J47">IFERROR(INDEX('Sản phẩm'!$G$4:$G$103,MATCH(B47,'Sản phẩm'!$D$4:$D$103,0)),0)</f>
        <v>0</v>
      </c>
      <c r="K47" s="46">
        <f t="array" ref="K47">IFERROR(J47*INDEX('Mẻ sữa'!$N$4:$N$203,MATCH(D47,'Mẻ sữa'!$C$4:$C$203,0)),0)</f>
        <v>0</v>
      </c>
      <c r="L47" s="46">
        <f t="array" ref="L47">IFERROR(INDEX('Sản phẩm'!$I$4:$I$103,MATCH(B47,'Sản phẩm'!$D$4:$D$103,0)),0)</f>
        <v>0</v>
      </c>
      <c r="M47" s="72" t="str">
        <f t="array" ref="M47">IFERROR(INDEX('Sản phẩm'!$J$4:$J$103,MATCH(B47,'Sản phẩm'!$D$4:$D$103,0)),0)</f>
        <v/>
      </c>
      <c r="N47" s="46">
        <f>IF(B47="",0,(K47+L47+M47)*'Thiết lập'!$B$8)</f>
        <v>0</v>
      </c>
      <c r="O47" s="46">
        <f t="shared" si="2"/>
        <v>0</v>
      </c>
      <c r="P47" s="46">
        <f t="shared" si="3"/>
        <v>0</v>
      </c>
      <c r="Q47" s="46">
        <f t="shared" si="4"/>
        <v>0</v>
      </c>
      <c r="R47" s="71" t="str">
        <f t="array" ref="R47">IF(B47="","",INDEX('Bán nhanh'!$C$4:$C$103,INT((ROW()-4)/10)+1))</f>
        <v/>
      </c>
      <c r="S47" s="71" t="str">
        <f t="array" ref="S47">IF(B47="","",INDEX('Bán nhanh'!$P$4:$P$103,INT((ROW()-4)/10)+1))</f>
        <v/>
      </c>
      <c r="T47" s="58"/>
      <c r="U47" s="68" t="str">
        <f>IF('Mẻ sữa'!F48&lt;&gt;"",'Mẻ sữa'!F48,"")</f>
        <v/>
      </c>
      <c r="V47" s="68"/>
      <c r="W47" s="87"/>
      <c r="X47" s="36"/>
      <c r="Y47" s="36"/>
      <c r="Z47" s="36"/>
    </row>
    <row r="48" ht="15.75" customHeight="1">
      <c r="A48" s="70" t="str">
        <f t="array" ref="A48">IF(B48="","",INDEX('Bán nhanh'!$A$4:$A$103,INT((ROW()-4)/10)+1))</f>
        <v/>
      </c>
      <c r="B48" s="71" t="str">
        <f t="array" ref="B48">IF(OR(INDEX('Bán nhanh'!$D$3:$M$3,1,MOD(ROW()-4,10)+1)="",INDEX('Bán nhanh'!$D$4:$M$103,INT((ROW()-4)/10)+1,MOD(ROW()-4,10)+1)&lt;=0),"",INDEX('Bán nhanh'!$D$3:$M$3,1,MOD(ROW()-4,10)+1))</f>
        <v/>
      </c>
      <c r="C48" s="58" t="str">
        <f t="array" ref="C48">IFERROR(INDEX('Sản phẩm'!$A$4:$A$103,MATCH(B48,'Sản phẩm'!$D$4:$D$103,0)),"")</f>
        <v/>
      </c>
      <c r="D48" s="71" t="str">
        <f t="array" ref="D48">IF(B48="","",INDEX('Bán nhanh'!$B$4:$B$103,INT((ROW()-4)/10)+1))</f>
        <v/>
      </c>
      <c r="E48" s="58" t="str">
        <f t="array" ref="E48">IFERROR(INDEX('Mẻ sữa'!$B$4:$B$203,MATCH(D48,'Mẻ sữa'!$C$4:$C$203,0)),"")</f>
        <v/>
      </c>
      <c r="F48" s="66">
        <f t="array" ref="F48">IF(B48="",0,INDEX('Bán nhanh'!$D$4:$M$103,INT((ROW()-4)/10)+1,MOD(ROW()-4,10)+1))</f>
        <v>0</v>
      </c>
      <c r="G48" s="46">
        <f t="array" ref="G48">IFERROR(INDEX('Sản phẩm'!$F$4:$F$103,MATCH(B48,'Sản phẩm'!$D$4:$D$103,0)),0)</f>
        <v>0</v>
      </c>
      <c r="H48" s="67">
        <f t="shared" si="5"/>
        <v>0</v>
      </c>
      <c r="I48" s="46">
        <f t="shared" si="1"/>
        <v>0</v>
      </c>
      <c r="J48" s="46">
        <f t="array" ref="J48">IFERROR(INDEX('Sản phẩm'!$G$4:$G$103,MATCH(B48,'Sản phẩm'!$D$4:$D$103,0)),0)</f>
        <v>0</v>
      </c>
      <c r="K48" s="46">
        <f t="array" ref="K48">IFERROR(J48*INDEX('Mẻ sữa'!$N$4:$N$203,MATCH(D48,'Mẻ sữa'!$C$4:$C$203,0)),0)</f>
        <v>0</v>
      </c>
      <c r="L48" s="46">
        <f t="array" ref="L48">IFERROR(INDEX('Sản phẩm'!$I$4:$I$103,MATCH(B48,'Sản phẩm'!$D$4:$D$103,0)),0)</f>
        <v>0</v>
      </c>
      <c r="M48" s="72" t="str">
        <f t="array" ref="M48">IFERROR(INDEX('Sản phẩm'!$J$4:$J$103,MATCH(B48,'Sản phẩm'!$D$4:$D$103,0)),0)</f>
        <v/>
      </c>
      <c r="N48" s="46">
        <f>IF(B48="",0,(K48+L48+M48)*'Thiết lập'!$B$8)</f>
        <v>0</v>
      </c>
      <c r="O48" s="46">
        <f t="shared" si="2"/>
        <v>0</v>
      </c>
      <c r="P48" s="46">
        <f t="shared" si="3"/>
        <v>0</v>
      </c>
      <c r="Q48" s="46">
        <f t="shared" si="4"/>
        <v>0</v>
      </c>
      <c r="R48" s="71" t="str">
        <f t="array" ref="R48">IF(B48="","",INDEX('Bán nhanh'!$C$4:$C$103,INT((ROW()-4)/10)+1))</f>
        <v/>
      </c>
      <c r="S48" s="71" t="str">
        <f t="array" ref="S48">IF(B48="","",INDEX('Bán nhanh'!$P$4:$P$103,INT((ROW()-4)/10)+1))</f>
        <v/>
      </c>
      <c r="T48" s="58"/>
      <c r="U48" s="68" t="str">
        <f>IF('Mẻ sữa'!F49&lt;&gt;"",'Mẻ sữa'!F49,"")</f>
        <v/>
      </c>
      <c r="V48" s="68"/>
      <c r="W48" s="87"/>
      <c r="X48" s="36"/>
      <c r="Y48" s="36"/>
      <c r="Z48" s="36"/>
    </row>
    <row r="49" ht="15.75" customHeight="1">
      <c r="A49" s="70" t="str">
        <f t="array" ref="A49">IF(B49="","",INDEX('Bán nhanh'!$A$4:$A$103,INT((ROW()-4)/10)+1))</f>
        <v/>
      </c>
      <c r="B49" s="71" t="str">
        <f t="array" ref="B49">IF(OR(INDEX('Bán nhanh'!$D$3:$M$3,1,MOD(ROW()-4,10)+1)="",INDEX('Bán nhanh'!$D$4:$M$103,INT((ROW()-4)/10)+1,MOD(ROW()-4,10)+1)&lt;=0),"",INDEX('Bán nhanh'!$D$3:$M$3,1,MOD(ROW()-4,10)+1))</f>
        <v/>
      </c>
      <c r="C49" s="58" t="str">
        <f t="array" ref="C49">IFERROR(INDEX('Sản phẩm'!$A$4:$A$103,MATCH(B49,'Sản phẩm'!$D$4:$D$103,0)),"")</f>
        <v/>
      </c>
      <c r="D49" s="71" t="str">
        <f t="array" ref="D49">IF(B49="","",INDEX('Bán nhanh'!$B$4:$B$103,INT((ROW()-4)/10)+1))</f>
        <v/>
      </c>
      <c r="E49" s="58" t="str">
        <f t="array" ref="E49">IFERROR(INDEX('Mẻ sữa'!$B$4:$B$203,MATCH(D49,'Mẻ sữa'!$C$4:$C$203,0)),"")</f>
        <v/>
      </c>
      <c r="F49" s="66">
        <f t="array" ref="F49">IF(B49="",0,INDEX('Bán nhanh'!$D$4:$M$103,INT((ROW()-4)/10)+1,MOD(ROW()-4,10)+1))</f>
        <v>0</v>
      </c>
      <c r="G49" s="46">
        <f t="array" ref="G49">IFERROR(INDEX('Sản phẩm'!$F$4:$F$103,MATCH(B49,'Sản phẩm'!$D$4:$D$103,0)),0)</f>
        <v>0</v>
      </c>
      <c r="H49" s="67">
        <f t="shared" si="5"/>
        <v>0</v>
      </c>
      <c r="I49" s="46">
        <f t="shared" si="1"/>
        <v>0</v>
      </c>
      <c r="J49" s="46">
        <f t="array" ref="J49">IFERROR(INDEX('Sản phẩm'!$G$4:$G$103,MATCH(B49,'Sản phẩm'!$D$4:$D$103,0)),0)</f>
        <v>0</v>
      </c>
      <c r="K49" s="46">
        <f t="array" ref="K49">IFERROR(J49*INDEX('Mẻ sữa'!$N$4:$N$203,MATCH(D49,'Mẻ sữa'!$C$4:$C$203,0)),0)</f>
        <v>0</v>
      </c>
      <c r="L49" s="46">
        <f t="array" ref="L49">IFERROR(INDEX('Sản phẩm'!$I$4:$I$103,MATCH(B49,'Sản phẩm'!$D$4:$D$103,0)),0)</f>
        <v>0</v>
      </c>
      <c r="M49" s="72" t="str">
        <f t="array" ref="M49">IFERROR(INDEX('Sản phẩm'!$J$4:$J$103,MATCH(B49,'Sản phẩm'!$D$4:$D$103,0)),0)</f>
        <v/>
      </c>
      <c r="N49" s="46">
        <f>IF(B49="",0,(K49+L49+M49)*'Thiết lập'!$B$8)</f>
        <v>0</v>
      </c>
      <c r="O49" s="46">
        <f t="shared" si="2"/>
        <v>0</v>
      </c>
      <c r="P49" s="46">
        <f t="shared" si="3"/>
        <v>0</v>
      </c>
      <c r="Q49" s="46">
        <f t="shared" si="4"/>
        <v>0</v>
      </c>
      <c r="R49" s="71" t="str">
        <f t="array" ref="R49">IF(B49="","",INDEX('Bán nhanh'!$C$4:$C$103,INT((ROW()-4)/10)+1))</f>
        <v/>
      </c>
      <c r="S49" s="71" t="str">
        <f t="array" ref="S49">IF(B49="","",INDEX('Bán nhanh'!$P$4:$P$103,INT((ROW()-4)/10)+1))</f>
        <v/>
      </c>
      <c r="T49" s="58"/>
      <c r="U49" s="68" t="str">
        <f>IF('Mẻ sữa'!F50&lt;&gt;"",'Mẻ sữa'!F50,"")</f>
        <v/>
      </c>
      <c r="V49" s="68"/>
      <c r="W49" s="87"/>
      <c r="X49" s="36"/>
      <c r="Y49" s="36"/>
      <c r="Z49" s="36"/>
    </row>
    <row r="50" ht="15.75" customHeight="1">
      <c r="A50" s="70" t="str">
        <f t="array" ref="A50">IF(B50="","",INDEX('Bán nhanh'!$A$4:$A$103,INT((ROW()-4)/10)+1))</f>
        <v/>
      </c>
      <c r="B50" s="71" t="str">
        <f t="array" ref="B50">IF(OR(INDEX('Bán nhanh'!$D$3:$M$3,1,MOD(ROW()-4,10)+1)="",INDEX('Bán nhanh'!$D$4:$M$103,INT((ROW()-4)/10)+1,MOD(ROW()-4,10)+1)&lt;=0),"",INDEX('Bán nhanh'!$D$3:$M$3,1,MOD(ROW()-4,10)+1))</f>
        <v/>
      </c>
      <c r="C50" s="58" t="str">
        <f t="array" ref="C50">IFERROR(INDEX('Sản phẩm'!$A$4:$A$103,MATCH(B50,'Sản phẩm'!$D$4:$D$103,0)),"")</f>
        <v/>
      </c>
      <c r="D50" s="71" t="str">
        <f t="array" ref="D50">IF(B50="","",INDEX('Bán nhanh'!$B$4:$B$103,INT((ROW()-4)/10)+1))</f>
        <v/>
      </c>
      <c r="E50" s="58" t="str">
        <f t="array" ref="E50">IFERROR(INDEX('Mẻ sữa'!$B$4:$B$203,MATCH(D50,'Mẻ sữa'!$C$4:$C$203,0)),"")</f>
        <v/>
      </c>
      <c r="F50" s="66">
        <f t="array" ref="F50">IF(B50="",0,INDEX('Bán nhanh'!$D$4:$M$103,INT((ROW()-4)/10)+1,MOD(ROW()-4,10)+1))</f>
        <v>0</v>
      </c>
      <c r="G50" s="46">
        <f t="array" ref="G50">IFERROR(INDEX('Sản phẩm'!$F$4:$F$103,MATCH(B50,'Sản phẩm'!$D$4:$D$103,0)),0)</f>
        <v>0</v>
      </c>
      <c r="H50" s="67">
        <f t="shared" si="5"/>
        <v>0</v>
      </c>
      <c r="I50" s="46">
        <f t="shared" si="1"/>
        <v>0</v>
      </c>
      <c r="J50" s="46">
        <f t="array" ref="J50">IFERROR(INDEX('Sản phẩm'!$G$4:$G$103,MATCH(B50,'Sản phẩm'!$D$4:$D$103,0)),0)</f>
        <v>0</v>
      </c>
      <c r="K50" s="46">
        <f t="array" ref="K50">IFERROR(J50*INDEX('Mẻ sữa'!$N$4:$N$203,MATCH(D50,'Mẻ sữa'!$C$4:$C$203,0)),0)</f>
        <v>0</v>
      </c>
      <c r="L50" s="46">
        <f t="array" ref="L50">IFERROR(INDEX('Sản phẩm'!$I$4:$I$103,MATCH(B50,'Sản phẩm'!$D$4:$D$103,0)),0)</f>
        <v>0</v>
      </c>
      <c r="M50" s="72" t="str">
        <f t="array" ref="M50">IFERROR(INDEX('Sản phẩm'!$J$4:$J$103,MATCH(B50,'Sản phẩm'!$D$4:$D$103,0)),0)</f>
        <v/>
      </c>
      <c r="N50" s="46">
        <f>IF(B50="",0,(K50+L50+M50)*'Thiết lập'!$B$8)</f>
        <v>0</v>
      </c>
      <c r="O50" s="46">
        <f t="shared" si="2"/>
        <v>0</v>
      </c>
      <c r="P50" s="46">
        <f t="shared" si="3"/>
        <v>0</v>
      </c>
      <c r="Q50" s="46">
        <f t="shared" si="4"/>
        <v>0</v>
      </c>
      <c r="R50" s="71" t="str">
        <f t="array" ref="R50">IF(B50="","",INDEX('Bán nhanh'!$C$4:$C$103,INT((ROW()-4)/10)+1))</f>
        <v/>
      </c>
      <c r="S50" s="71" t="str">
        <f t="array" ref="S50">IF(B50="","",INDEX('Bán nhanh'!$P$4:$P$103,INT((ROW()-4)/10)+1))</f>
        <v/>
      </c>
      <c r="T50" s="58"/>
      <c r="U50" s="68" t="str">
        <f>IF('Mẻ sữa'!F51&lt;&gt;"",'Mẻ sữa'!F51,"")</f>
        <v/>
      </c>
      <c r="V50" s="68"/>
      <c r="W50" s="87"/>
      <c r="X50" s="36"/>
      <c r="Y50" s="36"/>
      <c r="Z50" s="36"/>
    </row>
    <row r="51" ht="15.75" customHeight="1">
      <c r="A51" s="70" t="str">
        <f t="array" ref="A51">IF(B51="","",INDEX('Bán nhanh'!$A$4:$A$103,INT((ROW()-4)/10)+1))</f>
        <v/>
      </c>
      <c r="B51" s="71" t="str">
        <f t="array" ref="B51">IF(OR(INDEX('Bán nhanh'!$D$3:$M$3,1,MOD(ROW()-4,10)+1)="",INDEX('Bán nhanh'!$D$4:$M$103,INT((ROW()-4)/10)+1,MOD(ROW()-4,10)+1)&lt;=0),"",INDEX('Bán nhanh'!$D$3:$M$3,1,MOD(ROW()-4,10)+1))</f>
        <v/>
      </c>
      <c r="C51" s="58" t="str">
        <f t="array" ref="C51">IFERROR(INDEX('Sản phẩm'!$A$4:$A$103,MATCH(B51,'Sản phẩm'!$D$4:$D$103,0)),"")</f>
        <v/>
      </c>
      <c r="D51" s="71" t="str">
        <f t="array" ref="D51">IF(B51="","",INDEX('Bán nhanh'!$B$4:$B$103,INT((ROW()-4)/10)+1))</f>
        <v/>
      </c>
      <c r="E51" s="58" t="str">
        <f t="array" ref="E51">IFERROR(INDEX('Mẻ sữa'!$B$4:$B$203,MATCH(D51,'Mẻ sữa'!$C$4:$C$203,0)),"")</f>
        <v/>
      </c>
      <c r="F51" s="66">
        <f t="array" ref="F51">IF(B51="",0,INDEX('Bán nhanh'!$D$4:$M$103,INT((ROW()-4)/10)+1,MOD(ROW()-4,10)+1))</f>
        <v>0</v>
      </c>
      <c r="G51" s="46">
        <f t="array" ref="G51">IFERROR(INDEX('Sản phẩm'!$F$4:$F$103,MATCH(B51,'Sản phẩm'!$D$4:$D$103,0)),0)</f>
        <v>0</v>
      </c>
      <c r="H51" s="67">
        <f t="shared" si="5"/>
        <v>0</v>
      </c>
      <c r="I51" s="46">
        <f t="shared" si="1"/>
        <v>0</v>
      </c>
      <c r="J51" s="46">
        <f t="array" ref="J51">IFERROR(INDEX('Sản phẩm'!$G$4:$G$103,MATCH(B51,'Sản phẩm'!$D$4:$D$103,0)),0)</f>
        <v>0</v>
      </c>
      <c r="K51" s="46">
        <f t="array" ref="K51">IFERROR(J51*INDEX('Mẻ sữa'!$N$4:$N$203,MATCH(D51,'Mẻ sữa'!$C$4:$C$203,0)),0)</f>
        <v>0</v>
      </c>
      <c r="L51" s="46">
        <f t="array" ref="L51">IFERROR(INDEX('Sản phẩm'!$I$4:$I$103,MATCH(B51,'Sản phẩm'!$D$4:$D$103,0)),0)</f>
        <v>0</v>
      </c>
      <c r="M51" s="72" t="str">
        <f t="array" ref="M51">IFERROR(INDEX('Sản phẩm'!$J$4:$J$103,MATCH(B51,'Sản phẩm'!$D$4:$D$103,0)),0)</f>
        <v/>
      </c>
      <c r="N51" s="46">
        <f>IF(B51="",0,(K51+L51+M51)*'Thiết lập'!$B$8)</f>
        <v>0</v>
      </c>
      <c r="O51" s="46">
        <f t="shared" si="2"/>
        <v>0</v>
      </c>
      <c r="P51" s="46">
        <f t="shared" si="3"/>
        <v>0</v>
      </c>
      <c r="Q51" s="46">
        <f t="shared" si="4"/>
        <v>0</v>
      </c>
      <c r="R51" s="71" t="str">
        <f t="array" ref="R51">IF(B51="","",INDEX('Bán nhanh'!$C$4:$C$103,INT((ROW()-4)/10)+1))</f>
        <v/>
      </c>
      <c r="S51" s="71" t="str">
        <f t="array" ref="S51">IF(B51="","",INDEX('Bán nhanh'!$P$4:$P$103,INT((ROW()-4)/10)+1))</f>
        <v/>
      </c>
      <c r="T51" s="58"/>
      <c r="U51" s="68" t="str">
        <f>IF('Mẻ sữa'!F52&lt;&gt;"",'Mẻ sữa'!F52,"")</f>
        <v/>
      </c>
      <c r="V51" s="68"/>
      <c r="W51" s="87"/>
      <c r="X51" s="36"/>
      <c r="Y51" s="36"/>
      <c r="Z51" s="36"/>
    </row>
    <row r="52" ht="15.75" customHeight="1">
      <c r="A52" s="70" t="str">
        <f t="array" ref="A52">IF(B52="","",INDEX('Bán nhanh'!$A$4:$A$103,INT((ROW()-4)/10)+1))</f>
        <v/>
      </c>
      <c r="B52" s="71" t="str">
        <f t="array" ref="B52">IF(OR(INDEX('Bán nhanh'!$D$3:$M$3,1,MOD(ROW()-4,10)+1)="",INDEX('Bán nhanh'!$D$4:$M$103,INT((ROW()-4)/10)+1,MOD(ROW()-4,10)+1)&lt;=0),"",INDEX('Bán nhanh'!$D$3:$M$3,1,MOD(ROW()-4,10)+1))</f>
        <v/>
      </c>
      <c r="C52" s="58" t="str">
        <f t="array" ref="C52">IFERROR(INDEX('Sản phẩm'!$A$4:$A$103,MATCH(B52,'Sản phẩm'!$D$4:$D$103,0)),"")</f>
        <v/>
      </c>
      <c r="D52" s="71" t="str">
        <f t="array" ref="D52">IF(B52="","",INDEX('Bán nhanh'!$B$4:$B$103,INT((ROW()-4)/10)+1))</f>
        <v/>
      </c>
      <c r="E52" s="58" t="str">
        <f t="array" ref="E52">IFERROR(INDEX('Mẻ sữa'!$B$4:$B$203,MATCH(D52,'Mẻ sữa'!$C$4:$C$203,0)),"")</f>
        <v/>
      </c>
      <c r="F52" s="66">
        <f t="array" ref="F52">IF(B52="",0,INDEX('Bán nhanh'!$D$4:$M$103,INT((ROW()-4)/10)+1,MOD(ROW()-4,10)+1))</f>
        <v>0</v>
      </c>
      <c r="G52" s="46">
        <f t="array" ref="G52">IFERROR(INDEX('Sản phẩm'!$F$4:$F$103,MATCH(B52,'Sản phẩm'!$D$4:$D$103,0)),0)</f>
        <v>0</v>
      </c>
      <c r="H52" s="67">
        <f t="shared" si="5"/>
        <v>0</v>
      </c>
      <c r="I52" s="46">
        <f t="shared" si="1"/>
        <v>0</v>
      </c>
      <c r="J52" s="46">
        <f t="array" ref="J52">IFERROR(INDEX('Sản phẩm'!$G$4:$G$103,MATCH(B52,'Sản phẩm'!$D$4:$D$103,0)),0)</f>
        <v>0</v>
      </c>
      <c r="K52" s="46">
        <f t="array" ref="K52">IFERROR(J52*INDEX('Mẻ sữa'!$N$4:$N$203,MATCH(D52,'Mẻ sữa'!$C$4:$C$203,0)),0)</f>
        <v>0</v>
      </c>
      <c r="L52" s="46">
        <f t="array" ref="L52">IFERROR(INDEX('Sản phẩm'!$I$4:$I$103,MATCH(B52,'Sản phẩm'!$D$4:$D$103,0)),0)</f>
        <v>0</v>
      </c>
      <c r="M52" s="72" t="str">
        <f t="array" ref="M52">IFERROR(INDEX('Sản phẩm'!$J$4:$J$103,MATCH(B52,'Sản phẩm'!$D$4:$D$103,0)),0)</f>
        <v/>
      </c>
      <c r="N52" s="46">
        <f>IF(B52="",0,(K52+L52+M52)*'Thiết lập'!$B$8)</f>
        <v>0</v>
      </c>
      <c r="O52" s="46">
        <f t="shared" si="2"/>
        <v>0</v>
      </c>
      <c r="P52" s="46">
        <f t="shared" si="3"/>
        <v>0</v>
      </c>
      <c r="Q52" s="46">
        <f t="shared" si="4"/>
        <v>0</v>
      </c>
      <c r="R52" s="71" t="str">
        <f t="array" ref="R52">IF(B52="","",INDEX('Bán nhanh'!$C$4:$C$103,INT((ROW()-4)/10)+1))</f>
        <v/>
      </c>
      <c r="S52" s="71" t="str">
        <f t="array" ref="S52">IF(B52="","",INDEX('Bán nhanh'!$P$4:$P$103,INT((ROW()-4)/10)+1))</f>
        <v/>
      </c>
      <c r="T52" s="58"/>
      <c r="U52" s="68" t="str">
        <f>IF('Mẻ sữa'!F53&lt;&gt;"",'Mẻ sữa'!F53,"")</f>
        <v/>
      </c>
      <c r="V52" s="68"/>
      <c r="W52" s="87"/>
      <c r="X52" s="36"/>
      <c r="Y52" s="36"/>
      <c r="Z52" s="36"/>
    </row>
    <row r="53" ht="15.75" customHeight="1">
      <c r="A53" s="70" t="str">
        <f t="array" ref="A53">IF(B53="","",INDEX('Bán nhanh'!$A$4:$A$103,INT((ROW()-4)/10)+1))</f>
        <v/>
      </c>
      <c r="B53" s="71" t="str">
        <f t="array" ref="B53">IF(OR(INDEX('Bán nhanh'!$D$3:$M$3,1,MOD(ROW()-4,10)+1)="",INDEX('Bán nhanh'!$D$4:$M$103,INT((ROW()-4)/10)+1,MOD(ROW()-4,10)+1)&lt;=0),"",INDEX('Bán nhanh'!$D$3:$M$3,1,MOD(ROW()-4,10)+1))</f>
        <v/>
      </c>
      <c r="C53" s="58" t="str">
        <f t="array" ref="C53">IFERROR(INDEX('Sản phẩm'!$A$4:$A$103,MATCH(B53,'Sản phẩm'!$D$4:$D$103,0)),"")</f>
        <v/>
      </c>
      <c r="D53" s="71" t="str">
        <f t="array" ref="D53">IF(B53="","",INDEX('Bán nhanh'!$B$4:$B$103,INT((ROW()-4)/10)+1))</f>
        <v/>
      </c>
      <c r="E53" s="58" t="str">
        <f t="array" ref="E53">IFERROR(INDEX('Mẻ sữa'!$B$4:$B$203,MATCH(D53,'Mẻ sữa'!$C$4:$C$203,0)),"")</f>
        <v/>
      </c>
      <c r="F53" s="66">
        <f t="array" ref="F53">IF(B53="",0,INDEX('Bán nhanh'!$D$4:$M$103,INT((ROW()-4)/10)+1,MOD(ROW()-4,10)+1))</f>
        <v>0</v>
      </c>
      <c r="G53" s="46">
        <f t="array" ref="G53">IFERROR(INDEX('Sản phẩm'!$F$4:$F$103,MATCH(B53,'Sản phẩm'!$D$4:$D$103,0)),0)</f>
        <v>0</v>
      </c>
      <c r="H53" s="67">
        <f t="shared" si="5"/>
        <v>0</v>
      </c>
      <c r="I53" s="46">
        <f t="shared" si="1"/>
        <v>0</v>
      </c>
      <c r="J53" s="46">
        <f t="array" ref="J53">IFERROR(INDEX('Sản phẩm'!$G$4:$G$103,MATCH(B53,'Sản phẩm'!$D$4:$D$103,0)),0)</f>
        <v>0</v>
      </c>
      <c r="K53" s="46">
        <f t="array" ref="K53">IFERROR(J53*INDEX('Mẻ sữa'!$N$4:$N$203,MATCH(D53,'Mẻ sữa'!$C$4:$C$203,0)),0)</f>
        <v>0</v>
      </c>
      <c r="L53" s="46">
        <f t="array" ref="L53">IFERROR(INDEX('Sản phẩm'!$I$4:$I$103,MATCH(B53,'Sản phẩm'!$D$4:$D$103,0)),0)</f>
        <v>0</v>
      </c>
      <c r="M53" s="72" t="str">
        <f t="array" ref="M53">IFERROR(INDEX('Sản phẩm'!$J$4:$J$103,MATCH(B53,'Sản phẩm'!$D$4:$D$103,0)),0)</f>
        <v/>
      </c>
      <c r="N53" s="46">
        <f>IF(B53="",0,(K53+L53+M53)*'Thiết lập'!$B$8)</f>
        <v>0</v>
      </c>
      <c r="O53" s="46">
        <f t="shared" si="2"/>
        <v>0</v>
      </c>
      <c r="P53" s="46">
        <f t="shared" si="3"/>
        <v>0</v>
      </c>
      <c r="Q53" s="46">
        <f t="shared" si="4"/>
        <v>0</v>
      </c>
      <c r="R53" s="71" t="str">
        <f t="array" ref="R53">IF(B53="","",INDEX('Bán nhanh'!$C$4:$C$103,INT((ROW()-4)/10)+1))</f>
        <v/>
      </c>
      <c r="S53" s="71" t="str">
        <f t="array" ref="S53">IF(B53="","",INDEX('Bán nhanh'!$P$4:$P$103,INT((ROW()-4)/10)+1))</f>
        <v/>
      </c>
      <c r="T53" s="58"/>
      <c r="U53" s="68" t="str">
        <f>IF('Mẻ sữa'!F54&lt;&gt;"",'Mẻ sữa'!F54,"")</f>
        <v/>
      </c>
      <c r="V53" s="68"/>
      <c r="W53" s="87"/>
      <c r="X53" s="36"/>
      <c r="Y53" s="36"/>
      <c r="Z53" s="36"/>
    </row>
    <row r="54" ht="15.75" customHeight="1">
      <c r="A54" s="70" t="str">
        <f t="array" ref="A54">IF(B54="","",INDEX('Bán nhanh'!$A$4:$A$103,INT((ROW()-4)/10)+1))</f>
        <v/>
      </c>
      <c r="B54" s="71" t="str">
        <f t="array" ref="B54">IF(OR(INDEX('Bán nhanh'!$D$3:$M$3,1,MOD(ROW()-4,10)+1)="",INDEX('Bán nhanh'!$D$4:$M$103,INT((ROW()-4)/10)+1,MOD(ROW()-4,10)+1)&lt;=0),"",INDEX('Bán nhanh'!$D$3:$M$3,1,MOD(ROW()-4,10)+1))</f>
        <v/>
      </c>
      <c r="C54" s="58" t="str">
        <f t="array" ref="C54">IFERROR(INDEX('Sản phẩm'!$A$4:$A$103,MATCH(B54,'Sản phẩm'!$D$4:$D$103,0)),"")</f>
        <v/>
      </c>
      <c r="D54" s="71" t="str">
        <f t="array" ref="D54">IF(B54="","",INDEX('Bán nhanh'!$B$4:$B$103,INT((ROW()-4)/10)+1))</f>
        <v/>
      </c>
      <c r="E54" s="58" t="str">
        <f t="array" ref="E54">IFERROR(INDEX('Mẻ sữa'!$B$4:$B$203,MATCH(D54,'Mẻ sữa'!$C$4:$C$203,0)),"")</f>
        <v/>
      </c>
      <c r="F54" s="66">
        <f t="array" ref="F54">IF(B54="",0,INDEX('Bán nhanh'!$D$4:$M$103,INT((ROW()-4)/10)+1,MOD(ROW()-4,10)+1))</f>
        <v>0</v>
      </c>
      <c r="G54" s="46">
        <f t="array" ref="G54">IFERROR(INDEX('Sản phẩm'!$F$4:$F$103,MATCH(B54,'Sản phẩm'!$D$4:$D$103,0)),0)</f>
        <v>0</v>
      </c>
      <c r="H54" s="67">
        <f t="shared" si="5"/>
        <v>0</v>
      </c>
      <c r="I54" s="46">
        <f t="shared" si="1"/>
        <v>0</v>
      </c>
      <c r="J54" s="46">
        <f t="array" ref="J54">IFERROR(INDEX('Sản phẩm'!$G$4:$G$103,MATCH(B54,'Sản phẩm'!$D$4:$D$103,0)),0)</f>
        <v>0</v>
      </c>
      <c r="K54" s="46">
        <f t="array" ref="K54">IFERROR(J54*INDEX('Mẻ sữa'!$N$4:$N$203,MATCH(D54,'Mẻ sữa'!$C$4:$C$203,0)),0)</f>
        <v>0</v>
      </c>
      <c r="L54" s="46">
        <f t="array" ref="L54">IFERROR(INDEX('Sản phẩm'!$I$4:$I$103,MATCH(B54,'Sản phẩm'!$D$4:$D$103,0)),0)</f>
        <v>0</v>
      </c>
      <c r="M54" s="72" t="str">
        <f t="array" ref="M54">IFERROR(INDEX('Sản phẩm'!$J$4:$J$103,MATCH(B54,'Sản phẩm'!$D$4:$D$103,0)),0)</f>
        <v/>
      </c>
      <c r="N54" s="46">
        <f>IF(B54="",0,(K54+L54+M54)*'Thiết lập'!$B$8)</f>
        <v>0</v>
      </c>
      <c r="O54" s="46">
        <f t="shared" si="2"/>
        <v>0</v>
      </c>
      <c r="P54" s="46">
        <f t="shared" si="3"/>
        <v>0</v>
      </c>
      <c r="Q54" s="46">
        <f t="shared" si="4"/>
        <v>0</v>
      </c>
      <c r="R54" s="71" t="str">
        <f t="array" ref="R54">IF(B54="","",INDEX('Bán nhanh'!$C$4:$C$103,INT((ROW()-4)/10)+1))</f>
        <v/>
      </c>
      <c r="S54" s="71" t="str">
        <f t="array" ref="S54">IF(B54="","",INDEX('Bán nhanh'!$P$4:$P$103,INT((ROW()-4)/10)+1))</f>
        <v/>
      </c>
      <c r="T54" s="58"/>
      <c r="U54" s="68" t="str">
        <f>IF('Mẻ sữa'!F55&lt;&gt;"",'Mẻ sữa'!F55,"")</f>
        <v/>
      </c>
      <c r="V54" s="68"/>
      <c r="W54" s="87"/>
      <c r="X54" s="36"/>
      <c r="Y54" s="36"/>
      <c r="Z54" s="36"/>
    </row>
    <row r="55" ht="15.75" customHeight="1">
      <c r="A55" s="70" t="str">
        <f t="array" ref="A55">IF(B55="","",INDEX('Bán nhanh'!$A$4:$A$103,INT((ROW()-4)/10)+1))</f>
        <v/>
      </c>
      <c r="B55" s="71" t="str">
        <f t="array" ref="B55">IF(OR(INDEX('Bán nhanh'!$D$3:$M$3,1,MOD(ROW()-4,10)+1)="",INDEX('Bán nhanh'!$D$4:$M$103,INT((ROW()-4)/10)+1,MOD(ROW()-4,10)+1)&lt;=0),"",INDEX('Bán nhanh'!$D$3:$M$3,1,MOD(ROW()-4,10)+1))</f>
        <v/>
      </c>
      <c r="C55" s="58" t="str">
        <f t="array" ref="C55">IFERROR(INDEX('Sản phẩm'!$A$4:$A$103,MATCH(B55,'Sản phẩm'!$D$4:$D$103,0)),"")</f>
        <v/>
      </c>
      <c r="D55" s="71" t="str">
        <f t="array" ref="D55">IF(B55="","",INDEX('Bán nhanh'!$B$4:$B$103,INT((ROW()-4)/10)+1))</f>
        <v/>
      </c>
      <c r="E55" s="58" t="str">
        <f t="array" ref="E55">IFERROR(INDEX('Mẻ sữa'!$B$4:$B$203,MATCH(D55,'Mẻ sữa'!$C$4:$C$203,0)),"")</f>
        <v/>
      </c>
      <c r="F55" s="66">
        <f t="array" ref="F55">IF(B55="",0,INDEX('Bán nhanh'!$D$4:$M$103,INT((ROW()-4)/10)+1,MOD(ROW()-4,10)+1))</f>
        <v>0</v>
      </c>
      <c r="G55" s="46">
        <f t="array" ref="G55">IFERROR(INDEX('Sản phẩm'!$F$4:$F$103,MATCH(B55,'Sản phẩm'!$D$4:$D$103,0)),0)</f>
        <v>0</v>
      </c>
      <c r="H55" s="67">
        <f t="shared" si="5"/>
        <v>0</v>
      </c>
      <c r="I55" s="46">
        <f t="shared" si="1"/>
        <v>0</v>
      </c>
      <c r="J55" s="46">
        <f t="array" ref="J55">IFERROR(INDEX('Sản phẩm'!$G$4:$G$103,MATCH(B55,'Sản phẩm'!$D$4:$D$103,0)),0)</f>
        <v>0</v>
      </c>
      <c r="K55" s="46">
        <f t="array" ref="K55">IFERROR(J55*INDEX('Mẻ sữa'!$N$4:$N$203,MATCH(D55,'Mẻ sữa'!$C$4:$C$203,0)),0)</f>
        <v>0</v>
      </c>
      <c r="L55" s="46">
        <f t="array" ref="L55">IFERROR(INDEX('Sản phẩm'!$I$4:$I$103,MATCH(B55,'Sản phẩm'!$D$4:$D$103,0)),0)</f>
        <v>0</v>
      </c>
      <c r="M55" s="72" t="str">
        <f t="array" ref="M55">IFERROR(INDEX('Sản phẩm'!$J$4:$J$103,MATCH(B55,'Sản phẩm'!$D$4:$D$103,0)),0)</f>
        <v/>
      </c>
      <c r="N55" s="46">
        <f>IF(B55="",0,(K55+L55+M55)*'Thiết lập'!$B$8)</f>
        <v>0</v>
      </c>
      <c r="O55" s="46">
        <f t="shared" si="2"/>
        <v>0</v>
      </c>
      <c r="P55" s="46">
        <f t="shared" si="3"/>
        <v>0</v>
      </c>
      <c r="Q55" s="46">
        <f t="shared" si="4"/>
        <v>0</v>
      </c>
      <c r="R55" s="71" t="str">
        <f t="array" ref="R55">IF(B55="","",INDEX('Bán nhanh'!$C$4:$C$103,INT((ROW()-4)/10)+1))</f>
        <v/>
      </c>
      <c r="S55" s="71" t="str">
        <f t="array" ref="S55">IF(B55="","",INDEX('Bán nhanh'!$P$4:$P$103,INT((ROW()-4)/10)+1))</f>
        <v/>
      </c>
      <c r="T55" s="58"/>
      <c r="U55" s="68" t="str">
        <f>IF('Mẻ sữa'!F56&lt;&gt;"",'Mẻ sữa'!F56,"")</f>
        <v/>
      </c>
      <c r="V55" s="68"/>
      <c r="W55" s="87"/>
      <c r="X55" s="36"/>
      <c r="Y55" s="36"/>
      <c r="Z55" s="36"/>
    </row>
    <row r="56" ht="15.75" customHeight="1">
      <c r="A56" s="70" t="str">
        <f t="array" ref="A56">IF(B56="","",INDEX('Bán nhanh'!$A$4:$A$103,INT((ROW()-4)/10)+1))</f>
        <v/>
      </c>
      <c r="B56" s="71" t="str">
        <f t="array" ref="B56">IF(OR(INDEX('Bán nhanh'!$D$3:$M$3,1,MOD(ROW()-4,10)+1)="",INDEX('Bán nhanh'!$D$4:$M$103,INT((ROW()-4)/10)+1,MOD(ROW()-4,10)+1)&lt;=0),"",INDEX('Bán nhanh'!$D$3:$M$3,1,MOD(ROW()-4,10)+1))</f>
        <v/>
      </c>
      <c r="C56" s="58" t="str">
        <f t="array" ref="C56">IFERROR(INDEX('Sản phẩm'!$A$4:$A$103,MATCH(B56,'Sản phẩm'!$D$4:$D$103,0)),"")</f>
        <v/>
      </c>
      <c r="D56" s="71" t="str">
        <f t="array" ref="D56">IF(B56="","",INDEX('Bán nhanh'!$B$4:$B$103,INT((ROW()-4)/10)+1))</f>
        <v/>
      </c>
      <c r="E56" s="58" t="str">
        <f t="array" ref="E56">IFERROR(INDEX('Mẻ sữa'!$B$4:$B$203,MATCH(D56,'Mẻ sữa'!$C$4:$C$203,0)),"")</f>
        <v/>
      </c>
      <c r="F56" s="66">
        <f t="array" ref="F56">IF(B56="",0,INDEX('Bán nhanh'!$D$4:$M$103,INT((ROW()-4)/10)+1,MOD(ROW()-4,10)+1))</f>
        <v>0</v>
      </c>
      <c r="G56" s="46">
        <f t="array" ref="G56">IFERROR(INDEX('Sản phẩm'!$F$4:$F$103,MATCH(B56,'Sản phẩm'!$D$4:$D$103,0)),0)</f>
        <v>0</v>
      </c>
      <c r="H56" s="67">
        <f t="shared" si="5"/>
        <v>0</v>
      </c>
      <c r="I56" s="46">
        <f t="shared" si="1"/>
        <v>0</v>
      </c>
      <c r="J56" s="46">
        <f t="array" ref="J56">IFERROR(INDEX('Sản phẩm'!$G$4:$G$103,MATCH(B56,'Sản phẩm'!$D$4:$D$103,0)),0)</f>
        <v>0</v>
      </c>
      <c r="K56" s="46">
        <f t="array" ref="K56">IFERROR(J56*INDEX('Mẻ sữa'!$N$4:$N$203,MATCH(D56,'Mẻ sữa'!$C$4:$C$203,0)),0)</f>
        <v>0</v>
      </c>
      <c r="L56" s="46">
        <f t="array" ref="L56">IFERROR(INDEX('Sản phẩm'!$I$4:$I$103,MATCH(B56,'Sản phẩm'!$D$4:$D$103,0)),0)</f>
        <v>0</v>
      </c>
      <c r="M56" s="72" t="str">
        <f t="array" ref="M56">IFERROR(INDEX('Sản phẩm'!$J$4:$J$103,MATCH(B56,'Sản phẩm'!$D$4:$D$103,0)),0)</f>
        <v/>
      </c>
      <c r="N56" s="46">
        <f>IF(B56="",0,(K56+L56+M56)*'Thiết lập'!$B$8)</f>
        <v>0</v>
      </c>
      <c r="O56" s="46">
        <f t="shared" si="2"/>
        <v>0</v>
      </c>
      <c r="P56" s="46">
        <f t="shared" si="3"/>
        <v>0</v>
      </c>
      <c r="Q56" s="46">
        <f t="shared" si="4"/>
        <v>0</v>
      </c>
      <c r="R56" s="71" t="str">
        <f t="array" ref="R56">IF(B56="","",INDEX('Bán nhanh'!$C$4:$C$103,INT((ROW()-4)/10)+1))</f>
        <v/>
      </c>
      <c r="S56" s="71" t="str">
        <f t="array" ref="S56">IF(B56="","",INDEX('Bán nhanh'!$P$4:$P$103,INT((ROW()-4)/10)+1))</f>
        <v/>
      </c>
      <c r="T56" s="58"/>
      <c r="U56" s="68" t="str">
        <f>IF('Mẻ sữa'!F57&lt;&gt;"",'Mẻ sữa'!F57,"")</f>
        <v/>
      </c>
      <c r="V56" s="68"/>
      <c r="W56" s="87"/>
      <c r="X56" s="36"/>
      <c r="Y56" s="36"/>
      <c r="Z56" s="36"/>
    </row>
    <row r="57" ht="15.75" customHeight="1">
      <c r="A57" s="70" t="str">
        <f t="array" ref="A57">IF(B57="","",INDEX('Bán nhanh'!$A$4:$A$103,INT((ROW()-4)/10)+1))</f>
        <v/>
      </c>
      <c r="B57" s="71" t="str">
        <f t="array" ref="B57">IF(OR(INDEX('Bán nhanh'!$D$3:$M$3,1,MOD(ROW()-4,10)+1)="",INDEX('Bán nhanh'!$D$4:$M$103,INT((ROW()-4)/10)+1,MOD(ROW()-4,10)+1)&lt;=0),"",INDEX('Bán nhanh'!$D$3:$M$3,1,MOD(ROW()-4,10)+1))</f>
        <v/>
      </c>
      <c r="C57" s="58" t="str">
        <f t="array" ref="C57">IFERROR(INDEX('Sản phẩm'!$A$4:$A$103,MATCH(B57,'Sản phẩm'!$D$4:$D$103,0)),"")</f>
        <v/>
      </c>
      <c r="D57" s="71" t="str">
        <f t="array" ref="D57">IF(B57="","",INDEX('Bán nhanh'!$B$4:$B$103,INT((ROW()-4)/10)+1))</f>
        <v/>
      </c>
      <c r="E57" s="58" t="str">
        <f t="array" ref="E57">IFERROR(INDEX('Mẻ sữa'!$B$4:$B$203,MATCH(D57,'Mẻ sữa'!$C$4:$C$203,0)),"")</f>
        <v/>
      </c>
      <c r="F57" s="66">
        <f t="array" ref="F57">IF(B57="",0,INDEX('Bán nhanh'!$D$4:$M$103,INT((ROW()-4)/10)+1,MOD(ROW()-4,10)+1))</f>
        <v>0</v>
      </c>
      <c r="G57" s="46">
        <f t="array" ref="G57">IFERROR(INDEX('Sản phẩm'!$F$4:$F$103,MATCH(B57,'Sản phẩm'!$D$4:$D$103,0)),0)</f>
        <v>0</v>
      </c>
      <c r="H57" s="67">
        <f t="shared" si="5"/>
        <v>0</v>
      </c>
      <c r="I57" s="46">
        <f t="shared" si="1"/>
        <v>0</v>
      </c>
      <c r="J57" s="46">
        <f t="array" ref="J57">IFERROR(INDEX('Sản phẩm'!$G$4:$G$103,MATCH(B57,'Sản phẩm'!$D$4:$D$103,0)),0)</f>
        <v>0</v>
      </c>
      <c r="K57" s="46">
        <f t="array" ref="K57">IFERROR(J57*INDEX('Mẻ sữa'!$N$4:$N$203,MATCH(D57,'Mẻ sữa'!$C$4:$C$203,0)),0)</f>
        <v>0</v>
      </c>
      <c r="L57" s="46">
        <f t="array" ref="L57">IFERROR(INDEX('Sản phẩm'!$I$4:$I$103,MATCH(B57,'Sản phẩm'!$D$4:$D$103,0)),0)</f>
        <v>0</v>
      </c>
      <c r="M57" s="72" t="str">
        <f t="array" ref="M57">IFERROR(INDEX('Sản phẩm'!$J$4:$J$103,MATCH(B57,'Sản phẩm'!$D$4:$D$103,0)),0)</f>
        <v/>
      </c>
      <c r="N57" s="46">
        <f>IF(B57="",0,(K57+L57+M57)*'Thiết lập'!$B$8)</f>
        <v>0</v>
      </c>
      <c r="O57" s="46">
        <f t="shared" si="2"/>
        <v>0</v>
      </c>
      <c r="P57" s="46">
        <f t="shared" si="3"/>
        <v>0</v>
      </c>
      <c r="Q57" s="46">
        <f t="shared" si="4"/>
        <v>0</v>
      </c>
      <c r="R57" s="71" t="str">
        <f t="array" ref="R57">IF(B57="","",INDEX('Bán nhanh'!$C$4:$C$103,INT((ROW()-4)/10)+1))</f>
        <v/>
      </c>
      <c r="S57" s="71" t="str">
        <f t="array" ref="S57">IF(B57="","",INDEX('Bán nhanh'!$P$4:$P$103,INT((ROW()-4)/10)+1))</f>
        <v/>
      </c>
      <c r="T57" s="58"/>
      <c r="U57" s="68" t="str">
        <f>IF('Mẻ sữa'!F58&lt;&gt;"",'Mẻ sữa'!F58,"")</f>
        <v/>
      </c>
      <c r="V57" s="68"/>
      <c r="W57" s="87"/>
      <c r="X57" s="36"/>
      <c r="Y57" s="36"/>
      <c r="Z57" s="36"/>
    </row>
    <row r="58" ht="15.75" customHeight="1">
      <c r="A58" s="70" t="str">
        <f t="array" ref="A58">IF(B58="","",INDEX('Bán nhanh'!$A$4:$A$103,INT((ROW()-4)/10)+1))</f>
        <v/>
      </c>
      <c r="B58" s="71" t="str">
        <f t="array" ref="B58">IF(OR(INDEX('Bán nhanh'!$D$3:$M$3,1,MOD(ROW()-4,10)+1)="",INDEX('Bán nhanh'!$D$4:$M$103,INT((ROW()-4)/10)+1,MOD(ROW()-4,10)+1)&lt;=0),"",INDEX('Bán nhanh'!$D$3:$M$3,1,MOD(ROW()-4,10)+1))</f>
        <v/>
      </c>
      <c r="C58" s="58" t="str">
        <f t="array" ref="C58">IFERROR(INDEX('Sản phẩm'!$A$4:$A$103,MATCH(B58,'Sản phẩm'!$D$4:$D$103,0)),"")</f>
        <v/>
      </c>
      <c r="D58" s="71" t="str">
        <f t="array" ref="D58">IF(B58="","",INDEX('Bán nhanh'!$B$4:$B$103,INT((ROW()-4)/10)+1))</f>
        <v/>
      </c>
      <c r="E58" s="58" t="str">
        <f t="array" ref="E58">IFERROR(INDEX('Mẻ sữa'!$B$4:$B$203,MATCH(D58,'Mẻ sữa'!$C$4:$C$203,0)),"")</f>
        <v/>
      </c>
      <c r="F58" s="66">
        <f t="array" ref="F58">IF(B58="",0,INDEX('Bán nhanh'!$D$4:$M$103,INT((ROW()-4)/10)+1,MOD(ROW()-4,10)+1))</f>
        <v>0</v>
      </c>
      <c r="G58" s="46">
        <f t="array" ref="G58">IFERROR(INDEX('Sản phẩm'!$F$4:$F$103,MATCH(B58,'Sản phẩm'!$D$4:$D$103,0)),0)</f>
        <v>0</v>
      </c>
      <c r="H58" s="67">
        <f t="shared" si="5"/>
        <v>0</v>
      </c>
      <c r="I58" s="46">
        <f t="shared" si="1"/>
        <v>0</v>
      </c>
      <c r="J58" s="46">
        <f t="array" ref="J58">IFERROR(INDEX('Sản phẩm'!$G$4:$G$103,MATCH(B58,'Sản phẩm'!$D$4:$D$103,0)),0)</f>
        <v>0</v>
      </c>
      <c r="K58" s="46">
        <f t="array" ref="K58">IFERROR(J58*INDEX('Mẻ sữa'!$N$4:$N$203,MATCH(D58,'Mẻ sữa'!$C$4:$C$203,0)),0)</f>
        <v>0</v>
      </c>
      <c r="L58" s="46">
        <f t="array" ref="L58">IFERROR(INDEX('Sản phẩm'!$I$4:$I$103,MATCH(B58,'Sản phẩm'!$D$4:$D$103,0)),0)</f>
        <v>0</v>
      </c>
      <c r="M58" s="72" t="str">
        <f t="array" ref="M58">IFERROR(INDEX('Sản phẩm'!$J$4:$J$103,MATCH(B58,'Sản phẩm'!$D$4:$D$103,0)),0)</f>
        <v/>
      </c>
      <c r="N58" s="46">
        <f>IF(B58="",0,(K58+L58+M58)*'Thiết lập'!$B$8)</f>
        <v>0</v>
      </c>
      <c r="O58" s="46">
        <f t="shared" si="2"/>
        <v>0</v>
      </c>
      <c r="P58" s="46">
        <f t="shared" si="3"/>
        <v>0</v>
      </c>
      <c r="Q58" s="46">
        <f t="shared" si="4"/>
        <v>0</v>
      </c>
      <c r="R58" s="71" t="str">
        <f t="array" ref="R58">IF(B58="","",INDEX('Bán nhanh'!$C$4:$C$103,INT((ROW()-4)/10)+1))</f>
        <v/>
      </c>
      <c r="S58" s="71" t="str">
        <f t="array" ref="S58">IF(B58="","",INDEX('Bán nhanh'!$P$4:$P$103,INT((ROW()-4)/10)+1))</f>
        <v/>
      </c>
      <c r="T58" s="58"/>
      <c r="U58" s="68" t="str">
        <f>IF('Mẻ sữa'!F59&lt;&gt;"",'Mẻ sữa'!F59,"")</f>
        <v/>
      </c>
      <c r="V58" s="68"/>
      <c r="W58" s="87"/>
      <c r="X58" s="36"/>
      <c r="Y58" s="36"/>
      <c r="Z58" s="36"/>
    </row>
    <row r="59" ht="15.75" customHeight="1">
      <c r="A59" s="70" t="str">
        <f t="array" ref="A59">IF(B59="","",INDEX('Bán nhanh'!$A$4:$A$103,INT((ROW()-4)/10)+1))</f>
        <v/>
      </c>
      <c r="B59" s="71" t="str">
        <f t="array" ref="B59">IF(OR(INDEX('Bán nhanh'!$D$3:$M$3,1,MOD(ROW()-4,10)+1)="",INDEX('Bán nhanh'!$D$4:$M$103,INT((ROW()-4)/10)+1,MOD(ROW()-4,10)+1)&lt;=0),"",INDEX('Bán nhanh'!$D$3:$M$3,1,MOD(ROW()-4,10)+1))</f>
        <v/>
      </c>
      <c r="C59" s="58" t="str">
        <f t="array" ref="C59">IFERROR(INDEX('Sản phẩm'!$A$4:$A$103,MATCH(B59,'Sản phẩm'!$D$4:$D$103,0)),"")</f>
        <v/>
      </c>
      <c r="D59" s="71" t="str">
        <f t="array" ref="D59">IF(B59="","",INDEX('Bán nhanh'!$B$4:$B$103,INT((ROW()-4)/10)+1))</f>
        <v/>
      </c>
      <c r="E59" s="58" t="str">
        <f t="array" ref="E59">IFERROR(INDEX('Mẻ sữa'!$B$4:$B$203,MATCH(D59,'Mẻ sữa'!$C$4:$C$203,0)),"")</f>
        <v/>
      </c>
      <c r="F59" s="66">
        <f t="array" ref="F59">IF(B59="",0,INDEX('Bán nhanh'!$D$4:$M$103,INT((ROW()-4)/10)+1,MOD(ROW()-4,10)+1))</f>
        <v>0</v>
      </c>
      <c r="G59" s="46">
        <f t="array" ref="G59">IFERROR(INDEX('Sản phẩm'!$F$4:$F$103,MATCH(B59,'Sản phẩm'!$D$4:$D$103,0)),0)</f>
        <v>0</v>
      </c>
      <c r="H59" s="67">
        <f t="shared" si="5"/>
        <v>0</v>
      </c>
      <c r="I59" s="46">
        <f t="shared" si="1"/>
        <v>0</v>
      </c>
      <c r="J59" s="46">
        <f t="array" ref="J59">IFERROR(INDEX('Sản phẩm'!$G$4:$G$103,MATCH(B59,'Sản phẩm'!$D$4:$D$103,0)),0)</f>
        <v>0</v>
      </c>
      <c r="K59" s="46">
        <f t="array" ref="K59">IFERROR(J59*INDEX('Mẻ sữa'!$N$4:$N$203,MATCH(D59,'Mẻ sữa'!$C$4:$C$203,0)),0)</f>
        <v>0</v>
      </c>
      <c r="L59" s="46">
        <f t="array" ref="L59">IFERROR(INDEX('Sản phẩm'!$I$4:$I$103,MATCH(B59,'Sản phẩm'!$D$4:$D$103,0)),0)</f>
        <v>0</v>
      </c>
      <c r="M59" s="72" t="str">
        <f t="array" ref="M59">IFERROR(INDEX('Sản phẩm'!$J$4:$J$103,MATCH(B59,'Sản phẩm'!$D$4:$D$103,0)),0)</f>
        <v/>
      </c>
      <c r="N59" s="46">
        <f>IF(B59="",0,(K59+L59+M59)*'Thiết lập'!$B$8)</f>
        <v>0</v>
      </c>
      <c r="O59" s="46">
        <f t="shared" si="2"/>
        <v>0</v>
      </c>
      <c r="P59" s="46">
        <f t="shared" si="3"/>
        <v>0</v>
      </c>
      <c r="Q59" s="46">
        <f t="shared" si="4"/>
        <v>0</v>
      </c>
      <c r="R59" s="71" t="str">
        <f t="array" ref="R59">IF(B59="","",INDEX('Bán nhanh'!$C$4:$C$103,INT((ROW()-4)/10)+1))</f>
        <v/>
      </c>
      <c r="S59" s="71" t="str">
        <f t="array" ref="S59">IF(B59="","",INDEX('Bán nhanh'!$P$4:$P$103,INT((ROW()-4)/10)+1))</f>
        <v/>
      </c>
      <c r="T59" s="58"/>
      <c r="U59" s="68" t="str">
        <f>IF('Mẻ sữa'!F60&lt;&gt;"",'Mẻ sữa'!F60,"")</f>
        <v/>
      </c>
      <c r="V59" s="68"/>
      <c r="W59" s="87"/>
      <c r="X59" s="36"/>
      <c r="Y59" s="36"/>
      <c r="Z59" s="36"/>
    </row>
    <row r="60" ht="15.75" customHeight="1">
      <c r="A60" s="70" t="str">
        <f t="array" ref="A60">IF(B60="","",INDEX('Bán nhanh'!$A$4:$A$103,INT((ROW()-4)/10)+1))</f>
        <v/>
      </c>
      <c r="B60" s="71" t="str">
        <f t="array" ref="B60">IF(OR(INDEX('Bán nhanh'!$D$3:$M$3,1,MOD(ROW()-4,10)+1)="",INDEX('Bán nhanh'!$D$4:$M$103,INT((ROW()-4)/10)+1,MOD(ROW()-4,10)+1)&lt;=0),"",INDEX('Bán nhanh'!$D$3:$M$3,1,MOD(ROW()-4,10)+1))</f>
        <v/>
      </c>
      <c r="C60" s="58" t="str">
        <f t="array" ref="C60">IFERROR(INDEX('Sản phẩm'!$A$4:$A$103,MATCH(B60,'Sản phẩm'!$D$4:$D$103,0)),"")</f>
        <v/>
      </c>
      <c r="D60" s="71" t="str">
        <f t="array" ref="D60">IF(B60="","",INDEX('Bán nhanh'!$B$4:$B$103,INT((ROW()-4)/10)+1))</f>
        <v/>
      </c>
      <c r="E60" s="58" t="str">
        <f t="array" ref="E60">IFERROR(INDEX('Mẻ sữa'!$B$4:$B$203,MATCH(D60,'Mẻ sữa'!$C$4:$C$203,0)),"")</f>
        <v/>
      </c>
      <c r="F60" s="66">
        <f t="array" ref="F60">IF(B60="",0,INDEX('Bán nhanh'!$D$4:$M$103,INT((ROW()-4)/10)+1,MOD(ROW()-4,10)+1))</f>
        <v>0</v>
      </c>
      <c r="G60" s="46">
        <f t="array" ref="G60">IFERROR(INDEX('Sản phẩm'!$F$4:$F$103,MATCH(B60,'Sản phẩm'!$D$4:$D$103,0)),0)</f>
        <v>0</v>
      </c>
      <c r="H60" s="67">
        <f t="shared" si="5"/>
        <v>0</v>
      </c>
      <c r="I60" s="46">
        <f t="shared" si="1"/>
        <v>0</v>
      </c>
      <c r="J60" s="46">
        <f t="array" ref="J60">IFERROR(INDEX('Sản phẩm'!$G$4:$G$103,MATCH(B60,'Sản phẩm'!$D$4:$D$103,0)),0)</f>
        <v>0</v>
      </c>
      <c r="K60" s="46">
        <f t="array" ref="K60">IFERROR(J60*INDEX('Mẻ sữa'!$N$4:$N$203,MATCH(D60,'Mẻ sữa'!$C$4:$C$203,0)),0)</f>
        <v>0</v>
      </c>
      <c r="L60" s="46">
        <f t="array" ref="L60">IFERROR(INDEX('Sản phẩm'!$I$4:$I$103,MATCH(B60,'Sản phẩm'!$D$4:$D$103,0)),0)</f>
        <v>0</v>
      </c>
      <c r="M60" s="72" t="str">
        <f t="array" ref="M60">IFERROR(INDEX('Sản phẩm'!$J$4:$J$103,MATCH(B60,'Sản phẩm'!$D$4:$D$103,0)),0)</f>
        <v/>
      </c>
      <c r="N60" s="46">
        <f>IF(B60="",0,(K60+L60+M60)*'Thiết lập'!$B$8)</f>
        <v>0</v>
      </c>
      <c r="O60" s="46">
        <f t="shared" si="2"/>
        <v>0</v>
      </c>
      <c r="P60" s="46">
        <f t="shared" si="3"/>
        <v>0</v>
      </c>
      <c r="Q60" s="46">
        <f t="shared" si="4"/>
        <v>0</v>
      </c>
      <c r="R60" s="71" t="str">
        <f t="array" ref="R60">IF(B60="","",INDEX('Bán nhanh'!$C$4:$C$103,INT((ROW()-4)/10)+1))</f>
        <v/>
      </c>
      <c r="S60" s="71" t="str">
        <f t="array" ref="S60">IF(B60="","",INDEX('Bán nhanh'!$P$4:$P$103,INT((ROW()-4)/10)+1))</f>
        <v/>
      </c>
      <c r="T60" s="58"/>
      <c r="U60" s="68" t="str">
        <f>IF('Mẻ sữa'!F61&lt;&gt;"",'Mẻ sữa'!F61,"")</f>
        <v/>
      </c>
      <c r="V60" s="68"/>
      <c r="W60" s="87"/>
      <c r="X60" s="36"/>
      <c r="Y60" s="36"/>
      <c r="Z60" s="36"/>
    </row>
    <row r="61" ht="15.75" customHeight="1">
      <c r="A61" s="70" t="str">
        <f t="array" ref="A61">IF(B61="","",INDEX('Bán nhanh'!$A$4:$A$103,INT((ROW()-4)/10)+1))</f>
        <v/>
      </c>
      <c r="B61" s="71" t="str">
        <f t="array" ref="B61">IF(OR(INDEX('Bán nhanh'!$D$3:$M$3,1,MOD(ROW()-4,10)+1)="",INDEX('Bán nhanh'!$D$4:$M$103,INT((ROW()-4)/10)+1,MOD(ROW()-4,10)+1)&lt;=0),"",INDEX('Bán nhanh'!$D$3:$M$3,1,MOD(ROW()-4,10)+1))</f>
        <v/>
      </c>
      <c r="C61" s="58" t="str">
        <f t="array" ref="C61">IFERROR(INDEX('Sản phẩm'!$A$4:$A$103,MATCH(B61,'Sản phẩm'!$D$4:$D$103,0)),"")</f>
        <v/>
      </c>
      <c r="D61" s="71" t="str">
        <f t="array" ref="D61">IF(B61="","",INDEX('Bán nhanh'!$B$4:$B$103,INT((ROW()-4)/10)+1))</f>
        <v/>
      </c>
      <c r="E61" s="58" t="str">
        <f t="array" ref="E61">IFERROR(INDEX('Mẻ sữa'!$B$4:$B$203,MATCH(D61,'Mẻ sữa'!$C$4:$C$203,0)),"")</f>
        <v/>
      </c>
      <c r="F61" s="66">
        <f t="array" ref="F61">IF(B61="",0,INDEX('Bán nhanh'!$D$4:$M$103,INT((ROW()-4)/10)+1,MOD(ROW()-4,10)+1))</f>
        <v>0</v>
      </c>
      <c r="G61" s="46">
        <f t="array" ref="G61">IFERROR(INDEX('Sản phẩm'!$F$4:$F$103,MATCH(B61,'Sản phẩm'!$D$4:$D$103,0)),0)</f>
        <v>0</v>
      </c>
      <c r="H61" s="67">
        <f t="shared" si="5"/>
        <v>0</v>
      </c>
      <c r="I61" s="46">
        <f t="shared" si="1"/>
        <v>0</v>
      </c>
      <c r="J61" s="46">
        <f t="array" ref="J61">IFERROR(INDEX('Sản phẩm'!$G$4:$G$103,MATCH(B61,'Sản phẩm'!$D$4:$D$103,0)),0)</f>
        <v>0</v>
      </c>
      <c r="K61" s="46">
        <f t="array" ref="K61">IFERROR(J61*INDEX('Mẻ sữa'!$N$4:$N$203,MATCH(D61,'Mẻ sữa'!$C$4:$C$203,0)),0)</f>
        <v>0</v>
      </c>
      <c r="L61" s="46">
        <f t="array" ref="L61">IFERROR(INDEX('Sản phẩm'!$I$4:$I$103,MATCH(B61,'Sản phẩm'!$D$4:$D$103,0)),0)</f>
        <v>0</v>
      </c>
      <c r="M61" s="72" t="str">
        <f t="array" ref="M61">IFERROR(INDEX('Sản phẩm'!$J$4:$J$103,MATCH(B61,'Sản phẩm'!$D$4:$D$103,0)),0)</f>
        <v/>
      </c>
      <c r="N61" s="46">
        <f>IF(B61="",0,(K61+L61+M61)*'Thiết lập'!$B$8)</f>
        <v>0</v>
      </c>
      <c r="O61" s="46">
        <f t="shared" si="2"/>
        <v>0</v>
      </c>
      <c r="P61" s="46">
        <f t="shared" si="3"/>
        <v>0</v>
      </c>
      <c r="Q61" s="46">
        <f t="shared" si="4"/>
        <v>0</v>
      </c>
      <c r="R61" s="71" t="str">
        <f t="array" ref="R61">IF(B61="","",INDEX('Bán nhanh'!$C$4:$C$103,INT((ROW()-4)/10)+1))</f>
        <v/>
      </c>
      <c r="S61" s="71" t="str">
        <f t="array" ref="S61">IF(B61="","",INDEX('Bán nhanh'!$P$4:$P$103,INT((ROW()-4)/10)+1))</f>
        <v/>
      </c>
      <c r="T61" s="58"/>
      <c r="U61" s="68" t="str">
        <f>IF('Mẻ sữa'!F62&lt;&gt;"",'Mẻ sữa'!F62,"")</f>
        <v/>
      </c>
      <c r="V61" s="68"/>
      <c r="W61" s="87"/>
      <c r="X61" s="36"/>
      <c r="Y61" s="36"/>
      <c r="Z61" s="36"/>
    </row>
    <row r="62" ht="15.75" customHeight="1">
      <c r="A62" s="70" t="str">
        <f t="array" ref="A62">IF(B62="","",INDEX('Bán nhanh'!$A$4:$A$103,INT((ROW()-4)/10)+1))</f>
        <v/>
      </c>
      <c r="B62" s="71" t="str">
        <f t="array" ref="B62">IF(OR(INDEX('Bán nhanh'!$D$3:$M$3,1,MOD(ROW()-4,10)+1)="",INDEX('Bán nhanh'!$D$4:$M$103,INT((ROW()-4)/10)+1,MOD(ROW()-4,10)+1)&lt;=0),"",INDEX('Bán nhanh'!$D$3:$M$3,1,MOD(ROW()-4,10)+1))</f>
        <v/>
      </c>
      <c r="C62" s="58" t="str">
        <f t="array" ref="C62">IFERROR(INDEX('Sản phẩm'!$A$4:$A$103,MATCH(B62,'Sản phẩm'!$D$4:$D$103,0)),"")</f>
        <v/>
      </c>
      <c r="D62" s="71" t="str">
        <f t="array" ref="D62">IF(B62="","",INDEX('Bán nhanh'!$B$4:$B$103,INT((ROW()-4)/10)+1))</f>
        <v/>
      </c>
      <c r="E62" s="58" t="str">
        <f t="array" ref="E62">IFERROR(INDEX('Mẻ sữa'!$B$4:$B$203,MATCH(D62,'Mẻ sữa'!$C$4:$C$203,0)),"")</f>
        <v/>
      </c>
      <c r="F62" s="66">
        <f t="array" ref="F62">IF(B62="",0,INDEX('Bán nhanh'!$D$4:$M$103,INT((ROW()-4)/10)+1,MOD(ROW()-4,10)+1))</f>
        <v>0</v>
      </c>
      <c r="G62" s="46">
        <f t="array" ref="G62">IFERROR(INDEX('Sản phẩm'!$F$4:$F$103,MATCH(B62,'Sản phẩm'!$D$4:$D$103,0)),0)</f>
        <v>0</v>
      </c>
      <c r="H62" s="67">
        <f t="shared" si="5"/>
        <v>0</v>
      </c>
      <c r="I62" s="46">
        <f t="shared" si="1"/>
        <v>0</v>
      </c>
      <c r="J62" s="46">
        <f t="array" ref="J62">IFERROR(INDEX('Sản phẩm'!$G$4:$G$103,MATCH(B62,'Sản phẩm'!$D$4:$D$103,0)),0)</f>
        <v>0</v>
      </c>
      <c r="K62" s="46">
        <f t="array" ref="K62">IFERROR(J62*INDEX('Mẻ sữa'!$N$4:$N$203,MATCH(D62,'Mẻ sữa'!$C$4:$C$203,0)),0)</f>
        <v>0</v>
      </c>
      <c r="L62" s="46">
        <f t="array" ref="L62">IFERROR(INDEX('Sản phẩm'!$I$4:$I$103,MATCH(B62,'Sản phẩm'!$D$4:$D$103,0)),0)</f>
        <v>0</v>
      </c>
      <c r="M62" s="72" t="str">
        <f t="array" ref="M62">IFERROR(INDEX('Sản phẩm'!$J$4:$J$103,MATCH(B62,'Sản phẩm'!$D$4:$D$103,0)),0)</f>
        <v/>
      </c>
      <c r="N62" s="46">
        <f>IF(B62="",0,(K62+L62+M62)*'Thiết lập'!$B$8)</f>
        <v>0</v>
      </c>
      <c r="O62" s="46">
        <f t="shared" si="2"/>
        <v>0</v>
      </c>
      <c r="P62" s="46">
        <f t="shared" si="3"/>
        <v>0</v>
      </c>
      <c r="Q62" s="46">
        <f t="shared" si="4"/>
        <v>0</v>
      </c>
      <c r="R62" s="71" t="str">
        <f t="array" ref="R62">IF(B62="","",INDEX('Bán nhanh'!$C$4:$C$103,INT((ROW()-4)/10)+1))</f>
        <v/>
      </c>
      <c r="S62" s="71" t="str">
        <f t="array" ref="S62">IF(B62="","",INDEX('Bán nhanh'!$P$4:$P$103,INT((ROW()-4)/10)+1))</f>
        <v/>
      </c>
      <c r="T62" s="58"/>
      <c r="U62" s="68" t="str">
        <f>IF('Mẻ sữa'!F63&lt;&gt;"",'Mẻ sữa'!F63,"")</f>
        <v/>
      </c>
      <c r="V62" s="68"/>
      <c r="W62" s="87"/>
      <c r="X62" s="36"/>
      <c r="Y62" s="36"/>
      <c r="Z62" s="36"/>
    </row>
    <row r="63" ht="15.75" customHeight="1">
      <c r="A63" s="70" t="str">
        <f t="array" ref="A63">IF(B63="","",INDEX('Bán nhanh'!$A$4:$A$103,INT((ROW()-4)/10)+1))</f>
        <v/>
      </c>
      <c r="B63" s="71" t="str">
        <f t="array" ref="B63">IF(OR(INDEX('Bán nhanh'!$D$3:$M$3,1,MOD(ROW()-4,10)+1)="",INDEX('Bán nhanh'!$D$4:$M$103,INT((ROW()-4)/10)+1,MOD(ROW()-4,10)+1)&lt;=0),"",INDEX('Bán nhanh'!$D$3:$M$3,1,MOD(ROW()-4,10)+1))</f>
        <v/>
      </c>
      <c r="C63" s="58" t="str">
        <f t="array" ref="C63">IFERROR(INDEX('Sản phẩm'!$A$4:$A$103,MATCH(B63,'Sản phẩm'!$D$4:$D$103,0)),"")</f>
        <v/>
      </c>
      <c r="D63" s="71" t="str">
        <f t="array" ref="D63">IF(B63="","",INDEX('Bán nhanh'!$B$4:$B$103,INT((ROW()-4)/10)+1))</f>
        <v/>
      </c>
      <c r="E63" s="58" t="str">
        <f t="array" ref="E63">IFERROR(INDEX('Mẻ sữa'!$B$4:$B$203,MATCH(D63,'Mẻ sữa'!$C$4:$C$203,0)),"")</f>
        <v/>
      </c>
      <c r="F63" s="66">
        <f t="array" ref="F63">IF(B63="",0,INDEX('Bán nhanh'!$D$4:$M$103,INT((ROW()-4)/10)+1,MOD(ROW()-4,10)+1))</f>
        <v>0</v>
      </c>
      <c r="G63" s="46">
        <f t="array" ref="G63">IFERROR(INDEX('Sản phẩm'!$F$4:$F$103,MATCH(B63,'Sản phẩm'!$D$4:$D$103,0)),0)</f>
        <v>0</v>
      </c>
      <c r="H63" s="67">
        <f t="shared" si="5"/>
        <v>0</v>
      </c>
      <c r="I63" s="46">
        <f t="shared" si="1"/>
        <v>0</v>
      </c>
      <c r="J63" s="46">
        <f t="array" ref="J63">IFERROR(INDEX('Sản phẩm'!$G$4:$G$103,MATCH(B63,'Sản phẩm'!$D$4:$D$103,0)),0)</f>
        <v>0</v>
      </c>
      <c r="K63" s="46">
        <f t="array" ref="K63">IFERROR(J63*INDEX('Mẻ sữa'!$N$4:$N$203,MATCH(D63,'Mẻ sữa'!$C$4:$C$203,0)),0)</f>
        <v>0</v>
      </c>
      <c r="L63" s="46">
        <f t="array" ref="L63">IFERROR(INDEX('Sản phẩm'!$I$4:$I$103,MATCH(B63,'Sản phẩm'!$D$4:$D$103,0)),0)</f>
        <v>0</v>
      </c>
      <c r="M63" s="72" t="str">
        <f t="array" ref="M63">IFERROR(INDEX('Sản phẩm'!$J$4:$J$103,MATCH(B63,'Sản phẩm'!$D$4:$D$103,0)),0)</f>
        <v/>
      </c>
      <c r="N63" s="46">
        <f>IF(B63="",0,(K63+L63+M63)*'Thiết lập'!$B$8)</f>
        <v>0</v>
      </c>
      <c r="O63" s="46">
        <f t="shared" si="2"/>
        <v>0</v>
      </c>
      <c r="P63" s="46">
        <f t="shared" si="3"/>
        <v>0</v>
      </c>
      <c r="Q63" s="46">
        <f t="shared" si="4"/>
        <v>0</v>
      </c>
      <c r="R63" s="71" t="str">
        <f t="array" ref="R63">IF(B63="","",INDEX('Bán nhanh'!$C$4:$C$103,INT((ROW()-4)/10)+1))</f>
        <v/>
      </c>
      <c r="S63" s="71" t="str">
        <f t="array" ref="S63">IF(B63="","",INDEX('Bán nhanh'!$P$4:$P$103,INT((ROW()-4)/10)+1))</f>
        <v/>
      </c>
      <c r="T63" s="58"/>
      <c r="U63" s="68" t="str">
        <f>IF('Mẻ sữa'!F64&lt;&gt;"",'Mẻ sữa'!F64,"")</f>
        <v/>
      </c>
      <c r="V63" s="68"/>
      <c r="W63" s="87"/>
      <c r="X63" s="36"/>
      <c r="Y63" s="36"/>
      <c r="Z63" s="36"/>
    </row>
    <row r="64" ht="15.75" customHeight="1">
      <c r="A64" s="70" t="str">
        <f t="array" ref="A64">IF(B64="","",INDEX('Bán nhanh'!$A$4:$A$103,INT((ROW()-4)/10)+1))</f>
        <v/>
      </c>
      <c r="B64" s="71" t="str">
        <f t="array" ref="B64">IF(OR(INDEX('Bán nhanh'!$D$3:$M$3,1,MOD(ROW()-4,10)+1)="",INDEX('Bán nhanh'!$D$4:$M$103,INT((ROW()-4)/10)+1,MOD(ROW()-4,10)+1)&lt;=0),"",INDEX('Bán nhanh'!$D$3:$M$3,1,MOD(ROW()-4,10)+1))</f>
        <v/>
      </c>
      <c r="C64" s="58" t="str">
        <f t="array" ref="C64">IFERROR(INDEX('Sản phẩm'!$A$4:$A$103,MATCH(B64,'Sản phẩm'!$D$4:$D$103,0)),"")</f>
        <v/>
      </c>
      <c r="D64" s="71" t="str">
        <f t="array" ref="D64">IF(B64="","",INDEX('Bán nhanh'!$B$4:$B$103,INT((ROW()-4)/10)+1))</f>
        <v/>
      </c>
      <c r="E64" s="58" t="str">
        <f t="array" ref="E64">IFERROR(INDEX('Mẻ sữa'!$B$4:$B$203,MATCH(D64,'Mẻ sữa'!$C$4:$C$203,0)),"")</f>
        <v/>
      </c>
      <c r="F64" s="66">
        <f t="array" ref="F64">IF(B64="",0,INDEX('Bán nhanh'!$D$4:$M$103,INT((ROW()-4)/10)+1,MOD(ROW()-4,10)+1))</f>
        <v>0</v>
      </c>
      <c r="G64" s="46">
        <f t="array" ref="G64">IFERROR(INDEX('Sản phẩm'!$F$4:$F$103,MATCH(B64,'Sản phẩm'!$D$4:$D$103,0)),0)</f>
        <v>0</v>
      </c>
      <c r="H64" s="67">
        <f t="shared" si="5"/>
        <v>0</v>
      </c>
      <c r="I64" s="46">
        <f t="shared" si="1"/>
        <v>0</v>
      </c>
      <c r="J64" s="46">
        <f t="array" ref="J64">IFERROR(INDEX('Sản phẩm'!$G$4:$G$103,MATCH(B64,'Sản phẩm'!$D$4:$D$103,0)),0)</f>
        <v>0</v>
      </c>
      <c r="K64" s="46">
        <f t="array" ref="K64">IFERROR(J64*INDEX('Mẻ sữa'!$N$4:$N$203,MATCH(D64,'Mẻ sữa'!$C$4:$C$203,0)),0)</f>
        <v>0</v>
      </c>
      <c r="L64" s="46">
        <f t="array" ref="L64">IFERROR(INDEX('Sản phẩm'!$I$4:$I$103,MATCH(B64,'Sản phẩm'!$D$4:$D$103,0)),0)</f>
        <v>0</v>
      </c>
      <c r="M64" s="72" t="str">
        <f t="array" ref="M64">IFERROR(INDEX('Sản phẩm'!$J$4:$J$103,MATCH(B64,'Sản phẩm'!$D$4:$D$103,0)),0)</f>
        <v/>
      </c>
      <c r="N64" s="46">
        <f>IF(B64="",0,(K64+L64+M64)*'Thiết lập'!$B$8)</f>
        <v>0</v>
      </c>
      <c r="O64" s="46">
        <f t="shared" si="2"/>
        <v>0</v>
      </c>
      <c r="P64" s="46">
        <f t="shared" si="3"/>
        <v>0</v>
      </c>
      <c r="Q64" s="46">
        <f t="shared" si="4"/>
        <v>0</v>
      </c>
      <c r="R64" s="71" t="str">
        <f t="array" ref="R64">IF(B64="","",INDEX('Bán nhanh'!$C$4:$C$103,INT((ROW()-4)/10)+1))</f>
        <v/>
      </c>
      <c r="S64" s="71" t="str">
        <f t="array" ref="S64">IF(B64="","",INDEX('Bán nhanh'!$P$4:$P$103,INT((ROW()-4)/10)+1))</f>
        <v/>
      </c>
      <c r="T64" s="58"/>
      <c r="U64" s="68" t="str">
        <f>IF('Mẻ sữa'!F65&lt;&gt;"",'Mẻ sữa'!F65,"")</f>
        <v/>
      </c>
      <c r="V64" s="68"/>
      <c r="W64" s="87"/>
      <c r="X64" s="36"/>
      <c r="Y64" s="36"/>
      <c r="Z64" s="36"/>
    </row>
    <row r="65" ht="15.75" customHeight="1">
      <c r="A65" s="70" t="str">
        <f t="array" ref="A65">IF(B65="","",INDEX('Bán nhanh'!$A$4:$A$103,INT((ROW()-4)/10)+1))</f>
        <v/>
      </c>
      <c r="B65" s="71" t="str">
        <f t="array" ref="B65">IF(OR(INDEX('Bán nhanh'!$D$3:$M$3,1,MOD(ROW()-4,10)+1)="",INDEX('Bán nhanh'!$D$4:$M$103,INT((ROW()-4)/10)+1,MOD(ROW()-4,10)+1)&lt;=0),"",INDEX('Bán nhanh'!$D$3:$M$3,1,MOD(ROW()-4,10)+1))</f>
        <v/>
      </c>
      <c r="C65" s="58" t="str">
        <f t="array" ref="C65">IFERROR(INDEX('Sản phẩm'!$A$4:$A$103,MATCH(B65,'Sản phẩm'!$D$4:$D$103,0)),"")</f>
        <v/>
      </c>
      <c r="D65" s="71" t="str">
        <f t="array" ref="D65">IF(B65="","",INDEX('Bán nhanh'!$B$4:$B$103,INT((ROW()-4)/10)+1))</f>
        <v/>
      </c>
      <c r="E65" s="58" t="str">
        <f t="array" ref="E65">IFERROR(INDEX('Mẻ sữa'!$B$4:$B$203,MATCH(D65,'Mẻ sữa'!$C$4:$C$203,0)),"")</f>
        <v/>
      </c>
      <c r="F65" s="66">
        <f t="array" ref="F65">IF(B65="",0,INDEX('Bán nhanh'!$D$4:$M$103,INT((ROW()-4)/10)+1,MOD(ROW()-4,10)+1))</f>
        <v>0</v>
      </c>
      <c r="G65" s="46">
        <f t="array" ref="G65">IFERROR(INDEX('Sản phẩm'!$F$4:$F$103,MATCH(B65,'Sản phẩm'!$D$4:$D$103,0)),0)</f>
        <v>0</v>
      </c>
      <c r="H65" s="67">
        <f t="shared" si="5"/>
        <v>0</v>
      </c>
      <c r="I65" s="46">
        <f t="shared" si="1"/>
        <v>0</v>
      </c>
      <c r="J65" s="46">
        <f t="array" ref="J65">IFERROR(INDEX('Sản phẩm'!$G$4:$G$103,MATCH(B65,'Sản phẩm'!$D$4:$D$103,0)),0)</f>
        <v>0</v>
      </c>
      <c r="K65" s="46">
        <f t="array" ref="K65">IFERROR(J65*INDEX('Mẻ sữa'!$N$4:$N$203,MATCH(D65,'Mẻ sữa'!$C$4:$C$203,0)),0)</f>
        <v>0</v>
      </c>
      <c r="L65" s="46">
        <f t="array" ref="L65">IFERROR(INDEX('Sản phẩm'!$I$4:$I$103,MATCH(B65,'Sản phẩm'!$D$4:$D$103,0)),0)</f>
        <v>0</v>
      </c>
      <c r="M65" s="72" t="str">
        <f t="array" ref="M65">IFERROR(INDEX('Sản phẩm'!$J$4:$J$103,MATCH(B65,'Sản phẩm'!$D$4:$D$103,0)),0)</f>
        <v/>
      </c>
      <c r="N65" s="46">
        <f>IF(B65="",0,(K65+L65+M65)*'Thiết lập'!$B$8)</f>
        <v>0</v>
      </c>
      <c r="O65" s="46">
        <f t="shared" si="2"/>
        <v>0</v>
      </c>
      <c r="P65" s="46">
        <f t="shared" si="3"/>
        <v>0</v>
      </c>
      <c r="Q65" s="46">
        <f t="shared" si="4"/>
        <v>0</v>
      </c>
      <c r="R65" s="71" t="str">
        <f t="array" ref="R65">IF(B65="","",INDEX('Bán nhanh'!$C$4:$C$103,INT((ROW()-4)/10)+1))</f>
        <v/>
      </c>
      <c r="S65" s="71" t="str">
        <f t="array" ref="S65">IF(B65="","",INDEX('Bán nhanh'!$P$4:$P$103,INT((ROW()-4)/10)+1))</f>
        <v/>
      </c>
      <c r="T65" s="58"/>
      <c r="U65" s="68" t="str">
        <f>IF('Mẻ sữa'!F66&lt;&gt;"",'Mẻ sữa'!F66,"")</f>
        <v/>
      </c>
      <c r="V65" s="68"/>
      <c r="W65" s="87"/>
      <c r="X65" s="36"/>
      <c r="Y65" s="36"/>
      <c r="Z65" s="36"/>
    </row>
    <row r="66" ht="15.75" customHeight="1">
      <c r="A66" s="70" t="str">
        <f t="array" ref="A66">IF(B66="","",INDEX('Bán nhanh'!$A$4:$A$103,INT((ROW()-4)/10)+1))</f>
        <v/>
      </c>
      <c r="B66" s="71" t="str">
        <f t="array" ref="B66">IF(OR(INDEX('Bán nhanh'!$D$3:$M$3,1,MOD(ROW()-4,10)+1)="",INDEX('Bán nhanh'!$D$4:$M$103,INT((ROW()-4)/10)+1,MOD(ROW()-4,10)+1)&lt;=0),"",INDEX('Bán nhanh'!$D$3:$M$3,1,MOD(ROW()-4,10)+1))</f>
        <v/>
      </c>
      <c r="C66" s="58" t="str">
        <f t="array" ref="C66">IFERROR(INDEX('Sản phẩm'!$A$4:$A$103,MATCH(B66,'Sản phẩm'!$D$4:$D$103,0)),"")</f>
        <v/>
      </c>
      <c r="D66" s="71" t="str">
        <f t="array" ref="D66">IF(B66="","",INDEX('Bán nhanh'!$B$4:$B$103,INT((ROW()-4)/10)+1))</f>
        <v/>
      </c>
      <c r="E66" s="58" t="str">
        <f t="array" ref="E66">IFERROR(INDEX('Mẻ sữa'!$B$4:$B$203,MATCH(D66,'Mẻ sữa'!$C$4:$C$203,0)),"")</f>
        <v/>
      </c>
      <c r="F66" s="66">
        <f t="array" ref="F66">IF(B66="",0,INDEX('Bán nhanh'!$D$4:$M$103,INT((ROW()-4)/10)+1,MOD(ROW()-4,10)+1))</f>
        <v>0</v>
      </c>
      <c r="G66" s="46">
        <f t="array" ref="G66">IFERROR(INDEX('Sản phẩm'!$F$4:$F$103,MATCH(B66,'Sản phẩm'!$D$4:$D$103,0)),0)</f>
        <v>0</v>
      </c>
      <c r="H66" s="67">
        <f t="shared" si="5"/>
        <v>0</v>
      </c>
      <c r="I66" s="46">
        <f t="shared" si="1"/>
        <v>0</v>
      </c>
      <c r="J66" s="46">
        <f t="array" ref="J66">IFERROR(INDEX('Sản phẩm'!$G$4:$G$103,MATCH(B66,'Sản phẩm'!$D$4:$D$103,0)),0)</f>
        <v>0</v>
      </c>
      <c r="K66" s="46">
        <f t="array" ref="K66">IFERROR(J66*INDEX('Mẻ sữa'!$N$4:$N$203,MATCH(D66,'Mẻ sữa'!$C$4:$C$203,0)),0)</f>
        <v>0</v>
      </c>
      <c r="L66" s="46">
        <f t="array" ref="L66">IFERROR(INDEX('Sản phẩm'!$I$4:$I$103,MATCH(B66,'Sản phẩm'!$D$4:$D$103,0)),0)</f>
        <v>0</v>
      </c>
      <c r="M66" s="72" t="str">
        <f t="array" ref="M66">IFERROR(INDEX('Sản phẩm'!$J$4:$J$103,MATCH(B66,'Sản phẩm'!$D$4:$D$103,0)),0)</f>
        <v/>
      </c>
      <c r="N66" s="46">
        <f>IF(B66="",0,(K66+L66+M66)*'Thiết lập'!$B$8)</f>
        <v>0</v>
      </c>
      <c r="O66" s="46">
        <f t="shared" si="2"/>
        <v>0</v>
      </c>
      <c r="P66" s="46">
        <f t="shared" si="3"/>
        <v>0</v>
      </c>
      <c r="Q66" s="46">
        <f t="shared" si="4"/>
        <v>0</v>
      </c>
      <c r="R66" s="71" t="str">
        <f t="array" ref="R66">IF(B66="","",INDEX('Bán nhanh'!$C$4:$C$103,INT((ROW()-4)/10)+1))</f>
        <v/>
      </c>
      <c r="S66" s="71" t="str">
        <f t="array" ref="S66">IF(B66="","",INDEX('Bán nhanh'!$P$4:$P$103,INT((ROW()-4)/10)+1))</f>
        <v/>
      </c>
      <c r="T66" s="58"/>
      <c r="U66" s="68" t="str">
        <f>IF('Mẻ sữa'!F67&lt;&gt;"",'Mẻ sữa'!F67,"")</f>
        <v/>
      </c>
      <c r="V66" s="68"/>
      <c r="W66" s="87"/>
      <c r="X66" s="36"/>
      <c r="Y66" s="36"/>
      <c r="Z66" s="36"/>
    </row>
    <row r="67" ht="15.75" customHeight="1">
      <c r="A67" s="70" t="str">
        <f t="array" ref="A67">IF(B67="","",INDEX('Bán nhanh'!$A$4:$A$103,INT((ROW()-4)/10)+1))</f>
        <v/>
      </c>
      <c r="B67" s="71" t="str">
        <f t="array" ref="B67">IF(OR(INDEX('Bán nhanh'!$D$3:$M$3,1,MOD(ROW()-4,10)+1)="",INDEX('Bán nhanh'!$D$4:$M$103,INT((ROW()-4)/10)+1,MOD(ROW()-4,10)+1)&lt;=0),"",INDEX('Bán nhanh'!$D$3:$M$3,1,MOD(ROW()-4,10)+1))</f>
        <v/>
      </c>
      <c r="C67" s="58" t="str">
        <f t="array" ref="C67">IFERROR(INDEX('Sản phẩm'!$A$4:$A$103,MATCH(B67,'Sản phẩm'!$D$4:$D$103,0)),"")</f>
        <v/>
      </c>
      <c r="D67" s="71" t="str">
        <f t="array" ref="D67">IF(B67="","",INDEX('Bán nhanh'!$B$4:$B$103,INT((ROW()-4)/10)+1))</f>
        <v/>
      </c>
      <c r="E67" s="58" t="str">
        <f t="array" ref="E67">IFERROR(INDEX('Mẻ sữa'!$B$4:$B$203,MATCH(D67,'Mẻ sữa'!$C$4:$C$203,0)),"")</f>
        <v/>
      </c>
      <c r="F67" s="66">
        <f t="array" ref="F67">IF(B67="",0,INDEX('Bán nhanh'!$D$4:$M$103,INT((ROW()-4)/10)+1,MOD(ROW()-4,10)+1))</f>
        <v>0</v>
      </c>
      <c r="G67" s="46">
        <f t="array" ref="G67">IFERROR(INDEX('Sản phẩm'!$F$4:$F$103,MATCH(B67,'Sản phẩm'!$D$4:$D$103,0)),0)</f>
        <v>0</v>
      </c>
      <c r="H67" s="67">
        <f t="shared" si="5"/>
        <v>0</v>
      </c>
      <c r="I67" s="46">
        <f t="shared" si="1"/>
        <v>0</v>
      </c>
      <c r="J67" s="46">
        <f t="array" ref="J67">IFERROR(INDEX('Sản phẩm'!$G$4:$G$103,MATCH(B67,'Sản phẩm'!$D$4:$D$103,0)),0)</f>
        <v>0</v>
      </c>
      <c r="K67" s="46">
        <f t="array" ref="K67">IFERROR(J67*INDEX('Mẻ sữa'!$N$4:$N$203,MATCH(D67,'Mẻ sữa'!$C$4:$C$203,0)),0)</f>
        <v>0</v>
      </c>
      <c r="L67" s="46">
        <f t="array" ref="L67">IFERROR(INDEX('Sản phẩm'!$I$4:$I$103,MATCH(B67,'Sản phẩm'!$D$4:$D$103,0)),0)</f>
        <v>0</v>
      </c>
      <c r="M67" s="72" t="str">
        <f t="array" ref="M67">IFERROR(INDEX('Sản phẩm'!$J$4:$J$103,MATCH(B67,'Sản phẩm'!$D$4:$D$103,0)),0)</f>
        <v/>
      </c>
      <c r="N67" s="46">
        <f>IF(B67="",0,(K67+L67+M67)*'Thiết lập'!$B$8)</f>
        <v>0</v>
      </c>
      <c r="O67" s="46">
        <f t="shared" si="2"/>
        <v>0</v>
      </c>
      <c r="P67" s="46">
        <f t="shared" si="3"/>
        <v>0</v>
      </c>
      <c r="Q67" s="46">
        <f t="shared" si="4"/>
        <v>0</v>
      </c>
      <c r="R67" s="71" t="str">
        <f t="array" ref="R67">IF(B67="","",INDEX('Bán nhanh'!$C$4:$C$103,INT((ROW()-4)/10)+1))</f>
        <v/>
      </c>
      <c r="S67" s="71" t="str">
        <f t="array" ref="S67">IF(B67="","",INDEX('Bán nhanh'!$P$4:$P$103,INT((ROW()-4)/10)+1))</f>
        <v/>
      </c>
      <c r="T67" s="58"/>
      <c r="U67" s="68" t="str">
        <f>IF('Mẻ sữa'!F68&lt;&gt;"",'Mẻ sữa'!F68,"")</f>
        <v/>
      </c>
      <c r="V67" s="68"/>
      <c r="W67" s="87"/>
      <c r="X67" s="36"/>
      <c r="Y67" s="36"/>
      <c r="Z67" s="36"/>
    </row>
    <row r="68" ht="15.75" customHeight="1">
      <c r="A68" s="70" t="str">
        <f t="array" ref="A68">IF(B68="","",INDEX('Bán nhanh'!$A$4:$A$103,INT((ROW()-4)/10)+1))</f>
        <v/>
      </c>
      <c r="B68" s="71" t="str">
        <f t="array" ref="B68">IF(OR(INDEX('Bán nhanh'!$D$3:$M$3,1,MOD(ROW()-4,10)+1)="",INDEX('Bán nhanh'!$D$4:$M$103,INT((ROW()-4)/10)+1,MOD(ROW()-4,10)+1)&lt;=0),"",INDEX('Bán nhanh'!$D$3:$M$3,1,MOD(ROW()-4,10)+1))</f>
        <v/>
      </c>
      <c r="C68" s="58" t="str">
        <f t="array" ref="C68">IFERROR(INDEX('Sản phẩm'!$A$4:$A$103,MATCH(B68,'Sản phẩm'!$D$4:$D$103,0)),"")</f>
        <v/>
      </c>
      <c r="D68" s="71" t="str">
        <f t="array" ref="D68">IF(B68="","",INDEX('Bán nhanh'!$B$4:$B$103,INT((ROW()-4)/10)+1))</f>
        <v/>
      </c>
      <c r="E68" s="58" t="str">
        <f t="array" ref="E68">IFERROR(INDEX('Mẻ sữa'!$B$4:$B$203,MATCH(D68,'Mẻ sữa'!$C$4:$C$203,0)),"")</f>
        <v/>
      </c>
      <c r="F68" s="66">
        <f t="array" ref="F68">IF(B68="",0,INDEX('Bán nhanh'!$D$4:$M$103,INT((ROW()-4)/10)+1,MOD(ROW()-4,10)+1))</f>
        <v>0</v>
      </c>
      <c r="G68" s="46">
        <f t="array" ref="G68">IFERROR(INDEX('Sản phẩm'!$F$4:$F$103,MATCH(B68,'Sản phẩm'!$D$4:$D$103,0)),0)</f>
        <v>0</v>
      </c>
      <c r="H68" s="67">
        <f t="shared" si="5"/>
        <v>0</v>
      </c>
      <c r="I68" s="46">
        <f t="shared" si="1"/>
        <v>0</v>
      </c>
      <c r="J68" s="46">
        <f t="array" ref="J68">IFERROR(INDEX('Sản phẩm'!$G$4:$G$103,MATCH(B68,'Sản phẩm'!$D$4:$D$103,0)),0)</f>
        <v>0</v>
      </c>
      <c r="K68" s="46">
        <f t="array" ref="K68">IFERROR(J68*INDEX('Mẻ sữa'!$N$4:$N$203,MATCH(D68,'Mẻ sữa'!$C$4:$C$203,0)),0)</f>
        <v>0</v>
      </c>
      <c r="L68" s="46">
        <f t="array" ref="L68">IFERROR(INDEX('Sản phẩm'!$I$4:$I$103,MATCH(B68,'Sản phẩm'!$D$4:$D$103,0)),0)</f>
        <v>0</v>
      </c>
      <c r="M68" s="72" t="str">
        <f t="array" ref="M68">IFERROR(INDEX('Sản phẩm'!$J$4:$J$103,MATCH(B68,'Sản phẩm'!$D$4:$D$103,0)),0)</f>
        <v/>
      </c>
      <c r="N68" s="46">
        <f>IF(B68="",0,(K68+L68+M68)*'Thiết lập'!$B$8)</f>
        <v>0</v>
      </c>
      <c r="O68" s="46">
        <f t="shared" si="2"/>
        <v>0</v>
      </c>
      <c r="P68" s="46">
        <f t="shared" si="3"/>
        <v>0</v>
      </c>
      <c r="Q68" s="46">
        <f t="shared" si="4"/>
        <v>0</v>
      </c>
      <c r="R68" s="71" t="str">
        <f t="array" ref="R68">IF(B68="","",INDEX('Bán nhanh'!$C$4:$C$103,INT((ROW()-4)/10)+1))</f>
        <v/>
      </c>
      <c r="S68" s="71" t="str">
        <f t="array" ref="S68">IF(B68="","",INDEX('Bán nhanh'!$P$4:$P$103,INT((ROW()-4)/10)+1))</f>
        <v/>
      </c>
      <c r="T68" s="58"/>
      <c r="U68" s="68" t="str">
        <f>IF('Mẻ sữa'!F69&lt;&gt;"",'Mẻ sữa'!F69,"")</f>
        <v/>
      </c>
      <c r="V68" s="68"/>
      <c r="W68" s="87"/>
      <c r="X68" s="36"/>
      <c r="Y68" s="36"/>
      <c r="Z68" s="36"/>
    </row>
    <row r="69" ht="15.75" customHeight="1">
      <c r="A69" s="70" t="str">
        <f t="array" ref="A69">IF(B69="","",INDEX('Bán nhanh'!$A$4:$A$103,INT((ROW()-4)/10)+1))</f>
        <v/>
      </c>
      <c r="B69" s="71" t="str">
        <f t="array" ref="B69">IF(OR(INDEX('Bán nhanh'!$D$3:$M$3,1,MOD(ROW()-4,10)+1)="",INDEX('Bán nhanh'!$D$4:$M$103,INT((ROW()-4)/10)+1,MOD(ROW()-4,10)+1)&lt;=0),"",INDEX('Bán nhanh'!$D$3:$M$3,1,MOD(ROW()-4,10)+1))</f>
        <v/>
      </c>
      <c r="C69" s="58" t="str">
        <f t="array" ref="C69">IFERROR(INDEX('Sản phẩm'!$A$4:$A$103,MATCH(B69,'Sản phẩm'!$D$4:$D$103,0)),"")</f>
        <v/>
      </c>
      <c r="D69" s="71" t="str">
        <f t="array" ref="D69">IF(B69="","",INDEX('Bán nhanh'!$B$4:$B$103,INT((ROW()-4)/10)+1))</f>
        <v/>
      </c>
      <c r="E69" s="58" t="str">
        <f t="array" ref="E69">IFERROR(INDEX('Mẻ sữa'!$B$4:$B$203,MATCH(D69,'Mẻ sữa'!$C$4:$C$203,0)),"")</f>
        <v/>
      </c>
      <c r="F69" s="66">
        <f t="array" ref="F69">IF(B69="",0,INDEX('Bán nhanh'!$D$4:$M$103,INT((ROW()-4)/10)+1,MOD(ROW()-4,10)+1))</f>
        <v>0</v>
      </c>
      <c r="G69" s="46">
        <f t="array" ref="G69">IFERROR(INDEX('Sản phẩm'!$F$4:$F$103,MATCH(B69,'Sản phẩm'!$D$4:$D$103,0)),0)</f>
        <v>0</v>
      </c>
      <c r="H69" s="67">
        <f t="shared" si="5"/>
        <v>0</v>
      </c>
      <c r="I69" s="46">
        <f t="shared" si="1"/>
        <v>0</v>
      </c>
      <c r="J69" s="46">
        <f t="array" ref="J69">IFERROR(INDEX('Sản phẩm'!$G$4:$G$103,MATCH(B69,'Sản phẩm'!$D$4:$D$103,0)),0)</f>
        <v>0</v>
      </c>
      <c r="K69" s="46">
        <f t="array" ref="K69">IFERROR(J69*INDEX('Mẻ sữa'!$N$4:$N$203,MATCH(D69,'Mẻ sữa'!$C$4:$C$203,0)),0)</f>
        <v>0</v>
      </c>
      <c r="L69" s="46">
        <f t="array" ref="L69">IFERROR(INDEX('Sản phẩm'!$I$4:$I$103,MATCH(B69,'Sản phẩm'!$D$4:$D$103,0)),0)</f>
        <v>0</v>
      </c>
      <c r="M69" s="72" t="str">
        <f t="array" ref="M69">IFERROR(INDEX('Sản phẩm'!$J$4:$J$103,MATCH(B69,'Sản phẩm'!$D$4:$D$103,0)),0)</f>
        <v/>
      </c>
      <c r="N69" s="46">
        <f>IF(B69="",0,(K69+L69+M69)*'Thiết lập'!$B$8)</f>
        <v>0</v>
      </c>
      <c r="O69" s="46">
        <f t="shared" si="2"/>
        <v>0</v>
      </c>
      <c r="P69" s="46">
        <f t="shared" si="3"/>
        <v>0</v>
      </c>
      <c r="Q69" s="46">
        <f t="shared" si="4"/>
        <v>0</v>
      </c>
      <c r="R69" s="71" t="str">
        <f t="array" ref="R69">IF(B69="","",INDEX('Bán nhanh'!$C$4:$C$103,INT((ROW()-4)/10)+1))</f>
        <v/>
      </c>
      <c r="S69" s="71" t="str">
        <f t="array" ref="S69">IF(B69="","",INDEX('Bán nhanh'!$P$4:$P$103,INT((ROW()-4)/10)+1))</f>
        <v/>
      </c>
      <c r="T69" s="58"/>
      <c r="U69" s="68" t="str">
        <f>IF('Mẻ sữa'!F70&lt;&gt;"",'Mẻ sữa'!F70,"")</f>
        <v/>
      </c>
      <c r="V69" s="68"/>
      <c r="W69" s="87"/>
      <c r="X69" s="36"/>
      <c r="Y69" s="36"/>
      <c r="Z69" s="36"/>
    </row>
    <row r="70" ht="15.75" customHeight="1">
      <c r="A70" s="70" t="str">
        <f t="array" ref="A70">IF(B70="","",INDEX('Bán nhanh'!$A$4:$A$103,INT((ROW()-4)/10)+1))</f>
        <v/>
      </c>
      <c r="B70" s="71" t="str">
        <f t="array" ref="B70">IF(OR(INDEX('Bán nhanh'!$D$3:$M$3,1,MOD(ROW()-4,10)+1)="",INDEX('Bán nhanh'!$D$4:$M$103,INT((ROW()-4)/10)+1,MOD(ROW()-4,10)+1)&lt;=0),"",INDEX('Bán nhanh'!$D$3:$M$3,1,MOD(ROW()-4,10)+1))</f>
        <v/>
      </c>
      <c r="C70" s="58" t="str">
        <f t="array" ref="C70">IFERROR(INDEX('Sản phẩm'!$A$4:$A$103,MATCH(B70,'Sản phẩm'!$D$4:$D$103,0)),"")</f>
        <v/>
      </c>
      <c r="D70" s="71" t="str">
        <f t="array" ref="D70">IF(B70="","",INDEX('Bán nhanh'!$B$4:$B$103,INT((ROW()-4)/10)+1))</f>
        <v/>
      </c>
      <c r="E70" s="58" t="str">
        <f t="array" ref="E70">IFERROR(INDEX('Mẻ sữa'!$B$4:$B$203,MATCH(D70,'Mẻ sữa'!$C$4:$C$203,0)),"")</f>
        <v/>
      </c>
      <c r="F70" s="66">
        <f t="array" ref="F70">IF(B70="",0,INDEX('Bán nhanh'!$D$4:$M$103,INT((ROW()-4)/10)+1,MOD(ROW()-4,10)+1))</f>
        <v>0</v>
      </c>
      <c r="G70" s="46">
        <f t="array" ref="G70">IFERROR(INDEX('Sản phẩm'!$F$4:$F$103,MATCH(B70,'Sản phẩm'!$D$4:$D$103,0)),0)</f>
        <v>0</v>
      </c>
      <c r="H70" s="67">
        <f t="shared" si="5"/>
        <v>0</v>
      </c>
      <c r="I70" s="46">
        <f t="shared" si="1"/>
        <v>0</v>
      </c>
      <c r="J70" s="46">
        <f t="array" ref="J70">IFERROR(INDEX('Sản phẩm'!$G$4:$G$103,MATCH(B70,'Sản phẩm'!$D$4:$D$103,0)),0)</f>
        <v>0</v>
      </c>
      <c r="K70" s="46">
        <f t="array" ref="K70">IFERROR(J70*INDEX('Mẻ sữa'!$N$4:$N$203,MATCH(D70,'Mẻ sữa'!$C$4:$C$203,0)),0)</f>
        <v>0</v>
      </c>
      <c r="L70" s="46">
        <f t="array" ref="L70">IFERROR(INDEX('Sản phẩm'!$I$4:$I$103,MATCH(B70,'Sản phẩm'!$D$4:$D$103,0)),0)</f>
        <v>0</v>
      </c>
      <c r="M70" s="72" t="str">
        <f t="array" ref="M70">IFERROR(INDEX('Sản phẩm'!$J$4:$J$103,MATCH(B70,'Sản phẩm'!$D$4:$D$103,0)),0)</f>
        <v/>
      </c>
      <c r="N70" s="46">
        <f>IF(B70="",0,(K70+L70+M70)*'Thiết lập'!$B$8)</f>
        <v>0</v>
      </c>
      <c r="O70" s="46">
        <f t="shared" si="2"/>
        <v>0</v>
      </c>
      <c r="P70" s="46">
        <f t="shared" si="3"/>
        <v>0</v>
      </c>
      <c r="Q70" s="46">
        <f t="shared" si="4"/>
        <v>0</v>
      </c>
      <c r="R70" s="71" t="str">
        <f t="array" ref="R70">IF(B70="","",INDEX('Bán nhanh'!$C$4:$C$103,INT((ROW()-4)/10)+1))</f>
        <v/>
      </c>
      <c r="S70" s="71" t="str">
        <f t="array" ref="S70">IF(B70="","",INDEX('Bán nhanh'!$P$4:$P$103,INT((ROW()-4)/10)+1))</f>
        <v/>
      </c>
      <c r="T70" s="58"/>
      <c r="U70" s="68" t="str">
        <f>IF('Mẻ sữa'!F71&lt;&gt;"",'Mẻ sữa'!F71,"")</f>
        <v/>
      </c>
      <c r="V70" s="68"/>
      <c r="W70" s="87"/>
      <c r="X70" s="36"/>
      <c r="Y70" s="36"/>
      <c r="Z70" s="36"/>
    </row>
    <row r="71" ht="15.75" customHeight="1">
      <c r="A71" s="70" t="str">
        <f t="array" ref="A71">IF(B71="","",INDEX('Bán nhanh'!$A$4:$A$103,INT((ROW()-4)/10)+1))</f>
        <v/>
      </c>
      <c r="B71" s="71" t="str">
        <f t="array" ref="B71">IF(OR(INDEX('Bán nhanh'!$D$3:$M$3,1,MOD(ROW()-4,10)+1)="",INDEX('Bán nhanh'!$D$4:$M$103,INT((ROW()-4)/10)+1,MOD(ROW()-4,10)+1)&lt;=0),"",INDEX('Bán nhanh'!$D$3:$M$3,1,MOD(ROW()-4,10)+1))</f>
        <v/>
      </c>
      <c r="C71" s="58" t="str">
        <f t="array" ref="C71">IFERROR(INDEX('Sản phẩm'!$A$4:$A$103,MATCH(B71,'Sản phẩm'!$D$4:$D$103,0)),"")</f>
        <v/>
      </c>
      <c r="D71" s="71" t="str">
        <f t="array" ref="D71">IF(B71="","",INDEX('Bán nhanh'!$B$4:$B$103,INT((ROW()-4)/10)+1))</f>
        <v/>
      </c>
      <c r="E71" s="58" t="str">
        <f t="array" ref="E71">IFERROR(INDEX('Mẻ sữa'!$B$4:$B$203,MATCH(D71,'Mẻ sữa'!$C$4:$C$203,0)),"")</f>
        <v/>
      </c>
      <c r="F71" s="66">
        <f t="array" ref="F71">IF(B71="",0,INDEX('Bán nhanh'!$D$4:$M$103,INT((ROW()-4)/10)+1,MOD(ROW()-4,10)+1))</f>
        <v>0</v>
      </c>
      <c r="G71" s="46">
        <f t="array" ref="G71">IFERROR(INDEX('Sản phẩm'!$F$4:$F$103,MATCH(B71,'Sản phẩm'!$D$4:$D$103,0)),0)</f>
        <v>0</v>
      </c>
      <c r="H71" s="67">
        <f t="shared" si="5"/>
        <v>0</v>
      </c>
      <c r="I71" s="46">
        <f t="shared" si="1"/>
        <v>0</v>
      </c>
      <c r="J71" s="46">
        <f t="array" ref="J71">IFERROR(INDEX('Sản phẩm'!$G$4:$G$103,MATCH(B71,'Sản phẩm'!$D$4:$D$103,0)),0)</f>
        <v>0</v>
      </c>
      <c r="K71" s="46">
        <f t="array" ref="K71">IFERROR(J71*INDEX('Mẻ sữa'!$N$4:$N$203,MATCH(D71,'Mẻ sữa'!$C$4:$C$203,0)),0)</f>
        <v>0</v>
      </c>
      <c r="L71" s="46">
        <f t="array" ref="L71">IFERROR(INDEX('Sản phẩm'!$I$4:$I$103,MATCH(B71,'Sản phẩm'!$D$4:$D$103,0)),0)</f>
        <v>0</v>
      </c>
      <c r="M71" s="72" t="str">
        <f t="array" ref="M71">IFERROR(INDEX('Sản phẩm'!$J$4:$J$103,MATCH(B71,'Sản phẩm'!$D$4:$D$103,0)),0)</f>
        <v/>
      </c>
      <c r="N71" s="46">
        <f>IF(B71="",0,(K71+L71+M71)*'Thiết lập'!$B$8)</f>
        <v>0</v>
      </c>
      <c r="O71" s="46">
        <f t="shared" si="2"/>
        <v>0</v>
      </c>
      <c r="P71" s="46">
        <f t="shared" si="3"/>
        <v>0</v>
      </c>
      <c r="Q71" s="46">
        <f t="shared" si="4"/>
        <v>0</v>
      </c>
      <c r="R71" s="71" t="str">
        <f t="array" ref="R71">IF(B71="","",INDEX('Bán nhanh'!$C$4:$C$103,INT((ROW()-4)/10)+1))</f>
        <v/>
      </c>
      <c r="S71" s="71" t="str">
        <f t="array" ref="S71">IF(B71="","",INDEX('Bán nhanh'!$P$4:$P$103,INT((ROW()-4)/10)+1))</f>
        <v/>
      </c>
      <c r="T71" s="58"/>
      <c r="U71" s="68" t="str">
        <f>IF('Mẻ sữa'!F72&lt;&gt;"",'Mẻ sữa'!F72,"")</f>
        <v/>
      </c>
      <c r="V71" s="68"/>
      <c r="W71" s="87"/>
      <c r="X71" s="36"/>
      <c r="Y71" s="36"/>
      <c r="Z71" s="36"/>
    </row>
    <row r="72" ht="15.75" customHeight="1">
      <c r="A72" s="70" t="str">
        <f t="array" ref="A72">IF(B72="","",INDEX('Bán nhanh'!$A$4:$A$103,INT((ROW()-4)/10)+1))</f>
        <v/>
      </c>
      <c r="B72" s="71" t="str">
        <f t="array" ref="B72">IF(OR(INDEX('Bán nhanh'!$D$3:$M$3,1,MOD(ROW()-4,10)+1)="",INDEX('Bán nhanh'!$D$4:$M$103,INT((ROW()-4)/10)+1,MOD(ROW()-4,10)+1)&lt;=0),"",INDEX('Bán nhanh'!$D$3:$M$3,1,MOD(ROW()-4,10)+1))</f>
        <v/>
      </c>
      <c r="C72" s="58" t="str">
        <f t="array" ref="C72">IFERROR(INDEX('Sản phẩm'!$A$4:$A$103,MATCH(B72,'Sản phẩm'!$D$4:$D$103,0)),"")</f>
        <v/>
      </c>
      <c r="D72" s="71" t="str">
        <f t="array" ref="D72">IF(B72="","",INDEX('Bán nhanh'!$B$4:$B$103,INT((ROW()-4)/10)+1))</f>
        <v/>
      </c>
      <c r="E72" s="58" t="str">
        <f t="array" ref="E72">IFERROR(INDEX('Mẻ sữa'!$B$4:$B$203,MATCH(D72,'Mẻ sữa'!$C$4:$C$203,0)),"")</f>
        <v/>
      </c>
      <c r="F72" s="66">
        <f t="array" ref="F72">IF(B72="",0,INDEX('Bán nhanh'!$D$4:$M$103,INT((ROW()-4)/10)+1,MOD(ROW()-4,10)+1))</f>
        <v>0</v>
      </c>
      <c r="G72" s="46">
        <f t="array" ref="G72">IFERROR(INDEX('Sản phẩm'!$F$4:$F$103,MATCH(B72,'Sản phẩm'!$D$4:$D$103,0)),0)</f>
        <v>0</v>
      </c>
      <c r="H72" s="67">
        <f t="shared" si="5"/>
        <v>0</v>
      </c>
      <c r="I72" s="46">
        <f t="shared" si="1"/>
        <v>0</v>
      </c>
      <c r="J72" s="46">
        <f t="array" ref="J72">IFERROR(INDEX('Sản phẩm'!$G$4:$G$103,MATCH(B72,'Sản phẩm'!$D$4:$D$103,0)),0)</f>
        <v>0</v>
      </c>
      <c r="K72" s="46">
        <f t="array" ref="K72">IFERROR(J72*INDEX('Mẻ sữa'!$N$4:$N$203,MATCH(D72,'Mẻ sữa'!$C$4:$C$203,0)),0)</f>
        <v>0</v>
      </c>
      <c r="L72" s="46">
        <f t="array" ref="L72">IFERROR(INDEX('Sản phẩm'!$I$4:$I$103,MATCH(B72,'Sản phẩm'!$D$4:$D$103,0)),0)</f>
        <v>0</v>
      </c>
      <c r="M72" s="72" t="str">
        <f t="array" ref="M72">IFERROR(INDEX('Sản phẩm'!$J$4:$J$103,MATCH(B72,'Sản phẩm'!$D$4:$D$103,0)),0)</f>
        <v/>
      </c>
      <c r="N72" s="46">
        <f>IF(B72="",0,(K72+L72+M72)*'Thiết lập'!$B$8)</f>
        <v>0</v>
      </c>
      <c r="O72" s="46">
        <f t="shared" si="2"/>
        <v>0</v>
      </c>
      <c r="P72" s="46">
        <f t="shared" si="3"/>
        <v>0</v>
      </c>
      <c r="Q72" s="46">
        <f t="shared" si="4"/>
        <v>0</v>
      </c>
      <c r="R72" s="71" t="str">
        <f t="array" ref="R72">IF(B72="","",INDEX('Bán nhanh'!$C$4:$C$103,INT((ROW()-4)/10)+1))</f>
        <v/>
      </c>
      <c r="S72" s="71" t="str">
        <f t="array" ref="S72">IF(B72="","",INDEX('Bán nhanh'!$P$4:$P$103,INT((ROW()-4)/10)+1))</f>
        <v/>
      </c>
      <c r="T72" s="58"/>
      <c r="U72" s="68" t="str">
        <f>IF('Mẻ sữa'!F73&lt;&gt;"",'Mẻ sữa'!F73,"")</f>
        <v/>
      </c>
      <c r="V72" s="68"/>
      <c r="W72" s="87"/>
      <c r="X72" s="36"/>
      <c r="Y72" s="36"/>
      <c r="Z72" s="36"/>
    </row>
    <row r="73" ht="15.75" customHeight="1">
      <c r="A73" s="70" t="str">
        <f t="array" ref="A73">IF(B73="","",INDEX('Bán nhanh'!$A$4:$A$103,INT((ROW()-4)/10)+1))</f>
        <v/>
      </c>
      <c r="B73" s="71" t="str">
        <f t="array" ref="B73">IF(OR(INDEX('Bán nhanh'!$D$3:$M$3,1,MOD(ROW()-4,10)+1)="",INDEX('Bán nhanh'!$D$4:$M$103,INT((ROW()-4)/10)+1,MOD(ROW()-4,10)+1)&lt;=0),"",INDEX('Bán nhanh'!$D$3:$M$3,1,MOD(ROW()-4,10)+1))</f>
        <v/>
      </c>
      <c r="C73" s="58" t="str">
        <f t="array" ref="C73">IFERROR(INDEX('Sản phẩm'!$A$4:$A$103,MATCH(B73,'Sản phẩm'!$D$4:$D$103,0)),"")</f>
        <v/>
      </c>
      <c r="D73" s="71" t="str">
        <f t="array" ref="D73">IF(B73="","",INDEX('Bán nhanh'!$B$4:$B$103,INT((ROW()-4)/10)+1))</f>
        <v/>
      </c>
      <c r="E73" s="58" t="str">
        <f t="array" ref="E73">IFERROR(INDEX('Mẻ sữa'!$B$4:$B$203,MATCH(D73,'Mẻ sữa'!$C$4:$C$203,0)),"")</f>
        <v/>
      </c>
      <c r="F73" s="66">
        <f t="array" ref="F73">IF(B73="",0,INDEX('Bán nhanh'!$D$4:$M$103,INT((ROW()-4)/10)+1,MOD(ROW()-4,10)+1))</f>
        <v>0</v>
      </c>
      <c r="G73" s="46">
        <f t="array" ref="G73">IFERROR(INDEX('Sản phẩm'!$F$4:$F$103,MATCH(B73,'Sản phẩm'!$D$4:$D$103,0)),0)</f>
        <v>0</v>
      </c>
      <c r="H73" s="67">
        <f t="shared" si="5"/>
        <v>0</v>
      </c>
      <c r="I73" s="46">
        <f t="shared" si="1"/>
        <v>0</v>
      </c>
      <c r="J73" s="46">
        <f t="array" ref="J73">IFERROR(INDEX('Sản phẩm'!$G$4:$G$103,MATCH(B73,'Sản phẩm'!$D$4:$D$103,0)),0)</f>
        <v>0</v>
      </c>
      <c r="K73" s="46">
        <f t="array" ref="K73">IFERROR(J73*INDEX('Mẻ sữa'!$N$4:$N$203,MATCH(D73,'Mẻ sữa'!$C$4:$C$203,0)),0)</f>
        <v>0</v>
      </c>
      <c r="L73" s="46">
        <f t="array" ref="L73">IFERROR(INDEX('Sản phẩm'!$I$4:$I$103,MATCH(B73,'Sản phẩm'!$D$4:$D$103,0)),0)</f>
        <v>0</v>
      </c>
      <c r="M73" s="72" t="str">
        <f t="array" ref="M73">IFERROR(INDEX('Sản phẩm'!$J$4:$J$103,MATCH(B73,'Sản phẩm'!$D$4:$D$103,0)),0)</f>
        <v/>
      </c>
      <c r="N73" s="46">
        <f>IF(B73="",0,(K73+L73+M73)*'Thiết lập'!$B$8)</f>
        <v>0</v>
      </c>
      <c r="O73" s="46">
        <f t="shared" si="2"/>
        <v>0</v>
      </c>
      <c r="P73" s="46">
        <f t="shared" si="3"/>
        <v>0</v>
      </c>
      <c r="Q73" s="46">
        <f t="shared" si="4"/>
        <v>0</v>
      </c>
      <c r="R73" s="71" t="str">
        <f t="array" ref="R73">IF(B73="","",INDEX('Bán nhanh'!$C$4:$C$103,INT((ROW()-4)/10)+1))</f>
        <v/>
      </c>
      <c r="S73" s="71" t="str">
        <f t="array" ref="S73">IF(B73="","",INDEX('Bán nhanh'!$P$4:$P$103,INT((ROW()-4)/10)+1))</f>
        <v/>
      </c>
      <c r="T73" s="58"/>
      <c r="U73" s="68" t="str">
        <f>IF('Mẻ sữa'!F74&lt;&gt;"",'Mẻ sữa'!F74,"")</f>
        <v/>
      </c>
      <c r="V73" s="68"/>
      <c r="W73" s="87"/>
      <c r="X73" s="36"/>
      <c r="Y73" s="36"/>
      <c r="Z73" s="36"/>
    </row>
    <row r="74" ht="15.75" customHeight="1">
      <c r="A74" s="70" t="str">
        <f t="array" ref="A74">IF(B74="","",INDEX('Bán nhanh'!$A$4:$A$103,INT((ROW()-4)/10)+1))</f>
        <v/>
      </c>
      <c r="B74" s="71" t="str">
        <f t="array" ref="B74">IF(OR(INDEX('Bán nhanh'!$D$3:$M$3,1,MOD(ROW()-4,10)+1)="",INDEX('Bán nhanh'!$D$4:$M$103,INT((ROW()-4)/10)+1,MOD(ROW()-4,10)+1)&lt;=0),"",INDEX('Bán nhanh'!$D$3:$M$3,1,MOD(ROW()-4,10)+1))</f>
        <v/>
      </c>
      <c r="C74" s="58" t="str">
        <f t="array" ref="C74">IFERROR(INDEX('Sản phẩm'!$A$4:$A$103,MATCH(B74,'Sản phẩm'!$D$4:$D$103,0)),"")</f>
        <v/>
      </c>
      <c r="D74" s="71" t="str">
        <f t="array" ref="D74">IF(B74="","",INDEX('Bán nhanh'!$B$4:$B$103,INT((ROW()-4)/10)+1))</f>
        <v/>
      </c>
      <c r="E74" s="58" t="str">
        <f t="array" ref="E74">IFERROR(INDEX('Mẻ sữa'!$B$4:$B$203,MATCH(D74,'Mẻ sữa'!$C$4:$C$203,0)),"")</f>
        <v/>
      </c>
      <c r="F74" s="66">
        <f t="array" ref="F74">IF(B74="",0,INDEX('Bán nhanh'!$D$4:$M$103,INT((ROW()-4)/10)+1,MOD(ROW()-4,10)+1))</f>
        <v>0</v>
      </c>
      <c r="G74" s="46">
        <f t="array" ref="G74">IFERROR(INDEX('Sản phẩm'!$F$4:$F$103,MATCH(B74,'Sản phẩm'!$D$4:$D$103,0)),0)</f>
        <v>0</v>
      </c>
      <c r="H74" s="67">
        <f t="shared" si="5"/>
        <v>0</v>
      </c>
      <c r="I74" s="46">
        <f t="shared" si="1"/>
        <v>0</v>
      </c>
      <c r="J74" s="46">
        <f t="array" ref="J74">IFERROR(INDEX('Sản phẩm'!$G$4:$G$103,MATCH(B74,'Sản phẩm'!$D$4:$D$103,0)),0)</f>
        <v>0</v>
      </c>
      <c r="K74" s="46">
        <f t="array" ref="K74">IFERROR(J74*INDEX('Mẻ sữa'!$N$4:$N$203,MATCH(D74,'Mẻ sữa'!$C$4:$C$203,0)),0)</f>
        <v>0</v>
      </c>
      <c r="L74" s="46">
        <f t="array" ref="L74">IFERROR(INDEX('Sản phẩm'!$I$4:$I$103,MATCH(B74,'Sản phẩm'!$D$4:$D$103,0)),0)</f>
        <v>0</v>
      </c>
      <c r="M74" s="72" t="str">
        <f t="array" ref="M74">IFERROR(INDEX('Sản phẩm'!$J$4:$J$103,MATCH(B74,'Sản phẩm'!$D$4:$D$103,0)),0)</f>
        <v/>
      </c>
      <c r="N74" s="46">
        <f>IF(B74="",0,(K74+L74+M74)*'Thiết lập'!$B$8)</f>
        <v>0</v>
      </c>
      <c r="O74" s="46">
        <f t="shared" si="2"/>
        <v>0</v>
      </c>
      <c r="P74" s="46">
        <f t="shared" si="3"/>
        <v>0</v>
      </c>
      <c r="Q74" s="46">
        <f t="shared" si="4"/>
        <v>0</v>
      </c>
      <c r="R74" s="71" t="str">
        <f t="array" ref="R74">IF(B74="","",INDEX('Bán nhanh'!$C$4:$C$103,INT((ROW()-4)/10)+1))</f>
        <v/>
      </c>
      <c r="S74" s="71" t="str">
        <f t="array" ref="S74">IF(B74="","",INDEX('Bán nhanh'!$P$4:$P$103,INT((ROW()-4)/10)+1))</f>
        <v/>
      </c>
      <c r="T74" s="58"/>
      <c r="U74" s="68" t="str">
        <f>IF('Mẻ sữa'!F75&lt;&gt;"",'Mẻ sữa'!F75,"")</f>
        <v/>
      </c>
      <c r="V74" s="68"/>
      <c r="W74" s="87"/>
      <c r="X74" s="36"/>
      <c r="Y74" s="36"/>
      <c r="Z74" s="36"/>
    </row>
    <row r="75" ht="15.75" customHeight="1">
      <c r="A75" s="70" t="str">
        <f t="array" ref="A75">IF(B75="","",INDEX('Bán nhanh'!$A$4:$A$103,INT((ROW()-4)/10)+1))</f>
        <v/>
      </c>
      <c r="B75" s="71" t="str">
        <f t="array" ref="B75">IF(OR(INDEX('Bán nhanh'!$D$3:$M$3,1,MOD(ROW()-4,10)+1)="",INDEX('Bán nhanh'!$D$4:$M$103,INT((ROW()-4)/10)+1,MOD(ROW()-4,10)+1)&lt;=0),"",INDEX('Bán nhanh'!$D$3:$M$3,1,MOD(ROW()-4,10)+1))</f>
        <v/>
      </c>
      <c r="C75" s="58" t="str">
        <f t="array" ref="C75">IFERROR(INDEX('Sản phẩm'!$A$4:$A$103,MATCH(B75,'Sản phẩm'!$D$4:$D$103,0)),"")</f>
        <v/>
      </c>
      <c r="D75" s="71" t="str">
        <f t="array" ref="D75">IF(B75="","",INDEX('Bán nhanh'!$B$4:$B$103,INT((ROW()-4)/10)+1))</f>
        <v/>
      </c>
      <c r="E75" s="58" t="str">
        <f t="array" ref="E75">IFERROR(INDEX('Mẻ sữa'!$B$4:$B$203,MATCH(D75,'Mẻ sữa'!$C$4:$C$203,0)),"")</f>
        <v/>
      </c>
      <c r="F75" s="66">
        <f t="array" ref="F75">IF(B75="",0,INDEX('Bán nhanh'!$D$4:$M$103,INT((ROW()-4)/10)+1,MOD(ROW()-4,10)+1))</f>
        <v>0</v>
      </c>
      <c r="G75" s="46">
        <f t="array" ref="G75">IFERROR(INDEX('Sản phẩm'!$F$4:$F$103,MATCH(B75,'Sản phẩm'!$D$4:$D$103,0)),0)</f>
        <v>0</v>
      </c>
      <c r="H75" s="67">
        <f t="shared" si="5"/>
        <v>0</v>
      </c>
      <c r="I75" s="46">
        <f t="shared" si="1"/>
        <v>0</v>
      </c>
      <c r="J75" s="46">
        <f t="array" ref="J75">IFERROR(INDEX('Sản phẩm'!$G$4:$G$103,MATCH(B75,'Sản phẩm'!$D$4:$D$103,0)),0)</f>
        <v>0</v>
      </c>
      <c r="K75" s="46">
        <f t="array" ref="K75">IFERROR(J75*INDEX('Mẻ sữa'!$N$4:$N$203,MATCH(D75,'Mẻ sữa'!$C$4:$C$203,0)),0)</f>
        <v>0</v>
      </c>
      <c r="L75" s="46">
        <f t="array" ref="L75">IFERROR(INDEX('Sản phẩm'!$I$4:$I$103,MATCH(B75,'Sản phẩm'!$D$4:$D$103,0)),0)</f>
        <v>0</v>
      </c>
      <c r="M75" s="72" t="str">
        <f t="array" ref="M75">IFERROR(INDEX('Sản phẩm'!$J$4:$J$103,MATCH(B75,'Sản phẩm'!$D$4:$D$103,0)),0)</f>
        <v/>
      </c>
      <c r="N75" s="46">
        <f>IF(B75="",0,(K75+L75+M75)*'Thiết lập'!$B$8)</f>
        <v>0</v>
      </c>
      <c r="O75" s="46">
        <f t="shared" si="2"/>
        <v>0</v>
      </c>
      <c r="P75" s="46">
        <f t="shared" si="3"/>
        <v>0</v>
      </c>
      <c r="Q75" s="46">
        <f t="shared" si="4"/>
        <v>0</v>
      </c>
      <c r="R75" s="71" t="str">
        <f t="array" ref="R75">IF(B75="","",INDEX('Bán nhanh'!$C$4:$C$103,INT((ROW()-4)/10)+1))</f>
        <v/>
      </c>
      <c r="S75" s="71" t="str">
        <f t="array" ref="S75">IF(B75="","",INDEX('Bán nhanh'!$P$4:$P$103,INT((ROW()-4)/10)+1))</f>
        <v/>
      </c>
      <c r="T75" s="58"/>
      <c r="U75" s="68" t="str">
        <f>IF('Mẻ sữa'!F76&lt;&gt;"",'Mẻ sữa'!F76,"")</f>
        <v/>
      </c>
      <c r="V75" s="68"/>
      <c r="W75" s="87"/>
      <c r="X75" s="36"/>
      <c r="Y75" s="36"/>
      <c r="Z75" s="36"/>
    </row>
    <row r="76" ht="15.75" customHeight="1">
      <c r="A76" s="70" t="str">
        <f t="array" ref="A76">IF(B76="","",INDEX('Bán nhanh'!$A$4:$A$103,INT((ROW()-4)/10)+1))</f>
        <v/>
      </c>
      <c r="B76" s="71" t="str">
        <f t="array" ref="B76">IF(OR(INDEX('Bán nhanh'!$D$3:$M$3,1,MOD(ROW()-4,10)+1)="",INDEX('Bán nhanh'!$D$4:$M$103,INT((ROW()-4)/10)+1,MOD(ROW()-4,10)+1)&lt;=0),"",INDEX('Bán nhanh'!$D$3:$M$3,1,MOD(ROW()-4,10)+1))</f>
        <v/>
      </c>
      <c r="C76" s="58" t="str">
        <f t="array" ref="C76">IFERROR(INDEX('Sản phẩm'!$A$4:$A$103,MATCH(B76,'Sản phẩm'!$D$4:$D$103,0)),"")</f>
        <v/>
      </c>
      <c r="D76" s="71" t="str">
        <f t="array" ref="D76">IF(B76="","",INDEX('Bán nhanh'!$B$4:$B$103,INT((ROW()-4)/10)+1))</f>
        <v/>
      </c>
      <c r="E76" s="58" t="str">
        <f t="array" ref="E76">IFERROR(INDEX('Mẻ sữa'!$B$4:$B$203,MATCH(D76,'Mẻ sữa'!$C$4:$C$203,0)),"")</f>
        <v/>
      </c>
      <c r="F76" s="66">
        <f t="array" ref="F76">IF(B76="",0,INDEX('Bán nhanh'!$D$4:$M$103,INT((ROW()-4)/10)+1,MOD(ROW()-4,10)+1))</f>
        <v>0</v>
      </c>
      <c r="G76" s="46">
        <f t="array" ref="G76">IFERROR(INDEX('Sản phẩm'!$F$4:$F$103,MATCH(B76,'Sản phẩm'!$D$4:$D$103,0)),0)</f>
        <v>0</v>
      </c>
      <c r="H76" s="67">
        <f t="shared" si="5"/>
        <v>0</v>
      </c>
      <c r="I76" s="46">
        <f t="shared" si="1"/>
        <v>0</v>
      </c>
      <c r="J76" s="46">
        <f t="array" ref="J76">IFERROR(INDEX('Sản phẩm'!$G$4:$G$103,MATCH(B76,'Sản phẩm'!$D$4:$D$103,0)),0)</f>
        <v>0</v>
      </c>
      <c r="K76" s="46">
        <f t="array" ref="K76">IFERROR(J76*INDEX('Mẻ sữa'!$N$4:$N$203,MATCH(D76,'Mẻ sữa'!$C$4:$C$203,0)),0)</f>
        <v>0</v>
      </c>
      <c r="L76" s="46">
        <f t="array" ref="L76">IFERROR(INDEX('Sản phẩm'!$I$4:$I$103,MATCH(B76,'Sản phẩm'!$D$4:$D$103,0)),0)</f>
        <v>0</v>
      </c>
      <c r="M76" s="72" t="str">
        <f t="array" ref="M76">IFERROR(INDEX('Sản phẩm'!$J$4:$J$103,MATCH(B76,'Sản phẩm'!$D$4:$D$103,0)),0)</f>
        <v/>
      </c>
      <c r="N76" s="46">
        <f>IF(B76="",0,(K76+L76+M76)*'Thiết lập'!$B$8)</f>
        <v>0</v>
      </c>
      <c r="O76" s="46">
        <f t="shared" si="2"/>
        <v>0</v>
      </c>
      <c r="P76" s="46">
        <f t="shared" si="3"/>
        <v>0</v>
      </c>
      <c r="Q76" s="46">
        <f t="shared" si="4"/>
        <v>0</v>
      </c>
      <c r="R76" s="71" t="str">
        <f t="array" ref="R76">IF(B76="","",INDEX('Bán nhanh'!$C$4:$C$103,INT((ROW()-4)/10)+1))</f>
        <v/>
      </c>
      <c r="S76" s="71" t="str">
        <f t="array" ref="S76">IF(B76="","",INDEX('Bán nhanh'!$P$4:$P$103,INT((ROW()-4)/10)+1))</f>
        <v/>
      </c>
      <c r="T76" s="58"/>
      <c r="U76" s="68" t="str">
        <f>IF('Mẻ sữa'!F77&lt;&gt;"",'Mẻ sữa'!F77,"")</f>
        <v/>
      </c>
      <c r="V76" s="68"/>
      <c r="W76" s="87"/>
      <c r="X76" s="36"/>
      <c r="Y76" s="36"/>
      <c r="Z76" s="36"/>
    </row>
    <row r="77" ht="15.75" customHeight="1">
      <c r="A77" s="70" t="str">
        <f t="array" ref="A77">IF(B77="","",INDEX('Bán nhanh'!$A$4:$A$103,INT((ROW()-4)/10)+1))</f>
        <v/>
      </c>
      <c r="B77" s="71" t="str">
        <f t="array" ref="B77">IF(OR(INDEX('Bán nhanh'!$D$3:$M$3,1,MOD(ROW()-4,10)+1)="",INDEX('Bán nhanh'!$D$4:$M$103,INT((ROW()-4)/10)+1,MOD(ROW()-4,10)+1)&lt;=0),"",INDEX('Bán nhanh'!$D$3:$M$3,1,MOD(ROW()-4,10)+1))</f>
        <v/>
      </c>
      <c r="C77" s="58" t="str">
        <f t="array" ref="C77">IFERROR(INDEX('Sản phẩm'!$A$4:$A$103,MATCH(B77,'Sản phẩm'!$D$4:$D$103,0)),"")</f>
        <v/>
      </c>
      <c r="D77" s="71" t="str">
        <f t="array" ref="D77">IF(B77="","",INDEX('Bán nhanh'!$B$4:$B$103,INT((ROW()-4)/10)+1))</f>
        <v/>
      </c>
      <c r="E77" s="58" t="str">
        <f t="array" ref="E77">IFERROR(INDEX('Mẻ sữa'!$B$4:$B$203,MATCH(D77,'Mẻ sữa'!$C$4:$C$203,0)),"")</f>
        <v/>
      </c>
      <c r="F77" s="66">
        <f t="array" ref="F77">IF(B77="",0,INDEX('Bán nhanh'!$D$4:$M$103,INT((ROW()-4)/10)+1,MOD(ROW()-4,10)+1))</f>
        <v>0</v>
      </c>
      <c r="G77" s="46">
        <f t="array" ref="G77">IFERROR(INDEX('Sản phẩm'!$F$4:$F$103,MATCH(B77,'Sản phẩm'!$D$4:$D$103,0)),0)</f>
        <v>0</v>
      </c>
      <c r="H77" s="67">
        <f t="shared" si="5"/>
        <v>0</v>
      </c>
      <c r="I77" s="46">
        <f t="shared" si="1"/>
        <v>0</v>
      </c>
      <c r="J77" s="46">
        <f t="array" ref="J77">IFERROR(INDEX('Sản phẩm'!$G$4:$G$103,MATCH(B77,'Sản phẩm'!$D$4:$D$103,0)),0)</f>
        <v>0</v>
      </c>
      <c r="K77" s="46">
        <f t="array" ref="K77">IFERROR(J77*INDEX('Mẻ sữa'!$N$4:$N$203,MATCH(D77,'Mẻ sữa'!$C$4:$C$203,0)),0)</f>
        <v>0</v>
      </c>
      <c r="L77" s="46">
        <f t="array" ref="L77">IFERROR(INDEX('Sản phẩm'!$I$4:$I$103,MATCH(B77,'Sản phẩm'!$D$4:$D$103,0)),0)</f>
        <v>0</v>
      </c>
      <c r="M77" s="72" t="str">
        <f t="array" ref="M77">IFERROR(INDEX('Sản phẩm'!$J$4:$J$103,MATCH(B77,'Sản phẩm'!$D$4:$D$103,0)),0)</f>
        <v/>
      </c>
      <c r="N77" s="46">
        <f>IF(B77="",0,(K77+L77+M77)*'Thiết lập'!$B$8)</f>
        <v>0</v>
      </c>
      <c r="O77" s="46">
        <f t="shared" si="2"/>
        <v>0</v>
      </c>
      <c r="P77" s="46">
        <f t="shared" si="3"/>
        <v>0</v>
      </c>
      <c r="Q77" s="46">
        <f t="shared" si="4"/>
        <v>0</v>
      </c>
      <c r="R77" s="71" t="str">
        <f t="array" ref="R77">IF(B77="","",INDEX('Bán nhanh'!$C$4:$C$103,INT((ROW()-4)/10)+1))</f>
        <v/>
      </c>
      <c r="S77" s="71" t="str">
        <f t="array" ref="S77">IF(B77="","",INDEX('Bán nhanh'!$P$4:$P$103,INT((ROW()-4)/10)+1))</f>
        <v/>
      </c>
      <c r="T77" s="58"/>
      <c r="U77" s="68" t="str">
        <f>IF('Mẻ sữa'!F78&lt;&gt;"",'Mẻ sữa'!F78,"")</f>
        <v/>
      </c>
      <c r="V77" s="68"/>
      <c r="W77" s="87"/>
      <c r="X77" s="36"/>
      <c r="Y77" s="36"/>
      <c r="Z77" s="36"/>
    </row>
    <row r="78" ht="15.75" customHeight="1">
      <c r="A78" s="70" t="str">
        <f t="array" ref="A78">IF(B78="","",INDEX('Bán nhanh'!$A$4:$A$103,INT((ROW()-4)/10)+1))</f>
        <v/>
      </c>
      <c r="B78" s="71" t="str">
        <f t="array" ref="B78">IF(OR(INDEX('Bán nhanh'!$D$3:$M$3,1,MOD(ROW()-4,10)+1)="",INDEX('Bán nhanh'!$D$4:$M$103,INT((ROW()-4)/10)+1,MOD(ROW()-4,10)+1)&lt;=0),"",INDEX('Bán nhanh'!$D$3:$M$3,1,MOD(ROW()-4,10)+1))</f>
        <v/>
      </c>
      <c r="C78" s="58" t="str">
        <f t="array" ref="C78">IFERROR(INDEX('Sản phẩm'!$A$4:$A$103,MATCH(B78,'Sản phẩm'!$D$4:$D$103,0)),"")</f>
        <v/>
      </c>
      <c r="D78" s="71" t="str">
        <f t="array" ref="D78">IF(B78="","",INDEX('Bán nhanh'!$B$4:$B$103,INT((ROW()-4)/10)+1))</f>
        <v/>
      </c>
      <c r="E78" s="58" t="str">
        <f t="array" ref="E78">IFERROR(INDEX('Mẻ sữa'!$B$4:$B$203,MATCH(D78,'Mẻ sữa'!$C$4:$C$203,0)),"")</f>
        <v/>
      </c>
      <c r="F78" s="66">
        <f t="array" ref="F78">IF(B78="",0,INDEX('Bán nhanh'!$D$4:$M$103,INT((ROW()-4)/10)+1,MOD(ROW()-4,10)+1))</f>
        <v>0</v>
      </c>
      <c r="G78" s="46">
        <f t="array" ref="G78">IFERROR(INDEX('Sản phẩm'!$F$4:$F$103,MATCH(B78,'Sản phẩm'!$D$4:$D$103,0)),0)</f>
        <v>0</v>
      </c>
      <c r="H78" s="67">
        <f t="shared" si="5"/>
        <v>0</v>
      </c>
      <c r="I78" s="46">
        <f t="shared" si="1"/>
        <v>0</v>
      </c>
      <c r="J78" s="46">
        <f t="array" ref="J78">IFERROR(INDEX('Sản phẩm'!$G$4:$G$103,MATCH(B78,'Sản phẩm'!$D$4:$D$103,0)),0)</f>
        <v>0</v>
      </c>
      <c r="K78" s="46">
        <f t="array" ref="K78">IFERROR(J78*INDEX('Mẻ sữa'!$N$4:$N$203,MATCH(D78,'Mẻ sữa'!$C$4:$C$203,0)),0)</f>
        <v>0</v>
      </c>
      <c r="L78" s="46">
        <f t="array" ref="L78">IFERROR(INDEX('Sản phẩm'!$I$4:$I$103,MATCH(B78,'Sản phẩm'!$D$4:$D$103,0)),0)</f>
        <v>0</v>
      </c>
      <c r="M78" s="72" t="str">
        <f t="array" ref="M78">IFERROR(INDEX('Sản phẩm'!$J$4:$J$103,MATCH(B78,'Sản phẩm'!$D$4:$D$103,0)),0)</f>
        <v/>
      </c>
      <c r="N78" s="46">
        <f>IF(B78="",0,(K78+L78+M78)*'Thiết lập'!$B$8)</f>
        <v>0</v>
      </c>
      <c r="O78" s="46">
        <f t="shared" si="2"/>
        <v>0</v>
      </c>
      <c r="P78" s="46">
        <f t="shared" si="3"/>
        <v>0</v>
      </c>
      <c r="Q78" s="46">
        <f t="shared" si="4"/>
        <v>0</v>
      </c>
      <c r="R78" s="71" t="str">
        <f t="array" ref="R78">IF(B78="","",INDEX('Bán nhanh'!$C$4:$C$103,INT((ROW()-4)/10)+1))</f>
        <v/>
      </c>
      <c r="S78" s="71" t="str">
        <f t="array" ref="S78">IF(B78="","",INDEX('Bán nhanh'!$P$4:$P$103,INT((ROW()-4)/10)+1))</f>
        <v/>
      </c>
      <c r="T78" s="58"/>
      <c r="U78" s="68" t="str">
        <f>IF('Mẻ sữa'!F79&lt;&gt;"",'Mẻ sữa'!F79,"")</f>
        <v/>
      </c>
      <c r="V78" s="68"/>
      <c r="W78" s="87"/>
      <c r="X78" s="36"/>
      <c r="Y78" s="36"/>
      <c r="Z78" s="36"/>
    </row>
    <row r="79" ht="15.75" customHeight="1">
      <c r="A79" s="70" t="str">
        <f t="array" ref="A79">IF(B79="","",INDEX('Bán nhanh'!$A$4:$A$103,INT((ROW()-4)/10)+1))</f>
        <v/>
      </c>
      <c r="B79" s="71" t="str">
        <f t="array" ref="B79">IF(OR(INDEX('Bán nhanh'!$D$3:$M$3,1,MOD(ROW()-4,10)+1)="",INDEX('Bán nhanh'!$D$4:$M$103,INT((ROW()-4)/10)+1,MOD(ROW()-4,10)+1)&lt;=0),"",INDEX('Bán nhanh'!$D$3:$M$3,1,MOD(ROW()-4,10)+1))</f>
        <v/>
      </c>
      <c r="C79" s="58" t="str">
        <f t="array" ref="C79">IFERROR(INDEX('Sản phẩm'!$A$4:$A$103,MATCH(B79,'Sản phẩm'!$D$4:$D$103,0)),"")</f>
        <v/>
      </c>
      <c r="D79" s="71" t="str">
        <f t="array" ref="D79">IF(B79="","",INDEX('Bán nhanh'!$B$4:$B$103,INT((ROW()-4)/10)+1))</f>
        <v/>
      </c>
      <c r="E79" s="58" t="str">
        <f t="array" ref="E79">IFERROR(INDEX('Mẻ sữa'!$B$4:$B$203,MATCH(D79,'Mẻ sữa'!$C$4:$C$203,0)),"")</f>
        <v/>
      </c>
      <c r="F79" s="66">
        <f t="array" ref="F79">IF(B79="",0,INDEX('Bán nhanh'!$D$4:$M$103,INT((ROW()-4)/10)+1,MOD(ROW()-4,10)+1))</f>
        <v>0</v>
      </c>
      <c r="G79" s="46">
        <f t="array" ref="G79">IFERROR(INDEX('Sản phẩm'!$F$4:$F$103,MATCH(B79,'Sản phẩm'!$D$4:$D$103,0)),0)</f>
        <v>0</v>
      </c>
      <c r="H79" s="67">
        <f t="shared" si="5"/>
        <v>0</v>
      </c>
      <c r="I79" s="46">
        <f t="shared" si="1"/>
        <v>0</v>
      </c>
      <c r="J79" s="46">
        <f t="array" ref="J79">IFERROR(INDEX('Sản phẩm'!$G$4:$G$103,MATCH(B79,'Sản phẩm'!$D$4:$D$103,0)),0)</f>
        <v>0</v>
      </c>
      <c r="K79" s="46">
        <f t="array" ref="K79">IFERROR(J79*INDEX('Mẻ sữa'!$N$4:$N$203,MATCH(D79,'Mẻ sữa'!$C$4:$C$203,0)),0)</f>
        <v>0</v>
      </c>
      <c r="L79" s="46">
        <f t="array" ref="L79">IFERROR(INDEX('Sản phẩm'!$I$4:$I$103,MATCH(B79,'Sản phẩm'!$D$4:$D$103,0)),0)</f>
        <v>0</v>
      </c>
      <c r="M79" s="72" t="str">
        <f t="array" ref="M79">IFERROR(INDEX('Sản phẩm'!$J$4:$J$103,MATCH(B79,'Sản phẩm'!$D$4:$D$103,0)),0)</f>
        <v/>
      </c>
      <c r="N79" s="46">
        <f>IF(B79="",0,(K79+L79+M79)*'Thiết lập'!$B$8)</f>
        <v>0</v>
      </c>
      <c r="O79" s="46">
        <f t="shared" si="2"/>
        <v>0</v>
      </c>
      <c r="P79" s="46">
        <f t="shared" si="3"/>
        <v>0</v>
      </c>
      <c r="Q79" s="46">
        <f t="shared" si="4"/>
        <v>0</v>
      </c>
      <c r="R79" s="71" t="str">
        <f t="array" ref="R79">IF(B79="","",INDEX('Bán nhanh'!$C$4:$C$103,INT((ROW()-4)/10)+1))</f>
        <v/>
      </c>
      <c r="S79" s="71" t="str">
        <f t="array" ref="S79">IF(B79="","",INDEX('Bán nhanh'!$P$4:$P$103,INT((ROW()-4)/10)+1))</f>
        <v/>
      </c>
      <c r="T79" s="58"/>
      <c r="U79" s="68" t="str">
        <f>IF('Mẻ sữa'!F80&lt;&gt;"",'Mẻ sữa'!F80,"")</f>
        <v/>
      </c>
      <c r="V79" s="68"/>
      <c r="W79" s="87"/>
      <c r="X79" s="36"/>
      <c r="Y79" s="36"/>
      <c r="Z79" s="36"/>
    </row>
    <row r="80" ht="15.75" customHeight="1">
      <c r="A80" s="70" t="str">
        <f t="array" ref="A80">IF(B80="","",INDEX('Bán nhanh'!$A$4:$A$103,INT((ROW()-4)/10)+1))</f>
        <v/>
      </c>
      <c r="B80" s="71" t="str">
        <f t="array" ref="B80">IF(OR(INDEX('Bán nhanh'!$D$3:$M$3,1,MOD(ROW()-4,10)+1)="",INDEX('Bán nhanh'!$D$4:$M$103,INT((ROW()-4)/10)+1,MOD(ROW()-4,10)+1)&lt;=0),"",INDEX('Bán nhanh'!$D$3:$M$3,1,MOD(ROW()-4,10)+1))</f>
        <v/>
      </c>
      <c r="C80" s="58" t="str">
        <f t="array" ref="C80">IFERROR(INDEX('Sản phẩm'!$A$4:$A$103,MATCH(B80,'Sản phẩm'!$D$4:$D$103,0)),"")</f>
        <v/>
      </c>
      <c r="D80" s="71" t="str">
        <f t="array" ref="D80">IF(B80="","",INDEX('Bán nhanh'!$B$4:$B$103,INT((ROW()-4)/10)+1))</f>
        <v/>
      </c>
      <c r="E80" s="58" t="str">
        <f t="array" ref="E80">IFERROR(INDEX('Mẻ sữa'!$B$4:$B$203,MATCH(D80,'Mẻ sữa'!$C$4:$C$203,0)),"")</f>
        <v/>
      </c>
      <c r="F80" s="66">
        <f t="array" ref="F80">IF(B80="",0,INDEX('Bán nhanh'!$D$4:$M$103,INT((ROW()-4)/10)+1,MOD(ROW()-4,10)+1))</f>
        <v>0</v>
      </c>
      <c r="G80" s="46">
        <f t="array" ref="G80">IFERROR(INDEX('Sản phẩm'!$F$4:$F$103,MATCH(B80,'Sản phẩm'!$D$4:$D$103,0)),0)</f>
        <v>0</v>
      </c>
      <c r="H80" s="67">
        <f t="shared" si="5"/>
        <v>0</v>
      </c>
      <c r="I80" s="46">
        <f t="shared" si="1"/>
        <v>0</v>
      </c>
      <c r="J80" s="46">
        <f t="array" ref="J80">IFERROR(INDEX('Sản phẩm'!$G$4:$G$103,MATCH(B80,'Sản phẩm'!$D$4:$D$103,0)),0)</f>
        <v>0</v>
      </c>
      <c r="K80" s="46">
        <f t="array" ref="K80">IFERROR(J80*INDEX('Mẻ sữa'!$N$4:$N$203,MATCH(D80,'Mẻ sữa'!$C$4:$C$203,0)),0)</f>
        <v>0</v>
      </c>
      <c r="L80" s="46">
        <f t="array" ref="L80">IFERROR(INDEX('Sản phẩm'!$I$4:$I$103,MATCH(B80,'Sản phẩm'!$D$4:$D$103,0)),0)</f>
        <v>0</v>
      </c>
      <c r="M80" s="72" t="str">
        <f t="array" ref="M80">IFERROR(INDEX('Sản phẩm'!$J$4:$J$103,MATCH(B80,'Sản phẩm'!$D$4:$D$103,0)),0)</f>
        <v/>
      </c>
      <c r="N80" s="46">
        <f>IF(B80="",0,(K80+L80+M80)*'Thiết lập'!$B$8)</f>
        <v>0</v>
      </c>
      <c r="O80" s="46">
        <f t="shared" si="2"/>
        <v>0</v>
      </c>
      <c r="P80" s="46">
        <f t="shared" si="3"/>
        <v>0</v>
      </c>
      <c r="Q80" s="46">
        <f t="shared" si="4"/>
        <v>0</v>
      </c>
      <c r="R80" s="71" t="str">
        <f t="array" ref="R80">IF(B80="","",INDEX('Bán nhanh'!$C$4:$C$103,INT((ROW()-4)/10)+1))</f>
        <v/>
      </c>
      <c r="S80" s="71" t="str">
        <f t="array" ref="S80">IF(B80="","",INDEX('Bán nhanh'!$P$4:$P$103,INT((ROW()-4)/10)+1))</f>
        <v/>
      </c>
      <c r="T80" s="58"/>
      <c r="U80" s="68" t="str">
        <f>IF('Mẻ sữa'!F81&lt;&gt;"",'Mẻ sữa'!F81,"")</f>
        <v/>
      </c>
      <c r="V80" s="68"/>
      <c r="W80" s="87"/>
      <c r="X80" s="36"/>
      <c r="Y80" s="36"/>
      <c r="Z80" s="36"/>
    </row>
    <row r="81" ht="15.75" customHeight="1">
      <c r="A81" s="70" t="str">
        <f t="array" ref="A81">IF(B81="","",INDEX('Bán nhanh'!$A$4:$A$103,INT((ROW()-4)/10)+1))</f>
        <v/>
      </c>
      <c r="B81" s="71" t="str">
        <f t="array" ref="B81">IF(OR(INDEX('Bán nhanh'!$D$3:$M$3,1,MOD(ROW()-4,10)+1)="",INDEX('Bán nhanh'!$D$4:$M$103,INT((ROW()-4)/10)+1,MOD(ROW()-4,10)+1)&lt;=0),"",INDEX('Bán nhanh'!$D$3:$M$3,1,MOD(ROW()-4,10)+1))</f>
        <v/>
      </c>
      <c r="C81" s="58" t="str">
        <f t="array" ref="C81">IFERROR(INDEX('Sản phẩm'!$A$4:$A$103,MATCH(B81,'Sản phẩm'!$D$4:$D$103,0)),"")</f>
        <v/>
      </c>
      <c r="D81" s="71" t="str">
        <f t="array" ref="D81">IF(B81="","",INDEX('Bán nhanh'!$B$4:$B$103,INT((ROW()-4)/10)+1))</f>
        <v/>
      </c>
      <c r="E81" s="58" t="str">
        <f t="array" ref="E81">IFERROR(INDEX('Mẻ sữa'!$B$4:$B$203,MATCH(D81,'Mẻ sữa'!$C$4:$C$203,0)),"")</f>
        <v/>
      </c>
      <c r="F81" s="66">
        <f t="array" ref="F81">IF(B81="",0,INDEX('Bán nhanh'!$D$4:$M$103,INT((ROW()-4)/10)+1,MOD(ROW()-4,10)+1))</f>
        <v>0</v>
      </c>
      <c r="G81" s="46">
        <f t="array" ref="G81">IFERROR(INDEX('Sản phẩm'!$F$4:$F$103,MATCH(B81,'Sản phẩm'!$D$4:$D$103,0)),0)</f>
        <v>0</v>
      </c>
      <c r="H81" s="67">
        <f t="shared" si="5"/>
        <v>0</v>
      </c>
      <c r="I81" s="46">
        <f t="shared" si="1"/>
        <v>0</v>
      </c>
      <c r="J81" s="46">
        <f t="array" ref="J81">IFERROR(INDEX('Sản phẩm'!$G$4:$G$103,MATCH(B81,'Sản phẩm'!$D$4:$D$103,0)),0)</f>
        <v>0</v>
      </c>
      <c r="K81" s="46">
        <f t="array" ref="K81">IFERROR(J81*INDEX('Mẻ sữa'!$N$4:$N$203,MATCH(D81,'Mẻ sữa'!$C$4:$C$203,0)),0)</f>
        <v>0</v>
      </c>
      <c r="L81" s="46">
        <f t="array" ref="L81">IFERROR(INDEX('Sản phẩm'!$I$4:$I$103,MATCH(B81,'Sản phẩm'!$D$4:$D$103,0)),0)</f>
        <v>0</v>
      </c>
      <c r="M81" s="72" t="str">
        <f t="array" ref="M81">IFERROR(INDEX('Sản phẩm'!$J$4:$J$103,MATCH(B81,'Sản phẩm'!$D$4:$D$103,0)),0)</f>
        <v/>
      </c>
      <c r="N81" s="46">
        <f>IF(B81="",0,(K81+L81+M81)*'Thiết lập'!$B$8)</f>
        <v>0</v>
      </c>
      <c r="O81" s="46">
        <f t="shared" si="2"/>
        <v>0</v>
      </c>
      <c r="P81" s="46">
        <f t="shared" si="3"/>
        <v>0</v>
      </c>
      <c r="Q81" s="46">
        <f t="shared" si="4"/>
        <v>0</v>
      </c>
      <c r="R81" s="71" t="str">
        <f t="array" ref="R81">IF(B81="","",INDEX('Bán nhanh'!$C$4:$C$103,INT((ROW()-4)/10)+1))</f>
        <v/>
      </c>
      <c r="S81" s="71" t="str">
        <f t="array" ref="S81">IF(B81="","",INDEX('Bán nhanh'!$P$4:$P$103,INT((ROW()-4)/10)+1))</f>
        <v/>
      </c>
      <c r="T81" s="58"/>
      <c r="U81" s="68" t="str">
        <f>IF('Mẻ sữa'!F82&lt;&gt;"",'Mẻ sữa'!F82,"")</f>
        <v/>
      </c>
      <c r="V81" s="68"/>
      <c r="W81" s="87"/>
      <c r="X81" s="36"/>
      <c r="Y81" s="36"/>
      <c r="Z81" s="36"/>
    </row>
    <row r="82" ht="15.75" customHeight="1">
      <c r="A82" s="70" t="str">
        <f t="array" ref="A82">IF(B82="","",INDEX('Bán nhanh'!$A$4:$A$103,INT((ROW()-4)/10)+1))</f>
        <v/>
      </c>
      <c r="B82" s="71" t="str">
        <f t="array" ref="B82">IF(OR(INDEX('Bán nhanh'!$D$3:$M$3,1,MOD(ROW()-4,10)+1)="",INDEX('Bán nhanh'!$D$4:$M$103,INT((ROW()-4)/10)+1,MOD(ROW()-4,10)+1)&lt;=0),"",INDEX('Bán nhanh'!$D$3:$M$3,1,MOD(ROW()-4,10)+1))</f>
        <v/>
      </c>
      <c r="C82" s="58" t="str">
        <f t="array" ref="C82">IFERROR(INDEX('Sản phẩm'!$A$4:$A$103,MATCH(B82,'Sản phẩm'!$D$4:$D$103,0)),"")</f>
        <v/>
      </c>
      <c r="D82" s="71" t="str">
        <f t="array" ref="D82">IF(B82="","",INDEX('Bán nhanh'!$B$4:$B$103,INT((ROW()-4)/10)+1))</f>
        <v/>
      </c>
      <c r="E82" s="58" t="str">
        <f t="array" ref="E82">IFERROR(INDEX('Mẻ sữa'!$B$4:$B$203,MATCH(D82,'Mẻ sữa'!$C$4:$C$203,0)),"")</f>
        <v/>
      </c>
      <c r="F82" s="66">
        <f t="array" ref="F82">IF(B82="",0,INDEX('Bán nhanh'!$D$4:$M$103,INT((ROW()-4)/10)+1,MOD(ROW()-4,10)+1))</f>
        <v>0</v>
      </c>
      <c r="G82" s="46">
        <f t="array" ref="G82">IFERROR(INDEX('Sản phẩm'!$F$4:$F$103,MATCH(B82,'Sản phẩm'!$D$4:$D$103,0)),0)</f>
        <v>0</v>
      </c>
      <c r="H82" s="67">
        <f t="shared" si="5"/>
        <v>0</v>
      </c>
      <c r="I82" s="46">
        <f t="shared" si="1"/>
        <v>0</v>
      </c>
      <c r="J82" s="46">
        <f t="array" ref="J82">IFERROR(INDEX('Sản phẩm'!$G$4:$G$103,MATCH(B82,'Sản phẩm'!$D$4:$D$103,0)),0)</f>
        <v>0</v>
      </c>
      <c r="K82" s="46">
        <f t="array" ref="K82">IFERROR(J82*INDEX('Mẻ sữa'!$N$4:$N$203,MATCH(D82,'Mẻ sữa'!$C$4:$C$203,0)),0)</f>
        <v>0</v>
      </c>
      <c r="L82" s="46">
        <f t="array" ref="L82">IFERROR(INDEX('Sản phẩm'!$I$4:$I$103,MATCH(B82,'Sản phẩm'!$D$4:$D$103,0)),0)</f>
        <v>0</v>
      </c>
      <c r="M82" s="72" t="str">
        <f t="array" ref="M82">IFERROR(INDEX('Sản phẩm'!$J$4:$J$103,MATCH(B82,'Sản phẩm'!$D$4:$D$103,0)),0)</f>
        <v/>
      </c>
      <c r="N82" s="46">
        <f>IF(B82="",0,(K82+L82+M82)*'Thiết lập'!$B$8)</f>
        <v>0</v>
      </c>
      <c r="O82" s="46">
        <f t="shared" si="2"/>
        <v>0</v>
      </c>
      <c r="P82" s="46">
        <f t="shared" si="3"/>
        <v>0</v>
      </c>
      <c r="Q82" s="46">
        <f t="shared" si="4"/>
        <v>0</v>
      </c>
      <c r="R82" s="71" t="str">
        <f t="array" ref="R82">IF(B82="","",INDEX('Bán nhanh'!$C$4:$C$103,INT((ROW()-4)/10)+1))</f>
        <v/>
      </c>
      <c r="S82" s="71" t="str">
        <f t="array" ref="S82">IF(B82="","",INDEX('Bán nhanh'!$P$4:$P$103,INT((ROW()-4)/10)+1))</f>
        <v/>
      </c>
      <c r="T82" s="58"/>
      <c r="U82" s="68" t="str">
        <f>IF('Mẻ sữa'!F83&lt;&gt;"",'Mẻ sữa'!F83,"")</f>
        <v/>
      </c>
      <c r="V82" s="68"/>
      <c r="W82" s="87"/>
      <c r="X82" s="36"/>
      <c r="Y82" s="36"/>
      <c r="Z82" s="36"/>
    </row>
    <row r="83" ht="15.75" customHeight="1">
      <c r="A83" s="70" t="str">
        <f t="array" ref="A83">IF(B83="","",INDEX('Bán nhanh'!$A$4:$A$103,INT((ROW()-4)/10)+1))</f>
        <v/>
      </c>
      <c r="B83" s="71" t="str">
        <f t="array" ref="B83">IF(OR(INDEX('Bán nhanh'!$D$3:$M$3,1,MOD(ROW()-4,10)+1)="",INDEX('Bán nhanh'!$D$4:$M$103,INT((ROW()-4)/10)+1,MOD(ROW()-4,10)+1)&lt;=0),"",INDEX('Bán nhanh'!$D$3:$M$3,1,MOD(ROW()-4,10)+1))</f>
        <v/>
      </c>
      <c r="C83" s="58" t="str">
        <f t="array" ref="C83">IFERROR(INDEX('Sản phẩm'!$A$4:$A$103,MATCH(B83,'Sản phẩm'!$D$4:$D$103,0)),"")</f>
        <v/>
      </c>
      <c r="D83" s="71" t="str">
        <f t="array" ref="D83">IF(B83="","",INDEX('Bán nhanh'!$B$4:$B$103,INT((ROW()-4)/10)+1))</f>
        <v/>
      </c>
      <c r="E83" s="58" t="str">
        <f t="array" ref="E83">IFERROR(INDEX('Mẻ sữa'!$B$4:$B$203,MATCH(D83,'Mẻ sữa'!$C$4:$C$203,0)),"")</f>
        <v/>
      </c>
      <c r="F83" s="66">
        <f t="array" ref="F83">IF(B83="",0,INDEX('Bán nhanh'!$D$4:$M$103,INT((ROW()-4)/10)+1,MOD(ROW()-4,10)+1))</f>
        <v>0</v>
      </c>
      <c r="G83" s="46">
        <f t="array" ref="G83">IFERROR(INDEX('Sản phẩm'!$F$4:$F$103,MATCH(B83,'Sản phẩm'!$D$4:$D$103,0)),0)</f>
        <v>0</v>
      </c>
      <c r="H83" s="67">
        <f t="shared" si="5"/>
        <v>0</v>
      </c>
      <c r="I83" s="46">
        <f t="shared" si="1"/>
        <v>0</v>
      </c>
      <c r="J83" s="46">
        <f t="array" ref="J83">IFERROR(INDEX('Sản phẩm'!$G$4:$G$103,MATCH(B83,'Sản phẩm'!$D$4:$D$103,0)),0)</f>
        <v>0</v>
      </c>
      <c r="K83" s="46">
        <f t="array" ref="K83">IFERROR(J83*INDEX('Mẻ sữa'!$N$4:$N$203,MATCH(D83,'Mẻ sữa'!$C$4:$C$203,0)),0)</f>
        <v>0</v>
      </c>
      <c r="L83" s="46">
        <f t="array" ref="L83">IFERROR(INDEX('Sản phẩm'!$I$4:$I$103,MATCH(B83,'Sản phẩm'!$D$4:$D$103,0)),0)</f>
        <v>0</v>
      </c>
      <c r="M83" s="72" t="str">
        <f t="array" ref="M83">IFERROR(INDEX('Sản phẩm'!$J$4:$J$103,MATCH(B83,'Sản phẩm'!$D$4:$D$103,0)),0)</f>
        <v/>
      </c>
      <c r="N83" s="46">
        <f>IF(B83="",0,(K83+L83+M83)*'Thiết lập'!$B$8)</f>
        <v>0</v>
      </c>
      <c r="O83" s="46">
        <f t="shared" si="2"/>
        <v>0</v>
      </c>
      <c r="P83" s="46">
        <f t="shared" si="3"/>
        <v>0</v>
      </c>
      <c r="Q83" s="46">
        <f t="shared" si="4"/>
        <v>0</v>
      </c>
      <c r="R83" s="71" t="str">
        <f t="array" ref="R83">IF(B83="","",INDEX('Bán nhanh'!$C$4:$C$103,INT((ROW()-4)/10)+1))</f>
        <v/>
      </c>
      <c r="S83" s="71" t="str">
        <f t="array" ref="S83">IF(B83="","",INDEX('Bán nhanh'!$P$4:$P$103,INT((ROW()-4)/10)+1))</f>
        <v/>
      </c>
      <c r="T83" s="58"/>
      <c r="U83" s="68" t="str">
        <f>IF('Mẻ sữa'!F84&lt;&gt;"",'Mẻ sữa'!F84,"")</f>
        <v/>
      </c>
      <c r="V83" s="68"/>
      <c r="W83" s="87"/>
      <c r="X83" s="36"/>
      <c r="Y83" s="36"/>
      <c r="Z83" s="36"/>
    </row>
    <row r="84" ht="15.75" customHeight="1">
      <c r="A84" s="70" t="str">
        <f t="array" ref="A84">IF(B84="","",INDEX('Bán nhanh'!$A$4:$A$103,INT((ROW()-4)/10)+1))</f>
        <v/>
      </c>
      <c r="B84" s="71" t="str">
        <f t="array" ref="B84">IF(OR(INDEX('Bán nhanh'!$D$3:$M$3,1,MOD(ROW()-4,10)+1)="",INDEX('Bán nhanh'!$D$4:$M$103,INT((ROW()-4)/10)+1,MOD(ROW()-4,10)+1)&lt;=0),"",INDEX('Bán nhanh'!$D$3:$M$3,1,MOD(ROW()-4,10)+1))</f>
        <v/>
      </c>
      <c r="C84" s="58" t="str">
        <f t="array" ref="C84">IFERROR(INDEX('Sản phẩm'!$A$4:$A$103,MATCH(B84,'Sản phẩm'!$D$4:$D$103,0)),"")</f>
        <v/>
      </c>
      <c r="D84" s="71" t="str">
        <f t="array" ref="D84">IF(B84="","",INDEX('Bán nhanh'!$B$4:$B$103,INT((ROW()-4)/10)+1))</f>
        <v/>
      </c>
      <c r="E84" s="58" t="str">
        <f t="array" ref="E84">IFERROR(INDEX('Mẻ sữa'!$B$4:$B$203,MATCH(D84,'Mẻ sữa'!$C$4:$C$203,0)),"")</f>
        <v/>
      </c>
      <c r="F84" s="66">
        <f t="array" ref="F84">IF(B84="",0,INDEX('Bán nhanh'!$D$4:$M$103,INT((ROW()-4)/10)+1,MOD(ROW()-4,10)+1))</f>
        <v>0</v>
      </c>
      <c r="G84" s="46">
        <f t="array" ref="G84">IFERROR(INDEX('Sản phẩm'!$F$4:$F$103,MATCH(B84,'Sản phẩm'!$D$4:$D$103,0)),0)</f>
        <v>0</v>
      </c>
      <c r="H84" s="67">
        <f t="shared" si="5"/>
        <v>0</v>
      </c>
      <c r="I84" s="46">
        <f t="shared" si="1"/>
        <v>0</v>
      </c>
      <c r="J84" s="46">
        <f t="array" ref="J84">IFERROR(INDEX('Sản phẩm'!$G$4:$G$103,MATCH(B84,'Sản phẩm'!$D$4:$D$103,0)),0)</f>
        <v>0</v>
      </c>
      <c r="K84" s="46">
        <f t="array" ref="K84">IFERROR(J84*INDEX('Mẻ sữa'!$N$4:$N$203,MATCH(D84,'Mẻ sữa'!$C$4:$C$203,0)),0)</f>
        <v>0</v>
      </c>
      <c r="L84" s="46">
        <f t="array" ref="L84">IFERROR(INDEX('Sản phẩm'!$I$4:$I$103,MATCH(B84,'Sản phẩm'!$D$4:$D$103,0)),0)</f>
        <v>0</v>
      </c>
      <c r="M84" s="72" t="str">
        <f t="array" ref="M84">IFERROR(INDEX('Sản phẩm'!$J$4:$J$103,MATCH(B84,'Sản phẩm'!$D$4:$D$103,0)),0)</f>
        <v/>
      </c>
      <c r="N84" s="46">
        <f>IF(B84="",0,(K84+L84+M84)*'Thiết lập'!$B$8)</f>
        <v>0</v>
      </c>
      <c r="O84" s="46">
        <f t="shared" si="2"/>
        <v>0</v>
      </c>
      <c r="P84" s="46">
        <f t="shared" si="3"/>
        <v>0</v>
      </c>
      <c r="Q84" s="46">
        <f t="shared" si="4"/>
        <v>0</v>
      </c>
      <c r="R84" s="71" t="str">
        <f t="array" ref="R84">IF(B84="","",INDEX('Bán nhanh'!$C$4:$C$103,INT((ROW()-4)/10)+1))</f>
        <v/>
      </c>
      <c r="S84" s="71" t="str">
        <f t="array" ref="S84">IF(B84="","",INDEX('Bán nhanh'!$P$4:$P$103,INT((ROW()-4)/10)+1))</f>
        <v/>
      </c>
      <c r="T84" s="58"/>
      <c r="U84" s="68" t="str">
        <f>IF('Mẻ sữa'!F85&lt;&gt;"",'Mẻ sữa'!F85,"")</f>
        <v/>
      </c>
      <c r="V84" s="68"/>
      <c r="W84" s="87"/>
      <c r="X84" s="36"/>
      <c r="Y84" s="36"/>
      <c r="Z84" s="36"/>
    </row>
    <row r="85" ht="15.75" customHeight="1">
      <c r="A85" s="70" t="str">
        <f t="array" ref="A85">IF(B85="","",INDEX('Bán nhanh'!$A$4:$A$103,INT((ROW()-4)/10)+1))</f>
        <v/>
      </c>
      <c r="B85" s="71" t="str">
        <f t="array" ref="B85">IF(OR(INDEX('Bán nhanh'!$D$3:$M$3,1,MOD(ROW()-4,10)+1)="",INDEX('Bán nhanh'!$D$4:$M$103,INT((ROW()-4)/10)+1,MOD(ROW()-4,10)+1)&lt;=0),"",INDEX('Bán nhanh'!$D$3:$M$3,1,MOD(ROW()-4,10)+1))</f>
        <v/>
      </c>
      <c r="C85" s="58" t="str">
        <f t="array" ref="C85">IFERROR(INDEX('Sản phẩm'!$A$4:$A$103,MATCH(B85,'Sản phẩm'!$D$4:$D$103,0)),"")</f>
        <v/>
      </c>
      <c r="D85" s="71" t="str">
        <f t="array" ref="D85">IF(B85="","",INDEX('Bán nhanh'!$B$4:$B$103,INT((ROW()-4)/10)+1))</f>
        <v/>
      </c>
      <c r="E85" s="58" t="str">
        <f t="array" ref="E85">IFERROR(INDEX('Mẻ sữa'!$B$4:$B$203,MATCH(D85,'Mẻ sữa'!$C$4:$C$203,0)),"")</f>
        <v/>
      </c>
      <c r="F85" s="66">
        <f t="array" ref="F85">IF(B85="",0,INDEX('Bán nhanh'!$D$4:$M$103,INT((ROW()-4)/10)+1,MOD(ROW()-4,10)+1))</f>
        <v>0</v>
      </c>
      <c r="G85" s="46">
        <f t="array" ref="G85">IFERROR(INDEX('Sản phẩm'!$F$4:$F$103,MATCH(B85,'Sản phẩm'!$D$4:$D$103,0)),0)</f>
        <v>0</v>
      </c>
      <c r="H85" s="67">
        <f t="shared" si="5"/>
        <v>0</v>
      </c>
      <c r="I85" s="46">
        <f t="shared" si="1"/>
        <v>0</v>
      </c>
      <c r="J85" s="46">
        <f t="array" ref="J85">IFERROR(INDEX('Sản phẩm'!$G$4:$G$103,MATCH(B85,'Sản phẩm'!$D$4:$D$103,0)),0)</f>
        <v>0</v>
      </c>
      <c r="K85" s="46">
        <f t="array" ref="K85">IFERROR(J85*INDEX('Mẻ sữa'!$N$4:$N$203,MATCH(D85,'Mẻ sữa'!$C$4:$C$203,0)),0)</f>
        <v>0</v>
      </c>
      <c r="L85" s="46">
        <f t="array" ref="L85">IFERROR(INDEX('Sản phẩm'!$I$4:$I$103,MATCH(B85,'Sản phẩm'!$D$4:$D$103,0)),0)</f>
        <v>0</v>
      </c>
      <c r="M85" s="72" t="str">
        <f t="array" ref="M85">IFERROR(INDEX('Sản phẩm'!$J$4:$J$103,MATCH(B85,'Sản phẩm'!$D$4:$D$103,0)),0)</f>
        <v/>
      </c>
      <c r="N85" s="46">
        <f>IF(B85="",0,(K85+L85+M85)*'Thiết lập'!$B$8)</f>
        <v>0</v>
      </c>
      <c r="O85" s="46">
        <f t="shared" si="2"/>
        <v>0</v>
      </c>
      <c r="P85" s="46">
        <f t="shared" si="3"/>
        <v>0</v>
      </c>
      <c r="Q85" s="46">
        <f t="shared" si="4"/>
        <v>0</v>
      </c>
      <c r="R85" s="71" t="str">
        <f t="array" ref="R85">IF(B85="","",INDEX('Bán nhanh'!$C$4:$C$103,INT((ROW()-4)/10)+1))</f>
        <v/>
      </c>
      <c r="S85" s="71" t="str">
        <f t="array" ref="S85">IF(B85="","",INDEX('Bán nhanh'!$P$4:$P$103,INT((ROW()-4)/10)+1))</f>
        <v/>
      </c>
      <c r="T85" s="58"/>
      <c r="U85" s="68" t="str">
        <f>IF('Mẻ sữa'!F86&lt;&gt;"",'Mẻ sữa'!F86,"")</f>
        <v/>
      </c>
      <c r="V85" s="68"/>
      <c r="W85" s="87"/>
      <c r="X85" s="36"/>
      <c r="Y85" s="36"/>
      <c r="Z85" s="36"/>
    </row>
    <row r="86" ht="15.75" customHeight="1">
      <c r="A86" s="70" t="str">
        <f t="array" ref="A86">IF(B86="","",INDEX('Bán nhanh'!$A$4:$A$103,INT((ROW()-4)/10)+1))</f>
        <v/>
      </c>
      <c r="B86" s="71" t="str">
        <f t="array" ref="B86">IF(OR(INDEX('Bán nhanh'!$D$3:$M$3,1,MOD(ROW()-4,10)+1)="",INDEX('Bán nhanh'!$D$4:$M$103,INT((ROW()-4)/10)+1,MOD(ROW()-4,10)+1)&lt;=0),"",INDEX('Bán nhanh'!$D$3:$M$3,1,MOD(ROW()-4,10)+1))</f>
        <v/>
      </c>
      <c r="C86" s="58" t="str">
        <f t="array" ref="C86">IFERROR(INDEX('Sản phẩm'!$A$4:$A$103,MATCH(B86,'Sản phẩm'!$D$4:$D$103,0)),"")</f>
        <v/>
      </c>
      <c r="D86" s="71" t="str">
        <f t="array" ref="D86">IF(B86="","",INDEX('Bán nhanh'!$B$4:$B$103,INT((ROW()-4)/10)+1))</f>
        <v/>
      </c>
      <c r="E86" s="58" t="str">
        <f t="array" ref="E86">IFERROR(INDEX('Mẻ sữa'!$B$4:$B$203,MATCH(D86,'Mẻ sữa'!$C$4:$C$203,0)),"")</f>
        <v/>
      </c>
      <c r="F86" s="66">
        <f t="array" ref="F86">IF(B86="",0,INDEX('Bán nhanh'!$D$4:$M$103,INT((ROW()-4)/10)+1,MOD(ROW()-4,10)+1))</f>
        <v>0</v>
      </c>
      <c r="G86" s="46">
        <f t="array" ref="G86">IFERROR(INDEX('Sản phẩm'!$F$4:$F$103,MATCH(B86,'Sản phẩm'!$D$4:$D$103,0)),0)</f>
        <v>0</v>
      </c>
      <c r="H86" s="67">
        <f t="shared" si="5"/>
        <v>0</v>
      </c>
      <c r="I86" s="46">
        <f t="shared" si="1"/>
        <v>0</v>
      </c>
      <c r="J86" s="46">
        <f t="array" ref="J86">IFERROR(INDEX('Sản phẩm'!$G$4:$G$103,MATCH(B86,'Sản phẩm'!$D$4:$D$103,0)),0)</f>
        <v>0</v>
      </c>
      <c r="K86" s="46">
        <f t="array" ref="K86">IFERROR(J86*INDEX('Mẻ sữa'!$N$4:$N$203,MATCH(D86,'Mẻ sữa'!$C$4:$C$203,0)),0)</f>
        <v>0</v>
      </c>
      <c r="L86" s="46">
        <f t="array" ref="L86">IFERROR(INDEX('Sản phẩm'!$I$4:$I$103,MATCH(B86,'Sản phẩm'!$D$4:$D$103,0)),0)</f>
        <v>0</v>
      </c>
      <c r="M86" s="72" t="str">
        <f t="array" ref="M86">IFERROR(INDEX('Sản phẩm'!$J$4:$J$103,MATCH(B86,'Sản phẩm'!$D$4:$D$103,0)),0)</f>
        <v/>
      </c>
      <c r="N86" s="46">
        <f>IF(B86="",0,(K86+L86+M86)*'Thiết lập'!$B$8)</f>
        <v>0</v>
      </c>
      <c r="O86" s="46">
        <f t="shared" si="2"/>
        <v>0</v>
      </c>
      <c r="P86" s="46">
        <f t="shared" si="3"/>
        <v>0</v>
      </c>
      <c r="Q86" s="46">
        <f t="shared" si="4"/>
        <v>0</v>
      </c>
      <c r="R86" s="71" t="str">
        <f t="array" ref="R86">IF(B86="","",INDEX('Bán nhanh'!$C$4:$C$103,INT((ROW()-4)/10)+1))</f>
        <v/>
      </c>
      <c r="S86" s="71" t="str">
        <f t="array" ref="S86">IF(B86="","",INDEX('Bán nhanh'!$P$4:$P$103,INT((ROW()-4)/10)+1))</f>
        <v/>
      </c>
      <c r="T86" s="58"/>
      <c r="U86" s="68" t="str">
        <f>IF('Mẻ sữa'!F87&lt;&gt;"",'Mẻ sữa'!F87,"")</f>
        <v/>
      </c>
      <c r="V86" s="68"/>
      <c r="W86" s="87"/>
      <c r="X86" s="36"/>
      <c r="Y86" s="36"/>
      <c r="Z86" s="36"/>
    </row>
    <row r="87" ht="15.75" customHeight="1">
      <c r="A87" s="70" t="str">
        <f t="array" ref="A87">IF(B87="","",INDEX('Bán nhanh'!$A$4:$A$103,INT((ROW()-4)/10)+1))</f>
        <v/>
      </c>
      <c r="B87" s="71" t="str">
        <f t="array" ref="B87">IF(OR(INDEX('Bán nhanh'!$D$3:$M$3,1,MOD(ROW()-4,10)+1)="",INDEX('Bán nhanh'!$D$4:$M$103,INT((ROW()-4)/10)+1,MOD(ROW()-4,10)+1)&lt;=0),"",INDEX('Bán nhanh'!$D$3:$M$3,1,MOD(ROW()-4,10)+1))</f>
        <v/>
      </c>
      <c r="C87" s="58" t="str">
        <f t="array" ref="C87">IFERROR(INDEX('Sản phẩm'!$A$4:$A$103,MATCH(B87,'Sản phẩm'!$D$4:$D$103,0)),"")</f>
        <v/>
      </c>
      <c r="D87" s="71" t="str">
        <f t="array" ref="D87">IF(B87="","",INDEX('Bán nhanh'!$B$4:$B$103,INT((ROW()-4)/10)+1))</f>
        <v/>
      </c>
      <c r="E87" s="58" t="str">
        <f t="array" ref="E87">IFERROR(INDEX('Mẻ sữa'!$B$4:$B$203,MATCH(D87,'Mẻ sữa'!$C$4:$C$203,0)),"")</f>
        <v/>
      </c>
      <c r="F87" s="66">
        <f t="array" ref="F87">IF(B87="",0,INDEX('Bán nhanh'!$D$4:$M$103,INT((ROW()-4)/10)+1,MOD(ROW()-4,10)+1))</f>
        <v>0</v>
      </c>
      <c r="G87" s="46">
        <f t="array" ref="G87">IFERROR(INDEX('Sản phẩm'!$F$4:$F$103,MATCH(B87,'Sản phẩm'!$D$4:$D$103,0)),0)</f>
        <v>0</v>
      </c>
      <c r="H87" s="67">
        <f t="shared" si="5"/>
        <v>0</v>
      </c>
      <c r="I87" s="46">
        <f t="shared" si="1"/>
        <v>0</v>
      </c>
      <c r="J87" s="46">
        <f t="array" ref="J87">IFERROR(INDEX('Sản phẩm'!$G$4:$G$103,MATCH(B87,'Sản phẩm'!$D$4:$D$103,0)),0)</f>
        <v>0</v>
      </c>
      <c r="K87" s="46">
        <f t="array" ref="K87">IFERROR(J87*INDEX('Mẻ sữa'!$N$4:$N$203,MATCH(D87,'Mẻ sữa'!$C$4:$C$203,0)),0)</f>
        <v>0</v>
      </c>
      <c r="L87" s="46">
        <f t="array" ref="L87">IFERROR(INDEX('Sản phẩm'!$I$4:$I$103,MATCH(B87,'Sản phẩm'!$D$4:$D$103,0)),0)</f>
        <v>0</v>
      </c>
      <c r="M87" s="72" t="str">
        <f t="array" ref="M87">IFERROR(INDEX('Sản phẩm'!$J$4:$J$103,MATCH(B87,'Sản phẩm'!$D$4:$D$103,0)),0)</f>
        <v/>
      </c>
      <c r="N87" s="46">
        <f>IF(B87="",0,(K87+L87+M87)*'Thiết lập'!$B$8)</f>
        <v>0</v>
      </c>
      <c r="O87" s="46">
        <f t="shared" si="2"/>
        <v>0</v>
      </c>
      <c r="P87" s="46">
        <f t="shared" si="3"/>
        <v>0</v>
      </c>
      <c r="Q87" s="46">
        <f t="shared" si="4"/>
        <v>0</v>
      </c>
      <c r="R87" s="71" t="str">
        <f t="array" ref="R87">IF(B87="","",INDEX('Bán nhanh'!$C$4:$C$103,INT((ROW()-4)/10)+1))</f>
        <v/>
      </c>
      <c r="S87" s="71" t="str">
        <f t="array" ref="S87">IF(B87="","",INDEX('Bán nhanh'!$P$4:$P$103,INT((ROW()-4)/10)+1))</f>
        <v/>
      </c>
      <c r="T87" s="58"/>
      <c r="U87" s="68" t="str">
        <f>IF('Mẻ sữa'!F88&lt;&gt;"",'Mẻ sữa'!F88,"")</f>
        <v/>
      </c>
      <c r="V87" s="68"/>
      <c r="W87" s="87"/>
      <c r="X87" s="36"/>
      <c r="Y87" s="36"/>
      <c r="Z87" s="36"/>
    </row>
    <row r="88" ht="15.75" customHeight="1">
      <c r="A88" s="70" t="str">
        <f t="array" ref="A88">IF(B88="","",INDEX('Bán nhanh'!$A$4:$A$103,INT((ROW()-4)/10)+1))</f>
        <v/>
      </c>
      <c r="B88" s="71" t="str">
        <f t="array" ref="B88">IF(OR(INDEX('Bán nhanh'!$D$3:$M$3,1,MOD(ROW()-4,10)+1)="",INDEX('Bán nhanh'!$D$4:$M$103,INT((ROW()-4)/10)+1,MOD(ROW()-4,10)+1)&lt;=0),"",INDEX('Bán nhanh'!$D$3:$M$3,1,MOD(ROW()-4,10)+1))</f>
        <v/>
      </c>
      <c r="C88" s="58" t="str">
        <f t="array" ref="C88">IFERROR(INDEX('Sản phẩm'!$A$4:$A$103,MATCH(B88,'Sản phẩm'!$D$4:$D$103,0)),"")</f>
        <v/>
      </c>
      <c r="D88" s="71" t="str">
        <f t="array" ref="D88">IF(B88="","",INDEX('Bán nhanh'!$B$4:$B$103,INT((ROW()-4)/10)+1))</f>
        <v/>
      </c>
      <c r="E88" s="58" t="str">
        <f t="array" ref="E88">IFERROR(INDEX('Mẻ sữa'!$B$4:$B$203,MATCH(D88,'Mẻ sữa'!$C$4:$C$203,0)),"")</f>
        <v/>
      </c>
      <c r="F88" s="66">
        <f t="array" ref="F88">IF(B88="",0,INDEX('Bán nhanh'!$D$4:$M$103,INT((ROW()-4)/10)+1,MOD(ROW()-4,10)+1))</f>
        <v>0</v>
      </c>
      <c r="G88" s="46">
        <f t="array" ref="G88">IFERROR(INDEX('Sản phẩm'!$F$4:$F$103,MATCH(B88,'Sản phẩm'!$D$4:$D$103,0)),0)</f>
        <v>0</v>
      </c>
      <c r="H88" s="67">
        <f t="shared" si="5"/>
        <v>0</v>
      </c>
      <c r="I88" s="46">
        <f t="shared" si="1"/>
        <v>0</v>
      </c>
      <c r="J88" s="46">
        <f t="array" ref="J88">IFERROR(INDEX('Sản phẩm'!$G$4:$G$103,MATCH(B88,'Sản phẩm'!$D$4:$D$103,0)),0)</f>
        <v>0</v>
      </c>
      <c r="K88" s="46">
        <f t="array" ref="K88">IFERROR(J88*INDEX('Mẻ sữa'!$N$4:$N$203,MATCH(D88,'Mẻ sữa'!$C$4:$C$203,0)),0)</f>
        <v>0</v>
      </c>
      <c r="L88" s="46">
        <f t="array" ref="L88">IFERROR(INDEX('Sản phẩm'!$I$4:$I$103,MATCH(B88,'Sản phẩm'!$D$4:$D$103,0)),0)</f>
        <v>0</v>
      </c>
      <c r="M88" s="72" t="str">
        <f t="array" ref="M88">IFERROR(INDEX('Sản phẩm'!$J$4:$J$103,MATCH(B88,'Sản phẩm'!$D$4:$D$103,0)),0)</f>
        <v/>
      </c>
      <c r="N88" s="46">
        <f>IF(B88="",0,(K88+L88+M88)*'Thiết lập'!$B$8)</f>
        <v>0</v>
      </c>
      <c r="O88" s="46">
        <f t="shared" si="2"/>
        <v>0</v>
      </c>
      <c r="P88" s="46">
        <f t="shared" si="3"/>
        <v>0</v>
      </c>
      <c r="Q88" s="46">
        <f t="shared" si="4"/>
        <v>0</v>
      </c>
      <c r="R88" s="71" t="str">
        <f t="array" ref="R88">IF(B88="","",INDEX('Bán nhanh'!$C$4:$C$103,INT((ROW()-4)/10)+1))</f>
        <v/>
      </c>
      <c r="S88" s="71" t="str">
        <f t="array" ref="S88">IF(B88="","",INDEX('Bán nhanh'!$P$4:$P$103,INT((ROW()-4)/10)+1))</f>
        <v/>
      </c>
      <c r="T88" s="58"/>
      <c r="U88" s="68" t="str">
        <f>IF('Mẻ sữa'!F89&lt;&gt;"",'Mẻ sữa'!F89,"")</f>
        <v/>
      </c>
      <c r="V88" s="68"/>
      <c r="W88" s="87"/>
      <c r="X88" s="36"/>
      <c r="Y88" s="36"/>
      <c r="Z88" s="36"/>
    </row>
    <row r="89" ht="15.75" customHeight="1">
      <c r="A89" s="70" t="str">
        <f t="array" ref="A89">IF(B89="","",INDEX('Bán nhanh'!$A$4:$A$103,INT((ROW()-4)/10)+1))</f>
        <v/>
      </c>
      <c r="B89" s="71" t="str">
        <f t="array" ref="B89">IF(OR(INDEX('Bán nhanh'!$D$3:$M$3,1,MOD(ROW()-4,10)+1)="",INDEX('Bán nhanh'!$D$4:$M$103,INT((ROW()-4)/10)+1,MOD(ROW()-4,10)+1)&lt;=0),"",INDEX('Bán nhanh'!$D$3:$M$3,1,MOD(ROW()-4,10)+1))</f>
        <v/>
      </c>
      <c r="C89" s="58" t="str">
        <f t="array" ref="C89">IFERROR(INDEX('Sản phẩm'!$A$4:$A$103,MATCH(B89,'Sản phẩm'!$D$4:$D$103,0)),"")</f>
        <v/>
      </c>
      <c r="D89" s="71" t="str">
        <f t="array" ref="D89">IF(B89="","",INDEX('Bán nhanh'!$B$4:$B$103,INT((ROW()-4)/10)+1))</f>
        <v/>
      </c>
      <c r="E89" s="58" t="str">
        <f t="array" ref="E89">IFERROR(INDEX('Mẻ sữa'!$B$4:$B$203,MATCH(D89,'Mẻ sữa'!$C$4:$C$203,0)),"")</f>
        <v/>
      </c>
      <c r="F89" s="66">
        <f t="array" ref="F89">IF(B89="",0,INDEX('Bán nhanh'!$D$4:$M$103,INT((ROW()-4)/10)+1,MOD(ROW()-4,10)+1))</f>
        <v>0</v>
      </c>
      <c r="G89" s="46">
        <f t="array" ref="G89">IFERROR(INDEX('Sản phẩm'!$F$4:$F$103,MATCH(B89,'Sản phẩm'!$D$4:$D$103,0)),0)</f>
        <v>0</v>
      </c>
      <c r="H89" s="67">
        <f t="shared" si="5"/>
        <v>0</v>
      </c>
      <c r="I89" s="46">
        <f t="shared" si="1"/>
        <v>0</v>
      </c>
      <c r="J89" s="46">
        <f t="array" ref="J89">IFERROR(INDEX('Sản phẩm'!$G$4:$G$103,MATCH(B89,'Sản phẩm'!$D$4:$D$103,0)),0)</f>
        <v>0</v>
      </c>
      <c r="K89" s="46">
        <f t="array" ref="K89">IFERROR(J89*INDEX('Mẻ sữa'!$N$4:$N$203,MATCH(D89,'Mẻ sữa'!$C$4:$C$203,0)),0)</f>
        <v>0</v>
      </c>
      <c r="L89" s="46">
        <f t="array" ref="L89">IFERROR(INDEX('Sản phẩm'!$I$4:$I$103,MATCH(B89,'Sản phẩm'!$D$4:$D$103,0)),0)</f>
        <v>0</v>
      </c>
      <c r="M89" s="72" t="str">
        <f t="array" ref="M89">IFERROR(INDEX('Sản phẩm'!$J$4:$J$103,MATCH(B89,'Sản phẩm'!$D$4:$D$103,0)),0)</f>
        <v/>
      </c>
      <c r="N89" s="46">
        <f>IF(B89="",0,(K89+L89+M89)*'Thiết lập'!$B$8)</f>
        <v>0</v>
      </c>
      <c r="O89" s="46">
        <f t="shared" si="2"/>
        <v>0</v>
      </c>
      <c r="P89" s="46">
        <f t="shared" si="3"/>
        <v>0</v>
      </c>
      <c r="Q89" s="46">
        <f t="shared" si="4"/>
        <v>0</v>
      </c>
      <c r="R89" s="71" t="str">
        <f t="array" ref="R89">IF(B89="","",INDEX('Bán nhanh'!$C$4:$C$103,INT((ROW()-4)/10)+1))</f>
        <v/>
      </c>
      <c r="S89" s="71" t="str">
        <f t="array" ref="S89">IF(B89="","",INDEX('Bán nhanh'!$P$4:$P$103,INT((ROW()-4)/10)+1))</f>
        <v/>
      </c>
      <c r="T89" s="58"/>
      <c r="U89" s="68" t="str">
        <f>IF('Mẻ sữa'!F90&lt;&gt;"",'Mẻ sữa'!F90,"")</f>
        <v/>
      </c>
      <c r="V89" s="68"/>
      <c r="W89" s="87"/>
      <c r="X89" s="36"/>
      <c r="Y89" s="36"/>
      <c r="Z89" s="36"/>
    </row>
    <row r="90" ht="15.75" customHeight="1">
      <c r="A90" s="70" t="str">
        <f t="array" ref="A90">IF(B90="","",INDEX('Bán nhanh'!$A$4:$A$103,INT((ROW()-4)/10)+1))</f>
        <v/>
      </c>
      <c r="B90" s="71" t="str">
        <f t="array" ref="B90">IF(OR(INDEX('Bán nhanh'!$D$3:$M$3,1,MOD(ROW()-4,10)+1)="",INDEX('Bán nhanh'!$D$4:$M$103,INT((ROW()-4)/10)+1,MOD(ROW()-4,10)+1)&lt;=0),"",INDEX('Bán nhanh'!$D$3:$M$3,1,MOD(ROW()-4,10)+1))</f>
        <v/>
      </c>
      <c r="C90" s="58" t="str">
        <f t="array" ref="C90">IFERROR(INDEX('Sản phẩm'!$A$4:$A$103,MATCH(B90,'Sản phẩm'!$D$4:$D$103,0)),"")</f>
        <v/>
      </c>
      <c r="D90" s="71" t="str">
        <f t="array" ref="D90">IF(B90="","",INDEX('Bán nhanh'!$B$4:$B$103,INT((ROW()-4)/10)+1))</f>
        <v/>
      </c>
      <c r="E90" s="58" t="str">
        <f t="array" ref="E90">IFERROR(INDEX('Mẻ sữa'!$B$4:$B$203,MATCH(D90,'Mẻ sữa'!$C$4:$C$203,0)),"")</f>
        <v/>
      </c>
      <c r="F90" s="66">
        <f t="array" ref="F90">IF(B90="",0,INDEX('Bán nhanh'!$D$4:$M$103,INT((ROW()-4)/10)+1,MOD(ROW()-4,10)+1))</f>
        <v>0</v>
      </c>
      <c r="G90" s="46">
        <f t="array" ref="G90">IFERROR(INDEX('Sản phẩm'!$F$4:$F$103,MATCH(B90,'Sản phẩm'!$D$4:$D$103,0)),0)</f>
        <v>0</v>
      </c>
      <c r="H90" s="67">
        <f t="shared" si="5"/>
        <v>0</v>
      </c>
      <c r="I90" s="46">
        <f t="shared" si="1"/>
        <v>0</v>
      </c>
      <c r="J90" s="46">
        <f t="array" ref="J90">IFERROR(INDEX('Sản phẩm'!$G$4:$G$103,MATCH(B90,'Sản phẩm'!$D$4:$D$103,0)),0)</f>
        <v>0</v>
      </c>
      <c r="K90" s="46">
        <f t="array" ref="K90">IFERROR(J90*INDEX('Mẻ sữa'!$N$4:$N$203,MATCH(D90,'Mẻ sữa'!$C$4:$C$203,0)),0)</f>
        <v>0</v>
      </c>
      <c r="L90" s="46">
        <f t="array" ref="L90">IFERROR(INDEX('Sản phẩm'!$I$4:$I$103,MATCH(B90,'Sản phẩm'!$D$4:$D$103,0)),0)</f>
        <v>0</v>
      </c>
      <c r="M90" s="72" t="str">
        <f t="array" ref="M90">IFERROR(INDEX('Sản phẩm'!$J$4:$J$103,MATCH(B90,'Sản phẩm'!$D$4:$D$103,0)),0)</f>
        <v/>
      </c>
      <c r="N90" s="46">
        <f>IF(B90="",0,(K90+L90+M90)*'Thiết lập'!$B$8)</f>
        <v>0</v>
      </c>
      <c r="O90" s="46">
        <f t="shared" si="2"/>
        <v>0</v>
      </c>
      <c r="P90" s="46">
        <f t="shared" si="3"/>
        <v>0</v>
      </c>
      <c r="Q90" s="46">
        <f t="shared" si="4"/>
        <v>0</v>
      </c>
      <c r="R90" s="71" t="str">
        <f t="array" ref="R90">IF(B90="","",INDEX('Bán nhanh'!$C$4:$C$103,INT((ROW()-4)/10)+1))</f>
        <v/>
      </c>
      <c r="S90" s="71" t="str">
        <f t="array" ref="S90">IF(B90="","",INDEX('Bán nhanh'!$P$4:$P$103,INT((ROW()-4)/10)+1))</f>
        <v/>
      </c>
      <c r="T90" s="58"/>
      <c r="U90" s="68" t="str">
        <f>IF('Mẻ sữa'!F91&lt;&gt;"",'Mẻ sữa'!F91,"")</f>
        <v/>
      </c>
      <c r="V90" s="68"/>
      <c r="W90" s="87"/>
      <c r="X90" s="36"/>
      <c r="Y90" s="36"/>
      <c r="Z90" s="36"/>
    </row>
    <row r="91" ht="15.75" customHeight="1">
      <c r="A91" s="70" t="str">
        <f t="array" ref="A91">IF(B91="","",INDEX('Bán nhanh'!$A$4:$A$103,INT((ROW()-4)/10)+1))</f>
        <v/>
      </c>
      <c r="B91" s="71" t="str">
        <f t="array" ref="B91">IF(OR(INDEX('Bán nhanh'!$D$3:$M$3,1,MOD(ROW()-4,10)+1)="",INDEX('Bán nhanh'!$D$4:$M$103,INT((ROW()-4)/10)+1,MOD(ROW()-4,10)+1)&lt;=0),"",INDEX('Bán nhanh'!$D$3:$M$3,1,MOD(ROW()-4,10)+1))</f>
        <v/>
      </c>
      <c r="C91" s="58" t="str">
        <f t="array" ref="C91">IFERROR(INDEX('Sản phẩm'!$A$4:$A$103,MATCH(B91,'Sản phẩm'!$D$4:$D$103,0)),"")</f>
        <v/>
      </c>
      <c r="D91" s="71" t="str">
        <f t="array" ref="D91">IF(B91="","",INDEX('Bán nhanh'!$B$4:$B$103,INT((ROW()-4)/10)+1))</f>
        <v/>
      </c>
      <c r="E91" s="58" t="str">
        <f t="array" ref="E91">IFERROR(INDEX('Mẻ sữa'!$B$4:$B$203,MATCH(D91,'Mẻ sữa'!$C$4:$C$203,0)),"")</f>
        <v/>
      </c>
      <c r="F91" s="66">
        <f t="array" ref="F91">IF(B91="",0,INDEX('Bán nhanh'!$D$4:$M$103,INT((ROW()-4)/10)+1,MOD(ROW()-4,10)+1))</f>
        <v>0</v>
      </c>
      <c r="G91" s="46">
        <f t="array" ref="G91">IFERROR(INDEX('Sản phẩm'!$F$4:$F$103,MATCH(B91,'Sản phẩm'!$D$4:$D$103,0)),0)</f>
        <v>0</v>
      </c>
      <c r="H91" s="67">
        <f t="shared" si="5"/>
        <v>0</v>
      </c>
      <c r="I91" s="46">
        <f t="shared" si="1"/>
        <v>0</v>
      </c>
      <c r="J91" s="46">
        <f t="array" ref="J91">IFERROR(INDEX('Sản phẩm'!$G$4:$G$103,MATCH(B91,'Sản phẩm'!$D$4:$D$103,0)),0)</f>
        <v>0</v>
      </c>
      <c r="K91" s="46">
        <f t="array" ref="K91">IFERROR(J91*INDEX('Mẻ sữa'!$N$4:$N$203,MATCH(D91,'Mẻ sữa'!$C$4:$C$203,0)),0)</f>
        <v>0</v>
      </c>
      <c r="L91" s="46">
        <f t="array" ref="L91">IFERROR(INDEX('Sản phẩm'!$I$4:$I$103,MATCH(B91,'Sản phẩm'!$D$4:$D$103,0)),0)</f>
        <v>0</v>
      </c>
      <c r="M91" s="72" t="str">
        <f t="array" ref="M91">IFERROR(INDEX('Sản phẩm'!$J$4:$J$103,MATCH(B91,'Sản phẩm'!$D$4:$D$103,0)),0)</f>
        <v/>
      </c>
      <c r="N91" s="46">
        <f>IF(B91="",0,(K91+L91+M91)*'Thiết lập'!$B$8)</f>
        <v>0</v>
      </c>
      <c r="O91" s="46">
        <f t="shared" si="2"/>
        <v>0</v>
      </c>
      <c r="P91" s="46">
        <f t="shared" si="3"/>
        <v>0</v>
      </c>
      <c r="Q91" s="46">
        <f t="shared" si="4"/>
        <v>0</v>
      </c>
      <c r="R91" s="71" t="str">
        <f t="array" ref="R91">IF(B91="","",INDEX('Bán nhanh'!$C$4:$C$103,INT((ROW()-4)/10)+1))</f>
        <v/>
      </c>
      <c r="S91" s="71" t="str">
        <f t="array" ref="S91">IF(B91="","",INDEX('Bán nhanh'!$P$4:$P$103,INT((ROW()-4)/10)+1))</f>
        <v/>
      </c>
      <c r="T91" s="58"/>
      <c r="U91" s="68" t="str">
        <f>IF('Mẻ sữa'!F92&lt;&gt;"",'Mẻ sữa'!F92,"")</f>
        <v/>
      </c>
      <c r="V91" s="68"/>
      <c r="W91" s="87"/>
      <c r="X91" s="36"/>
      <c r="Y91" s="36"/>
      <c r="Z91" s="36"/>
    </row>
    <row r="92" ht="15.75" customHeight="1">
      <c r="A92" s="70" t="str">
        <f t="array" ref="A92">IF(B92="","",INDEX('Bán nhanh'!$A$4:$A$103,INT((ROW()-4)/10)+1))</f>
        <v/>
      </c>
      <c r="B92" s="71" t="str">
        <f t="array" ref="B92">IF(OR(INDEX('Bán nhanh'!$D$3:$M$3,1,MOD(ROW()-4,10)+1)="",INDEX('Bán nhanh'!$D$4:$M$103,INT((ROW()-4)/10)+1,MOD(ROW()-4,10)+1)&lt;=0),"",INDEX('Bán nhanh'!$D$3:$M$3,1,MOD(ROW()-4,10)+1))</f>
        <v/>
      </c>
      <c r="C92" s="58" t="str">
        <f t="array" ref="C92">IFERROR(INDEX('Sản phẩm'!$A$4:$A$103,MATCH(B92,'Sản phẩm'!$D$4:$D$103,0)),"")</f>
        <v/>
      </c>
      <c r="D92" s="71" t="str">
        <f t="array" ref="D92">IF(B92="","",INDEX('Bán nhanh'!$B$4:$B$103,INT((ROW()-4)/10)+1))</f>
        <v/>
      </c>
      <c r="E92" s="58" t="str">
        <f t="array" ref="E92">IFERROR(INDEX('Mẻ sữa'!$B$4:$B$203,MATCH(D92,'Mẻ sữa'!$C$4:$C$203,0)),"")</f>
        <v/>
      </c>
      <c r="F92" s="66">
        <f t="array" ref="F92">IF(B92="",0,INDEX('Bán nhanh'!$D$4:$M$103,INT((ROW()-4)/10)+1,MOD(ROW()-4,10)+1))</f>
        <v>0</v>
      </c>
      <c r="G92" s="46">
        <f t="array" ref="G92">IFERROR(INDEX('Sản phẩm'!$F$4:$F$103,MATCH(B92,'Sản phẩm'!$D$4:$D$103,0)),0)</f>
        <v>0</v>
      </c>
      <c r="H92" s="67">
        <f t="shared" si="5"/>
        <v>0</v>
      </c>
      <c r="I92" s="46">
        <f t="shared" si="1"/>
        <v>0</v>
      </c>
      <c r="J92" s="46">
        <f t="array" ref="J92">IFERROR(INDEX('Sản phẩm'!$G$4:$G$103,MATCH(B92,'Sản phẩm'!$D$4:$D$103,0)),0)</f>
        <v>0</v>
      </c>
      <c r="K92" s="46">
        <f t="array" ref="K92">IFERROR(J92*INDEX('Mẻ sữa'!$N$4:$N$203,MATCH(D92,'Mẻ sữa'!$C$4:$C$203,0)),0)</f>
        <v>0</v>
      </c>
      <c r="L92" s="46">
        <f t="array" ref="L92">IFERROR(INDEX('Sản phẩm'!$I$4:$I$103,MATCH(B92,'Sản phẩm'!$D$4:$D$103,0)),0)</f>
        <v>0</v>
      </c>
      <c r="M92" s="72" t="str">
        <f t="array" ref="M92">IFERROR(INDEX('Sản phẩm'!$J$4:$J$103,MATCH(B92,'Sản phẩm'!$D$4:$D$103,0)),0)</f>
        <v/>
      </c>
      <c r="N92" s="46">
        <f>IF(B92="",0,(K92+L92+M92)*'Thiết lập'!$B$8)</f>
        <v>0</v>
      </c>
      <c r="O92" s="46">
        <f t="shared" si="2"/>
        <v>0</v>
      </c>
      <c r="P92" s="46">
        <f t="shared" si="3"/>
        <v>0</v>
      </c>
      <c r="Q92" s="46">
        <f t="shared" si="4"/>
        <v>0</v>
      </c>
      <c r="R92" s="71" t="str">
        <f t="array" ref="R92">IF(B92="","",INDEX('Bán nhanh'!$C$4:$C$103,INT((ROW()-4)/10)+1))</f>
        <v/>
      </c>
      <c r="S92" s="71" t="str">
        <f t="array" ref="S92">IF(B92="","",INDEX('Bán nhanh'!$P$4:$P$103,INT((ROW()-4)/10)+1))</f>
        <v/>
      </c>
      <c r="T92" s="58"/>
      <c r="U92" s="68" t="str">
        <f>IF('Mẻ sữa'!F93&lt;&gt;"",'Mẻ sữa'!F93,"")</f>
        <v/>
      </c>
      <c r="V92" s="68"/>
      <c r="W92" s="87"/>
      <c r="X92" s="36"/>
      <c r="Y92" s="36"/>
      <c r="Z92" s="36"/>
    </row>
    <row r="93" ht="15.75" customHeight="1">
      <c r="A93" s="70" t="str">
        <f t="array" ref="A93">IF(B93="","",INDEX('Bán nhanh'!$A$4:$A$103,INT((ROW()-4)/10)+1))</f>
        <v/>
      </c>
      <c r="B93" s="71" t="str">
        <f t="array" ref="B93">IF(OR(INDEX('Bán nhanh'!$D$3:$M$3,1,MOD(ROW()-4,10)+1)="",INDEX('Bán nhanh'!$D$4:$M$103,INT((ROW()-4)/10)+1,MOD(ROW()-4,10)+1)&lt;=0),"",INDEX('Bán nhanh'!$D$3:$M$3,1,MOD(ROW()-4,10)+1))</f>
        <v/>
      </c>
      <c r="C93" s="58" t="str">
        <f t="array" ref="C93">IFERROR(INDEX('Sản phẩm'!$A$4:$A$103,MATCH(B93,'Sản phẩm'!$D$4:$D$103,0)),"")</f>
        <v/>
      </c>
      <c r="D93" s="71" t="str">
        <f t="array" ref="D93">IF(B93="","",INDEX('Bán nhanh'!$B$4:$B$103,INT((ROW()-4)/10)+1))</f>
        <v/>
      </c>
      <c r="E93" s="58" t="str">
        <f t="array" ref="E93">IFERROR(INDEX('Mẻ sữa'!$B$4:$B$203,MATCH(D93,'Mẻ sữa'!$C$4:$C$203,0)),"")</f>
        <v/>
      </c>
      <c r="F93" s="66">
        <f t="array" ref="F93">IF(B93="",0,INDEX('Bán nhanh'!$D$4:$M$103,INT((ROW()-4)/10)+1,MOD(ROW()-4,10)+1))</f>
        <v>0</v>
      </c>
      <c r="G93" s="46">
        <f t="array" ref="G93">IFERROR(INDEX('Sản phẩm'!$F$4:$F$103,MATCH(B93,'Sản phẩm'!$D$4:$D$103,0)),0)</f>
        <v>0</v>
      </c>
      <c r="H93" s="67">
        <f t="shared" si="5"/>
        <v>0</v>
      </c>
      <c r="I93" s="46">
        <f t="shared" si="1"/>
        <v>0</v>
      </c>
      <c r="J93" s="46">
        <f t="array" ref="J93">IFERROR(INDEX('Sản phẩm'!$G$4:$G$103,MATCH(B93,'Sản phẩm'!$D$4:$D$103,0)),0)</f>
        <v>0</v>
      </c>
      <c r="K93" s="46">
        <f t="array" ref="K93">IFERROR(J93*INDEX('Mẻ sữa'!$N$4:$N$203,MATCH(D93,'Mẻ sữa'!$C$4:$C$203,0)),0)</f>
        <v>0</v>
      </c>
      <c r="L93" s="46">
        <f t="array" ref="L93">IFERROR(INDEX('Sản phẩm'!$I$4:$I$103,MATCH(B93,'Sản phẩm'!$D$4:$D$103,0)),0)</f>
        <v>0</v>
      </c>
      <c r="M93" s="72" t="str">
        <f t="array" ref="M93">IFERROR(INDEX('Sản phẩm'!$J$4:$J$103,MATCH(B93,'Sản phẩm'!$D$4:$D$103,0)),0)</f>
        <v/>
      </c>
      <c r="N93" s="46">
        <f>IF(B93="",0,(K93+L93+M93)*'Thiết lập'!$B$8)</f>
        <v>0</v>
      </c>
      <c r="O93" s="46">
        <f t="shared" si="2"/>
        <v>0</v>
      </c>
      <c r="P93" s="46">
        <f t="shared" si="3"/>
        <v>0</v>
      </c>
      <c r="Q93" s="46">
        <f t="shared" si="4"/>
        <v>0</v>
      </c>
      <c r="R93" s="71" t="str">
        <f t="array" ref="R93">IF(B93="","",INDEX('Bán nhanh'!$C$4:$C$103,INT((ROW()-4)/10)+1))</f>
        <v/>
      </c>
      <c r="S93" s="71" t="str">
        <f t="array" ref="S93">IF(B93="","",INDEX('Bán nhanh'!$P$4:$P$103,INT((ROW()-4)/10)+1))</f>
        <v/>
      </c>
      <c r="T93" s="58"/>
      <c r="U93" s="68" t="str">
        <f>IF('Mẻ sữa'!F94&lt;&gt;"",'Mẻ sữa'!F94,"")</f>
        <v/>
      </c>
      <c r="V93" s="68"/>
      <c r="W93" s="87"/>
      <c r="X93" s="36"/>
      <c r="Y93" s="36"/>
      <c r="Z93" s="36"/>
    </row>
    <row r="94" ht="15.75" customHeight="1">
      <c r="A94" s="70" t="str">
        <f t="array" ref="A94">IF(B94="","",INDEX('Bán nhanh'!$A$4:$A$103,INT((ROW()-4)/10)+1))</f>
        <v/>
      </c>
      <c r="B94" s="71" t="str">
        <f t="array" ref="B94">IF(OR(INDEX('Bán nhanh'!$D$3:$M$3,1,MOD(ROW()-4,10)+1)="",INDEX('Bán nhanh'!$D$4:$M$103,INT((ROW()-4)/10)+1,MOD(ROW()-4,10)+1)&lt;=0),"",INDEX('Bán nhanh'!$D$3:$M$3,1,MOD(ROW()-4,10)+1))</f>
        <v/>
      </c>
      <c r="C94" s="58" t="str">
        <f t="array" ref="C94">IFERROR(INDEX('Sản phẩm'!$A$4:$A$103,MATCH(B94,'Sản phẩm'!$D$4:$D$103,0)),"")</f>
        <v/>
      </c>
      <c r="D94" s="71" t="str">
        <f t="array" ref="D94">IF(B94="","",INDEX('Bán nhanh'!$B$4:$B$103,INT((ROW()-4)/10)+1))</f>
        <v/>
      </c>
      <c r="E94" s="58" t="str">
        <f t="array" ref="E94">IFERROR(INDEX('Mẻ sữa'!$B$4:$B$203,MATCH(D94,'Mẻ sữa'!$C$4:$C$203,0)),"")</f>
        <v/>
      </c>
      <c r="F94" s="66">
        <f t="array" ref="F94">IF(B94="",0,INDEX('Bán nhanh'!$D$4:$M$103,INT((ROW()-4)/10)+1,MOD(ROW()-4,10)+1))</f>
        <v>0</v>
      </c>
      <c r="G94" s="46">
        <f t="array" ref="G94">IFERROR(INDEX('Sản phẩm'!$F$4:$F$103,MATCH(B94,'Sản phẩm'!$D$4:$D$103,0)),0)</f>
        <v>0</v>
      </c>
      <c r="H94" s="67">
        <f t="shared" si="5"/>
        <v>0</v>
      </c>
      <c r="I94" s="46">
        <f t="shared" si="1"/>
        <v>0</v>
      </c>
      <c r="J94" s="46">
        <f t="array" ref="J94">IFERROR(INDEX('Sản phẩm'!$G$4:$G$103,MATCH(B94,'Sản phẩm'!$D$4:$D$103,0)),0)</f>
        <v>0</v>
      </c>
      <c r="K94" s="46">
        <f t="array" ref="K94">IFERROR(J94*INDEX('Mẻ sữa'!$N$4:$N$203,MATCH(D94,'Mẻ sữa'!$C$4:$C$203,0)),0)</f>
        <v>0</v>
      </c>
      <c r="L94" s="46">
        <f t="array" ref="L94">IFERROR(INDEX('Sản phẩm'!$I$4:$I$103,MATCH(B94,'Sản phẩm'!$D$4:$D$103,0)),0)</f>
        <v>0</v>
      </c>
      <c r="M94" s="72" t="str">
        <f t="array" ref="M94">IFERROR(INDEX('Sản phẩm'!$J$4:$J$103,MATCH(B94,'Sản phẩm'!$D$4:$D$103,0)),0)</f>
        <v/>
      </c>
      <c r="N94" s="46">
        <f>IF(B94="",0,(K94+L94+M94)*'Thiết lập'!$B$8)</f>
        <v>0</v>
      </c>
      <c r="O94" s="46">
        <f t="shared" si="2"/>
        <v>0</v>
      </c>
      <c r="P94" s="46">
        <f t="shared" si="3"/>
        <v>0</v>
      </c>
      <c r="Q94" s="46">
        <f t="shared" si="4"/>
        <v>0</v>
      </c>
      <c r="R94" s="71" t="str">
        <f t="array" ref="R94">IF(B94="","",INDEX('Bán nhanh'!$C$4:$C$103,INT((ROW()-4)/10)+1))</f>
        <v/>
      </c>
      <c r="S94" s="71" t="str">
        <f t="array" ref="S94">IF(B94="","",INDEX('Bán nhanh'!$P$4:$P$103,INT((ROW()-4)/10)+1))</f>
        <v/>
      </c>
      <c r="T94" s="58"/>
      <c r="U94" s="68" t="str">
        <f>IF('Mẻ sữa'!F95&lt;&gt;"",'Mẻ sữa'!F95,"")</f>
        <v/>
      </c>
      <c r="V94" s="68"/>
      <c r="W94" s="87"/>
      <c r="X94" s="36"/>
      <c r="Y94" s="36"/>
      <c r="Z94" s="36"/>
    </row>
    <row r="95" ht="15.75" customHeight="1">
      <c r="A95" s="70" t="str">
        <f t="array" ref="A95">IF(B95="","",INDEX('Bán nhanh'!$A$4:$A$103,INT((ROW()-4)/10)+1))</f>
        <v/>
      </c>
      <c r="B95" s="71" t="str">
        <f t="array" ref="B95">IF(OR(INDEX('Bán nhanh'!$D$3:$M$3,1,MOD(ROW()-4,10)+1)="",INDEX('Bán nhanh'!$D$4:$M$103,INT((ROW()-4)/10)+1,MOD(ROW()-4,10)+1)&lt;=0),"",INDEX('Bán nhanh'!$D$3:$M$3,1,MOD(ROW()-4,10)+1))</f>
        <v/>
      </c>
      <c r="C95" s="58" t="str">
        <f t="array" ref="C95">IFERROR(INDEX('Sản phẩm'!$A$4:$A$103,MATCH(B95,'Sản phẩm'!$D$4:$D$103,0)),"")</f>
        <v/>
      </c>
      <c r="D95" s="71" t="str">
        <f t="array" ref="D95">IF(B95="","",INDEX('Bán nhanh'!$B$4:$B$103,INT((ROW()-4)/10)+1))</f>
        <v/>
      </c>
      <c r="E95" s="58" t="str">
        <f t="array" ref="E95">IFERROR(INDEX('Mẻ sữa'!$B$4:$B$203,MATCH(D95,'Mẻ sữa'!$C$4:$C$203,0)),"")</f>
        <v/>
      </c>
      <c r="F95" s="66">
        <f t="array" ref="F95">IF(B95="",0,INDEX('Bán nhanh'!$D$4:$M$103,INT((ROW()-4)/10)+1,MOD(ROW()-4,10)+1))</f>
        <v>0</v>
      </c>
      <c r="G95" s="46">
        <f t="array" ref="G95">IFERROR(INDEX('Sản phẩm'!$F$4:$F$103,MATCH(B95,'Sản phẩm'!$D$4:$D$103,0)),0)</f>
        <v>0</v>
      </c>
      <c r="H95" s="67">
        <f t="shared" si="5"/>
        <v>0</v>
      </c>
      <c r="I95" s="46">
        <f t="shared" si="1"/>
        <v>0</v>
      </c>
      <c r="J95" s="46">
        <f t="array" ref="J95">IFERROR(INDEX('Sản phẩm'!$G$4:$G$103,MATCH(B95,'Sản phẩm'!$D$4:$D$103,0)),0)</f>
        <v>0</v>
      </c>
      <c r="K95" s="46">
        <f t="array" ref="K95">IFERROR(J95*INDEX('Mẻ sữa'!$N$4:$N$203,MATCH(D95,'Mẻ sữa'!$C$4:$C$203,0)),0)</f>
        <v>0</v>
      </c>
      <c r="L95" s="46">
        <f t="array" ref="L95">IFERROR(INDEX('Sản phẩm'!$I$4:$I$103,MATCH(B95,'Sản phẩm'!$D$4:$D$103,0)),0)</f>
        <v>0</v>
      </c>
      <c r="M95" s="72" t="str">
        <f t="array" ref="M95">IFERROR(INDEX('Sản phẩm'!$J$4:$J$103,MATCH(B95,'Sản phẩm'!$D$4:$D$103,0)),0)</f>
        <v/>
      </c>
      <c r="N95" s="46">
        <f>IF(B95="",0,(K95+L95+M95)*'Thiết lập'!$B$8)</f>
        <v>0</v>
      </c>
      <c r="O95" s="46">
        <f t="shared" si="2"/>
        <v>0</v>
      </c>
      <c r="P95" s="46">
        <f t="shared" si="3"/>
        <v>0</v>
      </c>
      <c r="Q95" s="46">
        <f t="shared" si="4"/>
        <v>0</v>
      </c>
      <c r="R95" s="71" t="str">
        <f t="array" ref="R95">IF(B95="","",INDEX('Bán nhanh'!$C$4:$C$103,INT((ROW()-4)/10)+1))</f>
        <v/>
      </c>
      <c r="S95" s="71" t="str">
        <f t="array" ref="S95">IF(B95="","",INDEX('Bán nhanh'!$P$4:$P$103,INT((ROW()-4)/10)+1))</f>
        <v/>
      </c>
      <c r="T95" s="58"/>
      <c r="U95" s="68" t="str">
        <f>IF('Mẻ sữa'!F96&lt;&gt;"",'Mẻ sữa'!F96,"")</f>
        <v/>
      </c>
      <c r="V95" s="68"/>
      <c r="W95" s="87"/>
      <c r="X95" s="36"/>
      <c r="Y95" s="36"/>
      <c r="Z95" s="36"/>
    </row>
    <row r="96" ht="15.75" customHeight="1">
      <c r="A96" s="70" t="str">
        <f t="array" ref="A96">IF(B96="","",INDEX('Bán nhanh'!$A$4:$A$103,INT((ROW()-4)/10)+1))</f>
        <v/>
      </c>
      <c r="B96" s="71" t="str">
        <f t="array" ref="B96">IF(OR(INDEX('Bán nhanh'!$D$3:$M$3,1,MOD(ROW()-4,10)+1)="",INDEX('Bán nhanh'!$D$4:$M$103,INT((ROW()-4)/10)+1,MOD(ROW()-4,10)+1)&lt;=0),"",INDEX('Bán nhanh'!$D$3:$M$3,1,MOD(ROW()-4,10)+1))</f>
        <v/>
      </c>
      <c r="C96" s="58" t="str">
        <f t="array" ref="C96">IFERROR(INDEX('Sản phẩm'!$A$4:$A$103,MATCH(B96,'Sản phẩm'!$D$4:$D$103,0)),"")</f>
        <v/>
      </c>
      <c r="D96" s="71" t="str">
        <f t="array" ref="D96">IF(B96="","",INDEX('Bán nhanh'!$B$4:$B$103,INT((ROW()-4)/10)+1))</f>
        <v/>
      </c>
      <c r="E96" s="58" t="str">
        <f t="array" ref="E96">IFERROR(INDEX('Mẻ sữa'!$B$4:$B$203,MATCH(D96,'Mẻ sữa'!$C$4:$C$203,0)),"")</f>
        <v/>
      </c>
      <c r="F96" s="66">
        <f t="array" ref="F96">IF(B96="",0,INDEX('Bán nhanh'!$D$4:$M$103,INT((ROW()-4)/10)+1,MOD(ROW()-4,10)+1))</f>
        <v>0</v>
      </c>
      <c r="G96" s="46">
        <f t="array" ref="G96">IFERROR(INDEX('Sản phẩm'!$F$4:$F$103,MATCH(B96,'Sản phẩm'!$D$4:$D$103,0)),0)</f>
        <v>0</v>
      </c>
      <c r="H96" s="67">
        <f t="shared" si="5"/>
        <v>0</v>
      </c>
      <c r="I96" s="46">
        <f t="shared" si="1"/>
        <v>0</v>
      </c>
      <c r="J96" s="46">
        <f t="array" ref="J96">IFERROR(INDEX('Sản phẩm'!$G$4:$G$103,MATCH(B96,'Sản phẩm'!$D$4:$D$103,0)),0)</f>
        <v>0</v>
      </c>
      <c r="K96" s="46">
        <f t="array" ref="K96">IFERROR(J96*INDEX('Mẻ sữa'!$N$4:$N$203,MATCH(D96,'Mẻ sữa'!$C$4:$C$203,0)),0)</f>
        <v>0</v>
      </c>
      <c r="L96" s="46">
        <f t="array" ref="L96">IFERROR(INDEX('Sản phẩm'!$I$4:$I$103,MATCH(B96,'Sản phẩm'!$D$4:$D$103,0)),0)</f>
        <v>0</v>
      </c>
      <c r="M96" s="72" t="str">
        <f t="array" ref="M96">IFERROR(INDEX('Sản phẩm'!$J$4:$J$103,MATCH(B96,'Sản phẩm'!$D$4:$D$103,0)),0)</f>
        <v/>
      </c>
      <c r="N96" s="46">
        <f>IF(B96="",0,(K96+L96+M96)*'Thiết lập'!$B$8)</f>
        <v>0</v>
      </c>
      <c r="O96" s="46">
        <f t="shared" si="2"/>
        <v>0</v>
      </c>
      <c r="P96" s="46">
        <f t="shared" si="3"/>
        <v>0</v>
      </c>
      <c r="Q96" s="46">
        <f t="shared" si="4"/>
        <v>0</v>
      </c>
      <c r="R96" s="71" t="str">
        <f t="array" ref="R96">IF(B96="","",INDEX('Bán nhanh'!$C$4:$C$103,INT((ROW()-4)/10)+1))</f>
        <v/>
      </c>
      <c r="S96" s="71" t="str">
        <f t="array" ref="S96">IF(B96="","",INDEX('Bán nhanh'!$P$4:$P$103,INT((ROW()-4)/10)+1))</f>
        <v/>
      </c>
      <c r="T96" s="58"/>
      <c r="U96" s="68" t="str">
        <f>IF('Mẻ sữa'!F97&lt;&gt;"",'Mẻ sữa'!F97,"")</f>
        <v/>
      </c>
      <c r="V96" s="68"/>
      <c r="W96" s="87"/>
      <c r="X96" s="36"/>
      <c r="Y96" s="36"/>
      <c r="Z96" s="36"/>
    </row>
    <row r="97" ht="15.75" customHeight="1">
      <c r="A97" s="70" t="str">
        <f t="array" ref="A97">IF(B97="","",INDEX('Bán nhanh'!$A$4:$A$103,INT((ROW()-4)/10)+1))</f>
        <v/>
      </c>
      <c r="B97" s="71" t="str">
        <f t="array" ref="B97">IF(OR(INDEX('Bán nhanh'!$D$3:$M$3,1,MOD(ROW()-4,10)+1)="",INDEX('Bán nhanh'!$D$4:$M$103,INT((ROW()-4)/10)+1,MOD(ROW()-4,10)+1)&lt;=0),"",INDEX('Bán nhanh'!$D$3:$M$3,1,MOD(ROW()-4,10)+1))</f>
        <v/>
      </c>
      <c r="C97" s="58" t="str">
        <f t="array" ref="C97">IFERROR(INDEX('Sản phẩm'!$A$4:$A$103,MATCH(B97,'Sản phẩm'!$D$4:$D$103,0)),"")</f>
        <v/>
      </c>
      <c r="D97" s="71" t="str">
        <f t="array" ref="D97">IF(B97="","",INDEX('Bán nhanh'!$B$4:$B$103,INT((ROW()-4)/10)+1))</f>
        <v/>
      </c>
      <c r="E97" s="58" t="str">
        <f t="array" ref="E97">IFERROR(INDEX('Mẻ sữa'!$B$4:$B$203,MATCH(D97,'Mẻ sữa'!$C$4:$C$203,0)),"")</f>
        <v/>
      </c>
      <c r="F97" s="66">
        <f t="array" ref="F97">IF(B97="",0,INDEX('Bán nhanh'!$D$4:$M$103,INT((ROW()-4)/10)+1,MOD(ROW()-4,10)+1))</f>
        <v>0</v>
      </c>
      <c r="G97" s="46">
        <f t="array" ref="G97">IFERROR(INDEX('Sản phẩm'!$F$4:$F$103,MATCH(B97,'Sản phẩm'!$D$4:$D$103,0)),0)</f>
        <v>0</v>
      </c>
      <c r="H97" s="67">
        <f t="shared" si="5"/>
        <v>0</v>
      </c>
      <c r="I97" s="46">
        <f t="shared" si="1"/>
        <v>0</v>
      </c>
      <c r="J97" s="46">
        <f t="array" ref="J97">IFERROR(INDEX('Sản phẩm'!$G$4:$G$103,MATCH(B97,'Sản phẩm'!$D$4:$D$103,0)),0)</f>
        <v>0</v>
      </c>
      <c r="K97" s="46">
        <f t="array" ref="K97">IFERROR(J97*INDEX('Mẻ sữa'!$N$4:$N$203,MATCH(D97,'Mẻ sữa'!$C$4:$C$203,0)),0)</f>
        <v>0</v>
      </c>
      <c r="L97" s="46">
        <f t="array" ref="L97">IFERROR(INDEX('Sản phẩm'!$I$4:$I$103,MATCH(B97,'Sản phẩm'!$D$4:$D$103,0)),0)</f>
        <v>0</v>
      </c>
      <c r="M97" s="72" t="str">
        <f t="array" ref="M97">IFERROR(INDEX('Sản phẩm'!$J$4:$J$103,MATCH(B97,'Sản phẩm'!$D$4:$D$103,0)),0)</f>
        <v/>
      </c>
      <c r="N97" s="46">
        <f>IF(B97="",0,(K97+L97+M97)*'Thiết lập'!$B$8)</f>
        <v>0</v>
      </c>
      <c r="O97" s="46">
        <f t="shared" si="2"/>
        <v>0</v>
      </c>
      <c r="P97" s="46">
        <f t="shared" si="3"/>
        <v>0</v>
      </c>
      <c r="Q97" s="46">
        <f t="shared" si="4"/>
        <v>0</v>
      </c>
      <c r="R97" s="71" t="str">
        <f t="array" ref="R97">IF(B97="","",INDEX('Bán nhanh'!$C$4:$C$103,INT((ROW()-4)/10)+1))</f>
        <v/>
      </c>
      <c r="S97" s="71" t="str">
        <f t="array" ref="S97">IF(B97="","",INDEX('Bán nhanh'!$P$4:$P$103,INT((ROW()-4)/10)+1))</f>
        <v/>
      </c>
      <c r="T97" s="58"/>
      <c r="U97" s="68" t="str">
        <f>IF('Mẻ sữa'!F98&lt;&gt;"",'Mẻ sữa'!F98,"")</f>
        <v/>
      </c>
      <c r="V97" s="68"/>
      <c r="W97" s="87"/>
      <c r="X97" s="36"/>
      <c r="Y97" s="36"/>
      <c r="Z97" s="36"/>
    </row>
    <row r="98" ht="15.75" customHeight="1">
      <c r="A98" s="70" t="str">
        <f t="array" ref="A98">IF(B98="","",INDEX('Bán nhanh'!$A$4:$A$103,INT((ROW()-4)/10)+1))</f>
        <v/>
      </c>
      <c r="B98" s="71" t="str">
        <f t="array" ref="B98">IF(OR(INDEX('Bán nhanh'!$D$3:$M$3,1,MOD(ROW()-4,10)+1)="",INDEX('Bán nhanh'!$D$4:$M$103,INT((ROW()-4)/10)+1,MOD(ROW()-4,10)+1)&lt;=0),"",INDEX('Bán nhanh'!$D$3:$M$3,1,MOD(ROW()-4,10)+1))</f>
        <v/>
      </c>
      <c r="C98" s="58" t="str">
        <f t="array" ref="C98">IFERROR(INDEX('Sản phẩm'!$A$4:$A$103,MATCH(B98,'Sản phẩm'!$D$4:$D$103,0)),"")</f>
        <v/>
      </c>
      <c r="D98" s="71" t="str">
        <f t="array" ref="D98">IF(B98="","",INDEX('Bán nhanh'!$B$4:$B$103,INT((ROW()-4)/10)+1))</f>
        <v/>
      </c>
      <c r="E98" s="58" t="str">
        <f t="array" ref="E98">IFERROR(INDEX('Mẻ sữa'!$B$4:$B$203,MATCH(D98,'Mẻ sữa'!$C$4:$C$203,0)),"")</f>
        <v/>
      </c>
      <c r="F98" s="66">
        <f t="array" ref="F98">IF(B98="",0,INDEX('Bán nhanh'!$D$4:$M$103,INT((ROW()-4)/10)+1,MOD(ROW()-4,10)+1))</f>
        <v>0</v>
      </c>
      <c r="G98" s="46">
        <f t="array" ref="G98">IFERROR(INDEX('Sản phẩm'!$F$4:$F$103,MATCH(B98,'Sản phẩm'!$D$4:$D$103,0)),0)</f>
        <v>0</v>
      </c>
      <c r="H98" s="67">
        <f t="shared" si="5"/>
        <v>0</v>
      </c>
      <c r="I98" s="46">
        <f t="shared" si="1"/>
        <v>0</v>
      </c>
      <c r="J98" s="46">
        <f t="array" ref="J98">IFERROR(INDEX('Sản phẩm'!$G$4:$G$103,MATCH(B98,'Sản phẩm'!$D$4:$D$103,0)),0)</f>
        <v>0</v>
      </c>
      <c r="K98" s="46">
        <f t="array" ref="K98">IFERROR(J98*INDEX('Mẻ sữa'!$N$4:$N$203,MATCH(D98,'Mẻ sữa'!$C$4:$C$203,0)),0)</f>
        <v>0</v>
      </c>
      <c r="L98" s="46">
        <f t="array" ref="L98">IFERROR(INDEX('Sản phẩm'!$I$4:$I$103,MATCH(B98,'Sản phẩm'!$D$4:$D$103,0)),0)</f>
        <v>0</v>
      </c>
      <c r="M98" s="72" t="str">
        <f t="array" ref="M98">IFERROR(INDEX('Sản phẩm'!$J$4:$J$103,MATCH(B98,'Sản phẩm'!$D$4:$D$103,0)),0)</f>
        <v/>
      </c>
      <c r="N98" s="46">
        <f>IF(B98="",0,(K98+L98+M98)*'Thiết lập'!$B$8)</f>
        <v>0</v>
      </c>
      <c r="O98" s="46">
        <f t="shared" si="2"/>
        <v>0</v>
      </c>
      <c r="P98" s="46">
        <f t="shared" si="3"/>
        <v>0</v>
      </c>
      <c r="Q98" s="46">
        <f t="shared" si="4"/>
        <v>0</v>
      </c>
      <c r="R98" s="71" t="str">
        <f t="array" ref="R98">IF(B98="","",INDEX('Bán nhanh'!$C$4:$C$103,INT((ROW()-4)/10)+1))</f>
        <v/>
      </c>
      <c r="S98" s="71" t="str">
        <f t="array" ref="S98">IF(B98="","",INDEX('Bán nhanh'!$P$4:$P$103,INT((ROW()-4)/10)+1))</f>
        <v/>
      </c>
      <c r="T98" s="58"/>
      <c r="U98" s="68" t="str">
        <f>IF('Mẻ sữa'!F99&lt;&gt;"",'Mẻ sữa'!F99,"")</f>
        <v/>
      </c>
      <c r="V98" s="68"/>
      <c r="W98" s="87"/>
      <c r="X98" s="36"/>
      <c r="Y98" s="36"/>
      <c r="Z98" s="36"/>
    </row>
    <row r="99" ht="15.75" customHeight="1">
      <c r="A99" s="70" t="str">
        <f t="array" ref="A99">IF(B99="","",INDEX('Bán nhanh'!$A$4:$A$103,INT((ROW()-4)/10)+1))</f>
        <v/>
      </c>
      <c r="B99" s="71" t="str">
        <f t="array" ref="B99">IF(OR(INDEX('Bán nhanh'!$D$3:$M$3,1,MOD(ROW()-4,10)+1)="",INDEX('Bán nhanh'!$D$4:$M$103,INT((ROW()-4)/10)+1,MOD(ROW()-4,10)+1)&lt;=0),"",INDEX('Bán nhanh'!$D$3:$M$3,1,MOD(ROW()-4,10)+1))</f>
        <v/>
      </c>
      <c r="C99" s="58" t="str">
        <f t="array" ref="C99">IFERROR(INDEX('Sản phẩm'!$A$4:$A$103,MATCH(B99,'Sản phẩm'!$D$4:$D$103,0)),"")</f>
        <v/>
      </c>
      <c r="D99" s="71" t="str">
        <f t="array" ref="D99">IF(B99="","",INDEX('Bán nhanh'!$B$4:$B$103,INT((ROW()-4)/10)+1))</f>
        <v/>
      </c>
      <c r="E99" s="58" t="str">
        <f t="array" ref="E99">IFERROR(INDEX('Mẻ sữa'!$B$4:$B$203,MATCH(D99,'Mẻ sữa'!$C$4:$C$203,0)),"")</f>
        <v/>
      </c>
      <c r="F99" s="66">
        <f t="array" ref="F99">IF(B99="",0,INDEX('Bán nhanh'!$D$4:$M$103,INT((ROW()-4)/10)+1,MOD(ROW()-4,10)+1))</f>
        <v>0</v>
      </c>
      <c r="G99" s="46">
        <f t="array" ref="G99">IFERROR(INDEX('Sản phẩm'!$F$4:$F$103,MATCH(B99,'Sản phẩm'!$D$4:$D$103,0)),0)</f>
        <v>0</v>
      </c>
      <c r="H99" s="67">
        <f t="shared" si="5"/>
        <v>0</v>
      </c>
      <c r="I99" s="46">
        <f t="shared" si="1"/>
        <v>0</v>
      </c>
      <c r="J99" s="46">
        <f t="array" ref="J99">IFERROR(INDEX('Sản phẩm'!$G$4:$G$103,MATCH(B99,'Sản phẩm'!$D$4:$D$103,0)),0)</f>
        <v>0</v>
      </c>
      <c r="K99" s="46">
        <f t="array" ref="K99">IFERROR(J99*INDEX('Mẻ sữa'!$N$4:$N$203,MATCH(D99,'Mẻ sữa'!$C$4:$C$203,0)),0)</f>
        <v>0</v>
      </c>
      <c r="L99" s="46">
        <f t="array" ref="L99">IFERROR(INDEX('Sản phẩm'!$I$4:$I$103,MATCH(B99,'Sản phẩm'!$D$4:$D$103,0)),0)</f>
        <v>0</v>
      </c>
      <c r="M99" s="72" t="str">
        <f t="array" ref="M99">IFERROR(INDEX('Sản phẩm'!$J$4:$J$103,MATCH(B99,'Sản phẩm'!$D$4:$D$103,0)),0)</f>
        <v/>
      </c>
      <c r="N99" s="46">
        <f>IF(B99="",0,(K99+L99+M99)*'Thiết lập'!$B$8)</f>
        <v>0</v>
      </c>
      <c r="O99" s="46">
        <f t="shared" si="2"/>
        <v>0</v>
      </c>
      <c r="P99" s="46">
        <f t="shared" si="3"/>
        <v>0</v>
      </c>
      <c r="Q99" s="46">
        <f t="shared" si="4"/>
        <v>0</v>
      </c>
      <c r="R99" s="71" t="str">
        <f t="array" ref="R99">IF(B99="","",INDEX('Bán nhanh'!$C$4:$C$103,INT((ROW()-4)/10)+1))</f>
        <v/>
      </c>
      <c r="S99" s="71" t="str">
        <f t="array" ref="S99">IF(B99="","",INDEX('Bán nhanh'!$P$4:$P$103,INT((ROW()-4)/10)+1))</f>
        <v/>
      </c>
      <c r="T99" s="58"/>
      <c r="U99" s="68" t="str">
        <f>IF('Mẻ sữa'!F100&lt;&gt;"",'Mẻ sữa'!F100,"")</f>
        <v/>
      </c>
      <c r="V99" s="68"/>
      <c r="W99" s="87"/>
      <c r="X99" s="36"/>
      <c r="Y99" s="36"/>
      <c r="Z99" s="36"/>
    </row>
    <row r="100" ht="15.75" customHeight="1">
      <c r="A100" s="70" t="str">
        <f t="array" ref="A100">IF(B100="","",INDEX('Bán nhanh'!$A$4:$A$103,INT((ROW()-4)/10)+1))</f>
        <v/>
      </c>
      <c r="B100" s="71" t="str">
        <f t="array" ref="B100">IF(OR(INDEX('Bán nhanh'!$D$3:$M$3,1,MOD(ROW()-4,10)+1)="",INDEX('Bán nhanh'!$D$4:$M$103,INT((ROW()-4)/10)+1,MOD(ROW()-4,10)+1)&lt;=0),"",INDEX('Bán nhanh'!$D$3:$M$3,1,MOD(ROW()-4,10)+1))</f>
        <v/>
      </c>
      <c r="C100" s="58" t="str">
        <f t="array" ref="C100">IFERROR(INDEX('Sản phẩm'!$A$4:$A$103,MATCH(B100,'Sản phẩm'!$D$4:$D$103,0)),"")</f>
        <v/>
      </c>
      <c r="D100" s="71" t="str">
        <f t="array" ref="D100">IF(B100="","",INDEX('Bán nhanh'!$B$4:$B$103,INT((ROW()-4)/10)+1))</f>
        <v/>
      </c>
      <c r="E100" s="58" t="str">
        <f t="array" ref="E100">IFERROR(INDEX('Mẻ sữa'!$B$4:$B$203,MATCH(D100,'Mẻ sữa'!$C$4:$C$203,0)),"")</f>
        <v/>
      </c>
      <c r="F100" s="66">
        <f t="array" ref="F100">IF(B100="",0,INDEX('Bán nhanh'!$D$4:$M$103,INT((ROW()-4)/10)+1,MOD(ROW()-4,10)+1))</f>
        <v>0</v>
      </c>
      <c r="G100" s="46">
        <f t="array" ref="G100">IFERROR(INDEX('Sản phẩm'!$F$4:$F$103,MATCH(B100,'Sản phẩm'!$D$4:$D$103,0)),0)</f>
        <v>0</v>
      </c>
      <c r="H100" s="67">
        <f t="shared" si="5"/>
        <v>0</v>
      </c>
      <c r="I100" s="46">
        <f t="shared" si="1"/>
        <v>0</v>
      </c>
      <c r="J100" s="46">
        <f t="array" ref="J100">IFERROR(INDEX('Sản phẩm'!$G$4:$G$103,MATCH(B100,'Sản phẩm'!$D$4:$D$103,0)),0)</f>
        <v>0</v>
      </c>
      <c r="K100" s="46">
        <f t="array" ref="K100">IFERROR(J100*INDEX('Mẻ sữa'!$N$4:$N$203,MATCH(D100,'Mẻ sữa'!$C$4:$C$203,0)),0)</f>
        <v>0</v>
      </c>
      <c r="L100" s="46">
        <f t="array" ref="L100">IFERROR(INDEX('Sản phẩm'!$I$4:$I$103,MATCH(B100,'Sản phẩm'!$D$4:$D$103,0)),0)</f>
        <v>0</v>
      </c>
      <c r="M100" s="72" t="str">
        <f t="array" ref="M100">IFERROR(INDEX('Sản phẩm'!$J$4:$J$103,MATCH(B100,'Sản phẩm'!$D$4:$D$103,0)),0)</f>
        <v/>
      </c>
      <c r="N100" s="46">
        <f>IF(B100="",0,(K100+L100+M100)*'Thiết lập'!$B$8)</f>
        <v>0</v>
      </c>
      <c r="O100" s="46">
        <f t="shared" si="2"/>
        <v>0</v>
      </c>
      <c r="P100" s="46">
        <f t="shared" si="3"/>
        <v>0</v>
      </c>
      <c r="Q100" s="46">
        <f t="shared" si="4"/>
        <v>0</v>
      </c>
      <c r="R100" s="71" t="str">
        <f t="array" ref="R100">IF(B100="","",INDEX('Bán nhanh'!$C$4:$C$103,INT((ROW()-4)/10)+1))</f>
        <v/>
      </c>
      <c r="S100" s="71" t="str">
        <f t="array" ref="S100">IF(B100="","",INDEX('Bán nhanh'!$P$4:$P$103,INT((ROW()-4)/10)+1))</f>
        <v/>
      </c>
      <c r="T100" s="58"/>
      <c r="U100" s="68" t="str">
        <f>IF('Mẻ sữa'!F101&lt;&gt;"",'Mẻ sữa'!F101,"")</f>
        <v/>
      </c>
      <c r="V100" s="68"/>
      <c r="W100" s="87"/>
      <c r="X100" s="36"/>
      <c r="Y100" s="36"/>
      <c r="Z100" s="36"/>
    </row>
    <row r="101" ht="15.75" customHeight="1">
      <c r="A101" s="70" t="str">
        <f t="array" ref="A101">IF(B101="","",INDEX('Bán nhanh'!$A$4:$A$103,INT((ROW()-4)/10)+1))</f>
        <v/>
      </c>
      <c r="B101" s="71" t="str">
        <f t="array" ref="B101">IF(OR(INDEX('Bán nhanh'!$D$3:$M$3,1,MOD(ROW()-4,10)+1)="",INDEX('Bán nhanh'!$D$4:$M$103,INT((ROW()-4)/10)+1,MOD(ROW()-4,10)+1)&lt;=0),"",INDEX('Bán nhanh'!$D$3:$M$3,1,MOD(ROW()-4,10)+1))</f>
        <v/>
      </c>
      <c r="C101" s="58" t="str">
        <f t="array" ref="C101">IFERROR(INDEX('Sản phẩm'!$A$4:$A$103,MATCH(B101,'Sản phẩm'!$D$4:$D$103,0)),"")</f>
        <v/>
      </c>
      <c r="D101" s="71" t="str">
        <f t="array" ref="D101">IF(B101="","",INDEX('Bán nhanh'!$B$4:$B$103,INT((ROW()-4)/10)+1))</f>
        <v/>
      </c>
      <c r="E101" s="58" t="str">
        <f t="array" ref="E101">IFERROR(INDEX('Mẻ sữa'!$B$4:$B$203,MATCH(D101,'Mẻ sữa'!$C$4:$C$203,0)),"")</f>
        <v/>
      </c>
      <c r="F101" s="66">
        <f t="array" ref="F101">IF(B101="",0,INDEX('Bán nhanh'!$D$4:$M$103,INT((ROW()-4)/10)+1,MOD(ROW()-4,10)+1))</f>
        <v>0</v>
      </c>
      <c r="G101" s="46">
        <f t="array" ref="G101">IFERROR(INDEX('Sản phẩm'!$F$4:$F$103,MATCH(B101,'Sản phẩm'!$D$4:$D$103,0)),0)</f>
        <v>0</v>
      </c>
      <c r="H101" s="67">
        <f t="shared" si="5"/>
        <v>0</v>
      </c>
      <c r="I101" s="46">
        <f t="shared" si="1"/>
        <v>0</v>
      </c>
      <c r="J101" s="46">
        <f t="array" ref="J101">IFERROR(INDEX('Sản phẩm'!$G$4:$G$103,MATCH(B101,'Sản phẩm'!$D$4:$D$103,0)),0)</f>
        <v>0</v>
      </c>
      <c r="K101" s="46">
        <f t="array" ref="K101">IFERROR(J101*INDEX('Mẻ sữa'!$N$4:$N$203,MATCH(D101,'Mẻ sữa'!$C$4:$C$203,0)),0)</f>
        <v>0</v>
      </c>
      <c r="L101" s="46">
        <f t="array" ref="L101">IFERROR(INDEX('Sản phẩm'!$I$4:$I$103,MATCH(B101,'Sản phẩm'!$D$4:$D$103,0)),0)</f>
        <v>0</v>
      </c>
      <c r="M101" s="72" t="str">
        <f t="array" ref="M101">IFERROR(INDEX('Sản phẩm'!$J$4:$J$103,MATCH(B101,'Sản phẩm'!$D$4:$D$103,0)),0)</f>
        <v/>
      </c>
      <c r="N101" s="46">
        <f>IF(B101="",0,(K101+L101+M101)*'Thiết lập'!$B$8)</f>
        <v>0</v>
      </c>
      <c r="O101" s="46">
        <f t="shared" si="2"/>
        <v>0</v>
      </c>
      <c r="P101" s="46">
        <f t="shared" si="3"/>
        <v>0</v>
      </c>
      <c r="Q101" s="46">
        <f t="shared" si="4"/>
        <v>0</v>
      </c>
      <c r="R101" s="71" t="str">
        <f t="array" ref="R101">IF(B101="","",INDEX('Bán nhanh'!$C$4:$C$103,INT((ROW()-4)/10)+1))</f>
        <v/>
      </c>
      <c r="S101" s="71" t="str">
        <f t="array" ref="S101">IF(B101="","",INDEX('Bán nhanh'!$P$4:$P$103,INT((ROW()-4)/10)+1))</f>
        <v/>
      </c>
      <c r="T101" s="58"/>
      <c r="U101" s="68" t="str">
        <f>IF('Mẻ sữa'!F102&lt;&gt;"",'Mẻ sữa'!F102,"")</f>
        <v/>
      </c>
      <c r="V101" s="68"/>
      <c r="W101" s="87"/>
      <c r="X101" s="36"/>
      <c r="Y101" s="36"/>
      <c r="Z101" s="36"/>
    </row>
    <row r="102" ht="15.75" customHeight="1">
      <c r="A102" s="70" t="str">
        <f t="array" ref="A102">IF(B102="","",INDEX('Bán nhanh'!$A$4:$A$103,INT((ROW()-4)/10)+1))</f>
        <v/>
      </c>
      <c r="B102" s="71" t="str">
        <f t="array" ref="B102">IF(OR(INDEX('Bán nhanh'!$D$3:$M$3,1,MOD(ROW()-4,10)+1)="",INDEX('Bán nhanh'!$D$4:$M$103,INT((ROW()-4)/10)+1,MOD(ROW()-4,10)+1)&lt;=0),"",INDEX('Bán nhanh'!$D$3:$M$3,1,MOD(ROW()-4,10)+1))</f>
        <v/>
      </c>
      <c r="C102" s="58" t="str">
        <f t="array" ref="C102">IFERROR(INDEX('Sản phẩm'!$A$4:$A$103,MATCH(B102,'Sản phẩm'!$D$4:$D$103,0)),"")</f>
        <v/>
      </c>
      <c r="D102" s="71" t="str">
        <f t="array" ref="D102">IF(B102="","",INDEX('Bán nhanh'!$B$4:$B$103,INT((ROW()-4)/10)+1))</f>
        <v/>
      </c>
      <c r="E102" s="58" t="str">
        <f t="array" ref="E102">IFERROR(INDEX('Mẻ sữa'!$B$4:$B$203,MATCH(D102,'Mẻ sữa'!$C$4:$C$203,0)),"")</f>
        <v/>
      </c>
      <c r="F102" s="66">
        <f t="array" ref="F102">IF(B102="",0,INDEX('Bán nhanh'!$D$4:$M$103,INT((ROW()-4)/10)+1,MOD(ROW()-4,10)+1))</f>
        <v>0</v>
      </c>
      <c r="G102" s="46">
        <f t="array" ref="G102">IFERROR(INDEX('Sản phẩm'!$F$4:$F$103,MATCH(B102,'Sản phẩm'!$D$4:$D$103,0)),0)</f>
        <v>0</v>
      </c>
      <c r="H102" s="67">
        <f t="shared" si="5"/>
        <v>0</v>
      </c>
      <c r="I102" s="46">
        <f t="shared" si="1"/>
        <v>0</v>
      </c>
      <c r="J102" s="46">
        <f t="array" ref="J102">IFERROR(INDEX('Sản phẩm'!$G$4:$G$103,MATCH(B102,'Sản phẩm'!$D$4:$D$103,0)),0)</f>
        <v>0</v>
      </c>
      <c r="K102" s="46">
        <f t="array" ref="K102">IFERROR(J102*INDEX('Mẻ sữa'!$N$4:$N$203,MATCH(D102,'Mẻ sữa'!$C$4:$C$203,0)),0)</f>
        <v>0</v>
      </c>
      <c r="L102" s="46">
        <f t="array" ref="L102">IFERROR(INDEX('Sản phẩm'!$I$4:$I$103,MATCH(B102,'Sản phẩm'!$D$4:$D$103,0)),0)</f>
        <v>0</v>
      </c>
      <c r="M102" s="72" t="str">
        <f t="array" ref="M102">IFERROR(INDEX('Sản phẩm'!$J$4:$J$103,MATCH(B102,'Sản phẩm'!$D$4:$D$103,0)),0)</f>
        <v/>
      </c>
      <c r="N102" s="46">
        <f>IF(B102="",0,(K102+L102+M102)*'Thiết lập'!$B$8)</f>
        <v>0</v>
      </c>
      <c r="O102" s="46">
        <f t="shared" si="2"/>
        <v>0</v>
      </c>
      <c r="P102" s="46">
        <f t="shared" si="3"/>
        <v>0</v>
      </c>
      <c r="Q102" s="46">
        <f t="shared" si="4"/>
        <v>0</v>
      </c>
      <c r="R102" s="71" t="str">
        <f t="array" ref="R102">IF(B102="","",INDEX('Bán nhanh'!$C$4:$C$103,INT((ROW()-4)/10)+1))</f>
        <v/>
      </c>
      <c r="S102" s="71" t="str">
        <f t="array" ref="S102">IF(B102="","",INDEX('Bán nhanh'!$P$4:$P$103,INT((ROW()-4)/10)+1))</f>
        <v/>
      </c>
      <c r="T102" s="58"/>
      <c r="U102" s="68" t="str">
        <f>IF('Mẻ sữa'!F103&lt;&gt;"",'Mẻ sữa'!F103,"")</f>
        <v/>
      </c>
      <c r="V102" s="68"/>
      <c r="W102" s="87"/>
      <c r="X102" s="36"/>
      <c r="Y102" s="36"/>
      <c r="Z102" s="36"/>
    </row>
    <row r="103" ht="15.75" customHeight="1">
      <c r="A103" s="70" t="str">
        <f t="array" ref="A103">IF(B103="","",INDEX('Bán nhanh'!$A$4:$A$103,INT((ROW()-4)/10)+1))</f>
        <v/>
      </c>
      <c r="B103" s="71" t="str">
        <f t="array" ref="B103">IF(OR(INDEX('Bán nhanh'!$D$3:$M$3,1,MOD(ROW()-4,10)+1)="",INDEX('Bán nhanh'!$D$4:$M$103,INT((ROW()-4)/10)+1,MOD(ROW()-4,10)+1)&lt;=0),"",INDEX('Bán nhanh'!$D$3:$M$3,1,MOD(ROW()-4,10)+1))</f>
        <v/>
      </c>
      <c r="C103" s="58" t="str">
        <f t="array" ref="C103">IFERROR(INDEX('Sản phẩm'!$A$4:$A$103,MATCH(B103,'Sản phẩm'!$D$4:$D$103,0)),"")</f>
        <v/>
      </c>
      <c r="D103" s="71" t="str">
        <f t="array" ref="D103">IF(B103="","",INDEX('Bán nhanh'!$B$4:$B$103,INT((ROW()-4)/10)+1))</f>
        <v/>
      </c>
      <c r="E103" s="58" t="str">
        <f t="array" ref="E103">IFERROR(INDEX('Mẻ sữa'!$B$4:$B$203,MATCH(D103,'Mẻ sữa'!$C$4:$C$203,0)),"")</f>
        <v/>
      </c>
      <c r="F103" s="66">
        <f t="array" ref="F103">IF(B103="",0,INDEX('Bán nhanh'!$D$4:$M$103,INT((ROW()-4)/10)+1,MOD(ROW()-4,10)+1))</f>
        <v>0</v>
      </c>
      <c r="G103" s="46">
        <f t="array" ref="G103">IFERROR(INDEX('Sản phẩm'!$F$4:$F$103,MATCH(B103,'Sản phẩm'!$D$4:$D$103,0)),0)</f>
        <v>0</v>
      </c>
      <c r="H103" s="67">
        <f t="shared" si="5"/>
        <v>0</v>
      </c>
      <c r="I103" s="46">
        <f t="shared" si="1"/>
        <v>0</v>
      </c>
      <c r="J103" s="46">
        <f t="array" ref="J103">IFERROR(INDEX('Sản phẩm'!$G$4:$G$103,MATCH(B103,'Sản phẩm'!$D$4:$D$103,0)),0)</f>
        <v>0</v>
      </c>
      <c r="K103" s="46">
        <f t="array" ref="K103">IFERROR(J103*INDEX('Mẻ sữa'!$N$4:$N$203,MATCH(D103,'Mẻ sữa'!$C$4:$C$203,0)),0)</f>
        <v>0</v>
      </c>
      <c r="L103" s="46">
        <f t="array" ref="L103">IFERROR(INDEX('Sản phẩm'!$I$4:$I$103,MATCH(B103,'Sản phẩm'!$D$4:$D$103,0)),0)</f>
        <v>0</v>
      </c>
      <c r="M103" s="72" t="str">
        <f t="array" ref="M103">IFERROR(INDEX('Sản phẩm'!$J$4:$J$103,MATCH(B103,'Sản phẩm'!$D$4:$D$103,0)),0)</f>
        <v/>
      </c>
      <c r="N103" s="46">
        <f>IF(B103="",0,(K103+L103+M103)*'Thiết lập'!$B$8)</f>
        <v>0</v>
      </c>
      <c r="O103" s="46">
        <f t="shared" si="2"/>
        <v>0</v>
      </c>
      <c r="P103" s="46">
        <f t="shared" si="3"/>
        <v>0</v>
      </c>
      <c r="Q103" s="46">
        <f t="shared" si="4"/>
        <v>0</v>
      </c>
      <c r="R103" s="71" t="str">
        <f t="array" ref="R103">IF(B103="","",INDEX('Bán nhanh'!$C$4:$C$103,INT((ROW()-4)/10)+1))</f>
        <v/>
      </c>
      <c r="S103" s="71" t="str">
        <f t="array" ref="S103">IF(B103="","",INDEX('Bán nhanh'!$P$4:$P$103,INT((ROW()-4)/10)+1))</f>
        <v/>
      </c>
      <c r="T103" s="58"/>
      <c r="U103" s="68" t="str">
        <f>IF('Mẻ sữa'!F104&lt;&gt;"",'Mẻ sữa'!F104,"")</f>
        <v/>
      </c>
      <c r="V103" s="68"/>
      <c r="W103" s="87"/>
      <c r="X103" s="36"/>
      <c r="Y103" s="36"/>
      <c r="Z103" s="36"/>
    </row>
    <row r="104" ht="15.75" customHeight="1">
      <c r="A104" s="70" t="str">
        <f t="array" ref="A104">IF(B104="","",INDEX('Bán nhanh'!$A$4:$A$103,INT((ROW()-4)/10)+1))</f>
        <v/>
      </c>
      <c r="B104" s="71" t="str">
        <f t="array" ref="B104">IF(OR(INDEX('Bán nhanh'!$D$3:$M$3,1,MOD(ROW()-4,10)+1)="",INDEX('Bán nhanh'!$D$4:$M$103,INT((ROW()-4)/10)+1,MOD(ROW()-4,10)+1)&lt;=0),"",INDEX('Bán nhanh'!$D$3:$M$3,1,MOD(ROW()-4,10)+1))</f>
        <v/>
      </c>
      <c r="C104" s="58" t="str">
        <f t="array" ref="C104">IFERROR(INDEX('Sản phẩm'!$A$4:$A$103,MATCH(B104,'Sản phẩm'!$D$4:$D$103,0)),"")</f>
        <v/>
      </c>
      <c r="D104" s="71" t="str">
        <f t="array" ref="D104">IF(B104="","",INDEX('Bán nhanh'!$B$4:$B$103,INT((ROW()-4)/10)+1))</f>
        <v/>
      </c>
      <c r="E104" s="58" t="str">
        <f t="array" ref="E104">IFERROR(INDEX('Mẻ sữa'!$B$4:$B$203,MATCH(D104,'Mẻ sữa'!$C$4:$C$203,0)),"")</f>
        <v/>
      </c>
      <c r="F104" s="66">
        <f t="array" ref="F104">IF(B104="",0,INDEX('Bán nhanh'!$D$4:$M$103,INT((ROW()-4)/10)+1,MOD(ROW()-4,10)+1))</f>
        <v>0</v>
      </c>
      <c r="G104" s="46">
        <f t="array" ref="G104">IFERROR(INDEX('Sản phẩm'!$F$4:$F$103,MATCH(B104,'Sản phẩm'!$D$4:$D$103,0)),0)</f>
        <v>0</v>
      </c>
      <c r="H104" s="67">
        <f t="shared" si="5"/>
        <v>0</v>
      </c>
      <c r="I104" s="46">
        <f t="shared" si="1"/>
        <v>0</v>
      </c>
      <c r="J104" s="46">
        <f t="array" ref="J104">IFERROR(INDEX('Sản phẩm'!$G$4:$G$103,MATCH(B104,'Sản phẩm'!$D$4:$D$103,0)),0)</f>
        <v>0</v>
      </c>
      <c r="K104" s="46">
        <f t="array" ref="K104">IFERROR(J104*INDEX('Mẻ sữa'!$N$4:$N$203,MATCH(D104,'Mẻ sữa'!$C$4:$C$203,0)),0)</f>
        <v>0</v>
      </c>
      <c r="L104" s="46">
        <f t="array" ref="L104">IFERROR(INDEX('Sản phẩm'!$I$4:$I$103,MATCH(B104,'Sản phẩm'!$D$4:$D$103,0)),0)</f>
        <v>0</v>
      </c>
      <c r="M104" s="72" t="str">
        <f t="array" ref="M104">IFERROR(INDEX('Sản phẩm'!$J$4:$J$103,MATCH(B104,'Sản phẩm'!$D$4:$D$103,0)),0)</f>
        <v/>
      </c>
      <c r="N104" s="46">
        <f>IF(B104="",0,(K104+L104+M104)*'Thiết lập'!$B$8)</f>
        <v>0</v>
      </c>
      <c r="O104" s="46">
        <f t="shared" si="2"/>
        <v>0</v>
      </c>
      <c r="P104" s="46">
        <f t="shared" si="3"/>
        <v>0</v>
      </c>
      <c r="Q104" s="46">
        <f t="shared" si="4"/>
        <v>0</v>
      </c>
      <c r="R104" s="71" t="str">
        <f t="array" ref="R104">IF(B104="","",INDEX('Bán nhanh'!$C$4:$C$103,INT((ROW()-4)/10)+1))</f>
        <v/>
      </c>
      <c r="S104" s="71" t="str">
        <f t="array" ref="S104">IF(B104="","",INDEX('Bán nhanh'!$P$4:$P$103,INT((ROW()-4)/10)+1))</f>
        <v/>
      </c>
      <c r="T104" s="58"/>
      <c r="U104" s="68" t="str">
        <f>IF('Mẻ sữa'!F105&lt;&gt;"",'Mẻ sữa'!F105,"")</f>
        <v/>
      </c>
      <c r="V104" s="68"/>
      <c r="W104" s="87"/>
      <c r="X104" s="36"/>
      <c r="Y104" s="36"/>
      <c r="Z104" s="36"/>
    </row>
    <row r="105" ht="15.75" customHeight="1">
      <c r="A105" s="70" t="str">
        <f t="array" ref="A105">IF(B105="","",INDEX('Bán nhanh'!$A$4:$A$103,INT((ROW()-4)/10)+1))</f>
        <v/>
      </c>
      <c r="B105" s="71" t="str">
        <f t="array" ref="B105">IF(OR(INDEX('Bán nhanh'!$D$3:$M$3,1,MOD(ROW()-4,10)+1)="",INDEX('Bán nhanh'!$D$4:$M$103,INT((ROW()-4)/10)+1,MOD(ROW()-4,10)+1)&lt;=0),"",INDEX('Bán nhanh'!$D$3:$M$3,1,MOD(ROW()-4,10)+1))</f>
        <v/>
      </c>
      <c r="C105" s="58" t="str">
        <f t="array" ref="C105">IFERROR(INDEX('Sản phẩm'!$A$4:$A$103,MATCH(B105,'Sản phẩm'!$D$4:$D$103,0)),"")</f>
        <v/>
      </c>
      <c r="D105" s="71" t="str">
        <f t="array" ref="D105">IF(B105="","",INDEX('Bán nhanh'!$B$4:$B$103,INT((ROW()-4)/10)+1))</f>
        <v/>
      </c>
      <c r="E105" s="58" t="str">
        <f t="array" ref="E105">IFERROR(INDEX('Mẻ sữa'!$B$4:$B$203,MATCH(D105,'Mẻ sữa'!$C$4:$C$203,0)),"")</f>
        <v/>
      </c>
      <c r="F105" s="66">
        <f t="array" ref="F105">IF(B105="",0,INDEX('Bán nhanh'!$D$4:$M$103,INT((ROW()-4)/10)+1,MOD(ROW()-4,10)+1))</f>
        <v>0</v>
      </c>
      <c r="G105" s="46">
        <f t="array" ref="G105">IFERROR(INDEX('Sản phẩm'!$F$4:$F$103,MATCH(B105,'Sản phẩm'!$D$4:$D$103,0)),0)</f>
        <v>0</v>
      </c>
      <c r="H105" s="67">
        <f t="shared" si="5"/>
        <v>0</v>
      </c>
      <c r="I105" s="46">
        <f t="shared" si="1"/>
        <v>0</v>
      </c>
      <c r="J105" s="46">
        <f t="array" ref="J105">IFERROR(INDEX('Sản phẩm'!$G$4:$G$103,MATCH(B105,'Sản phẩm'!$D$4:$D$103,0)),0)</f>
        <v>0</v>
      </c>
      <c r="K105" s="46">
        <f t="array" ref="K105">IFERROR(J105*INDEX('Mẻ sữa'!$N$4:$N$203,MATCH(D105,'Mẻ sữa'!$C$4:$C$203,0)),0)</f>
        <v>0</v>
      </c>
      <c r="L105" s="46">
        <f t="array" ref="L105">IFERROR(INDEX('Sản phẩm'!$I$4:$I$103,MATCH(B105,'Sản phẩm'!$D$4:$D$103,0)),0)</f>
        <v>0</v>
      </c>
      <c r="M105" s="72" t="str">
        <f t="array" ref="M105">IFERROR(INDEX('Sản phẩm'!$J$4:$J$103,MATCH(B105,'Sản phẩm'!$D$4:$D$103,0)),0)</f>
        <v/>
      </c>
      <c r="N105" s="46">
        <f>IF(B105="",0,(K105+L105+M105)*'Thiết lập'!$B$8)</f>
        <v>0</v>
      </c>
      <c r="O105" s="46">
        <f t="shared" si="2"/>
        <v>0</v>
      </c>
      <c r="P105" s="46">
        <f t="shared" si="3"/>
        <v>0</v>
      </c>
      <c r="Q105" s="46">
        <f t="shared" si="4"/>
        <v>0</v>
      </c>
      <c r="R105" s="71" t="str">
        <f t="array" ref="R105">IF(B105="","",INDEX('Bán nhanh'!$C$4:$C$103,INT((ROW()-4)/10)+1))</f>
        <v/>
      </c>
      <c r="S105" s="71" t="str">
        <f t="array" ref="S105">IF(B105="","",INDEX('Bán nhanh'!$P$4:$P$103,INT((ROW()-4)/10)+1))</f>
        <v/>
      </c>
      <c r="T105" s="58"/>
      <c r="U105" s="68" t="str">
        <f>IF('Mẻ sữa'!F106&lt;&gt;"",'Mẻ sữa'!F106,"")</f>
        <v/>
      </c>
      <c r="V105" s="68"/>
      <c r="W105" s="87"/>
      <c r="X105" s="36"/>
      <c r="Y105" s="36"/>
      <c r="Z105" s="36"/>
    </row>
    <row r="106" ht="15.75" customHeight="1">
      <c r="A106" s="70" t="str">
        <f t="array" ref="A106">IF(B106="","",INDEX('Bán nhanh'!$A$4:$A$103,INT((ROW()-4)/10)+1))</f>
        <v/>
      </c>
      <c r="B106" s="71" t="str">
        <f t="array" ref="B106">IF(OR(INDEX('Bán nhanh'!$D$3:$M$3,1,MOD(ROW()-4,10)+1)="",INDEX('Bán nhanh'!$D$4:$M$103,INT((ROW()-4)/10)+1,MOD(ROW()-4,10)+1)&lt;=0),"",INDEX('Bán nhanh'!$D$3:$M$3,1,MOD(ROW()-4,10)+1))</f>
        <v/>
      </c>
      <c r="C106" s="58" t="str">
        <f t="array" ref="C106">IFERROR(INDEX('Sản phẩm'!$A$4:$A$103,MATCH(B106,'Sản phẩm'!$D$4:$D$103,0)),"")</f>
        <v/>
      </c>
      <c r="D106" s="71" t="str">
        <f t="array" ref="D106">IF(B106="","",INDEX('Bán nhanh'!$B$4:$B$103,INT((ROW()-4)/10)+1))</f>
        <v/>
      </c>
      <c r="E106" s="58" t="str">
        <f t="array" ref="E106">IFERROR(INDEX('Mẻ sữa'!$B$4:$B$203,MATCH(D106,'Mẻ sữa'!$C$4:$C$203,0)),"")</f>
        <v/>
      </c>
      <c r="F106" s="66">
        <f t="array" ref="F106">IF(B106="",0,INDEX('Bán nhanh'!$D$4:$M$103,INT((ROW()-4)/10)+1,MOD(ROW()-4,10)+1))</f>
        <v>0</v>
      </c>
      <c r="G106" s="46">
        <f t="array" ref="G106">IFERROR(INDEX('Sản phẩm'!$F$4:$F$103,MATCH(B106,'Sản phẩm'!$D$4:$D$103,0)),0)</f>
        <v>0</v>
      </c>
      <c r="H106" s="67">
        <f t="shared" si="5"/>
        <v>0</v>
      </c>
      <c r="I106" s="46">
        <f t="shared" si="1"/>
        <v>0</v>
      </c>
      <c r="J106" s="46">
        <f t="array" ref="J106">IFERROR(INDEX('Sản phẩm'!$G$4:$G$103,MATCH(B106,'Sản phẩm'!$D$4:$D$103,0)),0)</f>
        <v>0</v>
      </c>
      <c r="K106" s="46">
        <f t="array" ref="K106">IFERROR(J106*INDEX('Mẻ sữa'!$N$4:$N$203,MATCH(D106,'Mẻ sữa'!$C$4:$C$203,0)),0)</f>
        <v>0</v>
      </c>
      <c r="L106" s="46">
        <f t="array" ref="L106">IFERROR(INDEX('Sản phẩm'!$I$4:$I$103,MATCH(B106,'Sản phẩm'!$D$4:$D$103,0)),0)</f>
        <v>0</v>
      </c>
      <c r="M106" s="72" t="str">
        <f t="array" ref="M106">IFERROR(INDEX('Sản phẩm'!$J$4:$J$103,MATCH(B106,'Sản phẩm'!$D$4:$D$103,0)),0)</f>
        <v/>
      </c>
      <c r="N106" s="46">
        <f>IF(B106="",0,(K106+L106+M106)*'Thiết lập'!$B$8)</f>
        <v>0</v>
      </c>
      <c r="O106" s="46">
        <f t="shared" si="2"/>
        <v>0</v>
      </c>
      <c r="P106" s="46">
        <f t="shared" si="3"/>
        <v>0</v>
      </c>
      <c r="Q106" s="46">
        <f t="shared" si="4"/>
        <v>0</v>
      </c>
      <c r="R106" s="71" t="str">
        <f t="array" ref="R106">IF(B106="","",INDEX('Bán nhanh'!$C$4:$C$103,INT((ROW()-4)/10)+1))</f>
        <v/>
      </c>
      <c r="S106" s="71" t="str">
        <f t="array" ref="S106">IF(B106="","",INDEX('Bán nhanh'!$P$4:$P$103,INT((ROW()-4)/10)+1))</f>
        <v/>
      </c>
      <c r="T106" s="58"/>
      <c r="U106" s="68" t="str">
        <f>IF('Mẻ sữa'!F107&lt;&gt;"",'Mẻ sữa'!F107,"")</f>
        <v/>
      </c>
      <c r="V106" s="68"/>
      <c r="W106" s="87"/>
      <c r="X106" s="36"/>
      <c r="Y106" s="36"/>
      <c r="Z106" s="36"/>
    </row>
    <row r="107" ht="15.75" customHeight="1">
      <c r="A107" s="70" t="str">
        <f t="array" ref="A107">IF(B107="","",INDEX('Bán nhanh'!$A$4:$A$103,INT((ROW()-4)/10)+1))</f>
        <v/>
      </c>
      <c r="B107" s="71" t="str">
        <f t="array" ref="B107">IF(OR(INDEX('Bán nhanh'!$D$3:$M$3,1,MOD(ROW()-4,10)+1)="",INDEX('Bán nhanh'!$D$4:$M$103,INT((ROW()-4)/10)+1,MOD(ROW()-4,10)+1)&lt;=0),"",INDEX('Bán nhanh'!$D$3:$M$3,1,MOD(ROW()-4,10)+1))</f>
        <v/>
      </c>
      <c r="C107" s="58" t="str">
        <f t="array" ref="C107">IFERROR(INDEX('Sản phẩm'!$A$4:$A$103,MATCH(B107,'Sản phẩm'!$D$4:$D$103,0)),"")</f>
        <v/>
      </c>
      <c r="D107" s="71" t="str">
        <f t="array" ref="D107">IF(B107="","",INDEX('Bán nhanh'!$B$4:$B$103,INT((ROW()-4)/10)+1))</f>
        <v/>
      </c>
      <c r="E107" s="58" t="str">
        <f t="array" ref="E107">IFERROR(INDEX('Mẻ sữa'!$B$4:$B$203,MATCH(D107,'Mẻ sữa'!$C$4:$C$203,0)),"")</f>
        <v/>
      </c>
      <c r="F107" s="66">
        <f t="array" ref="F107">IF(B107="",0,INDEX('Bán nhanh'!$D$4:$M$103,INT((ROW()-4)/10)+1,MOD(ROW()-4,10)+1))</f>
        <v>0</v>
      </c>
      <c r="G107" s="46">
        <f t="array" ref="G107">IFERROR(INDEX('Sản phẩm'!$F$4:$F$103,MATCH(B107,'Sản phẩm'!$D$4:$D$103,0)),0)</f>
        <v>0</v>
      </c>
      <c r="H107" s="67">
        <f t="shared" si="5"/>
        <v>0</v>
      </c>
      <c r="I107" s="46">
        <f t="shared" si="1"/>
        <v>0</v>
      </c>
      <c r="J107" s="46">
        <f t="array" ref="J107">IFERROR(INDEX('Sản phẩm'!$G$4:$G$103,MATCH(B107,'Sản phẩm'!$D$4:$D$103,0)),0)</f>
        <v>0</v>
      </c>
      <c r="K107" s="46">
        <f t="array" ref="K107">IFERROR(J107*INDEX('Mẻ sữa'!$N$4:$N$203,MATCH(D107,'Mẻ sữa'!$C$4:$C$203,0)),0)</f>
        <v>0</v>
      </c>
      <c r="L107" s="46">
        <f t="array" ref="L107">IFERROR(INDEX('Sản phẩm'!$I$4:$I$103,MATCH(B107,'Sản phẩm'!$D$4:$D$103,0)),0)</f>
        <v>0</v>
      </c>
      <c r="M107" s="72" t="str">
        <f t="array" ref="M107">IFERROR(INDEX('Sản phẩm'!$J$4:$J$103,MATCH(B107,'Sản phẩm'!$D$4:$D$103,0)),0)</f>
        <v/>
      </c>
      <c r="N107" s="46">
        <f>IF(B107="",0,(K107+L107+M107)*'Thiết lập'!$B$8)</f>
        <v>0</v>
      </c>
      <c r="O107" s="46">
        <f t="shared" si="2"/>
        <v>0</v>
      </c>
      <c r="P107" s="46">
        <f t="shared" si="3"/>
        <v>0</v>
      </c>
      <c r="Q107" s="46">
        <f t="shared" si="4"/>
        <v>0</v>
      </c>
      <c r="R107" s="71" t="str">
        <f t="array" ref="R107">IF(B107="","",INDEX('Bán nhanh'!$C$4:$C$103,INT((ROW()-4)/10)+1))</f>
        <v/>
      </c>
      <c r="S107" s="71" t="str">
        <f t="array" ref="S107">IF(B107="","",INDEX('Bán nhanh'!$P$4:$P$103,INT((ROW()-4)/10)+1))</f>
        <v/>
      </c>
      <c r="T107" s="58"/>
      <c r="U107" s="68" t="str">
        <f>IF('Mẻ sữa'!F108&lt;&gt;"",'Mẻ sữa'!F108,"")</f>
        <v/>
      </c>
      <c r="V107" s="68"/>
      <c r="W107" s="87"/>
      <c r="X107" s="36"/>
      <c r="Y107" s="36"/>
      <c r="Z107" s="36"/>
    </row>
    <row r="108" ht="15.75" customHeight="1">
      <c r="A108" s="70" t="str">
        <f t="array" ref="A108">IF(B108="","",INDEX('Bán nhanh'!$A$4:$A$103,INT((ROW()-4)/10)+1))</f>
        <v/>
      </c>
      <c r="B108" s="71" t="str">
        <f t="array" ref="B108">IF(OR(INDEX('Bán nhanh'!$D$3:$M$3,1,MOD(ROW()-4,10)+1)="",INDEX('Bán nhanh'!$D$4:$M$103,INT((ROW()-4)/10)+1,MOD(ROW()-4,10)+1)&lt;=0),"",INDEX('Bán nhanh'!$D$3:$M$3,1,MOD(ROW()-4,10)+1))</f>
        <v/>
      </c>
      <c r="C108" s="58" t="str">
        <f t="array" ref="C108">IFERROR(INDEX('Sản phẩm'!$A$4:$A$103,MATCH(B108,'Sản phẩm'!$D$4:$D$103,0)),"")</f>
        <v/>
      </c>
      <c r="D108" s="71" t="str">
        <f t="array" ref="D108">IF(B108="","",INDEX('Bán nhanh'!$B$4:$B$103,INT((ROW()-4)/10)+1))</f>
        <v/>
      </c>
      <c r="E108" s="58" t="str">
        <f t="array" ref="E108">IFERROR(INDEX('Mẻ sữa'!$B$4:$B$203,MATCH(D108,'Mẻ sữa'!$C$4:$C$203,0)),"")</f>
        <v/>
      </c>
      <c r="F108" s="66">
        <f t="array" ref="F108">IF(B108="",0,INDEX('Bán nhanh'!$D$4:$M$103,INT((ROW()-4)/10)+1,MOD(ROW()-4,10)+1))</f>
        <v>0</v>
      </c>
      <c r="G108" s="46">
        <f t="array" ref="G108">IFERROR(INDEX('Sản phẩm'!$F$4:$F$103,MATCH(B108,'Sản phẩm'!$D$4:$D$103,0)),0)</f>
        <v>0</v>
      </c>
      <c r="H108" s="67">
        <f t="shared" si="5"/>
        <v>0</v>
      </c>
      <c r="I108" s="46">
        <f t="shared" si="1"/>
        <v>0</v>
      </c>
      <c r="J108" s="46">
        <f t="array" ref="J108">IFERROR(INDEX('Sản phẩm'!$G$4:$G$103,MATCH(B108,'Sản phẩm'!$D$4:$D$103,0)),0)</f>
        <v>0</v>
      </c>
      <c r="K108" s="46">
        <f t="array" ref="K108">IFERROR(J108*INDEX('Mẻ sữa'!$N$4:$N$203,MATCH(D108,'Mẻ sữa'!$C$4:$C$203,0)),0)</f>
        <v>0</v>
      </c>
      <c r="L108" s="46">
        <f t="array" ref="L108">IFERROR(INDEX('Sản phẩm'!$I$4:$I$103,MATCH(B108,'Sản phẩm'!$D$4:$D$103,0)),0)</f>
        <v>0</v>
      </c>
      <c r="M108" s="72" t="str">
        <f t="array" ref="M108">IFERROR(INDEX('Sản phẩm'!$J$4:$J$103,MATCH(B108,'Sản phẩm'!$D$4:$D$103,0)),0)</f>
        <v/>
      </c>
      <c r="N108" s="46">
        <f>IF(B108="",0,(K108+L108+M108)*'Thiết lập'!$B$8)</f>
        <v>0</v>
      </c>
      <c r="O108" s="46">
        <f t="shared" si="2"/>
        <v>0</v>
      </c>
      <c r="P108" s="46">
        <f t="shared" si="3"/>
        <v>0</v>
      </c>
      <c r="Q108" s="46">
        <f t="shared" si="4"/>
        <v>0</v>
      </c>
      <c r="R108" s="71" t="str">
        <f t="array" ref="R108">IF(B108="","",INDEX('Bán nhanh'!$C$4:$C$103,INT((ROW()-4)/10)+1))</f>
        <v/>
      </c>
      <c r="S108" s="71" t="str">
        <f t="array" ref="S108">IF(B108="","",INDEX('Bán nhanh'!$P$4:$P$103,INT((ROW()-4)/10)+1))</f>
        <v/>
      </c>
      <c r="T108" s="58"/>
      <c r="U108" s="68" t="str">
        <f>IF('Mẻ sữa'!F109&lt;&gt;"",'Mẻ sữa'!F109,"")</f>
        <v/>
      </c>
      <c r="V108" s="68"/>
      <c r="W108" s="87"/>
      <c r="X108" s="36"/>
      <c r="Y108" s="36"/>
      <c r="Z108" s="36"/>
    </row>
    <row r="109" ht="15.75" customHeight="1">
      <c r="A109" s="70" t="str">
        <f t="array" ref="A109">IF(B109="","",INDEX('Bán nhanh'!$A$4:$A$103,INT((ROW()-4)/10)+1))</f>
        <v/>
      </c>
      <c r="B109" s="71" t="str">
        <f t="array" ref="B109">IF(OR(INDEX('Bán nhanh'!$D$3:$M$3,1,MOD(ROW()-4,10)+1)="",INDEX('Bán nhanh'!$D$4:$M$103,INT((ROW()-4)/10)+1,MOD(ROW()-4,10)+1)&lt;=0),"",INDEX('Bán nhanh'!$D$3:$M$3,1,MOD(ROW()-4,10)+1))</f>
        <v/>
      </c>
      <c r="C109" s="58" t="str">
        <f t="array" ref="C109">IFERROR(INDEX('Sản phẩm'!$A$4:$A$103,MATCH(B109,'Sản phẩm'!$D$4:$D$103,0)),"")</f>
        <v/>
      </c>
      <c r="D109" s="71" t="str">
        <f t="array" ref="D109">IF(B109="","",INDEX('Bán nhanh'!$B$4:$B$103,INT((ROW()-4)/10)+1))</f>
        <v/>
      </c>
      <c r="E109" s="58" t="str">
        <f t="array" ref="E109">IFERROR(INDEX('Mẻ sữa'!$B$4:$B$203,MATCH(D109,'Mẻ sữa'!$C$4:$C$203,0)),"")</f>
        <v/>
      </c>
      <c r="F109" s="66">
        <f t="array" ref="F109">IF(B109="",0,INDEX('Bán nhanh'!$D$4:$M$103,INT((ROW()-4)/10)+1,MOD(ROW()-4,10)+1))</f>
        <v>0</v>
      </c>
      <c r="G109" s="46">
        <f t="array" ref="G109">IFERROR(INDEX('Sản phẩm'!$F$4:$F$103,MATCH(B109,'Sản phẩm'!$D$4:$D$103,0)),0)</f>
        <v>0</v>
      </c>
      <c r="H109" s="67">
        <f t="shared" si="5"/>
        <v>0</v>
      </c>
      <c r="I109" s="46">
        <f t="shared" si="1"/>
        <v>0</v>
      </c>
      <c r="J109" s="46">
        <f t="array" ref="J109">IFERROR(INDEX('Sản phẩm'!$G$4:$G$103,MATCH(B109,'Sản phẩm'!$D$4:$D$103,0)),0)</f>
        <v>0</v>
      </c>
      <c r="K109" s="46">
        <f t="array" ref="K109">IFERROR(J109*INDEX('Mẻ sữa'!$N$4:$N$203,MATCH(D109,'Mẻ sữa'!$C$4:$C$203,0)),0)</f>
        <v>0</v>
      </c>
      <c r="L109" s="46">
        <f t="array" ref="L109">IFERROR(INDEX('Sản phẩm'!$I$4:$I$103,MATCH(B109,'Sản phẩm'!$D$4:$D$103,0)),0)</f>
        <v>0</v>
      </c>
      <c r="M109" s="72" t="str">
        <f t="array" ref="M109">IFERROR(INDEX('Sản phẩm'!$J$4:$J$103,MATCH(B109,'Sản phẩm'!$D$4:$D$103,0)),0)</f>
        <v/>
      </c>
      <c r="N109" s="46">
        <f>IF(B109="",0,(K109+L109+M109)*'Thiết lập'!$B$8)</f>
        <v>0</v>
      </c>
      <c r="O109" s="46">
        <f t="shared" si="2"/>
        <v>0</v>
      </c>
      <c r="P109" s="46">
        <f t="shared" si="3"/>
        <v>0</v>
      </c>
      <c r="Q109" s="46">
        <f t="shared" si="4"/>
        <v>0</v>
      </c>
      <c r="R109" s="71" t="str">
        <f t="array" ref="R109">IF(B109="","",INDEX('Bán nhanh'!$C$4:$C$103,INT((ROW()-4)/10)+1))</f>
        <v/>
      </c>
      <c r="S109" s="71" t="str">
        <f t="array" ref="S109">IF(B109="","",INDEX('Bán nhanh'!$P$4:$P$103,INT((ROW()-4)/10)+1))</f>
        <v/>
      </c>
      <c r="T109" s="58"/>
      <c r="U109" s="68" t="str">
        <f>IF('Mẻ sữa'!F110&lt;&gt;"",'Mẻ sữa'!F110,"")</f>
        <v/>
      </c>
      <c r="V109" s="68"/>
      <c r="W109" s="87"/>
      <c r="X109" s="36"/>
      <c r="Y109" s="36"/>
      <c r="Z109" s="36"/>
    </row>
    <row r="110" ht="15.75" customHeight="1">
      <c r="A110" s="70" t="str">
        <f t="array" ref="A110">IF(B110="","",INDEX('Bán nhanh'!$A$4:$A$103,INT((ROW()-4)/10)+1))</f>
        <v/>
      </c>
      <c r="B110" s="71" t="str">
        <f t="array" ref="B110">IF(OR(INDEX('Bán nhanh'!$D$3:$M$3,1,MOD(ROW()-4,10)+1)="",INDEX('Bán nhanh'!$D$4:$M$103,INT((ROW()-4)/10)+1,MOD(ROW()-4,10)+1)&lt;=0),"",INDEX('Bán nhanh'!$D$3:$M$3,1,MOD(ROW()-4,10)+1))</f>
        <v/>
      </c>
      <c r="C110" s="58" t="str">
        <f t="array" ref="C110">IFERROR(INDEX('Sản phẩm'!$A$4:$A$103,MATCH(B110,'Sản phẩm'!$D$4:$D$103,0)),"")</f>
        <v/>
      </c>
      <c r="D110" s="71" t="str">
        <f t="array" ref="D110">IF(B110="","",INDEX('Bán nhanh'!$B$4:$B$103,INT((ROW()-4)/10)+1))</f>
        <v/>
      </c>
      <c r="E110" s="58" t="str">
        <f t="array" ref="E110">IFERROR(INDEX('Mẻ sữa'!$B$4:$B$203,MATCH(D110,'Mẻ sữa'!$C$4:$C$203,0)),"")</f>
        <v/>
      </c>
      <c r="F110" s="66">
        <f t="array" ref="F110">IF(B110="",0,INDEX('Bán nhanh'!$D$4:$M$103,INT((ROW()-4)/10)+1,MOD(ROW()-4,10)+1))</f>
        <v>0</v>
      </c>
      <c r="G110" s="46">
        <f t="array" ref="G110">IFERROR(INDEX('Sản phẩm'!$F$4:$F$103,MATCH(B110,'Sản phẩm'!$D$4:$D$103,0)),0)</f>
        <v>0</v>
      </c>
      <c r="H110" s="67">
        <f t="shared" si="5"/>
        <v>0</v>
      </c>
      <c r="I110" s="46">
        <f t="shared" si="1"/>
        <v>0</v>
      </c>
      <c r="J110" s="46">
        <f t="array" ref="J110">IFERROR(INDEX('Sản phẩm'!$G$4:$G$103,MATCH(B110,'Sản phẩm'!$D$4:$D$103,0)),0)</f>
        <v>0</v>
      </c>
      <c r="K110" s="46">
        <f t="array" ref="K110">IFERROR(J110*INDEX('Mẻ sữa'!$N$4:$N$203,MATCH(D110,'Mẻ sữa'!$C$4:$C$203,0)),0)</f>
        <v>0</v>
      </c>
      <c r="L110" s="46">
        <f t="array" ref="L110">IFERROR(INDEX('Sản phẩm'!$I$4:$I$103,MATCH(B110,'Sản phẩm'!$D$4:$D$103,0)),0)</f>
        <v>0</v>
      </c>
      <c r="M110" s="72" t="str">
        <f t="array" ref="M110">IFERROR(INDEX('Sản phẩm'!$J$4:$J$103,MATCH(B110,'Sản phẩm'!$D$4:$D$103,0)),0)</f>
        <v/>
      </c>
      <c r="N110" s="46">
        <f>IF(B110="",0,(K110+L110+M110)*'Thiết lập'!$B$8)</f>
        <v>0</v>
      </c>
      <c r="O110" s="46">
        <f t="shared" si="2"/>
        <v>0</v>
      </c>
      <c r="P110" s="46">
        <f t="shared" si="3"/>
        <v>0</v>
      </c>
      <c r="Q110" s="46">
        <f t="shared" si="4"/>
        <v>0</v>
      </c>
      <c r="R110" s="71" t="str">
        <f t="array" ref="R110">IF(B110="","",INDEX('Bán nhanh'!$C$4:$C$103,INT((ROW()-4)/10)+1))</f>
        <v/>
      </c>
      <c r="S110" s="71" t="str">
        <f t="array" ref="S110">IF(B110="","",INDEX('Bán nhanh'!$P$4:$P$103,INT((ROW()-4)/10)+1))</f>
        <v/>
      </c>
      <c r="T110" s="58"/>
      <c r="U110" s="68" t="str">
        <f>IF('Mẻ sữa'!F111&lt;&gt;"",'Mẻ sữa'!F111,"")</f>
        <v/>
      </c>
      <c r="V110" s="68"/>
      <c r="W110" s="87"/>
      <c r="X110" s="36"/>
      <c r="Y110" s="36"/>
      <c r="Z110" s="36"/>
    </row>
    <row r="111" ht="15.75" customHeight="1">
      <c r="A111" s="70" t="str">
        <f t="array" ref="A111">IF(B111="","",INDEX('Bán nhanh'!$A$4:$A$103,INT((ROW()-4)/10)+1))</f>
        <v/>
      </c>
      <c r="B111" s="71" t="str">
        <f t="array" ref="B111">IF(OR(INDEX('Bán nhanh'!$D$3:$M$3,1,MOD(ROW()-4,10)+1)="",INDEX('Bán nhanh'!$D$4:$M$103,INT((ROW()-4)/10)+1,MOD(ROW()-4,10)+1)&lt;=0),"",INDEX('Bán nhanh'!$D$3:$M$3,1,MOD(ROW()-4,10)+1))</f>
        <v/>
      </c>
      <c r="C111" s="58" t="str">
        <f t="array" ref="C111">IFERROR(INDEX('Sản phẩm'!$A$4:$A$103,MATCH(B111,'Sản phẩm'!$D$4:$D$103,0)),"")</f>
        <v/>
      </c>
      <c r="D111" s="71" t="str">
        <f t="array" ref="D111">IF(B111="","",INDEX('Bán nhanh'!$B$4:$B$103,INT((ROW()-4)/10)+1))</f>
        <v/>
      </c>
      <c r="E111" s="58" t="str">
        <f t="array" ref="E111">IFERROR(INDEX('Mẻ sữa'!$B$4:$B$203,MATCH(D111,'Mẻ sữa'!$C$4:$C$203,0)),"")</f>
        <v/>
      </c>
      <c r="F111" s="66">
        <f t="array" ref="F111">IF(B111="",0,INDEX('Bán nhanh'!$D$4:$M$103,INT((ROW()-4)/10)+1,MOD(ROW()-4,10)+1))</f>
        <v>0</v>
      </c>
      <c r="G111" s="46">
        <f t="array" ref="G111">IFERROR(INDEX('Sản phẩm'!$F$4:$F$103,MATCH(B111,'Sản phẩm'!$D$4:$D$103,0)),0)</f>
        <v>0</v>
      </c>
      <c r="H111" s="67">
        <f t="shared" si="5"/>
        <v>0</v>
      </c>
      <c r="I111" s="46">
        <f t="shared" si="1"/>
        <v>0</v>
      </c>
      <c r="J111" s="46">
        <f t="array" ref="J111">IFERROR(INDEX('Sản phẩm'!$G$4:$G$103,MATCH(B111,'Sản phẩm'!$D$4:$D$103,0)),0)</f>
        <v>0</v>
      </c>
      <c r="K111" s="46">
        <f t="array" ref="K111">IFERROR(J111*INDEX('Mẻ sữa'!$N$4:$N$203,MATCH(D111,'Mẻ sữa'!$C$4:$C$203,0)),0)</f>
        <v>0</v>
      </c>
      <c r="L111" s="46">
        <f t="array" ref="L111">IFERROR(INDEX('Sản phẩm'!$I$4:$I$103,MATCH(B111,'Sản phẩm'!$D$4:$D$103,0)),0)</f>
        <v>0</v>
      </c>
      <c r="M111" s="72" t="str">
        <f t="array" ref="M111">IFERROR(INDEX('Sản phẩm'!$J$4:$J$103,MATCH(B111,'Sản phẩm'!$D$4:$D$103,0)),0)</f>
        <v/>
      </c>
      <c r="N111" s="46">
        <f>IF(B111="",0,(K111+L111+M111)*'Thiết lập'!$B$8)</f>
        <v>0</v>
      </c>
      <c r="O111" s="46">
        <f t="shared" si="2"/>
        <v>0</v>
      </c>
      <c r="P111" s="46">
        <f t="shared" si="3"/>
        <v>0</v>
      </c>
      <c r="Q111" s="46">
        <f t="shared" si="4"/>
        <v>0</v>
      </c>
      <c r="R111" s="71" t="str">
        <f t="array" ref="R111">IF(B111="","",INDEX('Bán nhanh'!$C$4:$C$103,INT((ROW()-4)/10)+1))</f>
        <v/>
      </c>
      <c r="S111" s="71" t="str">
        <f t="array" ref="S111">IF(B111="","",INDEX('Bán nhanh'!$P$4:$P$103,INT((ROW()-4)/10)+1))</f>
        <v/>
      </c>
      <c r="T111" s="58"/>
      <c r="U111" s="68" t="str">
        <f>IF('Mẻ sữa'!F112&lt;&gt;"",'Mẻ sữa'!F112,"")</f>
        <v/>
      </c>
      <c r="V111" s="68"/>
      <c r="W111" s="87"/>
      <c r="X111" s="36"/>
      <c r="Y111" s="36"/>
      <c r="Z111" s="36"/>
    </row>
    <row r="112" ht="15.75" customHeight="1">
      <c r="A112" s="70" t="str">
        <f t="array" ref="A112">IF(B112="","",INDEX('Bán nhanh'!$A$4:$A$103,INT((ROW()-4)/10)+1))</f>
        <v/>
      </c>
      <c r="B112" s="71" t="str">
        <f t="array" ref="B112">IF(OR(INDEX('Bán nhanh'!$D$3:$M$3,1,MOD(ROW()-4,10)+1)="",INDEX('Bán nhanh'!$D$4:$M$103,INT((ROW()-4)/10)+1,MOD(ROW()-4,10)+1)&lt;=0),"",INDEX('Bán nhanh'!$D$3:$M$3,1,MOD(ROW()-4,10)+1))</f>
        <v/>
      </c>
      <c r="C112" s="58" t="str">
        <f t="array" ref="C112">IFERROR(INDEX('Sản phẩm'!$A$4:$A$103,MATCH(B112,'Sản phẩm'!$D$4:$D$103,0)),"")</f>
        <v/>
      </c>
      <c r="D112" s="71" t="str">
        <f t="array" ref="D112">IF(B112="","",INDEX('Bán nhanh'!$B$4:$B$103,INT((ROW()-4)/10)+1))</f>
        <v/>
      </c>
      <c r="E112" s="58" t="str">
        <f t="array" ref="E112">IFERROR(INDEX('Mẻ sữa'!$B$4:$B$203,MATCH(D112,'Mẻ sữa'!$C$4:$C$203,0)),"")</f>
        <v/>
      </c>
      <c r="F112" s="66">
        <f t="array" ref="F112">IF(B112="",0,INDEX('Bán nhanh'!$D$4:$M$103,INT((ROW()-4)/10)+1,MOD(ROW()-4,10)+1))</f>
        <v>0</v>
      </c>
      <c r="G112" s="46">
        <f t="array" ref="G112">IFERROR(INDEX('Sản phẩm'!$F$4:$F$103,MATCH(B112,'Sản phẩm'!$D$4:$D$103,0)),0)</f>
        <v>0</v>
      </c>
      <c r="H112" s="67">
        <f t="shared" si="5"/>
        <v>0</v>
      </c>
      <c r="I112" s="46">
        <f t="shared" si="1"/>
        <v>0</v>
      </c>
      <c r="J112" s="46">
        <f t="array" ref="J112">IFERROR(INDEX('Sản phẩm'!$G$4:$G$103,MATCH(B112,'Sản phẩm'!$D$4:$D$103,0)),0)</f>
        <v>0</v>
      </c>
      <c r="K112" s="46">
        <f t="array" ref="K112">IFERROR(J112*INDEX('Mẻ sữa'!$N$4:$N$203,MATCH(D112,'Mẻ sữa'!$C$4:$C$203,0)),0)</f>
        <v>0</v>
      </c>
      <c r="L112" s="46">
        <f t="array" ref="L112">IFERROR(INDEX('Sản phẩm'!$I$4:$I$103,MATCH(B112,'Sản phẩm'!$D$4:$D$103,0)),0)</f>
        <v>0</v>
      </c>
      <c r="M112" s="72" t="str">
        <f t="array" ref="M112">IFERROR(INDEX('Sản phẩm'!$J$4:$J$103,MATCH(B112,'Sản phẩm'!$D$4:$D$103,0)),0)</f>
        <v/>
      </c>
      <c r="N112" s="46">
        <f>IF(B112="",0,(K112+L112+M112)*'Thiết lập'!$B$8)</f>
        <v>0</v>
      </c>
      <c r="O112" s="46">
        <f t="shared" si="2"/>
        <v>0</v>
      </c>
      <c r="P112" s="46">
        <f t="shared" si="3"/>
        <v>0</v>
      </c>
      <c r="Q112" s="46">
        <f t="shared" si="4"/>
        <v>0</v>
      </c>
      <c r="R112" s="71" t="str">
        <f t="array" ref="R112">IF(B112="","",INDEX('Bán nhanh'!$C$4:$C$103,INT((ROW()-4)/10)+1))</f>
        <v/>
      </c>
      <c r="S112" s="71" t="str">
        <f t="array" ref="S112">IF(B112="","",INDEX('Bán nhanh'!$P$4:$P$103,INT((ROW()-4)/10)+1))</f>
        <v/>
      </c>
      <c r="T112" s="58"/>
      <c r="U112" s="68" t="str">
        <f>IF('Mẻ sữa'!F113&lt;&gt;"",'Mẻ sữa'!F113,"")</f>
        <v/>
      </c>
      <c r="V112" s="68"/>
      <c r="W112" s="87"/>
      <c r="X112" s="36"/>
      <c r="Y112" s="36"/>
      <c r="Z112" s="36"/>
    </row>
    <row r="113" ht="15.75" customHeight="1">
      <c r="A113" s="70" t="str">
        <f t="array" ref="A113">IF(B113="","",INDEX('Bán nhanh'!$A$4:$A$103,INT((ROW()-4)/10)+1))</f>
        <v/>
      </c>
      <c r="B113" s="71" t="str">
        <f t="array" ref="B113">IF(OR(INDEX('Bán nhanh'!$D$3:$M$3,1,MOD(ROW()-4,10)+1)="",INDEX('Bán nhanh'!$D$4:$M$103,INT((ROW()-4)/10)+1,MOD(ROW()-4,10)+1)&lt;=0),"",INDEX('Bán nhanh'!$D$3:$M$3,1,MOD(ROW()-4,10)+1))</f>
        <v/>
      </c>
      <c r="C113" s="58" t="str">
        <f t="array" ref="C113">IFERROR(INDEX('Sản phẩm'!$A$4:$A$103,MATCH(B113,'Sản phẩm'!$D$4:$D$103,0)),"")</f>
        <v/>
      </c>
      <c r="D113" s="71" t="str">
        <f t="array" ref="D113">IF(B113="","",INDEX('Bán nhanh'!$B$4:$B$103,INT((ROW()-4)/10)+1))</f>
        <v/>
      </c>
      <c r="E113" s="58" t="str">
        <f t="array" ref="E113">IFERROR(INDEX('Mẻ sữa'!$B$4:$B$203,MATCH(D113,'Mẻ sữa'!$C$4:$C$203,0)),"")</f>
        <v/>
      </c>
      <c r="F113" s="66">
        <f t="array" ref="F113">IF(B113="",0,INDEX('Bán nhanh'!$D$4:$M$103,INT((ROW()-4)/10)+1,MOD(ROW()-4,10)+1))</f>
        <v>0</v>
      </c>
      <c r="G113" s="46">
        <f t="array" ref="G113">IFERROR(INDEX('Sản phẩm'!$F$4:$F$103,MATCH(B113,'Sản phẩm'!$D$4:$D$103,0)),0)</f>
        <v>0</v>
      </c>
      <c r="H113" s="67">
        <f t="shared" si="5"/>
        <v>0</v>
      </c>
      <c r="I113" s="46">
        <f t="shared" si="1"/>
        <v>0</v>
      </c>
      <c r="J113" s="46">
        <f t="array" ref="J113">IFERROR(INDEX('Sản phẩm'!$G$4:$G$103,MATCH(B113,'Sản phẩm'!$D$4:$D$103,0)),0)</f>
        <v>0</v>
      </c>
      <c r="K113" s="46">
        <f t="array" ref="K113">IFERROR(J113*INDEX('Mẻ sữa'!$N$4:$N$203,MATCH(D113,'Mẻ sữa'!$C$4:$C$203,0)),0)</f>
        <v>0</v>
      </c>
      <c r="L113" s="46">
        <f t="array" ref="L113">IFERROR(INDEX('Sản phẩm'!$I$4:$I$103,MATCH(B113,'Sản phẩm'!$D$4:$D$103,0)),0)</f>
        <v>0</v>
      </c>
      <c r="M113" s="72" t="str">
        <f t="array" ref="M113">IFERROR(INDEX('Sản phẩm'!$J$4:$J$103,MATCH(B113,'Sản phẩm'!$D$4:$D$103,0)),0)</f>
        <v/>
      </c>
      <c r="N113" s="46">
        <f>IF(B113="",0,(K113+L113+M113)*'Thiết lập'!$B$8)</f>
        <v>0</v>
      </c>
      <c r="O113" s="46">
        <f t="shared" si="2"/>
        <v>0</v>
      </c>
      <c r="P113" s="46">
        <f t="shared" si="3"/>
        <v>0</v>
      </c>
      <c r="Q113" s="46">
        <f t="shared" si="4"/>
        <v>0</v>
      </c>
      <c r="R113" s="71" t="str">
        <f t="array" ref="R113">IF(B113="","",INDEX('Bán nhanh'!$C$4:$C$103,INT((ROW()-4)/10)+1))</f>
        <v/>
      </c>
      <c r="S113" s="71" t="str">
        <f t="array" ref="S113">IF(B113="","",INDEX('Bán nhanh'!$P$4:$P$103,INT((ROW()-4)/10)+1))</f>
        <v/>
      </c>
      <c r="T113" s="58"/>
      <c r="U113" s="68" t="str">
        <f>IF('Mẻ sữa'!F114&lt;&gt;"",'Mẻ sữa'!F114,"")</f>
        <v/>
      </c>
      <c r="V113" s="68"/>
      <c r="W113" s="87"/>
      <c r="X113" s="36"/>
      <c r="Y113" s="36"/>
      <c r="Z113" s="36"/>
    </row>
    <row r="114" ht="15.75" customHeight="1">
      <c r="A114" s="70" t="str">
        <f t="array" ref="A114">IF(B114="","",INDEX('Bán nhanh'!$A$4:$A$103,INT((ROW()-4)/10)+1))</f>
        <v/>
      </c>
      <c r="B114" s="71" t="str">
        <f t="array" ref="B114">IF(OR(INDEX('Bán nhanh'!$D$3:$M$3,1,MOD(ROW()-4,10)+1)="",INDEX('Bán nhanh'!$D$4:$M$103,INT((ROW()-4)/10)+1,MOD(ROW()-4,10)+1)&lt;=0),"",INDEX('Bán nhanh'!$D$3:$M$3,1,MOD(ROW()-4,10)+1))</f>
        <v/>
      </c>
      <c r="C114" s="58" t="str">
        <f t="array" ref="C114">IFERROR(INDEX('Sản phẩm'!$A$4:$A$103,MATCH(B114,'Sản phẩm'!$D$4:$D$103,0)),"")</f>
        <v/>
      </c>
      <c r="D114" s="71" t="str">
        <f t="array" ref="D114">IF(B114="","",INDEX('Bán nhanh'!$B$4:$B$103,INT((ROW()-4)/10)+1))</f>
        <v/>
      </c>
      <c r="E114" s="58" t="str">
        <f t="array" ref="E114">IFERROR(INDEX('Mẻ sữa'!$B$4:$B$203,MATCH(D114,'Mẻ sữa'!$C$4:$C$203,0)),"")</f>
        <v/>
      </c>
      <c r="F114" s="66">
        <f t="array" ref="F114">IF(B114="",0,INDEX('Bán nhanh'!$D$4:$M$103,INT((ROW()-4)/10)+1,MOD(ROW()-4,10)+1))</f>
        <v>0</v>
      </c>
      <c r="G114" s="46">
        <f t="array" ref="G114">IFERROR(INDEX('Sản phẩm'!$F$4:$F$103,MATCH(B114,'Sản phẩm'!$D$4:$D$103,0)),0)</f>
        <v>0</v>
      </c>
      <c r="H114" s="67">
        <f t="shared" si="5"/>
        <v>0</v>
      </c>
      <c r="I114" s="46">
        <f t="shared" si="1"/>
        <v>0</v>
      </c>
      <c r="J114" s="46">
        <f t="array" ref="J114">IFERROR(INDEX('Sản phẩm'!$G$4:$G$103,MATCH(B114,'Sản phẩm'!$D$4:$D$103,0)),0)</f>
        <v>0</v>
      </c>
      <c r="K114" s="46">
        <f t="array" ref="K114">IFERROR(J114*INDEX('Mẻ sữa'!$N$4:$N$203,MATCH(D114,'Mẻ sữa'!$C$4:$C$203,0)),0)</f>
        <v>0</v>
      </c>
      <c r="L114" s="46">
        <f t="array" ref="L114">IFERROR(INDEX('Sản phẩm'!$I$4:$I$103,MATCH(B114,'Sản phẩm'!$D$4:$D$103,0)),0)</f>
        <v>0</v>
      </c>
      <c r="M114" s="72" t="str">
        <f t="array" ref="M114">IFERROR(INDEX('Sản phẩm'!$J$4:$J$103,MATCH(B114,'Sản phẩm'!$D$4:$D$103,0)),0)</f>
        <v/>
      </c>
      <c r="N114" s="46">
        <f>IF(B114="",0,(K114+L114+M114)*'Thiết lập'!$B$8)</f>
        <v>0</v>
      </c>
      <c r="O114" s="46">
        <f t="shared" si="2"/>
        <v>0</v>
      </c>
      <c r="P114" s="46">
        <f t="shared" si="3"/>
        <v>0</v>
      </c>
      <c r="Q114" s="46">
        <f t="shared" si="4"/>
        <v>0</v>
      </c>
      <c r="R114" s="71" t="str">
        <f t="array" ref="R114">IF(B114="","",INDEX('Bán nhanh'!$C$4:$C$103,INT((ROW()-4)/10)+1))</f>
        <v/>
      </c>
      <c r="S114" s="71" t="str">
        <f t="array" ref="S114">IF(B114="","",INDEX('Bán nhanh'!$P$4:$P$103,INT((ROW()-4)/10)+1))</f>
        <v/>
      </c>
      <c r="T114" s="58"/>
      <c r="U114" s="68" t="str">
        <f>IF('Mẻ sữa'!F115&lt;&gt;"",'Mẻ sữa'!F115,"")</f>
        <v/>
      </c>
      <c r="V114" s="68"/>
      <c r="W114" s="87"/>
      <c r="X114" s="36"/>
      <c r="Y114" s="36"/>
      <c r="Z114" s="36"/>
    </row>
    <row r="115" ht="15.75" customHeight="1">
      <c r="A115" s="70" t="str">
        <f t="array" ref="A115">IF(B115="","",INDEX('Bán nhanh'!$A$4:$A$103,INT((ROW()-4)/10)+1))</f>
        <v/>
      </c>
      <c r="B115" s="71" t="str">
        <f t="array" ref="B115">IF(OR(INDEX('Bán nhanh'!$D$3:$M$3,1,MOD(ROW()-4,10)+1)="",INDEX('Bán nhanh'!$D$4:$M$103,INT((ROW()-4)/10)+1,MOD(ROW()-4,10)+1)&lt;=0),"",INDEX('Bán nhanh'!$D$3:$M$3,1,MOD(ROW()-4,10)+1))</f>
        <v/>
      </c>
      <c r="C115" s="58" t="str">
        <f t="array" ref="C115">IFERROR(INDEX('Sản phẩm'!$A$4:$A$103,MATCH(B115,'Sản phẩm'!$D$4:$D$103,0)),"")</f>
        <v/>
      </c>
      <c r="D115" s="71" t="str">
        <f t="array" ref="D115">IF(B115="","",INDEX('Bán nhanh'!$B$4:$B$103,INT((ROW()-4)/10)+1))</f>
        <v/>
      </c>
      <c r="E115" s="58" t="str">
        <f t="array" ref="E115">IFERROR(INDEX('Mẻ sữa'!$B$4:$B$203,MATCH(D115,'Mẻ sữa'!$C$4:$C$203,0)),"")</f>
        <v/>
      </c>
      <c r="F115" s="66">
        <f t="array" ref="F115">IF(B115="",0,INDEX('Bán nhanh'!$D$4:$M$103,INT((ROW()-4)/10)+1,MOD(ROW()-4,10)+1))</f>
        <v>0</v>
      </c>
      <c r="G115" s="46">
        <f t="array" ref="G115">IFERROR(INDEX('Sản phẩm'!$F$4:$F$103,MATCH(B115,'Sản phẩm'!$D$4:$D$103,0)),0)</f>
        <v>0</v>
      </c>
      <c r="H115" s="67">
        <f t="shared" si="5"/>
        <v>0</v>
      </c>
      <c r="I115" s="46">
        <f t="shared" si="1"/>
        <v>0</v>
      </c>
      <c r="J115" s="46">
        <f t="array" ref="J115">IFERROR(INDEX('Sản phẩm'!$G$4:$G$103,MATCH(B115,'Sản phẩm'!$D$4:$D$103,0)),0)</f>
        <v>0</v>
      </c>
      <c r="K115" s="46">
        <f t="array" ref="K115">IFERROR(J115*INDEX('Mẻ sữa'!$N$4:$N$203,MATCH(D115,'Mẻ sữa'!$C$4:$C$203,0)),0)</f>
        <v>0</v>
      </c>
      <c r="L115" s="46">
        <f t="array" ref="L115">IFERROR(INDEX('Sản phẩm'!$I$4:$I$103,MATCH(B115,'Sản phẩm'!$D$4:$D$103,0)),0)</f>
        <v>0</v>
      </c>
      <c r="M115" s="72" t="str">
        <f t="array" ref="M115">IFERROR(INDEX('Sản phẩm'!$J$4:$J$103,MATCH(B115,'Sản phẩm'!$D$4:$D$103,0)),0)</f>
        <v/>
      </c>
      <c r="N115" s="46">
        <f>IF(B115="",0,(K115+L115+M115)*'Thiết lập'!$B$8)</f>
        <v>0</v>
      </c>
      <c r="O115" s="46">
        <f t="shared" si="2"/>
        <v>0</v>
      </c>
      <c r="P115" s="46">
        <f t="shared" si="3"/>
        <v>0</v>
      </c>
      <c r="Q115" s="46">
        <f t="shared" si="4"/>
        <v>0</v>
      </c>
      <c r="R115" s="71" t="str">
        <f t="array" ref="R115">IF(B115="","",INDEX('Bán nhanh'!$C$4:$C$103,INT((ROW()-4)/10)+1))</f>
        <v/>
      </c>
      <c r="S115" s="71" t="str">
        <f t="array" ref="S115">IF(B115="","",INDEX('Bán nhanh'!$P$4:$P$103,INT((ROW()-4)/10)+1))</f>
        <v/>
      </c>
      <c r="T115" s="58"/>
      <c r="U115" s="68" t="str">
        <f>IF('Mẻ sữa'!F116&lt;&gt;"",'Mẻ sữa'!F116,"")</f>
        <v/>
      </c>
      <c r="V115" s="68"/>
      <c r="W115" s="87"/>
      <c r="X115" s="36"/>
      <c r="Y115" s="36"/>
      <c r="Z115" s="36"/>
    </row>
    <row r="116" ht="15.75" customHeight="1">
      <c r="A116" s="70" t="str">
        <f t="array" ref="A116">IF(B116="","",INDEX('Bán nhanh'!$A$4:$A$103,INT((ROW()-4)/10)+1))</f>
        <v/>
      </c>
      <c r="B116" s="71" t="str">
        <f t="array" ref="B116">IF(OR(INDEX('Bán nhanh'!$D$3:$M$3,1,MOD(ROW()-4,10)+1)="",INDEX('Bán nhanh'!$D$4:$M$103,INT((ROW()-4)/10)+1,MOD(ROW()-4,10)+1)&lt;=0),"",INDEX('Bán nhanh'!$D$3:$M$3,1,MOD(ROW()-4,10)+1))</f>
        <v/>
      </c>
      <c r="C116" s="58" t="str">
        <f t="array" ref="C116">IFERROR(INDEX('Sản phẩm'!$A$4:$A$103,MATCH(B116,'Sản phẩm'!$D$4:$D$103,0)),"")</f>
        <v/>
      </c>
      <c r="D116" s="71" t="str">
        <f t="array" ref="D116">IF(B116="","",INDEX('Bán nhanh'!$B$4:$B$103,INT((ROW()-4)/10)+1))</f>
        <v/>
      </c>
      <c r="E116" s="58" t="str">
        <f t="array" ref="E116">IFERROR(INDEX('Mẻ sữa'!$B$4:$B$203,MATCH(D116,'Mẻ sữa'!$C$4:$C$203,0)),"")</f>
        <v/>
      </c>
      <c r="F116" s="66">
        <f t="array" ref="F116">IF(B116="",0,INDEX('Bán nhanh'!$D$4:$M$103,INT((ROW()-4)/10)+1,MOD(ROW()-4,10)+1))</f>
        <v>0</v>
      </c>
      <c r="G116" s="46">
        <f t="array" ref="G116">IFERROR(INDEX('Sản phẩm'!$F$4:$F$103,MATCH(B116,'Sản phẩm'!$D$4:$D$103,0)),0)</f>
        <v>0</v>
      </c>
      <c r="H116" s="67">
        <f t="shared" si="5"/>
        <v>0</v>
      </c>
      <c r="I116" s="46">
        <f t="shared" si="1"/>
        <v>0</v>
      </c>
      <c r="J116" s="46">
        <f t="array" ref="J116">IFERROR(INDEX('Sản phẩm'!$G$4:$G$103,MATCH(B116,'Sản phẩm'!$D$4:$D$103,0)),0)</f>
        <v>0</v>
      </c>
      <c r="K116" s="46">
        <f t="array" ref="K116">IFERROR(J116*INDEX('Mẻ sữa'!$N$4:$N$203,MATCH(D116,'Mẻ sữa'!$C$4:$C$203,0)),0)</f>
        <v>0</v>
      </c>
      <c r="L116" s="46">
        <f t="array" ref="L116">IFERROR(INDEX('Sản phẩm'!$I$4:$I$103,MATCH(B116,'Sản phẩm'!$D$4:$D$103,0)),0)</f>
        <v>0</v>
      </c>
      <c r="M116" s="72" t="str">
        <f t="array" ref="M116">IFERROR(INDEX('Sản phẩm'!$J$4:$J$103,MATCH(B116,'Sản phẩm'!$D$4:$D$103,0)),0)</f>
        <v/>
      </c>
      <c r="N116" s="46">
        <f>IF(B116="",0,(K116+L116+M116)*'Thiết lập'!$B$8)</f>
        <v>0</v>
      </c>
      <c r="O116" s="46">
        <f t="shared" si="2"/>
        <v>0</v>
      </c>
      <c r="P116" s="46">
        <f t="shared" si="3"/>
        <v>0</v>
      </c>
      <c r="Q116" s="46">
        <f t="shared" si="4"/>
        <v>0</v>
      </c>
      <c r="R116" s="71" t="str">
        <f t="array" ref="R116">IF(B116="","",INDEX('Bán nhanh'!$C$4:$C$103,INT((ROW()-4)/10)+1))</f>
        <v/>
      </c>
      <c r="S116" s="71" t="str">
        <f t="array" ref="S116">IF(B116="","",INDEX('Bán nhanh'!$P$4:$P$103,INT((ROW()-4)/10)+1))</f>
        <v/>
      </c>
      <c r="T116" s="58"/>
      <c r="U116" s="68" t="str">
        <f>IF('Mẻ sữa'!F117&lt;&gt;"",'Mẻ sữa'!F117,"")</f>
        <v/>
      </c>
      <c r="V116" s="68"/>
      <c r="W116" s="87"/>
      <c r="X116" s="36"/>
      <c r="Y116" s="36"/>
      <c r="Z116" s="36"/>
    </row>
    <row r="117" ht="15.75" customHeight="1">
      <c r="A117" s="70" t="str">
        <f t="array" ref="A117">IF(B117="","",INDEX('Bán nhanh'!$A$4:$A$103,INT((ROW()-4)/10)+1))</f>
        <v/>
      </c>
      <c r="B117" s="71" t="str">
        <f t="array" ref="B117">IF(OR(INDEX('Bán nhanh'!$D$3:$M$3,1,MOD(ROW()-4,10)+1)="",INDEX('Bán nhanh'!$D$4:$M$103,INT((ROW()-4)/10)+1,MOD(ROW()-4,10)+1)&lt;=0),"",INDEX('Bán nhanh'!$D$3:$M$3,1,MOD(ROW()-4,10)+1))</f>
        <v/>
      </c>
      <c r="C117" s="58" t="str">
        <f t="array" ref="C117">IFERROR(INDEX('Sản phẩm'!$A$4:$A$103,MATCH(B117,'Sản phẩm'!$D$4:$D$103,0)),"")</f>
        <v/>
      </c>
      <c r="D117" s="71" t="str">
        <f t="array" ref="D117">IF(B117="","",INDEX('Bán nhanh'!$B$4:$B$103,INT((ROW()-4)/10)+1))</f>
        <v/>
      </c>
      <c r="E117" s="58" t="str">
        <f t="array" ref="E117">IFERROR(INDEX('Mẻ sữa'!$B$4:$B$203,MATCH(D117,'Mẻ sữa'!$C$4:$C$203,0)),"")</f>
        <v/>
      </c>
      <c r="F117" s="66">
        <f t="array" ref="F117">IF(B117="",0,INDEX('Bán nhanh'!$D$4:$M$103,INT((ROW()-4)/10)+1,MOD(ROW()-4,10)+1))</f>
        <v>0</v>
      </c>
      <c r="G117" s="46">
        <f t="array" ref="G117">IFERROR(INDEX('Sản phẩm'!$F$4:$F$103,MATCH(B117,'Sản phẩm'!$D$4:$D$103,0)),0)</f>
        <v>0</v>
      </c>
      <c r="H117" s="67">
        <f t="shared" si="5"/>
        <v>0</v>
      </c>
      <c r="I117" s="46">
        <f t="shared" si="1"/>
        <v>0</v>
      </c>
      <c r="J117" s="46">
        <f t="array" ref="J117">IFERROR(INDEX('Sản phẩm'!$G$4:$G$103,MATCH(B117,'Sản phẩm'!$D$4:$D$103,0)),0)</f>
        <v>0</v>
      </c>
      <c r="K117" s="46">
        <f t="array" ref="K117">IFERROR(J117*INDEX('Mẻ sữa'!$N$4:$N$203,MATCH(D117,'Mẻ sữa'!$C$4:$C$203,0)),0)</f>
        <v>0</v>
      </c>
      <c r="L117" s="46">
        <f t="array" ref="L117">IFERROR(INDEX('Sản phẩm'!$I$4:$I$103,MATCH(B117,'Sản phẩm'!$D$4:$D$103,0)),0)</f>
        <v>0</v>
      </c>
      <c r="M117" s="72" t="str">
        <f t="array" ref="M117">IFERROR(INDEX('Sản phẩm'!$J$4:$J$103,MATCH(B117,'Sản phẩm'!$D$4:$D$103,0)),0)</f>
        <v/>
      </c>
      <c r="N117" s="46">
        <f>IF(B117="",0,(K117+L117+M117)*'Thiết lập'!$B$8)</f>
        <v>0</v>
      </c>
      <c r="O117" s="46">
        <f t="shared" si="2"/>
        <v>0</v>
      </c>
      <c r="P117" s="46">
        <f t="shared" si="3"/>
        <v>0</v>
      </c>
      <c r="Q117" s="46">
        <f t="shared" si="4"/>
        <v>0</v>
      </c>
      <c r="R117" s="71" t="str">
        <f t="array" ref="R117">IF(B117="","",INDEX('Bán nhanh'!$C$4:$C$103,INT((ROW()-4)/10)+1))</f>
        <v/>
      </c>
      <c r="S117" s="71" t="str">
        <f t="array" ref="S117">IF(B117="","",INDEX('Bán nhanh'!$P$4:$P$103,INT((ROW()-4)/10)+1))</f>
        <v/>
      </c>
      <c r="T117" s="58"/>
      <c r="U117" s="68" t="str">
        <f>IF('Mẻ sữa'!F118&lt;&gt;"",'Mẻ sữa'!F118,"")</f>
        <v/>
      </c>
      <c r="V117" s="68"/>
      <c r="W117" s="87"/>
      <c r="X117" s="36"/>
      <c r="Y117" s="36"/>
      <c r="Z117" s="36"/>
    </row>
    <row r="118" ht="15.75" customHeight="1">
      <c r="A118" s="70" t="str">
        <f t="array" ref="A118">IF(B118="","",INDEX('Bán nhanh'!$A$4:$A$103,INT((ROW()-4)/10)+1))</f>
        <v/>
      </c>
      <c r="B118" s="71" t="str">
        <f t="array" ref="B118">IF(OR(INDEX('Bán nhanh'!$D$3:$M$3,1,MOD(ROW()-4,10)+1)="",INDEX('Bán nhanh'!$D$4:$M$103,INT((ROW()-4)/10)+1,MOD(ROW()-4,10)+1)&lt;=0),"",INDEX('Bán nhanh'!$D$3:$M$3,1,MOD(ROW()-4,10)+1))</f>
        <v/>
      </c>
      <c r="C118" s="58" t="str">
        <f t="array" ref="C118">IFERROR(INDEX('Sản phẩm'!$A$4:$A$103,MATCH(B118,'Sản phẩm'!$D$4:$D$103,0)),"")</f>
        <v/>
      </c>
      <c r="D118" s="71" t="str">
        <f t="array" ref="D118">IF(B118="","",INDEX('Bán nhanh'!$B$4:$B$103,INT((ROW()-4)/10)+1))</f>
        <v/>
      </c>
      <c r="E118" s="58" t="str">
        <f t="array" ref="E118">IFERROR(INDEX('Mẻ sữa'!$B$4:$B$203,MATCH(D118,'Mẻ sữa'!$C$4:$C$203,0)),"")</f>
        <v/>
      </c>
      <c r="F118" s="66">
        <f t="array" ref="F118">IF(B118="",0,INDEX('Bán nhanh'!$D$4:$M$103,INT((ROW()-4)/10)+1,MOD(ROW()-4,10)+1))</f>
        <v>0</v>
      </c>
      <c r="G118" s="46">
        <f t="array" ref="G118">IFERROR(INDEX('Sản phẩm'!$F$4:$F$103,MATCH(B118,'Sản phẩm'!$D$4:$D$103,0)),0)</f>
        <v>0</v>
      </c>
      <c r="H118" s="67">
        <f t="shared" si="5"/>
        <v>0</v>
      </c>
      <c r="I118" s="46">
        <f t="shared" si="1"/>
        <v>0</v>
      </c>
      <c r="J118" s="46">
        <f t="array" ref="J118">IFERROR(INDEX('Sản phẩm'!$G$4:$G$103,MATCH(B118,'Sản phẩm'!$D$4:$D$103,0)),0)</f>
        <v>0</v>
      </c>
      <c r="K118" s="46">
        <f t="array" ref="K118">IFERROR(J118*INDEX('Mẻ sữa'!$N$4:$N$203,MATCH(D118,'Mẻ sữa'!$C$4:$C$203,0)),0)</f>
        <v>0</v>
      </c>
      <c r="L118" s="46">
        <f t="array" ref="L118">IFERROR(INDEX('Sản phẩm'!$I$4:$I$103,MATCH(B118,'Sản phẩm'!$D$4:$D$103,0)),0)</f>
        <v>0</v>
      </c>
      <c r="M118" s="72" t="str">
        <f t="array" ref="M118">IFERROR(INDEX('Sản phẩm'!$J$4:$J$103,MATCH(B118,'Sản phẩm'!$D$4:$D$103,0)),0)</f>
        <v/>
      </c>
      <c r="N118" s="46">
        <f>IF(B118="",0,(K118+L118+M118)*'Thiết lập'!$B$8)</f>
        <v>0</v>
      </c>
      <c r="O118" s="46">
        <f t="shared" si="2"/>
        <v>0</v>
      </c>
      <c r="P118" s="46">
        <f t="shared" si="3"/>
        <v>0</v>
      </c>
      <c r="Q118" s="46">
        <f t="shared" si="4"/>
        <v>0</v>
      </c>
      <c r="R118" s="71" t="str">
        <f t="array" ref="R118">IF(B118="","",INDEX('Bán nhanh'!$C$4:$C$103,INT((ROW()-4)/10)+1))</f>
        <v/>
      </c>
      <c r="S118" s="71" t="str">
        <f t="array" ref="S118">IF(B118="","",INDEX('Bán nhanh'!$P$4:$P$103,INT((ROW()-4)/10)+1))</f>
        <v/>
      </c>
      <c r="T118" s="58"/>
      <c r="U118" s="68" t="str">
        <f>IF('Mẻ sữa'!F119&lt;&gt;"",'Mẻ sữa'!F119,"")</f>
        <v/>
      </c>
      <c r="V118" s="68"/>
      <c r="W118" s="87"/>
      <c r="X118" s="36"/>
      <c r="Y118" s="36"/>
      <c r="Z118" s="36"/>
    </row>
    <row r="119" ht="15.75" customHeight="1">
      <c r="A119" s="70" t="str">
        <f t="array" ref="A119">IF(B119="","",INDEX('Bán nhanh'!$A$4:$A$103,INT((ROW()-4)/10)+1))</f>
        <v/>
      </c>
      <c r="B119" s="71" t="str">
        <f t="array" ref="B119">IF(OR(INDEX('Bán nhanh'!$D$3:$M$3,1,MOD(ROW()-4,10)+1)="",INDEX('Bán nhanh'!$D$4:$M$103,INT((ROW()-4)/10)+1,MOD(ROW()-4,10)+1)&lt;=0),"",INDEX('Bán nhanh'!$D$3:$M$3,1,MOD(ROW()-4,10)+1))</f>
        <v/>
      </c>
      <c r="C119" s="58" t="str">
        <f t="array" ref="C119">IFERROR(INDEX('Sản phẩm'!$A$4:$A$103,MATCH(B119,'Sản phẩm'!$D$4:$D$103,0)),"")</f>
        <v/>
      </c>
      <c r="D119" s="71" t="str">
        <f t="array" ref="D119">IF(B119="","",INDEX('Bán nhanh'!$B$4:$B$103,INT((ROW()-4)/10)+1))</f>
        <v/>
      </c>
      <c r="E119" s="58" t="str">
        <f t="array" ref="E119">IFERROR(INDEX('Mẻ sữa'!$B$4:$B$203,MATCH(D119,'Mẻ sữa'!$C$4:$C$203,0)),"")</f>
        <v/>
      </c>
      <c r="F119" s="66">
        <f t="array" ref="F119">IF(B119="",0,INDEX('Bán nhanh'!$D$4:$M$103,INT((ROW()-4)/10)+1,MOD(ROW()-4,10)+1))</f>
        <v>0</v>
      </c>
      <c r="G119" s="46">
        <f t="array" ref="G119">IFERROR(INDEX('Sản phẩm'!$F$4:$F$103,MATCH(B119,'Sản phẩm'!$D$4:$D$103,0)),0)</f>
        <v>0</v>
      </c>
      <c r="H119" s="67">
        <f t="shared" si="5"/>
        <v>0</v>
      </c>
      <c r="I119" s="46">
        <f t="shared" si="1"/>
        <v>0</v>
      </c>
      <c r="J119" s="46">
        <f t="array" ref="J119">IFERROR(INDEX('Sản phẩm'!$G$4:$G$103,MATCH(B119,'Sản phẩm'!$D$4:$D$103,0)),0)</f>
        <v>0</v>
      </c>
      <c r="K119" s="46">
        <f t="array" ref="K119">IFERROR(J119*INDEX('Mẻ sữa'!$N$4:$N$203,MATCH(D119,'Mẻ sữa'!$C$4:$C$203,0)),0)</f>
        <v>0</v>
      </c>
      <c r="L119" s="46">
        <f t="array" ref="L119">IFERROR(INDEX('Sản phẩm'!$I$4:$I$103,MATCH(B119,'Sản phẩm'!$D$4:$D$103,0)),0)</f>
        <v>0</v>
      </c>
      <c r="M119" s="72" t="str">
        <f t="array" ref="M119">IFERROR(INDEX('Sản phẩm'!$J$4:$J$103,MATCH(B119,'Sản phẩm'!$D$4:$D$103,0)),0)</f>
        <v/>
      </c>
      <c r="N119" s="46">
        <f>IF(B119="",0,(K119+L119+M119)*'Thiết lập'!$B$8)</f>
        <v>0</v>
      </c>
      <c r="O119" s="46">
        <f t="shared" si="2"/>
        <v>0</v>
      </c>
      <c r="P119" s="46">
        <f t="shared" si="3"/>
        <v>0</v>
      </c>
      <c r="Q119" s="46">
        <f t="shared" si="4"/>
        <v>0</v>
      </c>
      <c r="R119" s="71" t="str">
        <f t="array" ref="R119">IF(B119="","",INDEX('Bán nhanh'!$C$4:$C$103,INT((ROW()-4)/10)+1))</f>
        <v/>
      </c>
      <c r="S119" s="71" t="str">
        <f t="array" ref="S119">IF(B119="","",INDEX('Bán nhanh'!$P$4:$P$103,INT((ROW()-4)/10)+1))</f>
        <v/>
      </c>
      <c r="T119" s="58"/>
      <c r="U119" s="68" t="str">
        <f>IF('Mẻ sữa'!F120&lt;&gt;"",'Mẻ sữa'!F120,"")</f>
        <v/>
      </c>
      <c r="V119" s="68"/>
      <c r="W119" s="87"/>
      <c r="X119" s="36"/>
      <c r="Y119" s="36"/>
      <c r="Z119" s="36"/>
    </row>
    <row r="120" ht="15.75" customHeight="1">
      <c r="A120" s="70" t="str">
        <f t="array" ref="A120">IF(B120="","",INDEX('Bán nhanh'!$A$4:$A$103,INT((ROW()-4)/10)+1))</f>
        <v/>
      </c>
      <c r="B120" s="71" t="str">
        <f t="array" ref="B120">IF(OR(INDEX('Bán nhanh'!$D$3:$M$3,1,MOD(ROW()-4,10)+1)="",INDEX('Bán nhanh'!$D$4:$M$103,INT((ROW()-4)/10)+1,MOD(ROW()-4,10)+1)&lt;=0),"",INDEX('Bán nhanh'!$D$3:$M$3,1,MOD(ROW()-4,10)+1))</f>
        <v/>
      </c>
      <c r="C120" s="58" t="str">
        <f t="array" ref="C120">IFERROR(INDEX('Sản phẩm'!$A$4:$A$103,MATCH(B120,'Sản phẩm'!$D$4:$D$103,0)),"")</f>
        <v/>
      </c>
      <c r="D120" s="71" t="str">
        <f t="array" ref="D120">IF(B120="","",INDEX('Bán nhanh'!$B$4:$B$103,INT((ROW()-4)/10)+1))</f>
        <v/>
      </c>
      <c r="E120" s="58" t="str">
        <f t="array" ref="E120">IFERROR(INDEX('Mẻ sữa'!$B$4:$B$203,MATCH(D120,'Mẻ sữa'!$C$4:$C$203,0)),"")</f>
        <v/>
      </c>
      <c r="F120" s="66">
        <f t="array" ref="F120">IF(B120="",0,INDEX('Bán nhanh'!$D$4:$M$103,INT((ROW()-4)/10)+1,MOD(ROW()-4,10)+1))</f>
        <v>0</v>
      </c>
      <c r="G120" s="46">
        <f t="array" ref="G120">IFERROR(INDEX('Sản phẩm'!$F$4:$F$103,MATCH(B120,'Sản phẩm'!$D$4:$D$103,0)),0)</f>
        <v>0</v>
      </c>
      <c r="H120" s="67">
        <f t="shared" si="5"/>
        <v>0</v>
      </c>
      <c r="I120" s="46">
        <f t="shared" si="1"/>
        <v>0</v>
      </c>
      <c r="J120" s="46">
        <f t="array" ref="J120">IFERROR(INDEX('Sản phẩm'!$G$4:$G$103,MATCH(B120,'Sản phẩm'!$D$4:$D$103,0)),0)</f>
        <v>0</v>
      </c>
      <c r="K120" s="46">
        <f t="array" ref="K120">IFERROR(J120*INDEX('Mẻ sữa'!$N$4:$N$203,MATCH(D120,'Mẻ sữa'!$C$4:$C$203,0)),0)</f>
        <v>0</v>
      </c>
      <c r="L120" s="46">
        <f t="array" ref="L120">IFERROR(INDEX('Sản phẩm'!$I$4:$I$103,MATCH(B120,'Sản phẩm'!$D$4:$D$103,0)),0)</f>
        <v>0</v>
      </c>
      <c r="M120" s="72" t="str">
        <f t="array" ref="M120">IFERROR(INDEX('Sản phẩm'!$J$4:$J$103,MATCH(B120,'Sản phẩm'!$D$4:$D$103,0)),0)</f>
        <v/>
      </c>
      <c r="N120" s="46">
        <f>IF(B120="",0,(K120+L120+M120)*'Thiết lập'!$B$8)</f>
        <v>0</v>
      </c>
      <c r="O120" s="46">
        <f t="shared" si="2"/>
        <v>0</v>
      </c>
      <c r="P120" s="46">
        <f t="shared" si="3"/>
        <v>0</v>
      </c>
      <c r="Q120" s="46">
        <f t="shared" si="4"/>
        <v>0</v>
      </c>
      <c r="R120" s="71" t="str">
        <f t="array" ref="R120">IF(B120="","",INDEX('Bán nhanh'!$C$4:$C$103,INT((ROW()-4)/10)+1))</f>
        <v/>
      </c>
      <c r="S120" s="71" t="str">
        <f t="array" ref="S120">IF(B120="","",INDEX('Bán nhanh'!$P$4:$P$103,INT((ROW()-4)/10)+1))</f>
        <v/>
      </c>
      <c r="T120" s="58"/>
      <c r="U120" s="68" t="str">
        <f>IF('Mẻ sữa'!F121&lt;&gt;"",'Mẻ sữa'!F121,"")</f>
        <v/>
      </c>
      <c r="V120" s="68"/>
      <c r="W120" s="87"/>
      <c r="X120" s="36"/>
      <c r="Y120" s="36"/>
      <c r="Z120" s="36"/>
    </row>
    <row r="121" ht="15.75" customHeight="1">
      <c r="A121" s="70" t="str">
        <f t="array" ref="A121">IF(B121="","",INDEX('Bán nhanh'!$A$4:$A$103,INT((ROW()-4)/10)+1))</f>
        <v/>
      </c>
      <c r="B121" s="71" t="str">
        <f t="array" ref="B121">IF(OR(INDEX('Bán nhanh'!$D$3:$M$3,1,MOD(ROW()-4,10)+1)="",INDEX('Bán nhanh'!$D$4:$M$103,INT((ROW()-4)/10)+1,MOD(ROW()-4,10)+1)&lt;=0),"",INDEX('Bán nhanh'!$D$3:$M$3,1,MOD(ROW()-4,10)+1))</f>
        <v/>
      </c>
      <c r="C121" s="58" t="str">
        <f t="array" ref="C121">IFERROR(INDEX('Sản phẩm'!$A$4:$A$103,MATCH(B121,'Sản phẩm'!$D$4:$D$103,0)),"")</f>
        <v/>
      </c>
      <c r="D121" s="71" t="str">
        <f t="array" ref="D121">IF(B121="","",INDEX('Bán nhanh'!$B$4:$B$103,INT((ROW()-4)/10)+1))</f>
        <v/>
      </c>
      <c r="E121" s="58" t="str">
        <f t="array" ref="E121">IFERROR(INDEX('Mẻ sữa'!$B$4:$B$203,MATCH(D121,'Mẻ sữa'!$C$4:$C$203,0)),"")</f>
        <v/>
      </c>
      <c r="F121" s="66">
        <f t="array" ref="F121">IF(B121="",0,INDEX('Bán nhanh'!$D$4:$M$103,INT((ROW()-4)/10)+1,MOD(ROW()-4,10)+1))</f>
        <v>0</v>
      </c>
      <c r="G121" s="46">
        <f t="array" ref="G121">IFERROR(INDEX('Sản phẩm'!$F$4:$F$103,MATCH(B121,'Sản phẩm'!$D$4:$D$103,0)),0)</f>
        <v>0</v>
      </c>
      <c r="H121" s="67">
        <f t="shared" si="5"/>
        <v>0</v>
      </c>
      <c r="I121" s="46">
        <f t="shared" si="1"/>
        <v>0</v>
      </c>
      <c r="J121" s="46">
        <f t="array" ref="J121">IFERROR(INDEX('Sản phẩm'!$G$4:$G$103,MATCH(B121,'Sản phẩm'!$D$4:$D$103,0)),0)</f>
        <v>0</v>
      </c>
      <c r="K121" s="46">
        <f t="array" ref="K121">IFERROR(J121*INDEX('Mẻ sữa'!$N$4:$N$203,MATCH(D121,'Mẻ sữa'!$C$4:$C$203,0)),0)</f>
        <v>0</v>
      </c>
      <c r="L121" s="46">
        <f t="array" ref="L121">IFERROR(INDEX('Sản phẩm'!$I$4:$I$103,MATCH(B121,'Sản phẩm'!$D$4:$D$103,0)),0)</f>
        <v>0</v>
      </c>
      <c r="M121" s="72" t="str">
        <f t="array" ref="M121">IFERROR(INDEX('Sản phẩm'!$J$4:$J$103,MATCH(B121,'Sản phẩm'!$D$4:$D$103,0)),0)</f>
        <v/>
      </c>
      <c r="N121" s="46">
        <f>IF(B121="",0,(K121+L121+M121)*'Thiết lập'!$B$8)</f>
        <v>0</v>
      </c>
      <c r="O121" s="46">
        <f t="shared" si="2"/>
        <v>0</v>
      </c>
      <c r="P121" s="46">
        <f t="shared" si="3"/>
        <v>0</v>
      </c>
      <c r="Q121" s="46">
        <f t="shared" si="4"/>
        <v>0</v>
      </c>
      <c r="R121" s="71" t="str">
        <f t="array" ref="R121">IF(B121="","",INDEX('Bán nhanh'!$C$4:$C$103,INT((ROW()-4)/10)+1))</f>
        <v/>
      </c>
      <c r="S121" s="71" t="str">
        <f t="array" ref="S121">IF(B121="","",INDEX('Bán nhanh'!$P$4:$P$103,INT((ROW()-4)/10)+1))</f>
        <v/>
      </c>
      <c r="T121" s="58"/>
      <c r="U121" s="68" t="str">
        <f>IF('Mẻ sữa'!F122&lt;&gt;"",'Mẻ sữa'!F122,"")</f>
        <v/>
      </c>
      <c r="V121" s="68"/>
      <c r="W121" s="87"/>
      <c r="X121" s="36"/>
      <c r="Y121" s="36"/>
      <c r="Z121" s="36"/>
    </row>
    <row r="122" ht="15.75" customHeight="1">
      <c r="A122" s="70" t="str">
        <f t="array" ref="A122">IF(B122="","",INDEX('Bán nhanh'!$A$4:$A$103,INT((ROW()-4)/10)+1))</f>
        <v/>
      </c>
      <c r="B122" s="71" t="str">
        <f t="array" ref="B122">IF(OR(INDEX('Bán nhanh'!$D$3:$M$3,1,MOD(ROW()-4,10)+1)="",INDEX('Bán nhanh'!$D$4:$M$103,INT((ROW()-4)/10)+1,MOD(ROW()-4,10)+1)&lt;=0),"",INDEX('Bán nhanh'!$D$3:$M$3,1,MOD(ROW()-4,10)+1))</f>
        <v/>
      </c>
      <c r="C122" s="58" t="str">
        <f t="array" ref="C122">IFERROR(INDEX('Sản phẩm'!$A$4:$A$103,MATCH(B122,'Sản phẩm'!$D$4:$D$103,0)),"")</f>
        <v/>
      </c>
      <c r="D122" s="71" t="str">
        <f t="array" ref="D122">IF(B122="","",INDEX('Bán nhanh'!$B$4:$B$103,INT((ROW()-4)/10)+1))</f>
        <v/>
      </c>
      <c r="E122" s="58" t="str">
        <f t="array" ref="E122">IFERROR(INDEX('Mẻ sữa'!$B$4:$B$203,MATCH(D122,'Mẻ sữa'!$C$4:$C$203,0)),"")</f>
        <v/>
      </c>
      <c r="F122" s="66">
        <f t="array" ref="F122">IF(B122="",0,INDEX('Bán nhanh'!$D$4:$M$103,INT((ROW()-4)/10)+1,MOD(ROW()-4,10)+1))</f>
        <v>0</v>
      </c>
      <c r="G122" s="46">
        <f t="array" ref="G122">IFERROR(INDEX('Sản phẩm'!$F$4:$F$103,MATCH(B122,'Sản phẩm'!$D$4:$D$103,0)),0)</f>
        <v>0</v>
      </c>
      <c r="H122" s="67">
        <f t="shared" si="5"/>
        <v>0</v>
      </c>
      <c r="I122" s="46">
        <f t="shared" si="1"/>
        <v>0</v>
      </c>
      <c r="J122" s="46">
        <f t="array" ref="J122">IFERROR(INDEX('Sản phẩm'!$G$4:$G$103,MATCH(B122,'Sản phẩm'!$D$4:$D$103,0)),0)</f>
        <v>0</v>
      </c>
      <c r="K122" s="46">
        <f t="array" ref="K122">IFERROR(J122*INDEX('Mẻ sữa'!$N$4:$N$203,MATCH(D122,'Mẻ sữa'!$C$4:$C$203,0)),0)</f>
        <v>0</v>
      </c>
      <c r="L122" s="46">
        <f t="array" ref="L122">IFERROR(INDEX('Sản phẩm'!$I$4:$I$103,MATCH(B122,'Sản phẩm'!$D$4:$D$103,0)),0)</f>
        <v>0</v>
      </c>
      <c r="M122" s="72" t="str">
        <f t="array" ref="M122">IFERROR(INDEX('Sản phẩm'!$J$4:$J$103,MATCH(B122,'Sản phẩm'!$D$4:$D$103,0)),0)</f>
        <v/>
      </c>
      <c r="N122" s="46">
        <f>IF(B122="",0,(K122+L122+M122)*'Thiết lập'!$B$8)</f>
        <v>0</v>
      </c>
      <c r="O122" s="46">
        <f t="shared" si="2"/>
        <v>0</v>
      </c>
      <c r="P122" s="46">
        <f t="shared" si="3"/>
        <v>0</v>
      </c>
      <c r="Q122" s="46">
        <f t="shared" si="4"/>
        <v>0</v>
      </c>
      <c r="R122" s="71" t="str">
        <f t="array" ref="R122">IF(B122="","",INDEX('Bán nhanh'!$C$4:$C$103,INT((ROW()-4)/10)+1))</f>
        <v/>
      </c>
      <c r="S122" s="71" t="str">
        <f t="array" ref="S122">IF(B122="","",INDEX('Bán nhanh'!$P$4:$P$103,INT((ROW()-4)/10)+1))</f>
        <v/>
      </c>
      <c r="T122" s="58"/>
      <c r="U122" s="68" t="str">
        <f>IF('Mẻ sữa'!F123&lt;&gt;"",'Mẻ sữa'!F123,"")</f>
        <v/>
      </c>
      <c r="V122" s="68"/>
      <c r="W122" s="87"/>
      <c r="X122" s="36"/>
      <c r="Y122" s="36"/>
      <c r="Z122" s="36"/>
    </row>
    <row r="123" ht="15.75" customHeight="1">
      <c r="A123" s="70" t="str">
        <f t="array" ref="A123">IF(B123="","",INDEX('Bán nhanh'!$A$4:$A$103,INT((ROW()-4)/10)+1))</f>
        <v/>
      </c>
      <c r="B123" s="71" t="str">
        <f t="array" ref="B123">IF(OR(INDEX('Bán nhanh'!$D$3:$M$3,1,MOD(ROW()-4,10)+1)="",INDEX('Bán nhanh'!$D$4:$M$103,INT((ROW()-4)/10)+1,MOD(ROW()-4,10)+1)&lt;=0),"",INDEX('Bán nhanh'!$D$3:$M$3,1,MOD(ROW()-4,10)+1))</f>
        <v/>
      </c>
      <c r="C123" s="58" t="str">
        <f t="array" ref="C123">IFERROR(INDEX('Sản phẩm'!$A$4:$A$103,MATCH(B123,'Sản phẩm'!$D$4:$D$103,0)),"")</f>
        <v/>
      </c>
      <c r="D123" s="71" t="str">
        <f t="array" ref="D123">IF(B123="","",INDEX('Bán nhanh'!$B$4:$B$103,INT((ROW()-4)/10)+1))</f>
        <v/>
      </c>
      <c r="E123" s="58" t="str">
        <f t="array" ref="E123">IFERROR(INDEX('Mẻ sữa'!$B$4:$B$203,MATCH(D123,'Mẻ sữa'!$C$4:$C$203,0)),"")</f>
        <v/>
      </c>
      <c r="F123" s="66">
        <f t="array" ref="F123">IF(B123="",0,INDEX('Bán nhanh'!$D$4:$M$103,INT((ROW()-4)/10)+1,MOD(ROW()-4,10)+1))</f>
        <v>0</v>
      </c>
      <c r="G123" s="46">
        <f t="array" ref="G123">IFERROR(INDEX('Sản phẩm'!$F$4:$F$103,MATCH(B123,'Sản phẩm'!$D$4:$D$103,0)),0)</f>
        <v>0</v>
      </c>
      <c r="H123" s="67">
        <f t="shared" si="5"/>
        <v>0</v>
      </c>
      <c r="I123" s="46">
        <f t="shared" si="1"/>
        <v>0</v>
      </c>
      <c r="J123" s="46">
        <f t="array" ref="J123">IFERROR(INDEX('Sản phẩm'!$G$4:$G$103,MATCH(B123,'Sản phẩm'!$D$4:$D$103,0)),0)</f>
        <v>0</v>
      </c>
      <c r="K123" s="46">
        <f t="array" ref="K123">IFERROR(J123*INDEX('Mẻ sữa'!$N$4:$N$203,MATCH(D123,'Mẻ sữa'!$C$4:$C$203,0)),0)</f>
        <v>0</v>
      </c>
      <c r="L123" s="46">
        <f t="array" ref="L123">IFERROR(INDEX('Sản phẩm'!$I$4:$I$103,MATCH(B123,'Sản phẩm'!$D$4:$D$103,0)),0)</f>
        <v>0</v>
      </c>
      <c r="M123" s="72" t="str">
        <f t="array" ref="M123">IFERROR(INDEX('Sản phẩm'!$J$4:$J$103,MATCH(B123,'Sản phẩm'!$D$4:$D$103,0)),0)</f>
        <v/>
      </c>
      <c r="N123" s="46">
        <f>IF(B123="",0,(K123+L123+M123)*'Thiết lập'!$B$8)</f>
        <v>0</v>
      </c>
      <c r="O123" s="46">
        <f t="shared" si="2"/>
        <v>0</v>
      </c>
      <c r="P123" s="46">
        <f t="shared" si="3"/>
        <v>0</v>
      </c>
      <c r="Q123" s="46">
        <f t="shared" si="4"/>
        <v>0</v>
      </c>
      <c r="R123" s="71" t="str">
        <f t="array" ref="R123">IF(B123="","",INDEX('Bán nhanh'!$C$4:$C$103,INT((ROW()-4)/10)+1))</f>
        <v/>
      </c>
      <c r="S123" s="71" t="str">
        <f t="array" ref="S123">IF(B123="","",INDEX('Bán nhanh'!$P$4:$P$103,INT((ROW()-4)/10)+1))</f>
        <v/>
      </c>
      <c r="T123" s="58"/>
      <c r="U123" s="68" t="str">
        <f>IF('Mẻ sữa'!F124&lt;&gt;"",'Mẻ sữa'!F124,"")</f>
        <v/>
      </c>
      <c r="V123" s="68"/>
      <c r="W123" s="87"/>
      <c r="X123" s="36"/>
      <c r="Y123" s="36"/>
      <c r="Z123" s="36"/>
    </row>
    <row r="124" ht="15.75" customHeight="1">
      <c r="A124" s="70" t="str">
        <f t="array" ref="A124">IF(B124="","",INDEX('Bán nhanh'!$A$4:$A$103,INT((ROW()-4)/10)+1))</f>
        <v/>
      </c>
      <c r="B124" s="71" t="str">
        <f t="array" ref="B124">IF(OR(INDEX('Bán nhanh'!$D$3:$M$3,1,MOD(ROW()-4,10)+1)="",INDEX('Bán nhanh'!$D$4:$M$103,INT((ROW()-4)/10)+1,MOD(ROW()-4,10)+1)&lt;=0),"",INDEX('Bán nhanh'!$D$3:$M$3,1,MOD(ROW()-4,10)+1))</f>
        <v/>
      </c>
      <c r="C124" s="58" t="str">
        <f t="array" ref="C124">IFERROR(INDEX('Sản phẩm'!$A$4:$A$103,MATCH(B124,'Sản phẩm'!$D$4:$D$103,0)),"")</f>
        <v/>
      </c>
      <c r="D124" s="71" t="str">
        <f t="array" ref="D124">IF(B124="","",INDEX('Bán nhanh'!$B$4:$B$103,INT((ROW()-4)/10)+1))</f>
        <v/>
      </c>
      <c r="E124" s="58" t="str">
        <f t="array" ref="E124">IFERROR(INDEX('Mẻ sữa'!$B$4:$B$203,MATCH(D124,'Mẻ sữa'!$C$4:$C$203,0)),"")</f>
        <v/>
      </c>
      <c r="F124" s="66">
        <f t="array" ref="F124">IF(B124="",0,INDEX('Bán nhanh'!$D$4:$M$103,INT((ROW()-4)/10)+1,MOD(ROW()-4,10)+1))</f>
        <v>0</v>
      </c>
      <c r="G124" s="46">
        <f t="array" ref="G124">IFERROR(INDEX('Sản phẩm'!$F$4:$F$103,MATCH(B124,'Sản phẩm'!$D$4:$D$103,0)),0)</f>
        <v>0</v>
      </c>
      <c r="H124" s="67">
        <f t="shared" si="5"/>
        <v>0</v>
      </c>
      <c r="I124" s="46">
        <f t="shared" si="1"/>
        <v>0</v>
      </c>
      <c r="J124" s="46">
        <f t="array" ref="J124">IFERROR(INDEX('Sản phẩm'!$G$4:$G$103,MATCH(B124,'Sản phẩm'!$D$4:$D$103,0)),0)</f>
        <v>0</v>
      </c>
      <c r="K124" s="46">
        <f t="array" ref="K124">IFERROR(J124*INDEX('Mẻ sữa'!$N$4:$N$203,MATCH(D124,'Mẻ sữa'!$C$4:$C$203,0)),0)</f>
        <v>0</v>
      </c>
      <c r="L124" s="46">
        <f t="array" ref="L124">IFERROR(INDEX('Sản phẩm'!$I$4:$I$103,MATCH(B124,'Sản phẩm'!$D$4:$D$103,0)),0)</f>
        <v>0</v>
      </c>
      <c r="M124" s="72" t="str">
        <f t="array" ref="M124">IFERROR(INDEX('Sản phẩm'!$J$4:$J$103,MATCH(B124,'Sản phẩm'!$D$4:$D$103,0)),0)</f>
        <v/>
      </c>
      <c r="N124" s="46">
        <f>IF(B124="",0,(K124+L124+M124)*'Thiết lập'!$B$8)</f>
        <v>0</v>
      </c>
      <c r="O124" s="46">
        <f t="shared" si="2"/>
        <v>0</v>
      </c>
      <c r="P124" s="46">
        <f t="shared" si="3"/>
        <v>0</v>
      </c>
      <c r="Q124" s="46">
        <f t="shared" si="4"/>
        <v>0</v>
      </c>
      <c r="R124" s="71" t="str">
        <f t="array" ref="R124">IF(B124="","",INDEX('Bán nhanh'!$C$4:$C$103,INT((ROW()-4)/10)+1))</f>
        <v/>
      </c>
      <c r="S124" s="71" t="str">
        <f t="array" ref="S124">IF(B124="","",INDEX('Bán nhanh'!$P$4:$P$103,INT((ROW()-4)/10)+1))</f>
        <v/>
      </c>
      <c r="T124" s="58"/>
      <c r="U124" s="68" t="str">
        <f>IF('Mẻ sữa'!F125&lt;&gt;"",'Mẻ sữa'!F125,"")</f>
        <v/>
      </c>
      <c r="V124" s="68"/>
      <c r="W124" s="87"/>
      <c r="X124" s="36"/>
      <c r="Y124" s="36"/>
      <c r="Z124" s="36"/>
    </row>
    <row r="125" ht="15.75" customHeight="1">
      <c r="A125" s="70" t="str">
        <f t="array" ref="A125">IF(B125="","",INDEX('Bán nhanh'!$A$4:$A$103,INT((ROW()-4)/10)+1))</f>
        <v/>
      </c>
      <c r="B125" s="71" t="str">
        <f t="array" ref="B125">IF(OR(INDEX('Bán nhanh'!$D$3:$M$3,1,MOD(ROW()-4,10)+1)="",INDEX('Bán nhanh'!$D$4:$M$103,INT((ROW()-4)/10)+1,MOD(ROW()-4,10)+1)&lt;=0),"",INDEX('Bán nhanh'!$D$3:$M$3,1,MOD(ROW()-4,10)+1))</f>
        <v/>
      </c>
      <c r="C125" s="58" t="str">
        <f t="array" ref="C125">IFERROR(INDEX('Sản phẩm'!$A$4:$A$103,MATCH(B125,'Sản phẩm'!$D$4:$D$103,0)),"")</f>
        <v/>
      </c>
      <c r="D125" s="71" t="str">
        <f t="array" ref="D125">IF(B125="","",INDEX('Bán nhanh'!$B$4:$B$103,INT((ROW()-4)/10)+1))</f>
        <v/>
      </c>
      <c r="E125" s="58" t="str">
        <f t="array" ref="E125">IFERROR(INDEX('Mẻ sữa'!$B$4:$B$203,MATCH(D125,'Mẻ sữa'!$C$4:$C$203,0)),"")</f>
        <v/>
      </c>
      <c r="F125" s="66">
        <f t="array" ref="F125">IF(B125="",0,INDEX('Bán nhanh'!$D$4:$M$103,INT((ROW()-4)/10)+1,MOD(ROW()-4,10)+1))</f>
        <v>0</v>
      </c>
      <c r="G125" s="46">
        <f t="array" ref="G125">IFERROR(INDEX('Sản phẩm'!$F$4:$F$103,MATCH(B125,'Sản phẩm'!$D$4:$D$103,0)),0)</f>
        <v>0</v>
      </c>
      <c r="H125" s="67">
        <f t="shared" si="5"/>
        <v>0</v>
      </c>
      <c r="I125" s="46">
        <f t="shared" si="1"/>
        <v>0</v>
      </c>
      <c r="J125" s="46">
        <f t="array" ref="J125">IFERROR(INDEX('Sản phẩm'!$G$4:$G$103,MATCH(B125,'Sản phẩm'!$D$4:$D$103,0)),0)</f>
        <v>0</v>
      </c>
      <c r="K125" s="46">
        <f t="array" ref="K125">IFERROR(J125*INDEX('Mẻ sữa'!$N$4:$N$203,MATCH(D125,'Mẻ sữa'!$C$4:$C$203,0)),0)</f>
        <v>0</v>
      </c>
      <c r="L125" s="46">
        <f t="array" ref="L125">IFERROR(INDEX('Sản phẩm'!$I$4:$I$103,MATCH(B125,'Sản phẩm'!$D$4:$D$103,0)),0)</f>
        <v>0</v>
      </c>
      <c r="M125" s="72" t="str">
        <f t="array" ref="M125">IFERROR(INDEX('Sản phẩm'!$J$4:$J$103,MATCH(B125,'Sản phẩm'!$D$4:$D$103,0)),0)</f>
        <v/>
      </c>
      <c r="N125" s="46">
        <f>IF(B125="",0,(K125+L125+M125)*'Thiết lập'!$B$8)</f>
        <v>0</v>
      </c>
      <c r="O125" s="46">
        <f t="shared" si="2"/>
        <v>0</v>
      </c>
      <c r="P125" s="46">
        <f t="shared" si="3"/>
        <v>0</v>
      </c>
      <c r="Q125" s="46">
        <f t="shared" si="4"/>
        <v>0</v>
      </c>
      <c r="R125" s="71" t="str">
        <f t="array" ref="R125">IF(B125="","",INDEX('Bán nhanh'!$C$4:$C$103,INT((ROW()-4)/10)+1))</f>
        <v/>
      </c>
      <c r="S125" s="71" t="str">
        <f t="array" ref="S125">IF(B125="","",INDEX('Bán nhanh'!$P$4:$P$103,INT((ROW()-4)/10)+1))</f>
        <v/>
      </c>
      <c r="T125" s="58"/>
      <c r="U125" s="68" t="str">
        <f>IF('Mẻ sữa'!F126&lt;&gt;"",'Mẻ sữa'!F126,"")</f>
        <v/>
      </c>
      <c r="V125" s="68"/>
      <c r="W125" s="87"/>
      <c r="X125" s="36"/>
      <c r="Y125" s="36"/>
      <c r="Z125" s="36"/>
    </row>
    <row r="126" ht="15.75" customHeight="1">
      <c r="A126" s="70" t="str">
        <f t="array" ref="A126">IF(B126="","",INDEX('Bán nhanh'!$A$4:$A$103,INT((ROW()-4)/10)+1))</f>
        <v/>
      </c>
      <c r="B126" s="71" t="str">
        <f t="array" ref="B126">IF(OR(INDEX('Bán nhanh'!$D$3:$M$3,1,MOD(ROW()-4,10)+1)="",INDEX('Bán nhanh'!$D$4:$M$103,INT((ROW()-4)/10)+1,MOD(ROW()-4,10)+1)&lt;=0),"",INDEX('Bán nhanh'!$D$3:$M$3,1,MOD(ROW()-4,10)+1))</f>
        <v/>
      </c>
      <c r="C126" s="58" t="str">
        <f t="array" ref="C126">IFERROR(INDEX('Sản phẩm'!$A$4:$A$103,MATCH(B126,'Sản phẩm'!$D$4:$D$103,0)),"")</f>
        <v/>
      </c>
      <c r="D126" s="71" t="str">
        <f t="array" ref="D126">IF(B126="","",INDEX('Bán nhanh'!$B$4:$B$103,INT((ROW()-4)/10)+1))</f>
        <v/>
      </c>
      <c r="E126" s="58" t="str">
        <f t="array" ref="E126">IFERROR(INDEX('Mẻ sữa'!$B$4:$B$203,MATCH(D126,'Mẻ sữa'!$C$4:$C$203,0)),"")</f>
        <v/>
      </c>
      <c r="F126" s="66">
        <f t="array" ref="F126">IF(B126="",0,INDEX('Bán nhanh'!$D$4:$M$103,INT((ROW()-4)/10)+1,MOD(ROW()-4,10)+1))</f>
        <v>0</v>
      </c>
      <c r="G126" s="46">
        <f t="array" ref="G126">IFERROR(INDEX('Sản phẩm'!$F$4:$F$103,MATCH(B126,'Sản phẩm'!$D$4:$D$103,0)),0)</f>
        <v>0</v>
      </c>
      <c r="H126" s="67">
        <f t="shared" si="5"/>
        <v>0</v>
      </c>
      <c r="I126" s="46">
        <f t="shared" si="1"/>
        <v>0</v>
      </c>
      <c r="J126" s="46">
        <f t="array" ref="J126">IFERROR(INDEX('Sản phẩm'!$G$4:$G$103,MATCH(B126,'Sản phẩm'!$D$4:$D$103,0)),0)</f>
        <v>0</v>
      </c>
      <c r="K126" s="46">
        <f t="array" ref="K126">IFERROR(J126*INDEX('Mẻ sữa'!$N$4:$N$203,MATCH(D126,'Mẻ sữa'!$C$4:$C$203,0)),0)</f>
        <v>0</v>
      </c>
      <c r="L126" s="46">
        <f t="array" ref="L126">IFERROR(INDEX('Sản phẩm'!$I$4:$I$103,MATCH(B126,'Sản phẩm'!$D$4:$D$103,0)),0)</f>
        <v>0</v>
      </c>
      <c r="M126" s="72" t="str">
        <f t="array" ref="M126">IFERROR(INDEX('Sản phẩm'!$J$4:$J$103,MATCH(B126,'Sản phẩm'!$D$4:$D$103,0)),0)</f>
        <v/>
      </c>
      <c r="N126" s="46">
        <f>IF(B126="",0,(K126+L126+M126)*'Thiết lập'!$B$8)</f>
        <v>0</v>
      </c>
      <c r="O126" s="46">
        <f t="shared" si="2"/>
        <v>0</v>
      </c>
      <c r="P126" s="46">
        <f t="shared" si="3"/>
        <v>0</v>
      </c>
      <c r="Q126" s="46">
        <f t="shared" si="4"/>
        <v>0</v>
      </c>
      <c r="R126" s="71" t="str">
        <f t="array" ref="R126">IF(B126="","",INDEX('Bán nhanh'!$C$4:$C$103,INT((ROW()-4)/10)+1))</f>
        <v/>
      </c>
      <c r="S126" s="71" t="str">
        <f t="array" ref="S126">IF(B126="","",INDEX('Bán nhanh'!$P$4:$P$103,INT((ROW()-4)/10)+1))</f>
        <v/>
      </c>
      <c r="T126" s="58"/>
      <c r="U126" s="68" t="str">
        <f>IF('Mẻ sữa'!F127&lt;&gt;"",'Mẻ sữa'!F127,"")</f>
        <v/>
      </c>
      <c r="V126" s="68"/>
      <c r="W126" s="87"/>
      <c r="X126" s="36"/>
      <c r="Y126" s="36"/>
      <c r="Z126" s="36"/>
    </row>
    <row r="127" ht="15.75" customHeight="1">
      <c r="A127" s="70" t="str">
        <f t="array" ref="A127">IF(B127="","",INDEX('Bán nhanh'!$A$4:$A$103,INT((ROW()-4)/10)+1))</f>
        <v/>
      </c>
      <c r="B127" s="71" t="str">
        <f t="array" ref="B127">IF(OR(INDEX('Bán nhanh'!$D$3:$M$3,1,MOD(ROW()-4,10)+1)="",INDEX('Bán nhanh'!$D$4:$M$103,INT((ROW()-4)/10)+1,MOD(ROW()-4,10)+1)&lt;=0),"",INDEX('Bán nhanh'!$D$3:$M$3,1,MOD(ROW()-4,10)+1))</f>
        <v/>
      </c>
      <c r="C127" s="58" t="str">
        <f t="array" ref="C127">IFERROR(INDEX('Sản phẩm'!$A$4:$A$103,MATCH(B127,'Sản phẩm'!$D$4:$D$103,0)),"")</f>
        <v/>
      </c>
      <c r="D127" s="71" t="str">
        <f t="array" ref="D127">IF(B127="","",INDEX('Bán nhanh'!$B$4:$B$103,INT((ROW()-4)/10)+1))</f>
        <v/>
      </c>
      <c r="E127" s="58" t="str">
        <f t="array" ref="E127">IFERROR(INDEX('Mẻ sữa'!$B$4:$B$203,MATCH(D127,'Mẻ sữa'!$C$4:$C$203,0)),"")</f>
        <v/>
      </c>
      <c r="F127" s="66">
        <f t="array" ref="F127">IF(B127="",0,INDEX('Bán nhanh'!$D$4:$M$103,INT((ROW()-4)/10)+1,MOD(ROW()-4,10)+1))</f>
        <v>0</v>
      </c>
      <c r="G127" s="46">
        <f t="array" ref="G127">IFERROR(INDEX('Sản phẩm'!$F$4:$F$103,MATCH(B127,'Sản phẩm'!$D$4:$D$103,0)),0)</f>
        <v>0</v>
      </c>
      <c r="H127" s="67">
        <f t="shared" si="5"/>
        <v>0</v>
      </c>
      <c r="I127" s="46">
        <f t="shared" si="1"/>
        <v>0</v>
      </c>
      <c r="J127" s="46">
        <f t="array" ref="J127">IFERROR(INDEX('Sản phẩm'!$G$4:$G$103,MATCH(B127,'Sản phẩm'!$D$4:$D$103,0)),0)</f>
        <v>0</v>
      </c>
      <c r="K127" s="46">
        <f t="array" ref="K127">IFERROR(J127*INDEX('Mẻ sữa'!$N$4:$N$203,MATCH(D127,'Mẻ sữa'!$C$4:$C$203,0)),0)</f>
        <v>0</v>
      </c>
      <c r="L127" s="46">
        <f t="array" ref="L127">IFERROR(INDEX('Sản phẩm'!$I$4:$I$103,MATCH(B127,'Sản phẩm'!$D$4:$D$103,0)),0)</f>
        <v>0</v>
      </c>
      <c r="M127" s="72" t="str">
        <f t="array" ref="M127">IFERROR(INDEX('Sản phẩm'!$J$4:$J$103,MATCH(B127,'Sản phẩm'!$D$4:$D$103,0)),0)</f>
        <v/>
      </c>
      <c r="N127" s="46">
        <f>IF(B127="",0,(K127+L127+M127)*'Thiết lập'!$B$8)</f>
        <v>0</v>
      </c>
      <c r="O127" s="46">
        <f t="shared" si="2"/>
        <v>0</v>
      </c>
      <c r="P127" s="46">
        <f t="shared" si="3"/>
        <v>0</v>
      </c>
      <c r="Q127" s="46">
        <f t="shared" si="4"/>
        <v>0</v>
      </c>
      <c r="R127" s="71" t="str">
        <f t="array" ref="R127">IF(B127="","",INDEX('Bán nhanh'!$C$4:$C$103,INT((ROW()-4)/10)+1))</f>
        <v/>
      </c>
      <c r="S127" s="71" t="str">
        <f t="array" ref="S127">IF(B127="","",INDEX('Bán nhanh'!$P$4:$P$103,INT((ROW()-4)/10)+1))</f>
        <v/>
      </c>
      <c r="T127" s="58"/>
      <c r="U127" s="68" t="str">
        <f>IF('Mẻ sữa'!F128&lt;&gt;"",'Mẻ sữa'!F128,"")</f>
        <v/>
      </c>
      <c r="V127" s="68"/>
      <c r="W127" s="87"/>
      <c r="X127" s="36"/>
      <c r="Y127" s="36"/>
      <c r="Z127" s="36"/>
    </row>
    <row r="128" ht="15.75" customHeight="1">
      <c r="A128" s="70" t="str">
        <f t="array" ref="A128">IF(B128="","",INDEX('Bán nhanh'!$A$4:$A$103,INT((ROW()-4)/10)+1))</f>
        <v/>
      </c>
      <c r="B128" s="71" t="str">
        <f t="array" ref="B128">IF(OR(INDEX('Bán nhanh'!$D$3:$M$3,1,MOD(ROW()-4,10)+1)="",INDEX('Bán nhanh'!$D$4:$M$103,INT((ROW()-4)/10)+1,MOD(ROW()-4,10)+1)&lt;=0),"",INDEX('Bán nhanh'!$D$3:$M$3,1,MOD(ROW()-4,10)+1))</f>
        <v/>
      </c>
      <c r="C128" s="58" t="str">
        <f t="array" ref="C128">IFERROR(INDEX('Sản phẩm'!$A$4:$A$103,MATCH(B128,'Sản phẩm'!$D$4:$D$103,0)),"")</f>
        <v/>
      </c>
      <c r="D128" s="71" t="str">
        <f t="array" ref="D128">IF(B128="","",INDEX('Bán nhanh'!$B$4:$B$103,INT((ROW()-4)/10)+1))</f>
        <v/>
      </c>
      <c r="E128" s="58" t="str">
        <f t="array" ref="E128">IFERROR(INDEX('Mẻ sữa'!$B$4:$B$203,MATCH(D128,'Mẻ sữa'!$C$4:$C$203,0)),"")</f>
        <v/>
      </c>
      <c r="F128" s="66">
        <f t="array" ref="F128">IF(B128="",0,INDEX('Bán nhanh'!$D$4:$M$103,INT((ROW()-4)/10)+1,MOD(ROW()-4,10)+1))</f>
        <v>0</v>
      </c>
      <c r="G128" s="46">
        <f t="array" ref="G128">IFERROR(INDEX('Sản phẩm'!$F$4:$F$103,MATCH(B128,'Sản phẩm'!$D$4:$D$103,0)),0)</f>
        <v>0</v>
      </c>
      <c r="H128" s="67">
        <f t="shared" si="5"/>
        <v>0</v>
      </c>
      <c r="I128" s="46">
        <f t="shared" si="1"/>
        <v>0</v>
      </c>
      <c r="J128" s="46">
        <f t="array" ref="J128">IFERROR(INDEX('Sản phẩm'!$G$4:$G$103,MATCH(B128,'Sản phẩm'!$D$4:$D$103,0)),0)</f>
        <v>0</v>
      </c>
      <c r="K128" s="46">
        <f t="array" ref="K128">IFERROR(J128*INDEX('Mẻ sữa'!$N$4:$N$203,MATCH(D128,'Mẻ sữa'!$C$4:$C$203,0)),0)</f>
        <v>0</v>
      </c>
      <c r="L128" s="46">
        <f t="array" ref="L128">IFERROR(INDEX('Sản phẩm'!$I$4:$I$103,MATCH(B128,'Sản phẩm'!$D$4:$D$103,0)),0)</f>
        <v>0</v>
      </c>
      <c r="M128" s="72" t="str">
        <f t="array" ref="M128">IFERROR(INDEX('Sản phẩm'!$J$4:$J$103,MATCH(B128,'Sản phẩm'!$D$4:$D$103,0)),0)</f>
        <v/>
      </c>
      <c r="N128" s="46">
        <f>IF(B128="",0,(K128+L128+M128)*'Thiết lập'!$B$8)</f>
        <v>0</v>
      </c>
      <c r="O128" s="46">
        <f t="shared" si="2"/>
        <v>0</v>
      </c>
      <c r="P128" s="46">
        <f t="shared" si="3"/>
        <v>0</v>
      </c>
      <c r="Q128" s="46">
        <f t="shared" si="4"/>
        <v>0</v>
      </c>
      <c r="R128" s="71" t="str">
        <f t="array" ref="R128">IF(B128="","",INDEX('Bán nhanh'!$C$4:$C$103,INT((ROW()-4)/10)+1))</f>
        <v/>
      </c>
      <c r="S128" s="71" t="str">
        <f t="array" ref="S128">IF(B128="","",INDEX('Bán nhanh'!$P$4:$P$103,INT((ROW()-4)/10)+1))</f>
        <v/>
      </c>
      <c r="T128" s="58"/>
      <c r="U128" s="68" t="str">
        <f>IF('Mẻ sữa'!F129&lt;&gt;"",'Mẻ sữa'!F129,"")</f>
        <v/>
      </c>
      <c r="V128" s="68"/>
      <c r="W128" s="87"/>
      <c r="X128" s="36"/>
      <c r="Y128" s="36"/>
      <c r="Z128" s="36"/>
    </row>
    <row r="129" ht="15.75" customHeight="1">
      <c r="A129" s="70" t="str">
        <f t="array" ref="A129">IF(B129="","",INDEX('Bán nhanh'!$A$4:$A$103,INT((ROW()-4)/10)+1))</f>
        <v/>
      </c>
      <c r="B129" s="71" t="str">
        <f t="array" ref="B129">IF(OR(INDEX('Bán nhanh'!$D$3:$M$3,1,MOD(ROW()-4,10)+1)="",INDEX('Bán nhanh'!$D$4:$M$103,INT((ROW()-4)/10)+1,MOD(ROW()-4,10)+1)&lt;=0),"",INDEX('Bán nhanh'!$D$3:$M$3,1,MOD(ROW()-4,10)+1))</f>
        <v/>
      </c>
      <c r="C129" s="58" t="str">
        <f t="array" ref="C129">IFERROR(INDEX('Sản phẩm'!$A$4:$A$103,MATCH(B129,'Sản phẩm'!$D$4:$D$103,0)),"")</f>
        <v/>
      </c>
      <c r="D129" s="71" t="str">
        <f t="array" ref="D129">IF(B129="","",INDEX('Bán nhanh'!$B$4:$B$103,INT((ROW()-4)/10)+1))</f>
        <v/>
      </c>
      <c r="E129" s="58" t="str">
        <f t="array" ref="E129">IFERROR(INDEX('Mẻ sữa'!$B$4:$B$203,MATCH(D129,'Mẻ sữa'!$C$4:$C$203,0)),"")</f>
        <v/>
      </c>
      <c r="F129" s="66">
        <f t="array" ref="F129">IF(B129="",0,INDEX('Bán nhanh'!$D$4:$M$103,INT((ROW()-4)/10)+1,MOD(ROW()-4,10)+1))</f>
        <v>0</v>
      </c>
      <c r="G129" s="46">
        <f t="array" ref="G129">IFERROR(INDEX('Sản phẩm'!$F$4:$F$103,MATCH(B129,'Sản phẩm'!$D$4:$D$103,0)),0)</f>
        <v>0</v>
      </c>
      <c r="H129" s="67">
        <f t="shared" si="5"/>
        <v>0</v>
      </c>
      <c r="I129" s="46">
        <f t="shared" si="1"/>
        <v>0</v>
      </c>
      <c r="J129" s="46">
        <f t="array" ref="J129">IFERROR(INDEX('Sản phẩm'!$G$4:$G$103,MATCH(B129,'Sản phẩm'!$D$4:$D$103,0)),0)</f>
        <v>0</v>
      </c>
      <c r="K129" s="46">
        <f t="array" ref="K129">IFERROR(J129*INDEX('Mẻ sữa'!$N$4:$N$203,MATCH(D129,'Mẻ sữa'!$C$4:$C$203,0)),0)</f>
        <v>0</v>
      </c>
      <c r="L129" s="46">
        <f t="array" ref="L129">IFERROR(INDEX('Sản phẩm'!$I$4:$I$103,MATCH(B129,'Sản phẩm'!$D$4:$D$103,0)),0)</f>
        <v>0</v>
      </c>
      <c r="M129" s="72" t="str">
        <f t="array" ref="M129">IFERROR(INDEX('Sản phẩm'!$J$4:$J$103,MATCH(B129,'Sản phẩm'!$D$4:$D$103,0)),0)</f>
        <v/>
      </c>
      <c r="N129" s="46">
        <f>IF(B129="",0,(K129+L129+M129)*'Thiết lập'!$B$8)</f>
        <v>0</v>
      </c>
      <c r="O129" s="46">
        <f t="shared" si="2"/>
        <v>0</v>
      </c>
      <c r="P129" s="46">
        <f t="shared" si="3"/>
        <v>0</v>
      </c>
      <c r="Q129" s="46">
        <f t="shared" si="4"/>
        <v>0</v>
      </c>
      <c r="R129" s="71" t="str">
        <f t="array" ref="R129">IF(B129="","",INDEX('Bán nhanh'!$C$4:$C$103,INT((ROW()-4)/10)+1))</f>
        <v/>
      </c>
      <c r="S129" s="71" t="str">
        <f t="array" ref="S129">IF(B129="","",INDEX('Bán nhanh'!$P$4:$P$103,INT((ROW()-4)/10)+1))</f>
        <v/>
      </c>
      <c r="T129" s="58"/>
      <c r="U129" s="68" t="str">
        <f>IF('Mẻ sữa'!F130&lt;&gt;"",'Mẻ sữa'!F130,"")</f>
        <v/>
      </c>
      <c r="V129" s="68"/>
      <c r="W129" s="87"/>
      <c r="X129" s="36"/>
      <c r="Y129" s="36"/>
      <c r="Z129" s="36"/>
    </row>
    <row r="130" ht="15.75" customHeight="1">
      <c r="A130" s="70" t="str">
        <f t="array" ref="A130">IF(B130="","",INDEX('Bán nhanh'!$A$4:$A$103,INT((ROW()-4)/10)+1))</f>
        <v/>
      </c>
      <c r="B130" s="71" t="str">
        <f t="array" ref="B130">IF(OR(INDEX('Bán nhanh'!$D$3:$M$3,1,MOD(ROW()-4,10)+1)="",INDEX('Bán nhanh'!$D$4:$M$103,INT((ROW()-4)/10)+1,MOD(ROW()-4,10)+1)&lt;=0),"",INDEX('Bán nhanh'!$D$3:$M$3,1,MOD(ROW()-4,10)+1))</f>
        <v/>
      </c>
      <c r="C130" s="58" t="str">
        <f t="array" ref="C130">IFERROR(INDEX('Sản phẩm'!$A$4:$A$103,MATCH(B130,'Sản phẩm'!$D$4:$D$103,0)),"")</f>
        <v/>
      </c>
      <c r="D130" s="71" t="str">
        <f t="array" ref="D130">IF(B130="","",INDEX('Bán nhanh'!$B$4:$B$103,INT((ROW()-4)/10)+1))</f>
        <v/>
      </c>
      <c r="E130" s="58" t="str">
        <f t="array" ref="E130">IFERROR(INDEX('Mẻ sữa'!$B$4:$B$203,MATCH(D130,'Mẻ sữa'!$C$4:$C$203,0)),"")</f>
        <v/>
      </c>
      <c r="F130" s="66">
        <f t="array" ref="F130">IF(B130="",0,INDEX('Bán nhanh'!$D$4:$M$103,INT((ROW()-4)/10)+1,MOD(ROW()-4,10)+1))</f>
        <v>0</v>
      </c>
      <c r="G130" s="46">
        <f t="array" ref="G130">IFERROR(INDEX('Sản phẩm'!$F$4:$F$103,MATCH(B130,'Sản phẩm'!$D$4:$D$103,0)),0)</f>
        <v>0</v>
      </c>
      <c r="H130" s="67">
        <f t="shared" si="5"/>
        <v>0</v>
      </c>
      <c r="I130" s="46">
        <f t="shared" si="1"/>
        <v>0</v>
      </c>
      <c r="J130" s="46">
        <f t="array" ref="J130">IFERROR(INDEX('Sản phẩm'!$G$4:$G$103,MATCH(B130,'Sản phẩm'!$D$4:$D$103,0)),0)</f>
        <v>0</v>
      </c>
      <c r="K130" s="46">
        <f t="array" ref="K130">IFERROR(J130*INDEX('Mẻ sữa'!$N$4:$N$203,MATCH(D130,'Mẻ sữa'!$C$4:$C$203,0)),0)</f>
        <v>0</v>
      </c>
      <c r="L130" s="46">
        <f t="array" ref="L130">IFERROR(INDEX('Sản phẩm'!$I$4:$I$103,MATCH(B130,'Sản phẩm'!$D$4:$D$103,0)),0)</f>
        <v>0</v>
      </c>
      <c r="M130" s="72" t="str">
        <f t="array" ref="M130">IFERROR(INDEX('Sản phẩm'!$J$4:$J$103,MATCH(B130,'Sản phẩm'!$D$4:$D$103,0)),0)</f>
        <v/>
      </c>
      <c r="N130" s="46">
        <f>IF(B130="",0,(K130+L130+M130)*'Thiết lập'!$B$8)</f>
        <v>0</v>
      </c>
      <c r="O130" s="46">
        <f t="shared" si="2"/>
        <v>0</v>
      </c>
      <c r="P130" s="46">
        <f t="shared" si="3"/>
        <v>0</v>
      </c>
      <c r="Q130" s="46">
        <f t="shared" si="4"/>
        <v>0</v>
      </c>
      <c r="R130" s="71" t="str">
        <f t="array" ref="R130">IF(B130="","",INDEX('Bán nhanh'!$C$4:$C$103,INT((ROW()-4)/10)+1))</f>
        <v/>
      </c>
      <c r="S130" s="71" t="str">
        <f t="array" ref="S130">IF(B130="","",INDEX('Bán nhanh'!$P$4:$P$103,INT((ROW()-4)/10)+1))</f>
        <v/>
      </c>
      <c r="T130" s="58"/>
      <c r="U130" s="68" t="str">
        <f>IF('Mẻ sữa'!F131&lt;&gt;"",'Mẻ sữa'!F131,"")</f>
        <v/>
      </c>
      <c r="V130" s="68"/>
      <c r="W130" s="87"/>
      <c r="X130" s="36"/>
      <c r="Y130" s="36"/>
      <c r="Z130" s="36"/>
    </row>
    <row r="131" ht="15.75" customHeight="1">
      <c r="A131" s="70" t="str">
        <f t="array" ref="A131">IF(B131="","",INDEX('Bán nhanh'!$A$4:$A$103,INT((ROW()-4)/10)+1))</f>
        <v/>
      </c>
      <c r="B131" s="71" t="str">
        <f t="array" ref="B131">IF(OR(INDEX('Bán nhanh'!$D$3:$M$3,1,MOD(ROW()-4,10)+1)="",INDEX('Bán nhanh'!$D$4:$M$103,INT((ROW()-4)/10)+1,MOD(ROW()-4,10)+1)&lt;=0),"",INDEX('Bán nhanh'!$D$3:$M$3,1,MOD(ROW()-4,10)+1))</f>
        <v/>
      </c>
      <c r="C131" s="58" t="str">
        <f t="array" ref="C131">IFERROR(INDEX('Sản phẩm'!$A$4:$A$103,MATCH(B131,'Sản phẩm'!$D$4:$D$103,0)),"")</f>
        <v/>
      </c>
      <c r="D131" s="71" t="str">
        <f t="array" ref="D131">IF(B131="","",INDEX('Bán nhanh'!$B$4:$B$103,INT((ROW()-4)/10)+1))</f>
        <v/>
      </c>
      <c r="E131" s="58" t="str">
        <f t="array" ref="E131">IFERROR(INDEX('Mẻ sữa'!$B$4:$B$203,MATCH(D131,'Mẻ sữa'!$C$4:$C$203,0)),"")</f>
        <v/>
      </c>
      <c r="F131" s="66">
        <f t="array" ref="F131">IF(B131="",0,INDEX('Bán nhanh'!$D$4:$M$103,INT((ROW()-4)/10)+1,MOD(ROW()-4,10)+1))</f>
        <v>0</v>
      </c>
      <c r="G131" s="46">
        <f t="array" ref="G131">IFERROR(INDEX('Sản phẩm'!$F$4:$F$103,MATCH(B131,'Sản phẩm'!$D$4:$D$103,0)),0)</f>
        <v>0</v>
      </c>
      <c r="H131" s="67">
        <f t="shared" si="5"/>
        <v>0</v>
      </c>
      <c r="I131" s="46">
        <f t="shared" si="1"/>
        <v>0</v>
      </c>
      <c r="J131" s="46">
        <f t="array" ref="J131">IFERROR(INDEX('Sản phẩm'!$G$4:$G$103,MATCH(B131,'Sản phẩm'!$D$4:$D$103,0)),0)</f>
        <v>0</v>
      </c>
      <c r="K131" s="46">
        <f t="array" ref="K131">IFERROR(J131*INDEX('Mẻ sữa'!$N$4:$N$203,MATCH(D131,'Mẻ sữa'!$C$4:$C$203,0)),0)</f>
        <v>0</v>
      </c>
      <c r="L131" s="46">
        <f t="array" ref="L131">IFERROR(INDEX('Sản phẩm'!$I$4:$I$103,MATCH(B131,'Sản phẩm'!$D$4:$D$103,0)),0)</f>
        <v>0</v>
      </c>
      <c r="M131" s="72" t="str">
        <f t="array" ref="M131">IFERROR(INDEX('Sản phẩm'!$J$4:$J$103,MATCH(B131,'Sản phẩm'!$D$4:$D$103,0)),0)</f>
        <v/>
      </c>
      <c r="N131" s="46">
        <f>IF(B131="",0,(K131+L131+M131)*'Thiết lập'!$B$8)</f>
        <v>0</v>
      </c>
      <c r="O131" s="46">
        <f t="shared" si="2"/>
        <v>0</v>
      </c>
      <c r="P131" s="46">
        <f t="shared" si="3"/>
        <v>0</v>
      </c>
      <c r="Q131" s="46">
        <f t="shared" si="4"/>
        <v>0</v>
      </c>
      <c r="R131" s="71" t="str">
        <f t="array" ref="R131">IF(B131="","",INDEX('Bán nhanh'!$C$4:$C$103,INT((ROW()-4)/10)+1))</f>
        <v/>
      </c>
      <c r="S131" s="71" t="str">
        <f t="array" ref="S131">IF(B131="","",INDEX('Bán nhanh'!$P$4:$P$103,INT((ROW()-4)/10)+1))</f>
        <v/>
      </c>
      <c r="T131" s="58"/>
      <c r="U131" s="68" t="str">
        <f>IF('Mẻ sữa'!F132&lt;&gt;"",'Mẻ sữa'!F132,"")</f>
        <v/>
      </c>
      <c r="V131" s="68"/>
      <c r="W131" s="87"/>
      <c r="X131" s="36"/>
      <c r="Y131" s="36"/>
      <c r="Z131" s="36"/>
    </row>
    <row r="132" ht="15.75" customHeight="1">
      <c r="A132" s="70" t="str">
        <f t="array" ref="A132">IF(B132="","",INDEX('Bán nhanh'!$A$4:$A$103,INT((ROW()-4)/10)+1))</f>
        <v/>
      </c>
      <c r="B132" s="71" t="str">
        <f t="array" ref="B132">IF(OR(INDEX('Bán nhanh'!$D$3:$M$3,1,MOD(ROW()-4,10)+1)="",INDEX('Bán nhanh'!$D$4:$M$103,INT((ROW()-4)/10)+1,MOD(ROW()-4,10)+1)&lt;=0),"",INDEX('Bán nhanh'!$D$3:$M$3,1,MOD(ROW()-4,10)+1))</f>
        <v/>
      </c>
      <c r="C132" s="58" t="str">
        <f t="array" ref="C132">IFERROR(INDEX('Sản phẩm'!$A$4:$A$103,MATCH(B132,'Sản phẩm'!$D$4:$D$103,0)),"")</f>
        <v/>
      </c>
      <c r="D132" s="71" t="str">
        <f t="array" ref="D132">IF(B132="","",INDEX('Bán nhanh'!$B$4:$B$103,INT((ROW()-4)/10)+1))</f>
        <v/>
      </c>
      <c r="E132" s="58" t="str">
        <f t="array" ref="E132">IFERROR(INDEX('Mẻ sữa'!$B$4:$B$203,MATCH(D132,'Mẻ sữa'!$C$4:$C$203,0)),"")</f>
        <v/>
      </c>
      <c r="F132" s="66">
        <f t="array" ref="F132">IF(B132="",0,INDEX('Bán nhanh'!$D$4:$M$103,INT((ROW()-4)/10)+1,MOD(ROW()-4,10)+1))</f>
        <v>0</v>
      </c>
      <c r="G132" s="46">
        <f t="array" ref="G132">IFERROR(INDEX('Sản phẩm'!$F$4:$F$103,MATCH(B132,'Sản phẩm'!$D$4:$D$103,0)),0)</f>
        <v>0</v>
      </c>
      <c r="H132" s="67">
        <f t="shared" si="5"/>
        <v>0</v>
      </c>
      <c r="I132" s="46">
        <f t="shared" si="1"/>
        <v>0</v>
      </c>
      <c r="J132" s="46">
        <f t="array" ref="J132">IFERROR(INDEX('Sản phẩm'!$G$4:$G$103,MATCH(B132,'Sản phẩm'!$D$4:$D$103,0)),0)</f>
        <v>0</v>
      </c>
      <c r="K132" s="46">
        <f t="array" ref="K132">IFERROR(J132*INDEX('Mẻ sữa'!$N$4:$N$203,MATCH(D132,'Mẻ sữa'!$C$4:$C$203,0)),0)</f>
        <v>0</v>
      </c>
      <c r="L132" s="46">
        <f t="array" ref="L132">IFERROR(INDEX('Sản phẩm'!$I$4:$I$103,MATCH(B132,'Sản phẩm'!$D$4:$D$103,0)),0)</f>
        <v>0</v>
      </c>
      <c r="M132" s="72" t="str">
        <f t="array" ref="M132">IFERROR(INDEX('Sản phẩm'!$J$4:$J$103,MATCH(B132,'Sản phẩm'!$D$4:$D$103,0)),0)</f>
        <v/>
      </c>
      <c r="N132" s="46">
        <f>IF(B132="",0,(K132+L132+M132)*'Thiết lập'!$B$8)</f>
        <v>0</v>
      </c>
      <c r="O132" s="46">
        <f t="shared" si="2"/>
        <v>0</v>
      </c>
      <c r="P132" s="46">
        <f t="shared" si="3"/>
        <v>0</v>
      </c>
      <c r="Q132" s="46">
        <f t="shared" si="4"/>
        <v>0</v>
      </c>
      <c r="R132" s="71" t="str">
        <f t="array" ref="R132">IF(B132="","",INDEX('Bán nhanh'!$C$4:$C$103,INT((ROW()-4)/10)+1))</f>
        <v/>
      </c>
      <c r="S132" s="71" t="str">
        <f t="array" ref="S132">IF(B132="","",INDEX('Bán nhanh'!$P$4:$P$103,INT((ROW()-4)/10)+1))</f>
        <v/>
      </c>
      <c r="T132" s="58"/>
      <c r="U132" s="68" t="str">
        <f>IF('Mẻ sữa'!F133&lt;&gt;"",'Mẻ sữa'!F133,"")</f>
        <v/>
      </c>
      <c r="V132" s="68"/>
      <c r="W132" s="87"/>
      <c r="X132" s="36"/>
      <c r="Y132" s="36"/>
      <c r="Z132" s="36"/>
    </row>
    <row r="133" ht="15.75" customHeight="1">
      <c r="A133" s="70" t="str">
        <f t="array" ref="A133">IF(B133="","",INDEX('Bán nhanh'!$A$4:$A$103,INT((ROW()-4)/10)+1))</f>
        <v/>
      </c>
      <c r="B133" s="71" t="str">
        <f t="array" ref="B133">IF(OR(INDEX('Bán nhanh'!$D$3:$M$3,1,MOD(ROW()-4,10)+1)="",INDEX('Bán nhanh'!$D$4:$M$103,INT((ROW()-4)/10)+1,MOD(ROW()-4,10)+1)&lt;=0),"",INDEX('Bán nhanh'!$D$3:$M$3,1,MOD(ROW()-4,10)+1))</f>
        <v/>
      </c>
      <c r="C133" s="58" t="str">
        <f t="array" ref="C133">IFERROR(INDEX('Sản phẩm'!$A$4:$A$103,MATCH(B133,'Sản phẩm'!$D$4:$D$103,0)),"")</f>
        <v/>
      </c>
      <c r="D133" s="71" t="str">
        <f t="array" ref="D133">IF(B133="","",INDEX('Bán nhanh'!$B$4:$B$103,INT((ROW()-4)/10)+1))</f>
        <v/>
      </c>
      <c r="E133" s="58" t="str">
        <f t="array" ref="E133">IFERROR(INDEX('Mẻ sữa'!$B$4:$B$203,MATCH(D133,'Mẻ sữa'!$C$4:$C$203,0)),"")</f>
        <v/>
      </c>
      <c r="F133" s="66">
        <f t="array" ref="F133">IF(B133="",0,INDEX('Bán nhanh'!$D$4:$M$103,INT((ROW()-4)/10)+1,MOD(ROW()-4,10)+1))</f>
        <v>0</v>
      </c>
      <c r="G133" s="46">
        <f t="array" ref="G133">IFERROR(INDEX('Sản phẩm'!$F$4:$F$103,MATCH(B133,'Sản phẩm'!$D$4:$D$103,0)),0)</f>
        <v>0</v>
      </c>
      <c r="H133" s="67">
        <f t="shared" si="5"/>
        <v>0</v>
      </c>
      <c r="I133" s="46">
        <f t="shared" si="1"/>
        <v>0</v>
      </c>
      <c r="J133" s="46">
        <f t="array" ref="J133">IFERROR(INDEX('Sản phẩm'!$G$4:$G$103,MATCH(B133,'Sản phẩm'!$D$4:$D$103,0)),0)</f>
        <v>0</v>
      </c>
      <c r="K133" s="46">
        <f t="array" ref="K133">IFERROR(J133*INDEX('Mẻ sữa'!$N$4:$N$203,MATCH(D133,'Mẻ sữa'!$C$4:$C$203,0)),0)</f>
        <v>0</v>
      </c>
      <c r="L133" s="46">
        <f t="array" ref="L133">IFERROR(INDEX('Sản phẩm'!$I$4:$I$103,MATCH(B133,'Sản phẩm'!$D$4:$D$103,0)),0)</f>
        <v>0</v>
      </c>
      <c r="M133" s="72" t="str">
        <f t="array" ref="M133">IFERROR(INDEX('Sản phẩm'!$J$4:$J$103,MATCH(B133,'Sản phẩm'!$D$4:$D$103,0)),0)</f>
        <v/>
      </c>
      <c r="N133" s="46">
        <f>IF(B133="",0,(K133+L133+M133)*'Thiết lập'!$B$8)</f>
        <v>0</v>
      </c>
      <c r="O133" s="46">
        <f t="shared" si="2"/>
        <v>0</v>
      </c>
      <c r="P133" s="46">
        <f t="shared" si="3"/>
        <v>0</v>
      </c>
      <c r="Q133" s="46">
        <f t="shared" si="4"/>
        <v>0</v>
      </c>
      <c r="R133" s="71" t="str">
        <f t="array" ref="R133">IF(B133="","",INDEX('Bán nhanh'!$C$4:$C$103,INT((ROW()-4)/10)+1))</f>
        <v/>
      </c>
      <c r="S133" s="71" t="str">
        <f t="array" ref="S133">IF(B133="","",INDEX('Bán nhanh'!$P$4:$P$103,INT((ROW()-4)/10)+1))</f>
        <v/>
      </c>
      <c r="T133" s="58"/>
      <c r="U133" s="68" t="str">
        <f>IF('Mẻ sữa'!F134&lt;&gt;"",'Mẻ sữa'!F134,"")</f>
        <v/>
      </c>
      <c r="V133" s="68"/>
      <c r="W133" s="87"/>
      <c r="X133" s="36"/>
      <c r="Y133" s="36"/>
      <c r="Z133" s="36"/>
    </row>
    <row r="134" ht="15.75" customHeight="1">
      <c r="A134" s="70" t="str">
        <f t="array" ref="A134">IF(B134="","",INDEX('Bán nhanh'!$A$4:$A$103,INT((ROW()-4)/10)+1))</f>
        <v/>
      </c>
      <c r="B134" s="71" t="str">
        <f t="array" ref="B134">IF(OR(INDEX('Bán nhanh'!$D$3:$M$3,1,MOD(ROW()-4,10)+1)="",INDEX('Bán nhanh'!$D$4:$M$103,INT((ROW()-4)/10)+1,MOD(ROW()-4,10)+1)&lt;=0),"",INDEX('Bán nhanh'!$D$3:$M$3,1,MOD(ROW()-4,10)+1))</f>
        <v/>
      </c>
      <c r="C134" s="58" t="str">
        <f t="array" ref="C134">IFERROR(INDEX('Sản phẩm'!$A$4:$A$103,MATCH(B134,'Sản phẩm'!$D$4:$D$103,0)),"")</f>
        <v/>
      </c>
      <c r="D134" s="71" t="str">
        <f t="array" ref="D134">IF(B134="","",INDEX('Bán nhanh'!$B$4:$B$103,INT((ROW()-4)/10)+1))</f>
        <v/>
      </c>
      <c r="E134" s="58" t="str">
        <f t="array" ref="E134">IFERROR(INDEX('Mẻ sữa'!$B$4:$B$203,MATCH(D134,'Mẻ sữa'!$C$4:$C$203,0)),"")</f>
        <v/>
      </c>
      <c r="F134" s="66">
        <f t="array" ref="F134">IF(B134="",0,INDEX('Bán nhanh'!$D$4:$M$103,INT((ROW()-4)/10)+1,MOD(ROW()-4,10)+1))</f>
        <v>0</v>
      </c>
      <c r="G134" s="46">
        <f t="array" ref="G134">IFERROR(INDEX('Sản phẩm'!$F$4:$F$103,MATCH(B134,'Sản phẩm'!$D$4:$D$103,0)),0)</f>
        <v>0</v>
      </c>
      <c r="H134" s="67">
        <f t="shared" si="5"/>
        <v>0</v>
      </c>
      <c r="I134" s="46">
        <f t="shared" si="1"/>
        <v>0</v>
      </c>
      <c r="J134" s="46">
        <f t="array" ref="J134">IFERROR(INDEX('Sản phẩm'!$G$4:$G$103,MATCH(B134,'Sản phẩm'!$D$4:$D$103,0)),0)</f>
        <v>0</v>
      </c>
      <c r="K134" s="46">
        <f t="array" ref="K134">IFERROR(J134*INDEX('Mẻ sữa'!$N$4:$N$203,MATCH(D134,'Mẻ sữa'!$C$4:$C$203,0)),0)</f>
        <v>0</v>
      </c>
      <c r="L134" s="46">
        <f t="array" ref="L134">IFERROR(INDEX('Sản phẩm'!$I$4:$I$103,MATCH(B134,'Sản phẩm'!$D$4:$D$103,0)),0)</f>
        <v>0</v>
      </c>
      <c r="M134" s="72" t="str">
        <f t="array" ref="M134">IFERROR(INDEX('Sản phẩm'!$J$4:$J$103,MATCH(B134,'Sản phẩm'!$D$4:$D$103,0)),0)</f>
        <v/>
      </c>
      <c r="N134" s="46">
        <f>IF(B134="",0,(K134+L134+M134)*'Thiết lập'!$B$8)</f>
        <v>0</v>
      </c>
      <c r="O134" s="46">
        <f t="shared" si="2"/>
        <v>0</v>
      </c>
      <c r="P134" s="46">
        <f t="shared" si="3"/>
        <v>0</v>
      </c>
      <c r="Q134" s="46">
        <f t="shared" si="4"/>
        <v>0</v>
      </c>
      <c r="R134" s="71" t="str">
        <f t="array" ref="R134">IF(B134="","",INDEX('Bán nhanh'!$C$4:$C$103,INT((ROW()-4)/10)+1))</f>
        <v/>
      </c>
      <c r="S134" s="71" t="str">
        <f t="array" ref="S134">IF(B134="","",INDEX('Bán nhanh'!$P$4:$P$103,INT((ROW()-4)/10)+1))</f>
        <v/>
      </c>
      <c r="T134" s="58"/>
      <c r="U134" s="68" t="str">
        <f>IF('Mẻ sữa'!F135&lt;&gt;"",'Mẻ sữa'!F135,"")</f>
        <v/>
      </c>
      <c r="V134" s="68"/>
      <c r="W134" s="87"/>
      <c r="X134" s="36"/>
      <c r="Y134" s="36"/>
      <c r="Z134" s="36"/>
    </row>
    <row r="135" ht="15.75" customHeight="1">
      <c r="A135" s="70" t="str">
        <f t="array" ref="A135">IF(B135="","",INDEX('Bán nhanh'!$A$4:$A$103,INT((ROW()-4)/10)+1))</f>
        <v/>
      </c>
      <c r="B135" s="71" t="str">
        <f t="array" ref="B135">IF(OR(INDEX('Bán nhanh'!$D$3:$M$3,1,MOD(ROW()-4,10)+1)="",INDEX('Bán nhanh'!$D$4:$M$103,INT((ROW()-4)/10)+1,MOD(ROW()-4,10)+1)&lt;=0),"",INDEX('Bán nhanh'!$D$3:$M$3,1,MOD(ROW()-4,10)+1))</f>
        <v/>
      </c>
      <c r="C135" s="58" t="str">
        <f t="array" ref="C135">IFERROR(INDEX('Sản phẩm'!$A$4:$A$103,MATCH(B135,'Sản phẩm'!$D$4:$D$103,0)),"")</f>
        <v/>
      </c>
      <c r="D135" s="71" t="str">
        <f t="array" ref="D135">IF(B135="","",INDEX('Bán nhanh'!$B$4:$B$103,INT((ROW()-4)/10)+1))</f>
        <v/>
      </c>
      <c r="E135" s="58" t="str">
        <f t="array" ref="E135">IFERROR(INDEX('Mẻ sữa'!$B$4:$B$203,MATCH(D135,'Mẻ sữa'!$C$4:$C$203,0)),"")</f>
        <v/>
      </c>
      <c r="F135" s="66">
        <f t="array" ref="F135">IF(B135="",0,INDEX('Bán nhanh'!$D$4:$M$103,INT((ROW()-4)/10)+1,MOD(ROW()-4,10)+1))</f>
        <v>0</v>
      </c>
      <c r="G135" s="46">
        <f t="array" ref="G135">IFERROR(INDEX('Sản phẩm'!$F$4:$F$103,MATCH(B135,'Sản phẩm'!$D$4:$D$103,0)),0)</f>
        <v>0</v>
      </c>
      <c r="H135" s="67">
        <f t="shared" si="5"/>
        <v>0</v>
      </c>
      <c r="I135" s="46">
        <f t="shared" si="1"/>
        <v>0</v>
      </c>
      <c r="J135" s="46">
        <f t="array" ref="J135">IFERROR(INDEX('Sản phẩm'!$G$4:$G$103,MATCH(B135,'Sản phẩm'!$D$4:$D$103,0)),0)</f>
        <v>0</v>
      </c>
      <c r="K135" s="46">
        <f t="array" ref="K135">IFERROR(J135*INDEX('Mẻ sữa'!$N$4:$N$203,MATCH(D135,'Mẻ sữa'!$C$4:$C$203,0)),0)</f>
        <v>0</v>
      </c>
      <c r="L135" s="46">
        <f t="array" ref="L135">IFERROR(INDEX('Sản phẩm'!$I$4:$I$103,MATCH(B135,'Sản phẩm'!$D$4:$D$103,0)),0)</f>
        <v>0</v>
      </c>
      <c r="M135" s="72" t="str">
        <f t="array" ref="M135">IFERROR(INDEX('Sản phẩm'!$J$4:$J$103,MATCH(B135,'Sản phẩm'!$D$4:$D$103,0)),0)</f>
        <v/>
      </c>
      <c r="N135" s="46">
        <f>IF(B135="",0,(K135+L135+M135)*'Thiết lập'!$B$8)</f>
        <v>0</v>
      </c>
      <c r="O135" s="46">
        <f t="shared" si="2"/>
        <v>0</v>
      </c>
      <c r="P135" s="46">
        <f t="shared" si="3"/>
        <v>0</v>
      </c>
      <c r="Q135" s="46">
        <f t="shared" si="4"/>
        <v>0</v>
      </c>
      <c r="R135" s="71" t="str">
        <f t="array" ref="R135">IF(B135="","",INDEX('Bán nhanh'!$C$4:$C$103,INT((ROW()-4)/10)+1))</f>
        <v/>
      </c>
      <c r="S135" s="71" t="str">
        <f t="array" ref="S135">IF(B135="","",INDEX('Bán nhanh'!$P$4:$P$103,INT((ROW()-4)/10)+1))</f>
        <v/>
      </c>
      <c r="T135" s="58"/>
      <c r="U135" s="68" t="str">
        <f>IF('Mẻ sữa'!F136&lt;&gt;"",'Mẻ sữa'!F136,"")</f>
        <v/>
      </c>
      <c r="V135" s="68"/>
      <c r="W135" s="87"/>
      <c r="X135" s="36"/>
      <c r="Y135" s="36"/>
      <c r="Z135" s="36"/>
    </row>
    <row r="136" ht="15.75" customHeight="1">
      <c r="A136" s="70" t="str">
        <f t="array" ref="A136">IF(B136="","",INDEX('Bán nhanh'!$A$4:$A$103,INT((ROW()-4)/10)+1))</f>
        <v/>
      </c>
      <c r="B136" s="71" t="str">
        <f t="array" ref="B136">IF(OR(INDEX('Bán nhanh'!$D$3:$M$3,1,MOD(ROW()-4,10)+1)="",INDEX('Bán nhanh'!$D$4:$M$103,INT((ROW()-4)/10)+1,MOD(ROW()-4,10)+1)&lt;=0),"",INDEX('Bán nhanh'!$D$3:$M$3,1,MOD(ROW()-4,10)+1))</f>
        <v/>
      </c>
      <c r="C136" s="58" t="str">
        <f t="array" ref="C136">IFERROR(INDEX('Sản phẩm'!$A$4:$A$103,MATCH(B136,'Sản phẩm'!$D$4:$D$103,0)),"")</f>
        <v/>
      </c>
      <c r="D136" s="71" t="str">
        <f t="array" ref="D136">IF(B136="","",INDEX('Bán nhanh'!$B$4:$B$103,INT((ROW()-4)/10)+1))</f>
        <v/>
      </c>
      <c r="E136" s="58" t="str">
        <f t="array" ref="E136">IFERROR(INDEX('Mẻ sữa'!$B$4:$B$203,MATCH(D136,'Mẻ sữa'!$C$4:$C$203,0)),"")</f>
        <v/>
      </c>
      <c r="F136" s="66">
        <f t="array" ref="F136">IF(B136="",0,INDEX('Bán nhanh'!$D$4:$M$103,INT((ROW()-4)/10)+1,MOD(ROW()-4,10)+1))</f>
        <v>0</v>
      </c>
      <c r="G136" s="46">
        <f t="array" ref="G136">IFERROR(INDEX('Sản phẩm'!$F$4:$F$103,MATCH(B136,'Sản phẩm'!$D$4:$D$103,0)),0)</f>
        <v>0</v>
      </c>
      <c r="H136" s="67">
        <f t="shared" si="5"/>
        <v>0</v>
      </c>
      <c r="I136" s="46">
        <f t="shared" si="1"/>
        <v>0</v>
      </c>
      <c r="J136" s="46">
        <f t="array" ref="J136">IFERROR(INDEX('Sản phẩm'!$G$4:$G$103,MATCH(B136,'Sản phẩm'!$D$4:$D$103,0)),0)</f>
        <v>0</v>
      </c>
      <c r="K136" s="46">
        <f t="array" ref="K136">IFERROR(J136*INDEX('Mẻ sữa'!$N$4:$N$203,MATCH(D136,'Mẻ sữa'!$C$4:$C$203,0)),0)</f>
        <v>0</v>
      </c>
      <c r="L136" s="46">
        <f t="array" ref="L136">IFERROR(INDEX('Sản phẩm'!$I$4:$I$103,MATCH(B136,'Sản phẩm'!$D$4:$D$103,0)),0)</f>
        <v>0</v>
      </c>
      <c r="M136" s="72" t="str">
        <f t="array" ref="M136">IFERROR(INDEX('Sản phẩm'!$J$4:$J$103,MATCH(B136,'Sản phẩm'!$D$4:$D$103,0)),0)</f>
        <v/>
      </c>
      <c r="N136" s="46">
        <f>IF(B136="",0,(K136+L136+M136)*'Thiết lập'!$B$8)</f>
        <v>0</v>
      </c>
      <c r="O136" s="46">
        <f t="shared" si="2"/>
        <v>0</v>
      </c>
      <c r="P136" s="46">
        <f t="shared" si="3"/>
        <v>0</v>
      </c>
      <c r="Q136" s="46">
        <f t="shared" si="4"/>
        <v>0</v>
      </c>
      <c r="R136" s="71" t="str">
        <f t="array" ref="R136">IF(B136="","",INDEX('Bán nhanh'!$C$4:$C$103,INT((ROW()-4)/10)+1))</f>
        <v/>
      </c>
      <c r="S136" s="71" t="str">
        <f t="array" ref="S136">IF(B136="","",INDEX('Bán nhanh'!$P$4:$P$103,INT((ROW()-4)/10)+1))</f>
        <v/>
      </c>
      <c r="T136" s="58"/>
      <c r="U136" s="68" t="str">
        <f>IF('Mẻ sữa'!F137&lt;&gt;"",'Mẻ sữa'!F137,"")</f>
        <v/>
      </c>
      <c r="V136" s="68"/>
      <c r="W136" s="87"/>
      <c r="X136" s="36"/>
      <c r="Y136" s="36"/>
      <c r="Z136" s="36"/>
    </row>
    <row r="137" ht="15.75" customHeight="1">
      <c r="A137" s="70" t="str">
        <f t="array" ref="A137">IF(B137="","",INDEX('Bán nhanh'!$A$4:$A$103,INT((ROW()-4)/10)+1))</f>
        <v/>
      </c>
      <c r="B137" s="71" t="str">
        <f t="array" ref="B137">IF(OR(INDEX('Bán nhanh'!$D$3:$M$3,1,MOD(ROW()-4,10)+1)="",INDEX('Bán nhanh'!$D$4:$M$103,INT((ROW()-4)/10)+1,MOD(ROW()-4,10)+1)&lt;=0),"",INDEX('Bán nhanh'!$D$3:$M$3,1,MOD(ROW()-4,10)+1))</f>
        <v/>
      </c>
      <c r="C137" s="58" t="str">
        <f t="array" ref="C137">IFERROR(INDEX('Sản phẩm'!$A$4:$A$103,MATCH(B137,'Sản phẩm'!$D$4:$D$103,0)),"")</f>
        <v/>
      </c>
      <c r="D137" s="71" t="str">
        <f t="array" ref="D137">IF(B137="","",INDEX('Bán nhanh'!$B$4:$B$103,INT((ROW()-4)/10)+1))</f>
        <v/>
      </c>
      <c r="E137" s="58" t="str">
        <f t="array" ref="E137">IFERROR(INDEX('Mẻ sữa'!$B$4:$B$203,MATCH(D137,'Mẻ sữa'!$C$4:$C$203,0)),"")</f>
        <v/>
      </c>
      <c r="F137" s="66">
        <f t="array" ref="F137">IF(B137="",0,INDEX('Bán nhanh'!$D$4:$M$103,INT((ROW()-4)/10)+1,MOD(ROW()-4,10)+1))</f>
        <v>0</v>
      </c>
      <c r="G137" s="46">
        <f t="array" ref="G137">IFERROR(INDEX('Sản phẩm'!$F$4:$F$103,MATCH(B137,'Sản phẩm'!$D$4:$D$103,0)),0)</f>
        <v>0</v>
      </c>
      <c r="H137" s="67">
        <f t="shared" si="5"/>
        <v>0</v>
      </c>
      <c r="I137" s="46">
        <f t="shared" si="1"/>
        <v>0</v>
      </c>
      <c r="J137" s="46">
        <f t="array" ref="J137">IFERROR(INDEX('Sản phẩm'!$G$4:$G$103,MATCH(B137,'Sản phẩm'!$D$4:$D$103,0)),0)</f>
        <v>0</v>
      </c>
      <c r="K137" s="46">
        <f t="array" ref="K137">IFERROR(J137*INDEX('Mẻ sữa'!$N$4:$N$203,MATCH(D137,'Mẻ sữa'!$C$4:$C$203,0)),0)</f>
        <v>0</v>
      </c>
      <c r="L137" s="46">
        <f t="array" ref="L137">IFERROR(INDEX('Sản phẩm'!$I$4:$I$103,MATCH(B137,'Sản phẩm'!$D$4:$D$103,0)),0)</f>
        <v>0</v>
      </c>
      <c r="M137" s="72" t="str">
        <f t="array" ref="M137">IFERROR(INDEX('Sản phẩm'!$J$4:$J$103,MATCH(B137,'Sản phẩm'!$D$4:$D$103,0)),0)</f>
        <v/>
      </c>
      <c r="N137" s="46">
        <f>IF(B137="",0,(K137+L137+M137)*'Thiết lập'!$B$8)</f>
        <v>0</v>
      </c>
      <c r="O137" s="46">
        <f t="shared" si="2"/>
        <v>0</v>
      </c>
      <c r="P137" s="46">
        <f t="shared" si="3"/>
        <v>0</v>
      </c>
      <c r="Q137" s="46">
        <f t="shared" si="4"/>
        <v>0</v>
      </c>
      <c r="R137" s="71" t="str">
        <f t="array" ref="R137">IF(B137="","",INDEX('Bán nhanh'!$C$4:$C$103,INT((ROW()-4)/10)+1))</f>
        <v/>
      </c>
      <c r="S137" s="71" t="str">
        <f t="array" ref="S137">IF(B137="","",INDEX('Bán nhanh'!$P$4:$P$103,INT((ROW()-4)/10)+1))</f>
        <v/>
      </c>
      <c r="T137" s="58"/>
      <c r="U137" s="68" t="str">
        <f>IF('Mẻ sữa'!F138&lt;&gt;"",'Mẻ sữa'!F138,"")</f>
        <v/>
      </c>
      <c r="V137" s="68"/>
      <c r="W137" s="87"/>
      <c r="X137" s="36"/>
      <c r="Y137" s="36"/>
      <c r="Z137" s="36"/>
    </row>
    <row r="138" ht="15.75" customHeight="1">
      <c r="A138" s="70" t="str">
        <f t="array" ref="A138">IF(B138="","",INDEX('Bán nhanh'!$A$4:$A$103,INT((ROW()-4)/10)+1))</f>
        <v/>
      </c>
      <c r="B138" s="71" t="str">
        <f t="array" ref="B138">IF(OR(INDEX('Bán nhanh'!$D$3:$M$3,1,MOD(ROW()-4,10)+1)="",INDEX('Bán nhanh'!$D$4:$M$103,INT((ROW()-4)/10)+1,MOD(ROW()-4,10)+1)&lt;=0),"",INDEX('Bán nhanh'!$D$3:$M$3,1,MOD(ROW()-4,10)+1))</f>
        <v/>
      </c>
      <c r="C138" s="58" t="str">
        <f t="array" ref="C138">IFERROR(INDEX('Sản phẩm'!$A$4:$A$103,MATCH(B138,'Sản phẩm'!$D$4:$D$103,0)),"")</f>
        <v/>
      </c>
      <c r="D138" s="71" t="str">
        <f t="array" ref="D138">IF(B138="","",INDEX('Bán nhanh'!$B$4:$B$103,INT((ROW()-4)/10)+1))</f>
        <v/>
      </c>
      <c r="E138" s="58" t="str">
        <f t="array" ref="E138">IFERROR(INDEX('Mẻ sữa'!$B$4:$B$203,MATCH(D138,'Mẻ sữa'!$C$4:$C$203,0)),"")</f>
        <v/>
      </c>
      <c r="F138" s="66">
        <f t="array" ref="F138">IF(B138="",0,INDEX('Bán nhanh'!$D$4:$M$103,INT((ROW()-4)/10)+1,MOD(ROW()-4,10)+1))</f>
        <v>0</v>
      </c>
      <c r="G138" s="46">
        <f t="array" ref="G138">IFERROR(INDEX('Sản phẩm'!$F$4:$F$103,MATCH(B138,'Sản phẩm'!$D$4:$D$103,0)),0)</f>
        <v>0</v>
      </c>
      <c r="H138" s="67">
        <f t="shared" si="5"/>
        <v>0</v>
      </c>
      <c r="I138" s="46">
        <f t="shared" si="1"/>
        <v>0</v>
      </c>
      <c r="J138" s="46">
        <f t="array" ref="J138">IFERROR(INDEX('Sản phẩm'!$G$4:$G$103,MATCH(B138,'Sản phẩm'!$D$4:$D$103,0)),0)</f>
        <v>0</v>
      </c>
      <c r="K138" s="46">
        <f t="array" ref="K138">IFERROR(J138*INDEX('Mẻ sữa'!$N$4:$N$203,MATCH(D138,'Mẻ sữa'!$C$4:$C$203,0)),0)</f>
        <v>0</v>
      </c>
      <c r="L138" s="46">
        <f t="array" ref="L138">IFERROR(INDEX('Sản phẩm'!$I$4:$I$103,MATCH(B138,'Sản phẩm'!$D$4:$D$103,0)),0)</f>
        <v>0</v>
      </c>
      <c r="M138" s="72" t="str">
        <f t="array" ref="M138">IFERROR(INDEX('Sản phẩm'!$J$4:$J$103,MATCH(B138,'Sản phẩm'!$D$4:$D$103,0)),0)</f>
        <v/>
      </c>
      <c r="N138" s="46">
        <f>IF(B138="",0,(K138+L138+M138)*'Thiết lập'!$B$8)</f>
        <v>0</v>
      </c>
      <c r="O138" s="46">
        <f t="shared" si="2"/>
        <v>0</v>
      </c>
      <c r="P138" s="46">
        <f t="shared" si="3"/>
        <v>0</v>
      </c>
      <c r="Q138" s="46">
        <f t="shared" si="4"/>
        <v>0</v>
      </c>
      <c r="R138" s="71" t="str">
        <f t="array" ref="R138">IF(B138="","",INDEX('Bán nhanh'!$C$4:$C$103,INT((ROW()-4)/10)+1))</f>
        <v/>
      </c>
      <c r="S138" s="71" t="str">
        <f t="array" ref="S138">IF(B138="","",INDEX('Bán nhanh'!$P$4:$P$103,INT((ROW()-4)/10)+1))</f>
        <v/>
      </c>
      <c r="T138" s="58"/>
      <c r="U138" s="68" t="str">
        <f>IF('Mẻ sữa'!F139&lt;&gt;"",'Mẻ sữa'!F139,"")</f>
        <v/>
      </c>
      <c r="V138" s="68"/>
      <c r="W138" s="87"/>
      <c r="X138" s="36"/>
      <c r="Y138" s="36"/>
      <c r="Z138" s="36"/>
    </row>
    <row r="139" ht="15.75" customHeight="1">
      <c r="A139" s="70" t="str">
        <f t="array" ref="A139">IF(B139="","",INDEX('Bán nhanh'!$A$4:$A$103,INT((ROW()-4)/10)+1))</f>
        <v/>
      </c>
      <c r="B139" s="71" t="str">
        <f t="array" ref="B139">IF(OR(INDEX('Bán nhanh'!$D$3:$M$3,1,MOD(ROW()-4,10)+1)="",INDEX('Bán nhanh'!$D$4:$M$103,INT((ROW()-4)/10)+1,MOD(ROW()-4,10)+1)&lt;=0),"",INDEX('Bán nhanh'!$D$3:$M$3,1,MOD(ROW()-4,10)+1))</f>
        <v/>
      </c>
      <c r="C139" s="58" t="str">
        <f t="array" ref="C139">IFERROR(INDEX('Sản phẩm'!$A$4:$A$103,MATCH(B139,'Sản phẩm'!$D$4:$D$103,0)),"")</f>
        <v/>
      </c>
      <c r="D139" s="71" t="str">
        <f t="array" ref="D139">IF(B139="","",INDEX('Bán nhanh'!$B$4:$B$103,INT((ROW()-4)/10)+1))</f>
        <v/>
      </c>
      <c r="E139" s="58" t="str">
        <f t="array" ref="E139">IFERROR(INDEX('Mẻ sữa'!$B$4:$B$203,MATCH(D139,'Mẻ sữa'!$C$4:$C$203,0)),"")</f>
        <v/>
      </c>
      <c r="F139" s="66">
        <f t="array" ref="F139">IF(B139="",0,INDEX('Bán nhanh'!$D$4:$M$103,INT((ROW()-4)/10)+1,MOD(ROW()-4,10)+1))</f>
        <v>0</v>
      </c>
      <c r="G139" s="46">
        <f t="array" ref="G139">IFERROR(INDEX('Sản phẩm'!$F$4:$F$103,MATCH(B139,'Sản phẩm'!$D$4:$D$103,0)),0)</f>
        <v>0</v>
      </c>
      <c r="H139" s="67">
        <f t="shared" si="5"/>
        <v>0</v>
      </c>
      <c r="I139" s="46">
        <f t="shared" si="1"/>
        <v>0</v>
      </c>
      <c r="J139" s="46">
        <f t="array" ref="J139">IFERROR(INDEX('Sản phẩm'!$G$4:$G$103,MATCH(B139,'Sản phẩm'!$D$4:$D$103,0)),0)</f>
        <v>0</v>
      </c>
      <c r="K139" s="46">
        <f t="array" ref="K139">IFERROR(J139*INDEX('Mẻ sữa'!$N$4:$N$203,MATCH(D139,'Mẻ sữa'!$C$4:$C$203,0)),0)</f>
        <v>0</v>
      </c>
      <c r="L139" s="46">
        <f t="array" ref="L139">IFERROR(INDEX('Sản phẩm'!$I$4:$I$103,MATCH(B139,'Sản phẩm'!$D$4:$D$103,0)),0)</f>
        <v>0</v>
      </c>
      <c r="M139" s="72" t="str">
        <f t="array" ref="M139">IFERROR(INDEX('Sản phẩm'!$J$4:$J$103,MATCH(B139,'Sản phẩm'!$D$4:$D$103,0)),0)</f>
        <v/>
      </c>
      <c r="N139" s="46">
        <f>IF(B139="",0,(K139+L139+M139)*'Thiết lập'!$B$8)</f>
        <v>0</v>
      </c>
      <c r="O139" s="46">
        <f t="shared" si="2"/>
        <v>0</v>
      </c>
      <c r="P139" s="46">
        <f t="shared" si="3"/>
        <v>0</v>
      </c>
      <c r="Q139" s="46">
        <f t="shared" si="4"/>
        <v>0</v>
      </c>
      <c r="R139" s="71" t="str">
        <f t="array" ref="R139">IF(B139="","",INDEX('Bán nhanh'!$C$4:$C$103,INT((ROW()-4)/10)+1))</f>
        <v/>
      </c>
      <c r="S139" s="71" t="str">
        <f t="array" ref="S139">IF(B139="","",INDEX('Bán nhanh'!$P$4:$P$103,INT((ROW()-4)/10)+1))</f>
        <v/>
      </c>
      <c r="T139" s="58"/>
      <c r="U139" s="68" t="str">
        <f>IF('Mẻ sữa'!F140&lt;&gt;"",'Mẻ sữa'!F140,"")</f>
        <v/>
      </c>
      <c r="V139" s="68"/>
      <c r="W139" s="87"/>
      <c r="X139" s="36"/>
      <c r="Y139" s="36"/>
      <c r="Z139" s="36"/>
    </row>
    <row r="140" ht="15.75" customHeight="1">
      <c r="A140" s="70" t="str">
        <f t="array" ref="A140">IF(B140="","",INDEX('Bán nhanh'!$A$4:$A$103,INT((ROW()-4)/10)+1))</f>
        <v/>
      </c>
      <c r="B140" s="71" t="str">
        <f t="array" ref="B140">IF(OR(INDEX('Bán nhanh'!$D$3:$M$3,1,MOD(ROW()-4,10)+1)="",INDEX('Bán nhanh'!$D$4:$M$103,INT((ROW()-4)/10)+1,MOD(ROW()-4,10)+1)&lt;=0),"",INDEX('Bán nhanh'!$D$3:$M$3,1,MOD(ROW()-4,10)+1))</f>
        <v/>
      </c>
      <c r="C140" s="58" t="str">
        <f t="array" ref="C140">IFERROR(INDEX('Sản phẩm'!$A$4:$A$103,MATCH(B140,'Sản phẩm'!$D$4:$D$103,0)),"")</f>
        <v/>
      </c>
      <c r="D140" s="71" t="str">
        <f t="array" ref="D140">IF(B140="","",INDEX('Bán nhanh'!$B$4:$B$103,INT((ROW()-4)/10)+1))</f>
        <v/>
      </c>
      <c r="E140" s="58" t="str">
        <f t="array" ref="E140">IFERROR(INDEX('Mẻ sữa'!$B$4:$B$203,MATCH(D140,'Mẻ sữa'!$C$4:$C$203,0)),"")</f>
        <v/>
      </c>
      <c r="F140" s="66">
        <f t="array" ref="F140">IF(B140="",0,INDEX('Bán nhanh'!$D$4:$M$103,INT((ROW()-4)/10)+1,MOD(ROW()-4,10)+1))</f>
        <v>0</v>
      </c>
      <c r="G140" s="46">
        <f t="array" ref="G140">IFERROR(INDEX('Sản phẩm'!$F$4:$F$103,MATCH(B140,'Sản phẩm'!$D$4:$D$103,0)),0)</f>
        <v>0</v>
      </c>
      <c r="H140" s="67">
        <f t="shared" si="5"/>
        <v>0</v>
      </c>
      <c r="I140" s="46">
        <f t="shared" si="1"/>
        <v>0</v>
      </c>
      <c r="J140" s="46">
        <f t="array" ref="J140">IFERROR(INDEX('Sản phẩm'!$G$4:$G$103,MATCH(B140,'Sản phẩm'!$D$4:$D$103,0)),0)</f>
        <v>0</v>
      </c>
      <c r="K140" s="46">
        <f t="array" ref="K140">IFERROR(J140*INDEX('Mẻ sữa'!$N$4:$N$203,MATCH(D140,'Mẻ sữa'!$C$4:$C$203,0)),0)</f>
        <v>0</v>
      </c>
      <c r="L140" s="46">
        <f t="array" ref="L140">IFERROR(INDEX('Sản phẩm'!$I$4:$I$103,MATCH(B140,'Sản phẩm'!$D$4:$D$103,0)),0)</f>
        <v>0</v>
      </c>
      <c r="M140" s="72" t="str">
        <f t="array" ref="M140">IFERROR(INDEX('Sản phẩm'!$J$4:$J$103,MATCH(B140,'Sản phẩm'!$D$4:$D$103,0)),0)</f>
        <v/>
      </c>
      <c r="N140" s="46">
        <f>IF(B140="",0,(K140+L140+M140)*'Thiết lập'!$B$8)</f>
        <v>0</v>
      </c>
      <c r="O140" s="46">
        <f t="shared" si="2"/>
        <v>0</v>
      </c>
      <c r="P140" s="46">
        <f t="shared" si="3"/>
        <v>0</v>
      </c>
      <c r="Q140" s="46">
        <f t="shared" si="4"/>
        <v>0</v>
      </c>
      <c r="R140" s="71" t="str">
        <f t="array" ref="R140">IF(B140="","",INDEX('Bán nhanh'!$C$4:$C$103,INT((ROW()-4)/10)+1))</f>
        <v/>
      </c>
      <c r="S140" s="71" t="str">
        <f t="array" ref="S140">IF(B140="","",INDEX('Bán nhanh'!$P$4:$P$103,INT((ROW()-4)/10)+1))</f>
        <v/>
      </c>
      <c r="T140" s="58"/>
      <c r="U140" s="68" t="str">
        <f>IF('Mẻ sữa'!F141&lt;&gt;"",'Mẻ sữa'!F141,"")</f>
        <v/>
      </c>
      <c r="V140" s="68"/>
      <c r="W140" s="87"/>
      <c r="X140" s="36"/>
      <c r="Y140" s="36"/>
      <c r="Z140" s="36"/>
    </row>
    <row r="141" ht="15.75" customHeight="1">
      <c r="A141" s="70" t="str">
        <f t="array" ref="A141">IF(B141="","",INDEX('Bán nhanh'!$A$4:$A$103,INT((ROW()-4)/10)+1))</f>
        <v/>
      </c>
      <c r="B141" s="71" t="str">
        <f t="array" ref="B141">IF(OR(INDEX('Bán nhanh'!$D$3:$M$3,1,MOD(ROW()-4,10)+1)="",INDEX('Bán nhanh'!$D$4:$M$103,INT((ROW()-4)/10)+1,MOD(ROW()-4,10)+1)&lt;=0),"",INDEX('Bán nhanh'!$D$3:$M$3,1,MOD(ROW()-4,10)+1))</f>
        <v/>
      </c>
      <c r="C141" s="58" t="str">
        <f t="array" ref="C141">IFERROR(INDEX('Sản phẩm'!$A$4:$A$103,MATCH(B141,'Sản phẩm'!$D$4:$D$103,0)),"")</f>
        <v/>
      </c>
      <c r="D141" s="71" t="str">
        <f t="array" ref="D141">IF(B141="","",INDEX('Bán nhanh'!$B$4:$B$103,INT((ROW()-4)/10)+1))</f>
        <v/>
      </c>
      <c r="E141" s="58" t="str">
        <f t="array" ref="E141">IFERROR(INDEX('Mẻ sữa'!$B$4:$B$203,MATCH(D141,'Mẻ sữa'!$C$4:$C$203,0)),"")</f>
        <v/>
      </c>
      <c r="F141" s="66">
        <f t="array" ref="F141">IF(B141="",0,INDEX('Bán nhanh'!$D$4:$M$103,INT((ROW()-4)/10)+1,MOD(ROW()-4,10)+1))</f>
        <v>0</v>
      </c>
      <c r="G141" s="46">
        <f t="array" ref="G141">IFERROR(INDEX('Sản phẩm'!$F$4:$F$103,MATCH(B141,'Sản phẩm'!$D$4:$D$103,0)),0)</f>
        <v>0</v>
      </c>
      <c r="H141" s="67">
        <f t="shared" si="5"/>
        <v>0</v>
      </c>
      <c r="I141" s="46">
        <f t="shared" si="1"/>
        <v>0</v>
      </c>
      <c r="J141" s="46">
        <f t="array" ref="J141">IFERROR(INDEX('Sản phẩm'!$G$4:$G$103,MATCH(B141,'Sản phẩm'!$D$4:$D$103,0)),0)</f>
        <v>0</v>
      </c>
      <c r="K141" s="46">
        <f t="array" ref="K141">IFERROR(J141*INDEX('Mẻ sữa'!$N$4:$N$203,MATCH(D141,'Mẻ sữa'!$C$4:$C$203,0)),0)</f>
        <v>0</v>
      </c>
      <c r="L141" s="46">
        <f t="array" ref="L141">IFERROR(INDEX('Sản phẩm'!$I$4:$I$103,MATCH(B141,'Sản phẩm'!$D$4:$D$103,0)),0)</f>
        <v>0</v>
      </c>
      <c r="M141" s="72" t="str">
        <f t="array" ref="M141">IFERROR(INDEX('Sản phẩm'!$J$4:$J$103,MATCH(B141,'Sản phẩm'!$D$4:$D$103,0)),0)</f>
        <v/>
      </c>
      <c r="N141" s="46">
        <f>IF(B141="",0,(K141+L141+M141)*'Thiết lập'!$B$8)</f>
        <v>0</v>
      </c>
      <c r="O141" s="46">
        <f t="shared" si="2"/>
        <v>0</v>
      </c>
      <c r="P141" s="46">
        <f t="shared" si="3"/>
        <v>0</v>
      </c>
      <c r="Q141" s="46">
        <f t="shared" si="4"/>
        <v>0</v>
      </c>
      <c r="R141" s="71" t="str">
        <f t="array" ref="R141">IF(B141="","",INDEX('Bán nhanh'!$C$4:$C$103,INT((ROW()-4)/10)+1))</f>
        <v/>
      </c>
      <c r="S141" s="71" t="str">
        <f t="array" ref="S141">IF(B141="","",INDEX('Bán nhanh'!$P$4:$P$103,INT((ROW()-4)/10)+1))</f>
        <v/>
      </c>
      <c r="T141" s="58"/>
      <c r="U141" s="68" t="str">
        <f>IF('Mẻ sữa'!F142&lt;&gt;"",'Mẻ sữa'!F142,"")</f>
        <v/>
      </c>
      <c r="V141" s="68"/>
      <c r="W141" s="87"/>
      <c r="X141" s="36"/>
      <c r="Y141" s="36"/>
      <c r="Z141" s="36"/>
    </row>
    <row r="142" ht="15.75" customHeight="1">
      <c r="A142" s="70" t="str">
        <f t="array" ref="A142">IF(B142="","",INDEX('Bán nhanh'!$A$4:$A$103,INT((ROW()-4)/10)+1))</f>
        <v/>
      </c>
      <c r="B142" s="71" t="str">
        <f t="array" ref="B142">IF(OR(INDEX('Bán nhanh'!$D$3:$M$3,1,MOD(ROW()-4,10)+1)="",INDEX('Bán nhanh'!$D$4:$M$103,INT((ROW()-4)/10)+1,MOD(ROW()-4,10)+1)&lt;=0),"",INDEX('Bán nhanh'!$D$3:$M$3,1,MOD(ROW()-4,10)+1))</f>
        <v/>
      </c>
      <c r="C142" s="58" t="str">
        <f t="array" ref="C142">IFERROR(INDEX('Sản phẩm'!$A$4:$A$103,MATCH(B142,'Sản phẩm'!$D$4:$D$103,0)),"")</f>
        <v/>
      </c>
      <c r="D142" s="71" t="str">
        <f t="array" ref="D142">IF(B142="","",INDEX('Bán nhanh'!$B$4:$B$103,INT((ROW()-4)/10)+1))</f>
        <v/>
      </c>
      <c r="E142" s="58" t="str">
        <f t="array" ref="E142">IFERROR(INDEX('Mẻ sữa'!$B$4:$B$203,MATCH(D142,'Mẻ sữa'!$C$4:$C$203,0)),"")</f>
        <v/>
      </c>
      <c r="F142" s="66">
        <f t="array" ref="F142">IF(B142="",0,INDEX('Bán nhanh'!$D$4:$M$103,INT((ROW()-4)/10)+1,MOD(ROW()-4,10)+1))</f>
        <v>0</v>
      </c>
      <c r="G142" s="46">
        <f t="array" ref="G142">IFERROR(INDEX('Sản phẩm'!$F$4:$F$103,MATCH(B142,'Sản phẩm'!$D$4:$D$103,0)),0)</f>
        <v>0</v>
      </c>
      <c r="H142" s="67">
        <f t="shared" si="5"/>
        <v>0</v>
      </c>
      <c r="I142" s="46">
        <f t="shared" si="1"/>
        <v>0</v>
      </c>
      <c r="J142" s="46">
        <f t="array" ref="J142">IFERROR(INDEX('Sản phẩm'!$G$4:$G$103,MATCH(B142,'Sản phẩm'!$D$4:$D$103,0)),0)</f>
        <v>0</v>
      </c>
      <c r="K142" s="46">
        <f t="array" ref="K142">IFERROR(J142*INDEX('Mẻ sữa'!$N$4:$N$203,MATCH(D142,'Mẻ sữa'!$C$4:$C$203,0)),0)</f>
        <v>0</v>
      </c>
      <c r="L142" s="46">
        <f t="array" ref="L142">IFERROR(INDEX('Sản phẩm'!$I$4:$I$103,MATCH(B142,'Sản phẩm'!$D$4:$D$103,0)),0)</f>
        <v>0</v>
      </c>
      <c r="M142" s="72" t="str">
        <f t="array" ref="M142">IFERROR(INDEX('Sản phẩm'!$J$4:$J$103,MATCH(B142,'Sản phẩm'!$D$4:$D$103,0)),0)</f>
        <v/>
      </c>
      <c r="N142" s="46">
        <f>IF(B142="",0,(K142+L142+M142)*'Thiết lập'!$B$8)</f>
        <v>0</v>
      </c>
      <c r="O142" s="46">
        <f t="shared" si="2"/>
        <v>0</v>
      </c>
      <c r="P142" s="46">
        <f t="shared" si="3"/>
        <v>0</v>
      </c>
      <c r="Q142" s="46">
        <f t="shared" si="4"/>
        <v>0</v>
      </c>
      <c r="R142" s="71" t="str">
        <f t="array" ref="R142">IF(B142="","",INDEX('Bán nhanh'!$C$4:$C$103,INT((ROW()-4)/10)+1))</f>
        <v/>
      </c>
      <c r="S142" s="71" t="str">
        <f t="array" ref="S142">IF(B142="","",INDEX('Bán nhanh'!$P$4:$P$103,INT((ROW()-4)/10)+1))</f>
        <v/>
      </c>
      <c r="T142" s="58"/>
      <c r="U142" s="68" t="str">
        <f>IF('Mẻ sữa'!F143&lt;&gt;"",'Mẻ sữa'!F143,"")</f>
        <v/>
      </c>
      <c r="V142" s="68"/>
      <c r="W142" s="87"/>
      <c r="X142" s="36"/>
      <c r="Y142" s="36"/>
      <c r="Z142" s="36"/>
    </row>
    <row r="143" ht="15.75" customHeight="1">
      <c r="A143" s="70" t="str">
        <f t="array" ref="A143">IF(B143="","",INDEX('Bán nhanh'!$A$4:$A$103,INT((ROW()-4)/10)+1))</f>
        <v/>
      </c>
      <c r="B143" s="71" t="str">
        <f t="array" ref="B143">IF(OR(INDEX('Bán nhanh'!$D$3:$M$3,1,MOD(ROW()-4,10)+1)="",INDEX('Bán nhanh'!$D$4:$M$103,INT((ROW()-4)/10)+1,MOD(ROW()-4,10)+1)&lt;=0),"",INDEX('Bán nhanh'!$D$3:$M$3,1,MOD(ROW()-4,10)+1))</f>
        <v/>
      </c>
      <c r="C143" s="58" t="str">
        <f t="array" ref="C143">IFERROR(INDEX('Sản phẩm'!$A$4:$A$103,MATCH(B143,'Sản phẩm'!$D$4:$D$103,0)),"")</f>
        <v/>
      </c>
      <c r="D143" s="71" t="str">
        <f t="array" ref="D143">IF(B143="","",INDEX('Bán nhanh'!$B$4:$B$103,INT((ROW()-4)/10)+1))</f>
        <v/>
      </c>
      <c r="E143" s="58" t="str">
        <f t="array" ref="E143">IFERROR(INDEX('Mẻ sữa'!$B$4:$B$203,MATCH(D143,'Mẻ sữa'!$C$4:$C$203,0)),"")</f>
        <v/>
      </c>
      <c r="F143" s="66">
        <f t="array" ref="F143">IF(B143="",0,INDEX('Bán nhanh'!$D$4:$M$103,INT((ROW()-4)/10)+1,MOD(ROW()-4,10)+1))</f>
        <v>0</v>
      </c>
      <c r="G143" s="46">
        <f t="array" ref="G143">IFERROR(INDEX('Sản phẩm'!$F$4:$F$103,MATCH(B143,'Sản phẩm'!$D$4:$D$103,0)),0)</f>
        <v>0</v>
      </c>
      <c r="H143" s="67">
        <f t="shared" si="5"/>
        <v>0</v>
      </c>
      <c r="I143" s="46">
        <f t="shared" si="1"/>
        <v>0</v>
      </c>
      <c r="J143" s="46">
        <f t="array" ref="J143">IFERROR(INDEX('Sản phẩm'!$G$4:$G$103,MATCH(B143,'Sản phẩm'!$D$4:$D$103,0)),0)</f>
        <v>0</v>
      </c>
      <c r="K143" s="46">
        <f t="array" ref="K143">IFERROR(J143*INDEX('Mẻ sữa'!$N$4:$N$203,MATCH(D143,'Mẻ sữa'!$C$4:$C$203,0)),0)</f>
        <v>0</v>
      </c>
      <c r="L143" s="46">
        <f t="array" ref="L143">IFERROR(INDEX('Sản phẩm'!$I$4:$I$103,MATCH(B143,'Sản phẩm'!$D$4:$D$103,0)),0)</f>
        <v>0</v>
      </c>
      <c r="M143" s="72" t="str">
        <f t="array" ref="M143">IFERROR(INDEX('Sản phẩm'!$J$4:$J$103,MATCH(B143,'Sản phẩm'!$D$4:$D$103,0)),0)</f>
        <v/>
      </c>
      <c r="N143" s="46">
        <f>IF(B143="",0,(K143+L143+M143)*'Thiết lập'!$B$8)</f>
        <v>0</v>
      </c>
      <c r="O143" s="46">
        <f t="shared" si="2"/>
        <v>0</v>
      </c>
      <c r="P143" s="46">
        <f t="shared" si="3"/>
        <v>0</v>
      </c>
      <c r="Q143" s="46">
        <f t="shared" si="4"/>
        <v>0</v>
      </c>
      <c r="R143" s="71" t="str">
        <f t="array" ref="R143">IF(B143="","",INDEX('Bán nhanh'!$C$4:$C$103,INT((ROW()-4)/10)+1))</f>
        <v/>
      </c>
      <c r="S143" s="71" t="str">
        <f t="array" ref="S143">IF(B143="","",INDEX('Bán nhanh'!$P$4:$P$103,INT((ROW()-4)/10)+1))</f>
        <v/>
      </c>
      <c r="T143" s="58"/>
      <c r="U143" s="68" t="str">
        <f>IF('Mẻ sữa'!F144&lt;&gt;"",'Mẻ sữa'!F144,"")</f>
        <v/>
      </c>
      <c r="V143" s="68"/>
      <c r="W143" s="87"/>
      <c r="X143" s="36"/>
      <c r="Y143" s="36"/>
      <c r="Z143" s="36"/>
    </row>
    <row r="144" ht="15.75" customHeight="1">
      <c r="A144" s="70" t="str">
        <f t="array" ref="A144">IF(B144="","",INDEX('Bán nhanh'!$A$4:$A$103,INT((ROW()-4)/10)+1))</f>
        <v/>
      </c>
      <c r="B144" s="71" t="str">
        <f t="array" ref="B144">IF(OR(INDEX('Bán nhanh'!$D$3:$M$3,1,MOD(ROW()-4,10)+1)="",INDEX('Bán nhanh'!$D$4:$M$103,INT((ROW()-4)/10)+1,MOD(ROW()-4,10)+1)&lt;=0),"",INDEX('Bán nhanh'!$D$3:$M$3,1,MOD(ROW()-4,10)+1))</f>
        <v/>
      </c>
      <c r="C144" s="58" t="str">
        <f t="array" ref="C144">IFERROR(INDEX('Sản phẩm'!$A$4:$A$103,MATCH(B144,'Sản phẩm'!$D$4:$D$103,0)),"")</f>
        <v/>
      </c>
      <c r="D144" s="71" t="str">
        <f t="array" ref="D144">IF(B144="","",INDEX('Bán nhanh'!$B$4:$B$103,INT((ROW()-4)/10)+1))</f>
        <v/>
      </c>
      <c r="E144" s="58" t="str">
        <f t="array" ref="E144">IFERROR(INDEX('Mẻ sữa'!$B$4:$B$203,MATCH(D144,'Mẻ sữa'!$C$4:$C$203,0)),"")</f>
        <v/>
      </c>
      <c r="F144" s="66">
        <f t="array" ref="F144">IF(B144="",0,INDEX('Bán nhanh'!$D$4:$M$103,INT((ROW()-4)/10)+1,MOD(ROW()-4,10)+1))</f>
        <v>0</v>
      </c>
      <c r="G144" s="46">
        <f t="array" ref="G144">IFERROR(INDEX('Sản phẩm'!$F$4:$F$103,MATCH(B144,'Sản phẩm'!$D$4:$D$103,0)),0)</f>
        <v>0</v>
      </c>
      <c r="H144" s="67">
        <f t="shared" si="5"/>
        <v>0</v>
      </c>
      <c r="I144" s="46">
        <f t="shared" si="1"/>
        <v>0</v>
      </c>
      <c r="J144" s="46">
        <f t="array" ref="J144">IFERROR(INDEX('Sản phẩm'!$G$4:$G$103,MATCH(B144,'Sản phẩm'!$D$4:$D$103,0)),0)</f>
        <v>0</v>
      </c>
      <c r="K144" s="46">
        <f t="array" ref="K144">IFERROR(J144*INDEX('Mẻ sữa'!$N$4:$N$203,MATCH(D144,'Mẻ sữa'!$C$4:$C$203,0)),0)</f>
        <v>0</v>
      </c>
      <c r="L144" s="46">
        <f t="array" ref="L144">IFERROR(INDEX('Sản phẩm'!$I$4:$I$103,MATCH(B144,'Sản phẩm'!$D$4:$D$103,0)),0)</f>
        <v>0</v>
      </c>
      <c r="M144" s="72" t="str">
        <f t="array" ref="M144">IFERROR(INDEX('Sản phẩm'!$J$4:$J$103,MATCH(B144,'Sản phẩm'!$D$4:$D$103,0)),0)</f>
        <v/>
      </c>
      <c r="N144" s="46">
        <f>IF(B144="",0,(K144+L144+M144)*'Thiết lập'!$B$8)</f>
        <v>0</v>
      </c>
      <c r="O144" s="46">
        <f t="shared" si="2"/>
        <v>0</v>
      </c>
      <c r="P144" s="46">
        <f t="shared" si="3"/>
        <v>0</v>
      </c>
      <c r="Q144" s="46">
        <f t="shared" si="4"/>
        <v>0</v>
      </c>
      <c r="R144" s="71" t="str">
        <f t="array" ref="R144">IF(B144="","",INDEX('Bán nhanh'!$C$4:$C$103,INT((ROW()-4)/10)+1))</f>
        <v/>
      </c>
      <c r="S144" s="71" t="str">
        <f t="array" ref="S144">IF(B144="","",INDEX('Bán nhanh'!$P$4:$P$103,INT((ROW()-4)/10)+1))</f>
        <v/>
      </c>
      <c r="T144" s="58"/>
      <c r="U144" s="68" t="str">
        <f>IF('Mẻ sữa'!F145&lt;&gt;"",'Mẻ sữa'!F145,"")</f>
        <v/>
      </c>
      <c r="V144" s="68"/>
      <c r="W144" s="87"/>
      <c r="X144" s="36"/>
      <c r="Y144" s="36"/>
      <c r="Z144" s="36"/>
    </row>
    <row r="145" ht="15.75" customHeight="1">
      <c r="A145" s="70" t="str">
        <f t="array" ref="A145">IF(B145="","",INDEX('Bán nhanh'!$A$4:$A$103,INT((ROW()-4)/10)+1))</f>
        <v/>
      </c>
      <c r="B145" s="71" t="str">
        <f t="array" ref="B145">IF(OR(INDEX('Bán nhanh'!$D$3:$M$3,1,MOD(ROW()-4,10)+1)="",INDEX('Bán nhanh'!$D$4:$M$103,INT((ROW()-4)/10)+1,MOD(ROW()-4,10)+1)&lt;=0),"",INDEX('Bán nhanh'!$D$3:$M$3,1,MOD(ROW()-4,10)+1))</f>
        <v/>
      </c>
      <c r="C145" s="58" t="str">
        <f t="array" ref="C145">IFERROR(INDEX('Sản phẩm'!$A$4:$A$103,MATCH(B145,'Sản phẩm'!$D$4:$D$103,0)),"")</f>
        <v/>
      </c>
      <c r="D145" s="71" t="str">
        <f t="array" ref="D145">IF(B145="","",INDEX('Bán nhanh'!$B$4:$B$103,INT((ROW()-4)/10)+1))</f>
        <v/>
      </c>
      <c r="E145" s="58" t="str">
        <f t="array" ref="E145">IFERROR(INDEX('Mẻ sữa'!$B$4:$B$203,MATCH(D145,'Mẻ sữa'!$C$4:$C$203,0)),"")</f>
        <v/>
      </c>
      <c r="F145" s="66">
        <f t="array" ref="F145">IF(B145="",0,INDEX('Bán nhanh'!$D$4:$M$103,INT((ROW()-4)/10)+1,MOD(ROW()-4,10)+1))</f>
        <v>0</v>
      </c>
      <c r="G145" s="46">
        <f t="array" ref="G145">IFERROR(INDEX('Sản phẩm'!$F$4:$F$103,MATCH(B145,'Sản phẩm'!$D$4:$D$103,0)),0)</f>
        <v>0</v>
      </c>
      <c r="H145" s="67">
        <f t="shared" si="5"/>
        <v>0</v>
      </c>
      <c r="I145" s="46">
        <f t="shared" si="1"/>
        <v>0</v>
      </c>
      <c r="J145" s="46">
        <f t="array" ref="J145">IFERROR(INDEX('Sản phẩm'!$G$4:$G$103,MATCH(B145,'Sản phẩm'!$D$4:$D$103,0)),0)</f>
        <v>0</v>
      </c>
      <c r="K145" s="46">
        <f t="array" ref="K145">IFERROR(J145*INDEX('Mẻ sữa'!$N$4:$N$203,MATCH(D145,'Mẻ sữa'!$C$4:$C$203,0)),0)</f>
        <v>0</v>
      </c>
      <c r="L145" s="46">
        <f t="array" ref="L145">IFERROR(INDEX('Sản phẩm'!$I$4:$I$103,MATCH(B145,'Sản phẩm'!$D$4:$D$103,0)),0)</f>
        <v>0</v>
      </c>
      <c r="M145" s="72" t="str">
        <f t="array" ref="M145">IFERROR(INDEX('Sản phẩm'!$J$4:$J$103,MATCH(B145,'Sản phẩm'!$D$4:$D$103,0)),0)</f>
        <v/>
      </c>
      <c r="N145" s="46">
        <f>IF(B145="",0,(K145+L145+M145)*'Thiết lập'!$B$8)</f>
        <v>0</v>
      </c>
      <c r="O145" s="46">
        <f t="shared" si="2"/>
        <v>0</v>
      </c>
      <c r="P145" s="46">
        <f t="shared" si="3"/>
        <v>0</v>
      </c>
      <c r="Q145" s="46">
        <f t="shared" si="4"/>
        <v>0</v>
      </c>
      <c r="R145" s="71" t="str">
        <f t="array" ref="R145">IF(B145="","",INDEX('Bán nhanh'!$C$4:$C$103,INT((ROW()-4)/10)+1))</f>
        <v/>
      </c>
      <c r="S145" s="71" t="str">
        <f t="array" ref="S145">IF(B145="","",INDEX('Bán nhanh'!$P$4:$P$103,INT((ROW()-4)/10)+1))</f>
        <v/>
      </c>
      <c r="T145" s="58"/>
      <c r="U145" s="68" t="str">
        <f>IF('Mẻ sữa'!F146&lt;&gt;"",'Mẻ sữa'!F146,"")</f>
        <v/>
      </c>
      <c r="V145" s="68"/>
      <c r="W145" s="87"/>
      <c r="X145" s="36"/>
      <c r="Y145" s="36"/>
      <c r="Z145" s="36"/>
    </row>
    <row r="146" ht="15.75" customHeight="1">
      <c r="A146" s="70" t="str">
        <f t="array" ref="A146">IF(B146="","",INDEX('Bán nhanh'!$A$4:$A$103,INT((ROW()-4)/10)+1))</f>
        <v/>
      </c>
      <c r="B146" s="71" t="str">
        <f t="array" ref="B146">IF(OR(INDEX('Bán nhanh'!$D$3:$M$3,1,MOD(ROW()-4,10)+1)="",INDEX('Bán nhanh'!$D$4:$M$103,INT((ROW()-4)/10)+1,MOD(ROW()-4,10)+1)&lt;=0),"",INDEX('Bán nhanh'!$D$3:$M$3,1,MOD(ROW()-4,10)+1))</f>
        <v/>
      </c>
      <c r="C146" s="58" t="str">
        <f t="array" ref="C146">IFERROR(INDEX('Sản phẩm'!$A$4:$A$103,MATCH(B146,'Sản phẩm'!$D$4:$D$103,0)),"")</f>
        <v/>
      </c>
      <c r="D146" s="71" t="str">
        <f t="array" ref="D146">IF(B146="","",INDEX('Bán nhanh'!$B$4:$B$103,INT((ROW()-4)/10)+1))</f>
        <v/>
      </c>
      <c r="E146" s="58" t="str">
        <f t="array" ref="E146">IFERROR(INDEX('Mẻ sữa'!$B$4:$B$203,MATCH(D146,'Mẻ sữa'!$C$4:$C$203,0)),"")</f>
        <v/>
      </c>
      <c r="F146" s="66">
        <f t="array" ref="F146">IF(B146="",0,INDEX('Bán nhanh'!$D$4:$M$103,INT((ROW()-4)/10)+1,MOD(ROW()-4,10)+1))</f>
        <v>0</v>
      </c>
      <c r="G146" s="46">
        <f t="array" ref="G146">IFERROR(INDEX('Sản phẩm'!$F$4:$F$103,MATCH(B146,'Sản phẩm'!$D$4:$D$103,0)),0)</f>
        <v>0</v>
      </c>
      <c r="H146" s="67">
        <f t="shared" si="5"/>
        <v>0</v>
      </c>
      <c r="I146" s="46">
        <f t="shared" si="1"/>
        <v>0</v>
      </c>
      <c r="J146" s="46">
        <f t="array" ref="J146">IFERROR(INDEX('Sản phẩm'!$G$4:$G$103,MATCH(B146,'Sản phẩm'!$D$4:$D$103,0)),0)</f>
        <v>0</v>
      </c>
      <c r="K146" s="46">
        <f t="array" ref="K146">IFERROR(J146*INDEX('Mẻ sữa'!$N$4:$N$203,MATCH(D146,'Mẻ sữa'!$C$4:$C$203,0)),0)</f>
        <v>0</v>
      </c>
      <c r="L146" s="46">
        <f t="array" ref="L146">IFERROR(INDEX('Sản phẩm'!$I$4:$I$103,MATCH(B146,'Sản phẩm'!$D$4:$D$103,0)),0)</f>
        <v>0</v>
      </c>
      <c r="M146" s="72" t="str">
        <f t="array" ref="M146">IFERROR(INDEX('Sản phẩm'!$J$4:$J$103,MATCH(B146,'Sản phẩm'!$D$4:$D$103,0)),0)</f>
        <v/>
      </c>
      <c r="N146" s="46">
        <f>IF(B146="",0,(K146+L146+M146)*'Thiết lập'!$B$8)</f>
        <v>0</v>
      </c>
      <c r="O146" s="46">
        <f t="shared" si="2"/>
        <v>0</v>
      </c>
      <c r="P146" s="46">
        <f t="shared" si="3"/>
        <v>0</v>
      </c>
      <c r="Q146" s="46">
        <f t="shared" si="4"/>
        <v>0</v>
      </c>
      <c r="R146" s="71" t="str">
        <f t="array" ref="R146">IF(B146="","",INDEX('Bán nhanh'!$C$4:$C$103,INT((ROW()-4)/10)+1))</f>
        <v/>
      </c>
      <c r="S146" s="71" t="str">
        <f t="array" ref="S146">IF(B146="","",INDEX('Bán nhanh'!$P$4:$P$103,INT((ROW()-4)/10)+1))</f>
        <v/>
      </c>
      <c r="T146" s="58"/>
      <c r="U146" s="68" t="str">
        <f>IF('Mẻ sữa'!F147&lt;&gt;"",'Mẻ sữa'!F147,"")</f>
        <v/>
      </c>
      <c r="V146" s="68"/>
      <c r="W146" s="87"/>
      <c r="X146" s="36"/>
      <c r="Y146" s="36"/>
      <c r="Z146" s="36"/>
    </row>
    <row r="147" ht="15.75" customHeight="1">
      <c r="A147" s="70" t="str">
        <f t="array" ref="A147">IF(B147="","",INDEX('Bán nhanh'!$A$4:$A$103,INT((ROW()-4)/10)+1))</f>
        <v/>
      </c>
      <c r="B147" s="71" t="str">
        <f t="array" ref="B147">IF(OR(INDEX('Bán nhanh'!$D$3:$M$3,1,MOD(ROW()-4,10)+1)="",INDEX('Bán nhanh'!$D$4:$M$103,INT((ROW()-4)/10)+1,MOD(ROW()-4,10)+1)&lt;=0),"",INDEX('Bán nhanh'!$D$3:$M$3,1,MOD(ROW()-4,10)+1))</f>
        <v/>
      </c>
      <c r="C147" s="58" t="str">
        <f t="array" ref="C147">IFERROR(INDEX('Sản phẩm'!$A$4:$A$103,MATCH(B147,'Sản phẩm'!$D$4:$D$103,0)),"")</f>
        <v/>
      </c>
      <c r="D147" s="71" t="str">
        <f t="array" ref="D147">IF(B147="","",INDEX('Bán nhanh'!$B$4:$B$103,INT((ROW()-4)/10)+1))</f>
        <v/>
      </c>
      <c r="E147" s="58" t="str">
        <f t="array" ref="E147">IFERROR(INDEX('Mẻ sữa'!$B$4:$B$203,MATCH(D147,'Mẻ sữa'!$C$4:$C$203,0)),"")</f>
        <v/>
      </c>
      <c r="F147" s="66">
        <f t="array" ref="F147">IF(B147="",0,INDEX('Bán nhanh'!$D$4:$M$103,INT((ROW()-4)/10)+1,MOD(ROW()-4,10)+1))</f>
        <v>0</v>
      </c>
      <c r="G147" s="46">
        <f t="array" ref="G147">IFERROR(INDEX('Sản phẩm'!$F$4:$F$103,MATCH(B147,'Sản phẩm'!$D$4:$D$103,0)),0)</f>
        <v>0</v>
      </c>
      <c r="H147" s="67">
        <f t="shared" si="5"/>
        <v>0</v>
      </c>
      <c r="I147" s="46">
        <f t="shared" si="1"/>
        <v>0</v>
      </c>
      <c r="J147" s="46">
        <f t="array" ref="J147">IFERROR(INDEX('Sản phẩm'!$G$4:$G$103,MATCH(B147,'Sản phẩm'!$D$4:$D$103,0)),0)</f>
        <v>0</v>
      </c>
      <c r="K147" s="46">
        <f t="array" ref="K147">IFERROR(J147*INDEX('Mẻ sữa'!$N$4:$N$203,MATCH(D147,'Mẻ sữa'!$C$4:$C$203,0)),0)</f>
        <v>0</v>
      </c>
      <c r="L147" s="46">
        <f t="array" ref="L147">IFERROR(INDEX('Sản phẩm'!$I$4:$I$103,MATCH(B147,'Sản phẩm'!$D$4:$D$103,0)),0)</f>
        <v>0</v>
      </c>
      <c r="M147" s="72" t="str">
        <f t="array" ref="M147">IFERROR(INDEX('Sản phẩm'!$J$4:$J$103,MATCH(B147,'Sản phẩm'!$D$4:$D$103,0)),0)</f>
        <v/>
      </c>
      <c r="N147" s="46">
        <f>IF(B147="",0,(K147+L147+M147)*'Thiết lập'!$B$8)</f>
        <v>0</v>
      </c>
      <c r="O147" s="46">
        <f t="shared" si="2"/>
        <v>0</v>
      </c>
      <c r="P147" s="46">
        <f t="shared" si="3"/>
        <v>0</v>
      </c>
      <c r="Q147" s="46">
        <f t="shared" si="4"/>
        <v>0</v>
      </c>
      <c r="R147" s="71" t="str">
        <f t="array" ref="R147">IF(B147="","",INDEX('Bán nhanh'!$C$4:$C$103,INT((ROW()-4)/10)+1))</f>
        <v/>
      </c>
      <c r="S147" s="71" t="str">
        <f t="array" ref="S147">IF(B147="","",INDEX('Bán nhanh'!$P$4:$P$103,INT((ROW()-4)/10)+1))</f>
        <v/>
      </c>
      <c r="T147" s="58"/>
      <c r="U147" s="68" t="str">
        <f>IF('Mẻ sữa'!F148&lt;&gt;"",'Mẻ sữa'!F148,"")</f>
        <v/>
      </c>
      <c r="V147" s="68"/>
      <c r="W147" s="87"/>
      <c r="X147" s="36"/>
      <c r="Y147" s="36"/>
      <c r="Z147" s="36"/>
    </row>
    <row r="148" ht="15.75" customHeight="1">
      <c r="A148" s="70" t="str">
        <f t="array" ref="A148">IF(B148="","",INDEX('Bán nhanh'!$A$4:$A$103,INT((ROW()-4)/10)+1))</f>
        <v/>
      </c>
      <c r="B148" s="71" t="str">
        <f t="array" ref="B148">IF(OR(INDEX('Bán nhanh'!$D$3:$M$3,1,MOD(ROW()-4,10)+1)="",INDEX('Bán nhanh'!$D$4:$M$103,INT((ROW()-4)/10)+1,MOD(ROW()-4,10)+1)&lt;=0),"",INDEX('Bán nhanh'!$D$3:$M$3,1,MOD(ROW()-4,10)+1))</f>
        <v/>
      </c>
      <c r="C148" s="58" t="str">
        <f t="array" ref="C148">IFERROR(INDEX('Sản phẩm'!$A$4:$A$103,MATCH(B148,'Sản phẩm'!$D$4:$D$103,0)),"")</f>
        <v/>
      </c>
      <c r="D148" s="71" t="str">
        <f t="array" ref="D148">IF(B148="","",INDEX('Bán nhanh'!$B$4:$B$103,INT((ROW()-4)/10)+1))</f>
        <v/>
      </c>
      <c r="E148" s="58" t="str">
        <f t="array" ref="E148">IFERROR(INDEX('Mẻ sữa'!$B$4:$B$203,MATCH(D148,'Mẻ sữa'!$C$4:$C$203,0)),"")</f>
        <v/>
      </c>
      <c r="F148" s="66">
        <f t="array" ref="F148">IF(B148="",0,INDEX('Bán nhanh'!$D$4:$M$103,INT((ROW()-4)/10)+1,MOD(ROW()-4,10)+1))</f>
        <v>0</v>
      </c>
      <c r="G148" s="46">
        <f t="array" ref="G148">IFERROR(INDEX('Sản phẩm'!$F$4:$F$103,MATCH(B148,'Sản phẩm'!$D$4:$D$103,0)),0)</f>
        <v>0</v>
      </c>
      <c r="H148" s="67">
        <f t="shared" si="5"/>
        <v>0</v>
      </c>
      <c r="I148" s="46">
        <f t="shared" si="1"/>
        <v>0</v>
      </c>
      <c r="J148" s="46">
        <f t="array" ref="J148">IFERROR(INDEX('Sản phẩm'!$G$4:$G$103,MATCH(B148,'Sản phẩm'!$D$4:$D$103,0)),0)</f>
        <v>0</v>
      </c>
      <c r="K148" s="46">
        <f t="array" ref="K148">IFERROR(J148*INDEX('Mẻ sữa'!$N$4:$N$203,MATCH(D148,'Mẻ sữa'!$C$4:$C$203,0)),0)</f>
        <v>0</v>
      </c>
      <c r="L148" s="46">
        <f t="array" ref="L148">IFERROR(INDEX('Sản phẩm'!$I$4:$I$103,MATCH(B148,'Sản phẩm'!$D$4:$D$103,0)),0)</f>
        <v>0</v>
      </c>
      <c r="M148" s="72" t="str">
        <f t="array" ref="M148">IFERROR(INDEX('Sản phẩm'!$J$4:$J$103,MATCH(B148,'Sản phẩm'!$D$4:$D$103,0)),0)</f>
        <v/>
      </c>
      <c r="N148" s="46">
        <f>IF(B148="",0,(K148+L148+M148)*'Thiết lập'!$B$8)</f>
        <v>0</v>
      </c>
      <c r="O148" s="46">
        <f t="shared" si="2"/>
        <v>0</v>
      </c>
      <c r="P148" s="46">
        <f t="shared" si="3"/>
        <v>0</v>
      </c>
      <c r="Q148" s="46">
        <f t="shared" si="4"/>
        <v>0</v>
      </c>
      <c r="R148" s="71" t="str">
        <f t="array" ref="R148">IF(B148="","",INDEX('Bán nhanh'!$C$4:$C$103,INT((ROW()-4)/10)+1))</f>
        <v/>
      </c>
      <c r="S148" s="71" t="str">
        <f t="array" ref="S148">IF(B148="","",INDEX('Bán nhanh'!$P$4:$P$103,INT((ROW()-4)/10)+1))</f>
        <v/>
      </c>
      <c r="T148" s="58"/>
      <c r="U148" s="68" t="str">
        <f>IF('Mẻ sữa'!F149&lt;&gt;"",'Mẻ sữa'!F149,"")</f>
        <v/>
      </c>
      <c r="V148" s="68"/>
      <c r="W148" s="87"/>
      <c r="X148" s="36"/>
      <c r="Y148" s="36"/>
      <c r="Z148" s="36"/>
    </row>
    <row r="149" ht="15.75" customHeight="1">
      <c r="A149" s="70" t="str">
        <f t="array" ref="A149">IF(B149="","",INDEX('Bán nhanh'!$A$4:$A$103,INT((ROW()-4)/10)+1))</f>
        <v/>
      </c>
      <c r="B149" s="71" t="str">
        <f t="array" ref="B149">IF(OR(INDEX('Bán nhanh'!$D$3:$M$3,1,MOD(ROW()-4,10)+1)="",INDEX('Bán nhanh'!$D$4:$M$103,INT((ROW()-4)/10)+1,MOD(ROW()-4,10)+1)&lt;=0),"",INDEX('Bán nhanh'!$D$3:$M$3,1,MOD(ROW()-4,10)+1))</f>
        <v/>
      </c>
      <c r="C149" s="58" t="str">
        <f t="array" ref="C149">IFERROR(INDEX('Sản phẩm'!$A$4:$A$103,MATCH(B149,'Sản phẩm'!$D$4:$D$103,0)),"")</f>
        <v/>
      </c>
      <c r="D149" s="71" t="str">
        <f t="array" ref="D149">IF(B149="","",INDEX('Bán nhanh'!$B$4:$B$103,INT((ROW()-4)/10)+1))</f>
        <v/>
      </c>
      <c r="E149" s="58" t="str">
        <f t="array" ref="E149">IFERROR(INDEX('Mẻ sữa'!$B$4:$B$203,MATCH(D149,'Mẻ sữa'!$C$4:$C$203,0)),"")</f>
        <v/>
      </c>
      <c r="F149" s="66">
        <f t="array" ref="F149">IF(B149="",0,INDEX('Bán nhanh'!$D$4:$M$103,INT((ROW()-4)/10)+1,MOD(ROW()-4,10)+1))</f>
        <v>0</v>
      </c>
      <c r="G149" s="46">
        <f t="array" ref="G149">IFERROR(INDEX('Sản phẩm'!$F$4:$F$103,MATCH(B149,'Sản phẩm'!$D$4:$D$103,0)),0)</f>
        <v>0</v>
      </c>
      <c r="H149" s="67">
        <f t="shared" si="5"/>
        <v>0</v>
      </c>
      <c r="I149" s="46">
        <f t="shared" si="1"/>
        <v>0</v>
      </c>
      <c r="J149" s="46">
        <f t="array" ref="J149">IFERROR(INDEX('Sản phẩm'!$G$4:$G$103,MATCH(B149,'Sản phẩm'!$D$4:$D$103,0)),0)</f>
        <v>0</v>
      </c>
      <c r="K149" s="46">
        <f t="array" ref="K149">IFERROR(J149*INDEX('Mẻ sữa'!$N$4:$N$203,MATCH(D149,'Mẻ sữa'!$C$4:$C$203,0)),0)</f>
        <v>0</v>
      </c>
      <c r="L149" s="46">
        <f t="array" ref="L149">IFERROR(INDEX('Sản phẩm'!$I$4:$I$103,MATCH(B149,'Sản phẩm'!$D$4:$D$103,0)),0)</f>
        <v>0</v>
      </c>
      <c r="M149" s="72" t="str">
        <f t="array" ref="M149">IFERROR(INDEX('Sản phẩm'!$J$4:$J$103,MATCH(B149,'Sản phẩm'!$D$4:$D$103,0)),0)</f>
        <v/>
      </c>
      <c r="N149" s="46">
        <f>IF(B149="",0,(K149+L149+M149)*'Thiết lập'!$B$8)</f>
        <v>0</v>
      </c>
      <c r="O149" s="46">
        <f t="shared" si="2"/>
        <v>0</v>
      </c>
      <c r="P149" s="46">
        <f t="shared" si="3"/>
        <v>0</v>
      </c>
      <c r="Q149" s="46">
        <f t="shared" si="4"/>
        <v>0</v>
      </c>
      <c r="R149" s="71" t="str">
        <f t="array" ref="R149">IF(B149="","",INDEX('Bán nhanh'!$C$4:$C$103,INT((ROW()-4)/10)+1))</f>
        <v/>
      </c>
      <c r="S149" s="71" t="str">
        <f t="array" ref="S149">IF(B149="","",INDEX('Bán nhanh'!$P$4:$P$103,INT((ROW()-4)/10)+1))</f>
        <v/>
      </c>
      <c r="T149" s="58"/>
      <c r="U149" s="68" t="str">
        <f>IF('Mẻ sữa'!F150&lt;&gt;"",'Mẻ sữa'!F150,"")</f>
        <v/>
      </c>
      <c r="V149" s="68"/>
      <c r="W149" s="87"/>
      <c r="X149" s="36"/>
      <c r="Y149" s="36"/>
      <c r="Z149" s="36"/>
    </row>
    <row r="150" ht="15.75" customHeight="1">
      <c r="A150" s="70" t="str">
        <f t="array" ref="A150">IF(B150="","",INDEX('Bán nhanh'!$A$4:$A$103,INT((ROW()-4)/10)+1))</f>
        <v/>
      </c>
      <c r="B150" s="71" t="str">
        <f t="array" ref="B150">IF(OR(INDEX('Bán nhanh'!$D$3:$M$3,1,MOD(ROW()-4,10)+1)="",INDEX('Bán nhanh'!$D$4:$M$103,INT((ROW()-4)/10)+1,MOD(ROW()-4,10)+1)&lt;=0),"",INDEX('Bán nhanh'!$D$3:$M$3,1,MOD(ROW()-4,10)+1))</f>
        <v/>
      </c>
      <c r="C150" s="58" t="str">
        <f t="array" ref="C150">IFERROR(INDEX('Sản phẩm'!$A$4:$A$103,MATCH(B150,'Sản phẩm'!$D$4:$D$103,0)),"")</f>
        <v/>
      </c>
      <c r="D150" s="71" t="str">
        <f t="array" ref="D150">IF(B150="","",INDEX('Bán nhanh'!$B$4:$B$103,INT((ROW()-4)/10)+1))</f>
        <v/>
      </c>
      <c r="E150" s="58" t="str">
        <f t="array" ref="E150">IFERROR(INDEX('Mẻ sữa'!$B$4:$B$203,MATCH(D150,'Mẻ sữa'!$C$4:$C$203,0)),"")</f>
        <v/>
      </c>
      <c r="F150" s="66">
        <f t="array" ref="F150">IF(B150="",0,INDEX('Bán nhanh'!$D$4:$M$103,INT((ROW()-4)/10)+1,MOD(ROW()-4,10)+1))</f>
        <v>0</v>
      </c>
      <c r="G150" s="46">
        <f t="array" ref="G150">IFERROR(INDEX('Sản phẩm'!$F$4:$F$103,MATCH(B150,'Sản phẩm'!$D$4:$D$103,0)),0)</f>
        <v>0</v>
      </c>
      <c r="H150" s="67">
        <f t="shared" si="5"/>
        <v>0</v>
      </c>
      <c r="I150" s="46">
        <f t="shared" si="1"/>
        <v>0</v>
      </c>
      <c r="J150" s="46">
        <f t="array" ref="J150">IFERROR(INDEX('Sản phẩm'!$G$4:$G$103,MATCH(B150,'Sản phẩm'!$D$4:$D$103,0)),0)</f>
        <v>0</v>
      </c>
      <c r="K150" s="46">
        <f t="array" ref="K150">IFERROR(J150*INDEX('Mẻ sữa'!$N$4:$N$203,MATCH(D150,'Mẻ sữa'!$C$4:$C$203,0)),0)</f>
        <v>0</v>
      </c>
      <c r="L150" s="46">
        <f t="array" ref="L150">IFERROR(INDEX('Sản phẩm'!$I$4:$I$103,MATCH(B150,'Sản phẩm'!$D$4:$D$103,0)),0)</f>
        <v>0</v>
      </c>
      <c r="M150" s="72" t="str">
        <f t="array" ref="M150">IFERROR(INDEX('Sản phẩm'!$J$4:$J$103,MATCH(B150,'Sản phẩm'!$D$4:$D$103,0)),0)</f>
        <v/>
      </c>
      <c r="N150" s="46">
        <f>IF(B150="",0,(K150+L150+M150)*'Thiết lập'!$B$8)</f>
        <v>0</v>
      </c>
      <c r="O150" s="46">
        <f t="shared" si="2"/>
        <v>0</v>
      </c>
      <c r="P150" s="46">
        <f t="shared" si="3"/>
        <v>0</v>
      </c>
      <c r="Q150" s="46">
        <f t="shared" si="4"/>
        <v>0</v>
      </c>
      <c r="R150" s="71" t="str">
        <f t="array" ref="R150">IF(B150="","",INDEX('Bán nhanh'!$C$4:$C$103,INT((ROW()-4)/10)+1))</f>
        <v/>
      </c>
      <c r="S150" s="71" t="str">
        <f t="array" ref="S150">IF(B150="","",INDEX('Bán nhanh'!$P$4:$P$103,INT((ROW()-4)/10)+1))</f>
        <v/>
      </c>
      <c r="T150" s="58"/>
      <c r="U150" s="68" t="str">
        <f>IF('Mẻ sữa'!F151&lt;&gt;"",'Mẻ sữa'!F151,"")</f>
        <v/>
      </c>
      <c r="V150" s="68"/>
      <c r="W150" s="87"/>
      <c r="X150" s="36"/>
      <c r="Y150" s="36"/>
      <c r="Z150" s="36"/>
    </row>
    <row r="151" ht="15.75" customHeight="1">
      <c r="A151" s="70" t="str">
        <f t="array" ref="A151">IF(B151="","",INDEX('Bán nhanh'!$A$4:$A$103,INT((ROW()-4)/10)+1))</f>
        <v/>
      </c>
      <c r="B151" s="71" t="str">
        <f t="array" ref="B151">IF(OR(INDEX('Bán nhanh'!$D$3:$M$3,1,MOD(ROW()-4,10)+1)="",INDEX('Bán nhanh'!$D$4:$M$103,INT((ROW()-4)/10)+1,MOD(ROW()-4,10)+1)&lt;=0),"",INDEX('Bán nhanh'!$D$3:$M$3,1,MOD(ROW()-4,10)+1))</f>
        <v/>
      </c>
      <c r="C151" s="58" t="str">
        <f t="array" ref="C151">IFERROR(INDEX('Sản phẩm'!$A$4:$A$103,MATCH(B151,'Sản phẩm'!$D$4:$D$103,0)),"")</f>
        <v/>
      </c>
      <c r="D151" s="71" t="str">
        <f t="array" ref="D151">IF(B151="","",INDEX('Bán nhanh'!$B$4:$B$103,INT((ROW()-4)/10)+1))</f>
        <v/>
      </c>
      <c r="E151" s="58" t="str">
        <f t="array" ref="E151">IFERROR(INDEX('Mẻ sữa'!$B$4:$B$203,MATCH(D151,'Mẻ sữa'!$C$4:$C$203,0)),"")</f>
        <v/>
      </c>
      <c r="F151" s="66">
        <f t="array" ref="F151">IF(B151="",0,INDEX('Bán nhanh'!$D$4:$M$103,INT((ROW()-4)/10)+1,MOD(ROW()-4,10)+1))</f>
        <v>0</v>
      </c>
      <c r="G151" s="46">
        <f t="array" ref="G151">IFERROR(INDEX('Sản phẩm'!$F$4:$F$103,MATCH(B151,'Sản phẩm'!$D$4:$D$103,0)),0)</f>
        <v>0</v>
      </c>
      <c r="H151" s="67">
        <f t="shared" si="5"/>
        <v>0</v>
      </c>
      <c r="I151" s="46">
        <f t="shared" si="1"/>
        <v>0</v>
      </c>
      <c r="J151" s="46">
        <f t="array" ref="J151">IFERROR(INDEX('Sản phẩm'!$G$4:$G$103,MATCH(B151,'Sản phẩm'!$D$4:$D$103,0)),0)</f>
        <v>0</v>
      </c>
      <c r="K151" s="46">
        <f t="array" ref="K151">IFERROR(J151*INDEX('Mẻ sữa'!$N$4:$N$203,MATCH(D151,'Mẻ sữa'!$C$4:$C$203,0)),0)</f>
        <v>0</v>
      </c>
      <c r="L151" s="46">
        <f t="array" ref="L151">IFERROR(INDEX('Sản phẩm'!$I$4:$I$103,MATCH(B151,'Sản phẩm'!$D$4:$D$103,0)),0)</f>
        <v>0</v>
      </c>
      <c r="M151" s="72" t="str">
        <f t="array" ref="M151">IFERROR(INDEX('Sản phẩm'!$J$4:$J$103,MATCH(B151,'Sản phẩm'!$D$4:$D$103,0)),0)</f>
        <v/>
      </c>
      <c r="N151" s="46">
        <f>IF(B151="",0,(K151+L151+M151)*'Thiết lập'!$B$8)</f>
        <v>0</v>
      </c>
      <c r="O151" s="46">
        <f t="shared" si="2"/>
        <v>0</v>
      </c>
      <c r="P151" s="46">
        <f t="shared" si="3"/>
        <v>0</v>
      </c>
      <c r="Q151" s="46">
        <f t="shared" si="4"/>
        <v>0</v>
      </c>
      <c r="R151" s="71" t="str">
        <f t="array" ref="R151">IF(B151="","",INDEX('Bán nhanh'!$C$4:$C$103,INT((ROW()-4)/10)+1))</f>
        <v/>
      </c>
      <c r="S151" s="71" t="str">
        <f t="array" ref="S151">IF(B151="","",INDEX('Bán nhanh'!$P$4:$P$103,INT((ROW()-4)/10)+1))</f>
        <v/>
      </c>
      <c r="T151" s="58"/>
      <c r="U151" s="68" t="str">
        <f>IF('Mẻ sữa'!F152&lt;&gt;"",'Mẻ sữa'!F152,"")</f>
        <v/>
      </c>
      <c r="V151" s="68"/>
      <c r="W151" s="87"/>
      <c r="X151" s="36"/>
      <c r="Y151" s="36"/>
      <c r="Z151" s="36"/>
    </row>
    <row r="152" ht="15.75" customHeight="1">
      <c r="A152" s="70" t="str">
        <f t="array" ref="A152">IF(B152="","",INDEX('Bán nhanh'!$A$4:$A$103,INT((ROW()-4)/10)+1))</f>
        <v/>
      </c>
      <c r="B152" s="71" t="str">
        <f t="array" ref="B152">IF(OR(INDEX('Bán nhanh'!$D$3:$M$3,1,MOD(ROW()-4,10)+1)="",INDEX('Bán nhanh'!$D$4:$M$103,INT((ROW()-4)/10)+1,MOD(ROW()-4,10)+1)&lt;=0),"",INDEX('Bán nhanh'!$D$3:$M$3,1,MOD(ROW()-4,10)+1))</f>
        <v/>
      </c>
      <c r="C152" s="58" t="str">
        <f t="array" ref="C152">IFERROR(INDEX('Sản phẩm'!$A$4:$A$103,MATCH(B152,'Sản phẩm'!$D$4:$D$103,0)),"")</f>
        <v/>
      </c>
      <c r="D152" s="71" t="str">
        <f t="array" ref="D152">IF(B152="","",INDEX('Bán nhanh'!$B$4:$B$103,INT((ROW()-4)/10)+1))</f>
        <v/>
      </c>
      <c r="E152" s="58" t="str">
        <f t="array" ref="E152">IFERROR(INDEX('Mẻ sữa'!$B$4:$B$203,MATCH(D152,'Mẻ sữa'!$C$4:$C$203,0)),"")</f>
        <v/>
      </c>
      <c r="F152" s="66">
        <f t="array" ref="F152">IF(B152="",0,INDEX('Bán nhanh'!$D$4:$M$103,INT((ROW()-4)/10)+1,MOD(ROW()-4,10)+1))</f>
        <v>0</v>
      </c>
      <c r="G152" s="46">
        <f t="array" ref="G152">IFERROR(INDEX('Sản phẩm'!$F$4:$F$103,MATCH(B152,'Sản phẩm'!$D$4:$D$103,0)),0)</f>
        <v>0</v>
      </c>
      <c r="H152" s="67">
        <f t="shared" si="5"/>
        <v>0</v>
      </c>
      <c r="I152" s="46">
        <f t="shared" si="1"/>
        <v>0</v>
      </c>
      <c r="J152" s="46">
        <f t="array" ref="J152">IFERROR(INDEX('Sản phẩm'!$G$4:$G$103,MATCH(B152,'Sản phẩm'!$D$4:$D$103,0)),0)</f>
        <v>0</v>
      </c>
      <c r="K152" s="46">
        <f t="array" ref="K152">IFERROR(J152*INDEX('Mẻ sữa'!$N$4:$N$203,MATCH(D152,'Mẻ sữa'!$C$4:$C$203,0)),0)</f>
        <v>0</v>
      </c>
      <c r="L152" s="46">
        <f t="array" ref="L152">IFERROR(INDEX('Sản phẩm'!$I$4:$I$103,MATCH(B152,'Sản phẩm'!$D$4:$D$103,0)),0)</f>
        <v>0</v>
      </c>
      <c r="M152" s="72" t="str">
        <f t="array" ref="M152">IFERROR(INDEX('Sản phẩm'!$J$4:$J$103,MATCH(B152,'Sản phẩm'!$D$4:$D$103,0)),0)</f>
        <v/>
      </c>
      <c r="N152" s="46">
        <f>IF(B152="",0,(K152+L152+M152)*'Thiết lập'!$B$8)</f>
        <v>0</v>
      </c>
      <c r="O152" s="46">
        <f t="shared" si="2"/>
        <v>0</v>
      </c>
      <c r="P152" s="46">
        <f t="shared" si="3"/>
        <v>0</v>
      </c>
      <c r="Q152" s="46">
        <f t="shared" si="4"/>
        <v>0</v>
      </c>
      <c r="R152" s="71" t="str">
        <f t="array" ref="R152">IF(B152="","",INDEX('Bán nhanh'!$C$4:$C$103,INT((ROW()-4)/10)+1))</f>
        <v/>
      </c>
      <c r="S152" s="71" t="str">
        <f t="array" ref="S152">IF(B152="","",INDEX('Bán nhanh'!$P$4:$P$103,INT((ROW()-4)/10)+1))</f>
        <v/>
      </c>
      <c r="T152" s="58"/>
      <c r="U152" s="68" t="str">
        <f>IF('Mẻ sữa'!F153&lt;&gt;"",'Mẻ sữa'!F153,"")</f>
        <v/>
      </c>
      <c r="V152" s="68"/>
      <c r="W152" s="87"/>
      <c r="X152" s="36"/>
      <c r="Y152" s="36"/>
      <c r="Z152" s="36"/>
    </row>
    <row r="153" ht="15.75" customHeight="1">
      <c r="A153" s="70" t="str">
        <f t="array" ref="A153">IF(B153="","",INDEX('Bán nhanh'!$A$4:$A$103,INT((ROW()-4)/10)+1))</f>
        <v/>
      </c>
      <c r="B153" s="71" t="str">
        <f t="array" ref="B153">IF(OR(INDEX('Bán nhanh'!$D$3:$M$3,1,MOD(ROW()-4,10)+1)="",INDEX('Bán nhanh'!$D$4:$M$103,INT((ROW()-4)/10)+1,MOD(ROW()-4,10)+1)&lt;=0),"",INDEX('Bán nhanh'!$D$3:$M$3,1,MOD(ROW()-4,10)+1))</f>
        <v/>
      </c>
      <c r="C153" s="58" t="str">
        <f t="array" ref="C153">IFERROR(INDEX('Sản phẩm'!$A$4:$A$103,MATCH(B153,'Sản phẩm'!$D$4:$D$103,0)),"")</f>
        <v/>
      </c>
      <c r="D153" s="71" t="str">
        <f t="array" ref="D153">IF(B153="","",INDEX('Bán nhanh'!$B$4:$B$103,INT((ROW()-4)/10)+1))</f>
        <v/>
      </c>
      <c r="E153" s="58" t="str">
        <f t="array" ref="E153">IFERROR(INDEX('Mẻ sữa'!$B$4:$B$203,MATCH(D153,'Mẻ sữa'!$C$4:$C$203,0)),"")</f>
        <v/>
      </c>
      <c r="F153" s="66">
        <f t="array" ref="F153">IF(B153="",0,INDEX('Bán nhanh'!$D$4:$M$103,INT((ROW()-4)/10)+1,MOD(ROW()-4,10)+1))</f>
        <v>0</v>
      </c>
      <c r="G153" s="46">
        <f t="array" ref="G153">IFERROR(INDEX('Sản phẩm'!$F$4:$F$103,MATCH(B153,'Sản phẩm'!$D$4:$D$103,0)),0)</f>
        <v>0</v>
      </c>
      <c r="H153" s="67">
        <f t="shared" si="5"/>
        <v>0</v>
      </c>
      <c r="I153" s="46">
        <f t="shared" si="1"/>
        <v>0</v>
      </c>
      <c r="J153" s="46">
        <f t="array" ref="J153">IFERROR(INDEX('Sản phẩm'!$G$4:$G$103,MATCH(B153,'Sản phẩm'!$D$4:$D$103,0)),0)</f>
        <v>0</v>
      </c>
      <c r="K153" s="46">
        <f t="array" ref="K153">IFERROR(J153*INDEX('Mẻ sữa'!$N$4:$N$203,MATCH(D153,'Mẻ sữa'!$C$4:$C$203,0)),0)</f>
        <v>0</v>
      </c>
      <c r="L153" s="46">
        <f t="array" ref="L153">IFERROR(INDEX('Sản phẩm'!$I$4:$I$103,MATCH(B153,'Sản phẩm'!$D$4:$D$103,0)),0)</f>
        <v>0</v>
      </c>
      <c r="M153" s="72" t="str">
        <f t="array" ref="M153">IFERROR(INDEX('Sản phẩm'!$J$4:$J$103,MATCH(B153,'Sản phẩm'!$D$4:$D$103,0)),0)</f>
        <v/>
      </c>
      <c r="N153" s="46">
        <f>IF(B153="",0,(K153+L153+M153)*'Thiết lập'!$B$8)</f>
        <v>0</v>
      </c>
      <c r="O153" s="46">
        <f t="shared" si="2"/>
        <v>0</v>
      </c>
      <c r="P153" s="46">
        <f t="shared" si="3"/>
        <v>0</v>
      </c>
      <c r="Q153" s="46">
        <f t="shared" si="4"/>
        <v>0</v>
      </c>
      <c r="R153" s="71" t="str">
        <f t="array" ref="R153">IF(B153="","",INDEX('Bán nhanh'!$C$4:$C$103,INT((ROW()-4)/10)+1))</f>
        <v/>
      </c>
      <c r="S153" s="71" t="str">
        <f t="array" ref="S153">IF(B153="","",INDEX('Bán nhanh'!$P$4:$P$103,INT((ROW()-4)/10)+1))</f>
        <v/>
      </c>
      <c r="T153" s="58"/>
      <c r="U153" s="68" t="str">
        <f>IF('Mẻ sữa'!F154&lt;&gt;"",'Mẻ sữa'!F154,"")</f>
        <v/>
      </c>
      <c r="V153" s="68"/>
      <c r="W153" s="87"/>
      <c r="X153" s="36"/>
      <c r="Y153" s="36"/>
      <c r="Z153" s="36"/>
    </row>
    <row r="154" ht="15.75" customHeight="1">
      <c r="A154" s="70" t="str">
        <f t="array" ref="A154">IF(B154="","",INDEX('Bán nhanh'!$A$4:$A$103,INT((ROW()-4)/10)+1))</f>
        <v/>
      </c>
      <c r="B154" s="71" t="str">
        <f t="array" ref="B154">IF(OR(INDEX('Bán nhanh'!$D$3:$M$3,1,MOD(ROW()-4,10)+1)="",INDEX('Bán nhanh'!$D$4:$M$103,INT((ROW()-4)/10)+1,MOD(ROW()-4,10)+1)&lt;=0),"",INDEX('Bán nhanh'!$D$3:$M$3,1,MOD(ROW()-4,10)+1))</f>
        <v/>
      </c>
      <c r="C154" s="58" t="str">
        <f t="array" ref="C154">IFERROR(INDEX('Sản phẩm'!$A$4:$A$103,MATCH(B154,'Sản phẩm'!$D$4:$D$103,0)),"")</f>
        <v/>
      </c>
      <c r="D154" s="71" t="str">
        <f t="array" ref="D154">IF(B154="","",INDEX('Bán nhanh'!$B$4:$B$103,INT((ROW()-4)/10)+1))</f>
        <v/>
      </c>
      <c r="E154" s="58" t="str">
        <f t="array" ref="E154">IFERROR(INDEX('Mẻ sữa'!$B$4:$B$203,MATCH(D154,'Mẻ sữa'!$C$4:$C$203,0)),"")</f>
        <v/>
      </c>
      <c r="F154" s="66">
        <f t="array" ref="F154">IF(B154="",0,INDEX('Bán nhanh'!$D$4:$M$103,INT((ROW()-4)/10)+1,MOD(ROW()-4,10)+1))</f>
        <v>0</v>
      </c>
      <c r="G154" s="46">
        <f t="array" ref="G154">IFERROR(INDEX('Sản phẩm'!$F$4:$F$103,MATCH(B154,'Sản phẩm'!$D$4:$D$103,0)),0)</f>
        <v>0</v>
      </c>
      <c r="H154" s="67">
        <f t="shared" si="5"/>
        <v>0</v>
      </c>
      <c r="I154" s="46">
        <f t="shared" si="1"/>
        <v>0</v>
      </c>
      <c r="J154" s="46">
        <f t="array" ref="J154">IFERROR(INDEX('Sản phẩm'!$G$4:$G$103,MATCH(B154,'Sản phẩm'!$D$4:$D$103,0)),0)</f>
        <v>0</v>
      </c>
      <c r="K154" s="46">
        <f t="array" ref="K154">IFERROR(J154*INDEX('Mẻ sữa'!$N$4:$N$203,MATCH(D154,'Mẻ sữa'!$C$4:$C$203,0)),0)</f>
        <v>0</v>
      </c>
      <c r="L154" s="46">
        <f t="array" ref="L154">IFERROR(INDEX('Sản phẩm'!$I$4:$I$103,MATCH(B154,'Sản phẩm'!$D$4:$D$103,0)),0)</f>
        <v>0</v>
      </c>
      <c r="M154" s="72" t="str">
        <f t="array" ref="M154">IFERROR(INDEX('Sản phẩm'!$J$4:$J$103,MATCH(B154,'Sản phẩm'!$D$4:$D$103,0)),0)</f>
        <v/>
      </c>
      <c r="N154" s="46">
        <f>IF(B154="",0,(K154+L154+M154)*'Thiết lập'!$B$8)</f>
        <v>0</v>
      </c>
      <c r="O154" s="46">
        <f t="shared" si="2"/>
        <v>0</v>
      </c>
      <c r="P154" s="46">
        <f t="shared" si="3"/>
        <v>0</v>
      </c>
      <c r="Q154" s="46">
        <f t="shared" si="4"/>
        <v>0</v>
      </c>
      <c r="R154" s="71" t="str">
        <f t="array" ref="R154">IF(B154="","",INDEX('Bán nhanh'!$C$4:$C$103,INT((ROW()-4)/10)+1))</f>
        <v/>
      </c>
      <c r="S154" s="71" t="str">
        <f t="array" ref="S154">IF(B154="","",INDEX('Bán nhanh'!$P$4:$P$103,INT((ROW()-4)/10)+1))</f>
        <v/>
      </c>
      <c r="T154" s="58"/>
      <c r="U154" s="68" t="str">
        <f>IF('Mẻ sữa'!F155&lt;&gt;"",'Mẻ sữa'!F155,"")</f>
        <v/>
      </c>
      <c r="V154" s="68"/>
      <c r="W154" s="87"/>
      <c r="X154" s="36"/>
      <c r="Y154" s="36"/>
      <c r="Z154" s="36"/>
    </row>
    <row r="155" ht="15.75" customHeight="1">
      <c r="A155" s="70" t="str">
        <f t="array" ref="A155">IF(B155="","",INDEX('Bán nhanh'!$A$4:$A$103,INT((ROW()-4)/10)+1))</f>
        <v/>
      </c>
      <c r="B155" s="71" t="str">
        <f t="array" ref="B155">IF(OR(INDEX('Bán nhanh'!$D$3:$M$3,1,MOD(ROW()-4,10)+1)="",INDEX('Bán nhanh'!$D$4:$M$103,INT((ROW()-4)/10)+1,MOD(ROW()-4,10)+1)&lt;=0),"",INDEX('Bán nhanh'!$D$3:$M$3,1,MOD(ROW()-4,10)+1))</f>
        <v/>
      </c>
      <c r="C155" s="58" t="str">
        <f t="array" ref="C155">IFERROR(INDEX('Sản phẩm'!$A$4:$A$103,MATCH(B155,'Sản phẩm'!$D$4:$D$103,0)),"")</f>
        <v/>
      </c>
      <c r="D155" s="71" t="str">
        <f t="array" ref="D155">IF(B155="","",INDEX('Bán nhanh'!$B$4:$B$103,INT((ROW()-4)/10)+1))</f>
        <v/>
      </c>
      <c r="E155" s="58" t="str">
        <f t="array" ref="E155">IFERROR(INDEX('Mẻ sữa'!$B$4:$B$203,MATCH(D155,'Mẻ sữa'!$C$4:$C$203,0)),"")</f>
        <v/>
      </c>
      <c r="F155" s="66">
        <f t="array" ref="F155">IF(B155="",0,INDEX('Bán nhanh'!$D$4:$M$103,INT((ROW()-4)/10)+1,MOD(ROW()-4,10)+1))</f>
        <v>0</v>
      </c>
      <c r="G155" s="46">
        <f t="array" ref="G155">IFERROR(INDEX('Sản phẩm'!$F$4:$F$103,MATCH(B155,'Sản phẩm'!$D$4:$D$103,0)),0)</f>
        <v>0</v>
      </c>
      <c r="H155" s="67">
        <f t="shared" si="5"/>
        <v>0</v>
      </c>
      <c r="I155" s="46">
        <f t="shared" si="1"/>
        <v>0</v>
      </c>
      <c r="J155" s="46">
        <f t="array" ref="J155">IFERROR(INDEX('Sản phẩm'!$G$4:$G$103,MATCH(B155,'Sản phẩm'!$D$4:$D$103,0)),0)</f>
        <v>0</v>
      </c>
      <c r="K155" s="46">
        <f t="array" ref="K155">IFERROR(J155*INDEX('Mẻ sữa'!$N$4:$N$203,MATCH(D155,'Mẻ sữa'!$C$4:$C$203,0)),0)</f>
        <v>0</v>
      </c>
      <c r="L155" s="46">
        <f t="array" ref="L155">IFERROR(INDEX('Sản phẩm'!$I$4:$I$103,MATCH(B155,'Sản phẩm'!$D$4:$D$103,0)),0)</f>
        <v>0</v>
      </c>
      <c r="M155" s="72" t="str">
        <f t="array" ref="M155">IFERROR(INDEX('Sản phẩm'!$J$4:$J$103,MATCH(B155,'Sản phẩm'!$D$4:$D$103,0)),0)</f>
        <v/>
      </c>
      <c r="N155" s="46">
        <f>IF(B155="",0,(K155+L155+M155)*'Thiết lập'!$B$8)</f>
        <v>0</v>
      </c>
      <c r="O155" s="46">
        <f t="shared" si="2"/>
        <v>0</v>
      </c>
      <c r="P155" s="46">
        <f t="shared" si="3"/>
        <v>0</v>
      </c>
      <c r="Q155" s="46">
        <f t="shared" si="4"/>
        <v>0</v>
      </c>
      <c r="R155" s="71" t="str">
        <f t="array" ref="R155">IF(B155="","",INDEX('Bán nhanh'!$C$4:$C$103,INT((ROW()-4)/10)+1))</f>
        <v/>
      </c>
      <c r="S155" s="71" t="str">
        <f t="array" ref="S155">IF(B155="","",INDEX('Bán nhanh'!$P$4:$P$103,INT((ROW()-4)/10)+1))</f>
        <v/>
      </c>
      <c r="T155" s="58"/>
      <c r="U155" s="68" t="str">
        <f>IF('Mẻ sữa'!F156&lt;&gt;"",'Mẻ sữa'!F156,"")</f>
        <v/>
      </c>
      <c r="V155" s="68"/>
      <c r="W155" s="87"/>
      <c r="X155" s="36"/>
      <c r="Y155" s="36"/>
      <c r="Z155" s="36"/>
    </row>
    <row r="156" ht="15.75" customHeight="1">
      <c r="A156" s="70" t="str">
        <f t="array" ref="A156">IF(B156="","",INDEX('Bán nhanh'!$A$4:$A$103,INT((ROW()-4)/10)+1))</f>
        <v/>
      </c>
      <c r="B156" s="71" t="str">
        <f t="array" ref="B156">IF(OR(INDEX('Bán nhanh'!$D$3:$M$3,1,MOD(ROW()-4,10)+1)="",INDEX('Bán nhanh'!$D$4:$M$103,INT((ROW()-4)/10)+1,MOD(ROW()-4,10)+1)&lt;=0),"",INDEX('Bán nhanh'!$D$3:$M$3,1,MOD(ROW()-4,10)+1))</f>
        <v/>
      </c>
      <c r="C156" s="58" t="str">
        <f t="array" ref="C156">IFERROR(INDEX('Sản phẩm'!$A$4:$A$103,MATCH(B156,'Sản phẩm'!$D$4:$D$103,0)),"")</f>
        <v/>
      </c>
      <c r="D156" s="71" t="str">
        <f t="array" ref="D156">IF(B156="","",INDEX('Bán nhanh'!$B$4:$B$103,INT((ROW()-4)/10)+1))</f>
        <v/>
      </c>
      <c r="E156" s="58" t="str">
        <f t="array" ref="E156">IFERROR(INDEX('Mẻ sữa'!$B$4:$B$203,MATCH(D156,'Mẻ sữa'!$C$4:$C$203,0)),"")</f>
        <v/>
      </c>
      <c r="F156" s="66">
        <f t="array" ref="F156">IF(B156="",0,INDEX('Bán nhanh'!$D$4:$M$103,INT((ROW()-4)/10)+1,MOD(ROW()-4,10)+1))</f>
        <v>0</v>
      </c>
      <c r="G156" s="46">
        <f t="array" ref="G156">IFERROR(INDEX('Sản phẩm'!$F$4:$F$103,MATCH(B156,'Sản phẩm'!$D$4:$D$103,0)),0)</f>
        <v>0</v>
      </c>
      <c r="H156" s="67">
        <f t="shared" si="5"/>
        <v>0</v>
      </c>
      <c r="I156" s="46">
        <f t="shared" si="1"/>
        <v>0</v>
      </c>
      <c r="J156" s="46">
        <f t="array" ref="J156">IFERROR(INDEX('Sản phẩm'!$G$4:$G$103,MATCH(B156,'Sản phẩm'!$D$4:$D$103,0)),0)</f>
        <v>0</v>
      </c>
      <c r="K156" s="46">
        <f t="array" ref="K156">IFERROR(J156*INDEX('Mẻ sữa'!$N$4:$N$203,MATCH(D156,'Mẻ sữa'!$C$4:$C$203,0)),0)</f>
        <v>0</v>
      </c>
      <c r="L156" s="46">
        <f t="array" ref="L156">IFERROR(INDEX('Sản phẩm'!$I$4:$I$103,MATCH(B156,'Sản phẩm'!$D$4:$D$103,0)),0)</f>
        <v>0</v>
      </c>
      <c r="M156" s="72" t="str">
        <f t="array" ref="M156">IFERROR(INDEX('Sản phẩm'!$J$4:$J$103,MATCH(B156,'Sản phẩm'!$D$4:$D$103,0)),0)</f>
        <v/>
      </c>
      <c r="N156" s="46">
        <f>IF(B156="",0,(K156+L156+M156)*'Thiết lập'!$B$8)</f>
        <v>0</v>
      </c>
      <c r="O156" s="46">
        <f t="shared" si="2"/>
        <v>0</v>
      </c>
      <c r="P156" s="46">
        <f t="shared" si="3"/>
        <v>0</v>
      </c>
      <c r="Q156" s="46">
        <f t="shared" si="4"/>
        <v>0</v>
      </c>
      <c r="R156" s="71" t="str">
        <f t="array" ref="R156">IF(B156="","",INDEX('Bán nhanh'!$C$4:$C$103,INT((ROW()-4)/10)+1))</f>
        <v/>
      </c>
      <c r="S156" s="71" t="str">
        <f t="array" ref="S156">IF(B156="","",INDEX('Bán nhanh'!$P$4:$P$103,INT((ROW()-4)/10)+1))</f>
        <v/>
      </c>
      <c r="T156" s="58"/>
      <c r="U156" s="68" t="str">
        <f>IF('Mẻ sữa'!F157&lt;&gt;"",'Mẻ sữa'!F157,"")</f>
        <v/>
      </c>
      <c r="V156" s="68"/>
      <c r="W156" s="87"/>
      <c r="X156" s="36"/>
      <c r="Y156" s="36"/>
      <c r="Z156" s="36"/>
    </row>
    <row r="157" ht="15.75" customHeight="1">
      <c r="A157" s="70" t="str">
        <f t="array" ref="A157">IF(B157="","",INDEX('Bán nhanh'!$A$4:$A$103,INT((ROW()-4)/10)+1))</f>
        <v/>
      </c>
      <c r="B157" s="71" t="str">
        <f t="array" ref="B157">IF(OR(INDEX('Bán nhanh'!$D$3:$M$3,1,MOD(ROW()-4,10)+1)="",INDEX('Bán nhanh'!$D$4:$M$103,INT((ROW()-4)/10)+1,MOD(ROW()-4,10)+1)&lt;=0),"",INDEX('Bán nhanh'!$D$3:$M$3,1,MOD(ROW()-4,10)+1))</f>
        <v/>
      </c>
      <c r="C157" s="58" t="str">
        <f t="array" ref="C157">IFERROR(INDEX('Sản phẩm'!$A$4:$A$103,MATCH(B157,'Sản phẩm'!$D$4:$D$103,0)),"")</f>
        <v/>
      </c>
      <c r="D157" s="71" t="str">
        <f t="array" ref="D157">IF(B157="","",INDEX('Bán nhanh'!$B$4:$B$103,INT((ROW()-4)/10)+1))</f>
        <v/>
      </c>
      <c r="E157" s="58" t="str">
        <f t="array" ref="E157">IFERROR(INDEX('Mẻ sữa'!$B$4:$B$203,MATCH(D157,'Mẻ sữa'!$C$4:$C$203,0)),"")</f>
        <v/>
      </c>
      <c r="F157" s="66">
        <f t="array" ref="F157">IF(B157="",0,INDEX('Bán nhanh'!$D$4:$M$103,INT((ROW()-4)/10)+1,MOD(ROW()-4,10)+1))</f>
        <v>0</v>
      </c>
      <c r="G157" s="46">
        <f t="array" ref="G157">IFERROR(INDEX('Sản phẩm'!$F$4:$F$103,MATCH(B157,'Sản phẩm'!$D$4:$D$103,0)),0)</f>
        <v>0</v>
      </c>
      <c r="H157" s="67">
        <f t="shared" si="5"/>
        <v>0</v>
      </c>
      <c r="I157" s="46">
        <f t="shared" si="1"/>
        <v>0</v>
      </c>
      <c r="J157" s="46">
        <f t="array" ref="J157">IFERROR(INDEX('Sản phẩm'!$G$4:$G$103,MATCH(B157,'Sản phẩm'!$D$4:$D$103,0)),0)</f>
        <v>0</v>
      </c>
      <c r="K157" s="46">
        <f t="array" ref="K157">IFERROR(J157*INDEX('Mẻ sữa'!$N$4:$N$203,MATCH(D157,'Mẻ sữa'!$C$4:$C$203,0)),0)</f>
        <v>0</v>
      </c>
      <c r="L157" s="46">
        <f t="array" ref="L157">IFERROR(INDEX('Sản phẩm'!$I$4:$I$103,MATCH(B157,'Sản phẩm'!$D$4:$D$103,0)),0)</f>
        <v>0</v>
      </c>
      <c r="M157" s="72" t="str">
        <f t="array" ref="M157">IFERROR(INDEX('Sản phẩm'!$J$4:$J$103,MATCH(B157,'Sản phẩm'!$D$4:$D$103,0)),0)</f>
        <v/>
      </c>
      <c r="N157" s="46">
        <f>IF(B157="",0,(K157+L157+M157)*'Thiết lập'!$B$8)</f>
        <v>0</v>
      </c>
      <c r="O157" s="46">
        <f t="shared" si="2"/>
        <v>0</v>
      </c>
      <c r="P157" s="46">
        <f t="shared" si="3"/>
        <v>0</v>
      </c>
      <c r="Q157" s="46">
        <f t="shared" si="4"/>
        <v>0</v>
      </c>
      <c r="R157" s="71" t="str">
        <f t="array" ref="R157">IF(B157="","",INDEX('Bán nhanh'!$C$4:$C$103,INT((ROW()-4)/10)+1))</f>
        <v/>
      </c>
      <c r="S157" s="71" t="str">
        <f t="array" ref="S157">IF(B157="","",INDEX('Bán nhanh'!$P$4:$P$103,INT((ROW()-4)/10)+1))</f>
        <v/>
      </c>
      <c r="T157" s="58"/>
      <c r="U157" s="68" t="str">
        <f>IF('Mẻ sữa'!F158&lt;&gt;"",'Mẻ sữa'!F158,"")</f>
        <v/>
      </c>
      <c r="V157" s="68"/>
      <c r="W157" s="87"/>
      <c r="X157" s="36"/>
      <c r="Y157" s="36"/>
      <c r="Z157" s="36"/>
    </row>
    <row r="158" ht="15.75" customHeight="1">
      <c r="A158" s="70" t="str">
        <f t="array" ref="A158">IF(B158="","",INDEX('Bán nhanh'!$A$4:$A$103,INT((ROW()-4)/10)+1))</f>
        <v/>
      </c>
      <c r="B158" s="71" t="str">
        <f t="array" ref="B158">IF(OR(INDEX('Bán nhanh'!$D$3:$M$3,1,MOD(ROW()-4,10)+1)="",INDEX('Bán nhanh'!$D$4:$M$103,INT((ROW()-4)/10)+1,MOD(ROW()-4,10)+1)&lt;=0),"",INDEX('Bán nhanh'!$D$3:$M$3,1,MOD(ROW()-4,10)+1))</f>
        <v/>
      </c>
      <c r="C158" s="58" t="str">
        <f t="array" ref="C158">IFERROR(INDEX('Sản phẩm'!$A$4:$A$103,MATCH(B158,'Sản phẩm'!$D$4:$D$103,0)),"")</f>
        <v/>
      </c>
      <c r="D158" s="71" t="str">
        <f t="array" ref="D158">IF(B158="","",INDEX('Bán nhanh'!$B$4:$B$103,INT((ROW()-4)/10)+1))</f>
        <v/>
      </c>
      <c r="E158" s="58" t="str">
        <f t="array" ref="E158">IFERROR(INDEX('Mẻ sữa'!$B$4:$B$203,MATCH(D158,'Mẻ sữa'!$C$4:$C$203,0)),"")</f>
        <v/>
      </c>
      <c r="F158" s="66">
        <f t="array" ref="F158">IF(B158="",0,INDEX('Bán nhanh'!$D$4:$M$103,INT((ROW()-4)/10)+1,MOD(ROW()-4,10)+1))</f>
        <v>0</v>
      </c>
      <c r="G158" s="46">
        <f t="array" ref="G158">IFERROR(INDEX('Sản phẩm'!$F$4:$F$103,MATCH(B158,'Sản phẩm'!$D$4:$D$103,0)),0)</f>
        <v>0</v>
      </c>
      <c r="H158" s="67">
        <f t="shared" si="5"/>
        <v>0</v>
      </c>
      <c r="I158" s="46">
        <f t="shared" si="1"/>
        <v>0</v>
      </c>
      <c r="J158" s="46">
        <f t="array" ref="J158">IFERROR(INDEX('Sản phẩm'!$G$4:$G$103,MATCH(B158,'Sản phẩm'!$D$4:$D$103,0)),0)</f>
        <v>0</v>
      </c>
      <c r="K158" s="46">
        <f t="array" ref="K158">IFERROR(J158*INDEX('Mẻ sữa'!$N$4:$N$203,MATCH(D158,'Mẻ sữa'!$C$4:$C$203,0)),0)</f>
        <v>0</v>
      </c>
      <c r="L158" s="46">
        <f t="array" ref="L158">IFERROR(INDEX('Sản phẩm'!$I$4:$I$103,MATCH(B158,'Sản phẩm'!$D$4:$D$103,0)),0)</f>
        <v>0</v>
      </c>
      <c r="M158" s="72" t="str">
        <f t="array" ref="M158">IFERROR(INDEX('Sản phẩm'!$J$4:$J$103,MATCH(B158,'Sản phẩm'!$D$4:$D$103,0)),0)</f>
        <v/>
      </c>
      <c r="N158" s="46">
        <f>IF(B158="",0,(K158+L158+M158)*'Thiết lập'!$B$8)</f>
        <v>0</v>
      </c>
      <c r="O158" s="46">
        <f t="shared" si="2"/>
        <v>0</v>
      </c>
      <c r="P158" s="46">
        <f t="shared" si="3"/>
        <v>0</v>
      </c>
      <c r="Q158" s="46">
        <f t="shared" si="4"/>
        <v>0</v>
      </c>
      <c r="R158" s="71" t="str">
        <f t="array" ref="R158">IF(B158="","",INDEX('Bán nhanh'!$C$4:$C$103,INT((ROW()-4)/10)+1))</f>
        <v/>
      </c>
      <c r="S158" s="71" t="str">
        <f t="array" ref="S158">IF(B158="","",INDEX('Bán nhanh'!$P$4:$P$103,INT((ROW()-4)/10)+1))</f>
        <v/>
      </c>
      <c r="T158" s="58"/>
      <c r="U158" s="68" t="str">
        <f>IF('Mẻ sữa'!F159&lt;&gt;"",'Mẻ sữa'!F159,"")</f>
        <v/>
      </c>
      <c r="V158" s="68"/>
      <c r="W158" s="87"/>
      <c r="X158" s="36"/>
      <c r="Y158" s="36"/>
      <c r="Z158" s="36"/>
    </row>
    <row r="159" ht="15.75" customHeight="1">
      <c r="A159" s="70" t="str">
        <f t="array" ref="A159">IF(B159="","",INDEX('Bán nhanh'!$A$4:$A$103,INT((ROW()-4)/10)+1))</f>
        <v/>
      </c>
      <c r="B159" s="71" t="str">
        <f t="array" ref="B159">IF(OR(INDEX('Bán nhanh'!$D$3:$M$3,1,MOD(ROW()-4,10)+1)="",INDEX('Bán nhanh'!$D$4:$M$103,INT((ROW()-4)/10)+1,MOD(ROW()-4,10)+1)&lt;=0),"",INDEX('Bán nhanh'!$D$3:$M$3,1,MOD(ROW()-4,10)+1))</f>
        <v/>
      </c>
      <c r="C159" s="58" t="str">
        <f t="array" ref="C159">IFERROR(INDEX('Sản phẩm'!$A$4:$A$103,MATCH(B159,'Sản phẩm'!$D$4:$D$103,0)),"")</f>
        <v/>
      </c>
      <c r="D159" s="71" t="str">
        <f t="array" ref="D159">IF(B159="","",INDEX('Bán nhanh'!$B$4:$B$103,INT((ROW()-4)/10)+1))</f>
        <v/>
      </c>
      <c r="E159" s="58" t="str">
        <f t="array" ref="E159">IFERROR(INDEX('Mẻ sữa'!$B$4:$B$203,MATCH(D159,'Mẻ sữa'!$C$4:$C$203,0)),"")</f>
        <v/>
      </c>
      <c r="F159" s="66">
        <f t="array" ref="F159">IF(B159="",0,INDEX('Bán nhanh'!$D$4:$M$103,INT((ROW()-4)/10)+1,MOD(ROW()-4,10)+1))</f>
        <v>0</v>
      </c>
      <c r="G159" s="46">
        <f t="array" ref="G159">IFERROR(INDEX('Sản phẩm'!$F$4:$F$103,MATCH(B159,'Sản phẩm'!$D$4:$D$103,0)),0)</f>
        <v>0</v>
      </c>
      <c r="H159" s="67">
        <f t="shared" si="5"/>
        <v>0</v>
      </c>
      <c r="I159" s="46">
        <f t="shared" si="1"/>
        <v>0</v>
      </c>
      <c r="J159" s="46">
        <f t="array" ref="J159">IFERROR(INDEX('Sản phẩm'!$G$4:$G$103,MATCH(B159,'Sản phẩm'!$D$4:$D$103,0)),0)</f>
        <v>0</v>
      </c>
      <c r="K159" s="46">
        <f t="array" ref="K159">IFERROR(J159*INDEX('Mẻ sữa'!$N$4:$N$203,MATCH(D159,'Mẻ sữa'!$C$4:$C$203,0)),0)</f>
        <v>0</v>
      </c>
      <c r="L159" s="46">
        <f t="array" ref="L159">IFERROR(INDEX('Sản phẩm'!$I$4:$I$103,MATCH(B159,'Sản phẩm'!$D$4:$D$103,0)),0)</f>
        <v>0</v>
      </c>
      <c r="M159" s="72" t="str">
        <f t="array" ref="M159">IFERROR(INDEX('Sản phẩm'!$J$4:$J$103,MATCH(B159,'Sản phẩm'!$D$4:$D$103,0)),0)</f>
        <v/>
      </c>
      <c r="N159" s="46">
        <f>IF(B159="",0,(K159+L159+M159)*'Thiết lập'!$B$8)</f>
        <v>0</v>
      </c>
      <c r="O159" s="46">
        <f t="shared" si="2"/>
        <v>0</v>
      </c>
      <c r="P159" s="46">
        <f t="shared" si="3"/>
        <v>0</v>
      </c>
      <c r="Q159" s="46">
        <f t="shared" si="4"/>
        <v>0</v>
      </c>
      <c r="R159" s="71" t="str">
        <f t="array" ref="R159">IF(B159="","",INDEX('Bán nhanh'!$C$4:$C$103,INT((ROW()-4)/10)+1))</f>
        <v/>
      </c>
      <c r="S159" s="71" t="str">
        <f t="array" ref="S159">IF(B159="","",INDEX('Bán nhanh'!$P$4:$P$103,INT((ROW()-4)/10)+1))</f>
        <v/>
      </c>
      <c r="T159" s="58"/>
      <c r="U159" s="68" t="str">
        <f>IF('Mẻ sữa'!F160&lt;&gt;"",'Mẻ sữa'!F160,"")</f>
        <v/>
      </c>
      <c r="V159" s="68"/>
      <c r="W159" s="87"/>
      <c r="X159" s="36"/>
      <c r="Y159" s="36"/>
      <c r="Z159" s="36"/>
    </row>
    <row r="160" ht="15.75" customHeight="1">
      <c r="A160" s="70" t="str">
        <f t="array" ref="A160">IF(B160="","",INDEX('Bán nhanh'!$A$4:$A$103,INT((ROW()-4)/10)+1))</f>
        <v/>
      </c>
      <c r="B160" s="71" t="str">
        <f t="array" ref="B160">IF(OR(INDEX('Bán nhanh'!$D$3:$M$3,1,MOD(ROW()-4,10)+1)="",INDEX('Bán nhanh'!$D$4:$M$103,INT((ROW()-4)/10)+1,MOD(ROW()-4,10)+1)&lt;=0),"",INDEX('Bán nhanh'!$D$3:$M$3,1,MOD(ROW()-4,10)+1))</f>
        <v/>
      </c>
      <c r="C160" s="58" t="str">
        <f t="array" ref="C160">IFERROR(INDEX('Sản phẩm'!$A$4:$A$103,MATCH(B160,'Sản phẩm'!$D$4:$D$103,0)),"")</f>
        <v/>
      </c>
      <c r="D160" s="71" t="str">
        <f t="array" ref="D160">IF(B160="","",INDEX('Bán nhanh'!$B$4:$B$103,INT((ROW()-4)/10)+1))</f>
        <v/>
      </c>
      <c r="E160" s="58" t="str">
        <f t="array" ref="E160">IFERROR(INDEX('Mẻ sữa'!$B$4:$B$203,MATCH(D160,'Mẻ sữa'!$C$4:$C$203,0)),"")</f>
        <v/>
      </c>
      <c r="F160" s="66">
        <f t="array" ref="F160">IF(B160="",0,INDEX('Bán nhanh'!$D$4:$M$103,INT((ROW()-4)/10)+1,MOD(ROW()-4,10)+1))</f>
        <v>0</v>
      </c>
      <c r="G160" s="46">
        <f t="array" ref="G160">IFERROR(INDEX('Sản phẩm'!$F$4:$F$103,MATCH(B160,'Sản phẩm'!$D$4:$D$103,0)),0)</f>
        <v>0</v>
      </c>
      <c r="H160" s="67">
        <f t="shared" si="5"/>
        <v>0</v>
      </c>
      <c r="I160" s="46">
        <f t="shared" si="1"/>
        <v>0</v>
      </c>
      <c r="J160" s="46">
        <f t="array" ref="J160">IFERROR(INDEX('Sản phẩm'!$G$4:$G$103,MATCH(B160,'Sản phẩm'!$D$4:$D$103,0)),0)</f>
        <v>0</v>
      </c>
      <c r="K160" s="46">
        <f t="array" ref="K160">IFERROR(J160*INDEX('Mẻ sữa'!$N$4:$N$203,MATCH(D160,'Mẻ sữa'!$C$4:$C$203,0)),0)</f>
        <v>0</v>
      </c>
      <c r="L160" s="46">
        <f t="array" ref="L160">IFERROR(INDEX('Sản phẩm'!$I$4:$I$103,MATCH(B160,'Sản phẩm'!$D$4:$D$103,0)),0)</f>
        <v>0</v>
      </c>
      <c r="M160" s="72" t="str">
        <f t="array" ref="M160">IFERROR(INDEX('Sản phẩm'!$J$4:$J$103,MATCH(B160,'Sản phẩm'!$D$4:$D$103,0)),0)</f>
        <v/>
      </c>
      <c r="N160" s="46">
        <f>IF(B160="",0,(K160+L160+M160)*'Thiết lập'!$B$8)</f>
        <v>0</v>
      </c>
      <c r="O160" s="46">
        <f t="shared" si="2"/>
        <v>0</v>
      </c>
      <c r="P160" s="46">
        <f t="shared" si="3"/>
        <v>0</v>
      </c>
      <c r="Q160" s="46">
        <f t="shared" si="4"/>
        <v>0</v>
      </c>
      <c r="R160" s="71" t="str">
        <f t="array" ref="R160">IF(B160="","",INDEX('Bán nhanh'!$C$4:$C$103,INT((ROW()-4)/10)+1))</f>
        <v/>
      </c>
      <c r="S160" s="71" t="str">
        <f t="array" ref="S160">IF(B160="","",INDEX('Bán nhanh'!$P$4:$P$103,INT((ROW()-4)/10)+1))</f>
        <v/>
      </c>
      <c r="T160" s="58"/>
      <c r="U160" s="68" t="str">
        <f>IF('Mẻ sữa'!F161&lt;&gt;"",'Mẻ sữa'!F161,"")</f>
        <v/>
      </c>
      <c r="V160" s="68"/>
      <c r="W160" s="87"/>
      <c r="X160" s="36"/>
      <c r="Y160" s="36"/>
      <c r="Z160" s="36"/>
    </row>
    <row r="161" ht="15.75" customHeight="1">
      <c r="A161" s="70" t="str">
        <f t="array" ref="A161">IF(B161="","",INDEX('Bán nhanh'!$A$4:$A$103,INT((ROW()-4)/10)+1))</f>
        <v/>
      </c>
      <c r="B161" s="71" t="str">
        <f t="array" ref="B161">IF(OR(INDEX('Bán nhanh'!$D$3:$M$3,1,MOD(ROW()-4,10)+1)="",INDEX('Bán nhanh'!$D$4:$M$103,INT((ROW()-4)/10)+1,MOD(ROW()-4,10)+1)&lt;=0),"",INDEX('Bán nhanh'!$D$3:$M$3,1,MOD(ROW()-4,10)+1))</f>
        <v/>
      </c>
      <c r="C161" s="58" t="str">
        <f t="array" ref="C161">IFERROR(INDEX('Sản phẩm'!$A$4:$A$103,MATCH(B161,'Sản phẩm'!$D$4:$D$103,0)),"")</f>
        <v/>
      </c>
      <c r="D161" s="71" t="str">
        <f t="array" ref="D161">IF(B161="","",INDEX('Bán nhanh'!$B$4:$B$103,INT((ROW()-4)/10)+1))</f>
        <v/>
      </c>
      <c r="E161" s="58" t="str">
        <f t="array" ref="E161">IFERROR(INDEX('Mẻ sữa'!$B$4:$B$203,MATCH(D161,'Mẻ sữa'!$C$4:$C$203,0)),"")</f>
        <v/>
      </c>
      <c r="F161" s="66">
        <f t="array" ref="F161">IF(B161="",0,INDEX('Bán nhanh'!$D$4:$M$103,INT((ROW()-4)/10)+1,MOD(ROW()-4,10)+1))</f>
        <v>0</v>
      </c>
      <c r="G161" s="46">
        <f t="array" ref="G161">IFERROR(INDEX('Sản phẩm'!$F$4:$F$103,MATCH(B161,'Sản phẩm'!$D$4:$D$103,0)),0)</f>
        <v>0</v>
      </c>
      <c r="H161" s="67">
        <f t="shared" si="5"/>
        <v>0</v>
      </c>
      <c r="I161" s="46">
        <f t="shared" si="1"/>
        <v>0</v>
      </c>
      <c r="J161" s="46">
        <f t="array" ref="J161">IFERROR(INDEX('Sản phẩm'!$G$4:$G$103,MATCH(B161,'Sản phẩm'!$D$4:$D$103,0)),0)</f>
        <v>0</v>
      </c>
      <c r="K161" s="46">
        <f t="array" ref="K161">IFERROR(J161*INDEX('Mẻ sữa'!$N$4:$N$203,MATCH(D161,'Mẻ sữa'!$C$4:$C$203,0)),0)</f>
        <v>0</v>
      </c>
      <c r="L161" s="46">
        <f t="array" ref="L161">IFERROR(INDEX('Sản phẩm'!$I$4:$I$103,MATCH(B161,'Sản phẩm'!$D$4:$D$103,0)),0)</f>
        <v>0</v>
      </c>
      <c r="M161" s="72" t="str">
        <f t="array" ref="M161">IFERROR(INDEX('Sản phẩm'!$J$4:$J$103,MATCH(B161,'Sản phẩm'!$D$4:$D$103,0)),0)</f>
        <v/>
      </c>
      <c r="N161" s="46">
        <f>IF(B161="",0,(K161+L161+M161)*'Thiết lập'!$B$8)</f>
        <v>0</v>
      </c>
      <c r="O161" s="46">
        <f t="shared" si="2"/>
        <v>0</v>
      </c>
      <c r="P161" s="46">
        <f t="shared" si="3"/>
        <v>0</v>
      </c>
      <c r="Q161" s="46">
        <f t="shared" si="4"/>
        <v>0</v>
      </c>
      <c r="R161" s="71" t="str">
        <f t="array" ref="R161">IF(B161="","",INDEX('Bán nhanh'!$C$4:$C$103,INT((ROW()-4)/10)+1))</f>
        <v/>
      </c>
      <c r="S161" s="71" t="str">
        <f t="array" ref="S161">IF(B161="","",INDEX('Bán nhanh'!$P$4:$P$103,INT((ROW()-4)/10)+1))</f>
        <v/>
      </c>
      <c r="T161" s="58"/>
      <c r="U161" s="68" t="str">
        <f>IF('Mẻ sữa'!F162&lt;&gt;"",'Mẻ sữa'!F162,"")</f>
        <v/>
      </c>
      <c r="V161" s="68"/>
      <c r="W161" s="87"/>
      <c r="X161" s="36"/>
      <c r="Y161" s="36"/>
      <c r="Z161" s="36"/>
    </row>
    <row r="162" ht="15.75" customHeight="1">
      <c r="A162" s="70" t="str">
        <f t="array" ref="A162">IF(B162="","",INDEX('Bán nhanh'!$A$4:$A$103,INT((ROW()-4)/10)+1))</f>
        <v/>
      </c>
      <c r="B162" s="71" t="str">
        <f t="array" ref="B162">IF(OR(INDEX('Bán nhanh'!$D$3:$M$3,1,MOD(ROW()-4,10)+1)="",INDEX('Bán nhanh'!$D$4:$M$103,INT((ROW()-4)/10)+1,MOD(ROW()-4,10)+1)&lt;=0),"",INDEX('Bán nhanh'!$D$3:$M$3,1,MOD(ROW()-4,10)+1))</f>
        <v/>
      </c>
      <c r="C162" s="58" t="str">
        <f t="array" ref="C162">IFERROR(INDEX('Sản phẩm'!$A$4:$A$103,MATCH(B162,'Sản phẩm'!$D$4:$D$103,0)),"")</f>
        <v/>
      </c>
      <c r="D162" s="71" t="str">
        <f t="array" ref="D162">IF(B162="","",INDEX('Bán nhanh'!$B$4:$B$103,INT((ROW()-4)/10)+1))</f>
        <v/>
      </c>
      <c r="E162" s="58" t="str">
        <f t="array" ref="E162">IFERROR(INDEX('Mẻ sữa'!$B$4:$B$203,MATCH(D162,'Mẻ sữa'!$C$4:$C$203,0)),"")</f>
        <v/>
      </c>
      <c r="F162" s="66">
        <f t="array" ref="F162">IF(B162="",0,INDEX('Bán nhanh'!$D$4:$M$103,INT((ROW()-4)/10)+1,MOD(ROW()-4,10)+1))</f>
        <v>0</v>
      </c>
      <c r="G162" s="46">
        <f t="array" ref="G162">IFERROR(INDEX('Sản phẩm'!$F$4:$F$103,MATCH(B162,'Sản phẩm'!$D$4:$D$103,0)),0)</f>
        <v>0</v>
      </c>
      <c r="H162" s="67">
        <f t="shared" si="5"/>
        <v>0</v>
      </c>
      <c r="I162" s="46">
        <f t="shared" si="1"/>
        <v>0</v>
      </c>
      <c r="J162" s="46">
        <f t="array" ref="J162">IFERROR(INDEX('Sản phẩm'!$G$4:$G$103,MATCH(B162,'Sản phẩm'!$D$4:$D$103,0)),0)</f>
        <v>0</v>
      </c>
      <c r="K162" s="46">
        <f t="array" ref="K162">IFERROR(J162*INDEX('Mẻ sữa'!$N$4:$N$203,MATCH(D162,'Mẻ sữa'!$C$4:$C$203,0)),0)</f>
        <v>0</v>
      </c>
      <c r="L162" s="46">
        <f t="array" ref="L162">IFERROR(INDEX('Sản phẩm'!$I$4:$I$103,MATCH(B162,'Sản phẩm'!$D$4:$D$103,0)),0)</f>
        <v>0</v>
      </c>
      <c r="M162" s="72" t="str">
        <f t="array" ref="M162">IFERROR(INDEX('Sản phẩm'!$J$4:$J$103,MATCH(B162,'Sản phẩm'!$D$4:$D$103,0)),0)</f>
        <v/>
      </c>
      <c r="N162" s="46">
        <f>IF(B162="",0,(K162+L162+M162)*'Thiết lập'!$B$8)</f>
        <v>0</v>
      </c>
      <c r="O162" s="46">
        <f t="shared" si="2"/>
        <v>0</v>
      </c>
      <c r="P162" s="46">
        <f t="shared" si="3"/>
        <v>0</v>
      </c>
      <c r="Q162" s="46">
        <f t="shared" si="4"/>
        <v>0</v>
      </c>
      <c r="R162" s="71" t="str">
        <f t="array" ref="R162">IF(B162="","",INDEX('Bán nhanh'!$C$4:$C$103,INT((ROW()-4)/10)+1))</f>
        <v/>
      </c>
      <c r="S162" s="71" t="str">
        <f t="array" ref="S162">IF(B162="","",INDEX('Bán nhanh'!$P$4:$P$103,INT((ROW()-4)/10)+1))</f>
        <v/>
      </c>
      <c r="T162" s="58"/>
      <c r="U162" s="68" t="str">
        <f>IF('Mẻ sữa'!F163&lt;&gt;"",'Mẻ sữa'!F163,"")</f>
        <v/>
      </c>
      <c r="V162" s="68"/>
      <c r="W162" s="87"/>
      <c r="X162" s="36"/>
      <c r="Y162" s="36"/>
      <c r="Z162" s="36"/>
    </row>
    <row r="163" ht="15.75" customHeight="1">
      <c r="A163" s="70" t="str">
        <f t="array" ref="A163">IF(B163="","",INDEX('Bán nhanh'!$A$4:$A$103,INT((ROW()-4)/10)+1))</f>
        <v/>
      </c>
      <c r="B163" s="71" t="str">
        <f t="array" ref="B163">IF(OR(INDEX('Bán nhanh'!$D$3:$M$3,1,MOD(ROW()-4,10)+1)="",INDEX('Bán nhanh'!$D$4:$M$103,INT((ROW()-4)/10)+1,MOD(ROW()-4,10)+1)&lt;=0),"",INDEX('Bán nhanh'!$D$3:$M$3,1,MOD(ROW()-4,10)+1))</f>
        <v/>
      </c>
      <c r="C163" s="58" t="str">
        <f t="array" ref="C163">IFERROR(INDEX('Sản phẩm'!$A$4:$A$103,MATCH(B163,'Sản phẩm'!$D$4:$D$103,0)),"")</f>
        <v/>
      </c>
      <c r="D163" s="71" t="str">
        <f t="array" ref="D163">IF(B163="","",INDEX('Bán nhanh'!$B$4:$B$103,INT((ROW()-4)/10)+1))</f>
        <v/>
      </c>
      <c r="E163" s="58" t="str">
        <f t="array" ref="E163">IFERROR(INDEX('Mẻ sữa'!$B$4:$B$203,MATCH(D163,'Mẻ sữa'!$C$4:$C$203,0)),"")</f>
        <v/>
      </c>
      <c r="F163" s="66">
        <f t="array" ref="F163">IF(B163="",0,INDEX('Bán nhanh'!$D$4:$M$103,INT((ROW()-4)/10)+1,MOD(ROW()-4,10)+1))</f>
        <v>0</v>
      </c>
      <c r="G163" s="46">
        <f t="array" ref="G163">IFERROR(INDEX('Sản phẩm'!$F$4:$F$103,MATCH(B163,'Sản phẩm'!$D$4:$D$103,0)),0)</f>
        <v>0</v>
      </c>
      <c r="H163" s="67">
        <f t="shared" si="5"/>
        <v>0</v>
      </c>
      <c r="I163" s="46">
        <f t="shared" si="1"/>
        <v>0</v>
      </c>
      <c r="J163" s="46">
        <f t="array" ref="J163">IFERROR(INDEX('Sản phẩm'!$G$4:$G$103,MATCH(B163,'Sản phẩm'!$D$4:$D$103,0)),0)</f>
        <v>0</v>
      </c>
      <c r="K163" s="46">
        <f t="array" ref="K163">IFERROR(J163*INDEX('Mẻ sữa'!$N$4:$N$203,MATCH(D163,'Mẻ sữa'!$C$4:$C$203,0)),0)</f>
        <v>0</v>
      </c>
      <c r="L163" s="46">
        <f t="array" ref="L163">IFERROR(INDEX('Sản phẩm'!$I$4:$I$103,MATCH(B163,'Sản phẩm'!$D$4:$D$103,0)),0)</f>
        <v>0</v>
      </c>
      <c r="M163" s="72" t="str">
        <f t="array" ref="M163">IFERROR(INDEX('Sản phẩm'!$J$4:$J$103,MATCH(B163,'Sản phẩm'!$D$4:$D$103,0)),0)</f>
        <v/>
      </c>
      <c r="N163" s="46">
        <f>IF(B163="",0,(K163+L163+M163)*'Thiết lập'!$B$8)</f>
        <v>0</v>
      </c>
      <c r="O163" s="46">
        <f t="shared" si="2"/>
        <v>0</v>
      </c>
      <c r="P163" s="46">
        <f t="shared" si="3"/>
        <v>0</v>
      </c>
      <c r="Q163" s="46">
        <f t="shared" si="4"/>
        <v>0</v>
      </c>
      <c r="R163" s="71" t="str">
        <f t="array" ref="R163">IF(B163="","",INDEX('Bán nhanh'!$C$4:$C$103,INT((ROW()-4)/10)+1))</f>
        <v/>
      </c>
      <c r="S163" s="71" t="str">
        <f t="array" ref="S163">IF(B163="","",INDEX('Bán nhanh'!$P$4:$P$103,INT((ROW()-4)/10)+1))</f>
        <v/>
      </c>
      <c r="T163" s="58"/>
      <c r="U163" s="68" t="str">
        <f>IF('Mẻ sữa'!F164&lt;&gt;"",'Mẻ sữa'!F164,"")</f>
        <v/>
      </c>
      <c r="V163" s="68"/>
      <c r="W163" s="87"/>
      <c r="X163" s="36"/>
      <c r="Y163" s="36"/>
      <c r="Z163" s="36"/>
    </row>
    <row r="164" ht="15.75" customHeight="1">
      <c r="A164" s="70" t="str">
        <f t="array" ref="A164">IF(B164="","",INDEX('Bán nhanh'!$A$4:$A$103,INT((ROW()-4)/10)+1))</f>
        <v/>
      </c>
      <c r="B164" s="71" t="str">
        <f t="array" ref="B164">IF(OR(INDEX('Bán nhanh'!$D$3:$M$3,1,MOD(ROW()-4,10)+1)="",INDEX('Bán nhanh'!$D$4:$M$103,INT((ROW()-4)/10)+1,MOD(ROW()-4,10)+1)&lt;=0),"",INDEX('Bán nhanh'!$D$3:$M$3,1,MOD(ROW()-4,10)+1))</f>
        <v/>
      </c>
      <c r="C164" s="58" t="str">
        <f t="array" ref="C164">IFERROR(INDEX('Sản phẩm'!$A$4:$A$103,MATCH(B164,'Sản phẩm'!$D$4:$D$103,0)),"")</f>
        <v/>
      </c>
      <c r="D164" s="71" t="str">
        <f t="array" ref="D164">IF(B164="","",INDEX('Bán nhanh'!$B$4:$B$103,INT((ROW()-4)/10)+1))</f>
        <v/>
      </c>
      <c r="E164" s="58" t="str">
        <f t="array" ref="E164">IFERROR(INDEX('Mẻ sữa'!$B$4:$B$203,MATCH(D164,'Mẻ sữa'!$C$4:$C$203,0)),"")</f>
        <v/>
      </c>
      <c r="F164" s="66">
        <f t="array" ref="F164">IF(B164="",0,INDEX('Bán nhanh'!$D$4:$M$103,INT((ROW()-4)/10)+1,MOD(ROW()-4,10)+1))</f>
        <v>0</v>
      </c>
      <c r="G164" s="46">
        <f t="array" ref="G164">IFERROR(INDEX('Sản phẩm'!$F$4:$F$103,MATCH(B164,'Sản phẩm'!$D$4:$D$103,0)),0)</f>
        <v>0</v>
      </c>
      <c r="H164" s="67">
        <f t="shared" si="5"/>
        <v>0</v>
      </c>
      <c r="I164" s="46">
        <f t="shared" si="1"/>
        <v>0</v>
      </c>
      <c r="J164" s="46">
        <f t="array" ref="J164">IFERROR(INDEX('Sản phẩm'!$G$4:$G$103,MATCH(B164,'Sản phẩm'!$D$4:$D$103,0)),0)</f>
        <v>0</v>
      </c>
      <c r="K164" s="46">
        <f t="array" ref="K164">IFERROR(J164*INDEX('Mẻ sữa'!$N$4:$N$203,MATCH(D164,'Mẻ sữa'!$C$4:$C$203,0)),0)</f>
        <v>0</v>
      </c>
      <c r="L164" s="46">
        <f t="array" ref="L164">IFERROR(INDEX('Sản phẩm'!$I$4:$I$103,MATCH(B164,'Sản phẩm'!$D$4:$D$103,0)),0)</f>
        <v>0</v>
      </c>
      <c r="M164" s="72" t="str">
        <f t="array" ref="M164">IFERROR(INDEX('Sản phẩm'!$J$4:$J$103,MATCH(B164,'Sản phẩm'!$D$4:$D$103,0)),0)</f>
        <v/>
      </c>
      <c r="N164" s="46">
        <f>IF(B164="",0,(K164+L164+M164)*'Thiết lập'!$B$8)</f>
        <v>0</v>
      </c>
      <c r="O164" s="46">
        <f t="shared" si="2"/>
        <v>0</v>
      </c>
      <c r="P164" s="46">
        <f t="shared" si="3"/>
        <v>0</v>
      </c>
      <c r="Q164" s="46">
        <f t="shared" si="4"/>
        <v>0</v>
      </c>
      <c r="R164" s="71" t="str">
        <f t="array" ref="R164">IF(B164="","",INDEX('Bán nhanh'!$C$4:$C$103,INT((ROW()-4)/10)+1))</f>
        <v/>
      </c>
      <c r="S164" s="71" t="str">
        <f t="array" ref="S164">IF(B164="","",INDEX('Bán nhanh'!$P$4:$P$103,INT((ROW()-4)/10)+1))</f>
        <v/>
      </c>
      <c r="T164" s="58"/>
      <c r="U164" s="68" t="str">
        <f>IF('Mẻ sữa'!F165&lt;&gt;"",'Mẻ sữa'!F165,"")</f>
        <v/>
      </c>
      <c r="V164" s="68"/>
      <c r="W164" s="87"/>
      <c r="X164" s="36"/>
      <c r="Y164" s="36"/>
      <c r="Z164" s="36"/>
    </row>
    <row r="165" ht="15.75" customHeight="1">
      <c r="A165" s="70" t="str">
        <f t="array" ref="A165">IF(B165="","",INDEX('Bán nhanh'!$A$4:$A$103,INT((ROW()-4)/10)+1))</f>
        <v/>
      </c>
      <c r="B165" s="71" t="str">
        <f t="array" ref="B165">IF(OR(INDEX('Bán nhanh'!$D$3:$M$3,1,MOD(ROW()-4,10)+1)="",INDEX('Bán nhanh'!$D$4:$M$103,INT((ROW()-4)/10)+1,MOD(ROW()-4,10)+1)&lt;=0),"",INDEX('Bán nhanh'!$D$3:$M$3,1,MOD(ROW()-4,10)+1))</f>
        <v/>
      </c>
      <c r="C165" s="58" t="str">
        <f t="array" ref="C165">IFERROR(INDEX('Sản phẩm'!$A$4:$A$103,MATCH(B165,'Sản phẩm'!$D$4:$D$103,0)),"")</f>
        <v/>
      </c>
      <c r="D165" s="71" t="str">
        <f t="array" ref="D165">IF(B165="","",INDEX('Bán nhanh'!$B$4:$B$103,INT((ROW()-4)/10)+1))</f>
        <v/>
      </c>
      <c r="E165" s="58" t="str">
        <f t="array" ref="E165">IFERROR(INDEX('Mẻ sữa'!$B$4:$B$203,MATCH(D165,'Mẻ sữa'!$C$4:$C$203,0)),"")</f>
        <v/>
      </c>
      <c r="F165" s="66">
        <f t="array" ref="F165">IF(B165="",0,INDEX('Bán nhanh'!$D$4:$M$103,INT((ROW()-4)/10)+1,MOD(ROW()-4,10)+1))</f>
        <v>0</v>
      </c>
      <c r="G165" s="46">
        <f t="array" ref="G165">IFERROR(INDEX('Sản phẩm'!$F$4:$F$103,MATCH(B165,'Sản phẩm'!$D$4:$D$103,0)),0)</f>
        <v>0</v>
      </c>
      <c r="H165" s="67">
        <f t="shared" si="5"/>
        <v>0</v>
      </c>
      <c r="I165" s="46">
        <f t="shared" si="1"/>
        <v>0</v>
      </c>
      <c r="J165" s="46">
        <f t="array" ref="J165">IFERROR(INDEX('Sản phẩm'!$G$4:$G$103,MATCH(B165,'Sản phẩm'!$D$4:$D$103,0)),0)</f>
        <v>0</v>
      </c>
      <c r="K165" s="46">
        <f t="array" ref="K165">IFERROR(J165*INDEX('Mẻ sữa'!$N$4:$N$203,MATCH(D165,'Mẻ sữa'!$C$4:$C$203,0)),0)</f>
        <v>0</v>
      </c>
      <c r="L165" s="46">
        <f t="array" ref="L165">IFERROR(INDEX('Sản phẩm'!$I$4:$I$103,MATCH(B165,'Sản phẩm'!$D$4:$D$103,0)),0)</f>
        <v>0</v>
      </c>
      <c r="M165" s="72" t="str">
        <f t="array" ref="M165">IFERROR(INDEX('Sản phẩm'!$J$4:$J$103,MATCH(B165,'Sản phẩm'!$D$4:$D$103,0)),0)</f>
        <v/>
      </c>
      <c r="N165" s="46">
        <f>IF(B165="",0,(K165+L165+M165)*'Thiết lập'!$B$8)</f>
        <v>0</v>
      </c>
      <c r="O165" s="46">
        <f t="shared" si="2"/>
        <v>0</v>
      </c>
      <c r="P165" s="46">
        <f t="shared" si="3"/>
        <v>0</v>
      </c>
      <c r="Q165" s="46">
        <f t="shared" si="4"/>
        <v>0</v>
      </c>
      <c r="R165" s="71" t="str">
        <f t="array" ref="R165">IF(B165="","",INDEX('Bán nhanh'!$C$4:$C$103,INT((ROW()-4)/10)+1))</f>
        <v/>
      </c>
      <c r="S165" s="71" t="str">
        <f t="array" ref="S165">IF(B165="","",INDEX('Bán nhanh'!$P$4:$P$103,INT((ROW()-4)/10)+1))</f>
        <v/>
      </c>
      <c r="T165" s="58"/>
      <c r="U165" s="68" t="str">
        <f>IF('Mẻ sữa'!F166&lt;&gt;"",'Mẻ sữa'!F166,"")</f>
        <v/>
      </c>
      <c r="V165" s="68"/>
      <c r="W165" s="87"/>
      <c r="X165" s="36"/>
      <c r="Y165" s="36"/>
      <c r="Z165" s="36"/>
    </row>
    <row r="166" ht="15.75" customHeight="1">
      <c r="A166" s="70" t="str">
        <f t="array" ref="A166">IF(B166="","",INDEX('Bán nhanh'!$A$4:$A$103,INT((ROW()-4)/10)+1))</f>
        <v/>
      </c>
      <c r="B166" s="71" t="str">
        <f t="array" ref="B166">IF(OR(INDEX('Bán nhanh'!$D$3:$M$3,1,MOD(ROW()-4,10)+1)="",INDEX('Bán nhanh'!$D$4:$M$103,INT((ROW()-4)/10)+1,MOD(ROW()-4,10)+1)&lt;=0),"",INDEX('Bán nhanh'!$D$3:$M$3,1,MOD(ROW()-4,10)+1))</f>
        <v/>
      </c>
      <c r="C166" s="58" t="str">
        <f t="array" ref="C166">IFERROR(INDEX('Sản phẩm'!$A$4:$A$103,MATCH(B166,'Sản phẩm'!$D$4:$D$103,0)),"")</f>
        <v/>
      </c>
      <c r="D166" s="71" t="str">
        <f t="array" ref="D166">IF(B166="","",INDEX('Bán nhanh'!$B$4:$B$103,INT((ROW()-4)/10)+1))</f>
        <v/>
      </c>
      <c r="E166" s="58" t="str">
        <f t="array" ref="E166">IFERROR(INDEX('Mẻ sữa'!$B$4:$B$203,MATCH(D166,'Mẻ sữa'!$C$4:$C$203,0)),"")</f>
        <v/>
      </c>
      <c r="F166" s="66">
        <f t="array" ref="F166">IF(B166="",0,INDEX('Bán nhanh'!$D$4:$M$103,INT((ROW()-4)/10)+1,MOD(ROW()-4,10)+1))</f>
        <v>0</v>
      </c>
      <c r="G166" s="46">
        <f t="array" ref="G166">IFERROR(INDEX('Sản phẩm'!$F$4:$F$103,MATCH(B166,'Sản phẩm'!$D$4:$D$103,0)),0)</f>
        <v>0</v>
      </c>
      <c r="H166" s="67">
        <f t="shared" si="5"/>
        <v>0</v>
      </c>
      <c r="I166" s="46">
        <f t="shared" si="1"/>
        <v>0</v>
      </c>
      <c r="J166" s="46">
        <f t="array" ref="J166">IFERROR(INDEX('Sản phẩm'!$G$4:$G$103,MATCH(B166,'Sản phẩm'!$D$4:$D$103,0)),0)</f>
        <v>0</v>
      </c>
      <c r="K166" s="46">
        <f t="array" ref="K166">IFERROR(J166*INDEX('Mẻ sữa'!$N$4:$N$203,MATCH(D166,'Mẻ sữa'!$C$4:$C$203,0)),0)</f>
        <v>0</v>
      </c>
      <c r="L166" s="46">
        <f t="array" ref="L166">IFERROR(INDEX('Sản phẩm'!$I$4:$I$103,MATCH(B166,'Sản phẩm'!$D$4:$D$103,0)),0)</f>
        <v>0</v>
      </c>
      <c r="M166" s="72" t="str">
        <f t="array" ref="M166">IFERROR(INDEX('Sản phẩm'!$J$4:$J$103,MATCH(B166,'Sản phẩm'!$D$4:$D$103,0)),0)</f>
        <v/>
      </c>
      <c r="N166" s="46">
        <f>IF(B166="",0,(K166+L166+M166)*'Thiết lập'!$B$8)</f>
        <v>0</v>
      </c>
      <c r="O166" s="46">
        <f t="shared" si="2"/>
        <v>0</v>
      </c>
      <c r="P166" s="46">
        <f t="shared" si="3"/>
        <v>0</v>
      </c>
      <c r="Q166" s="46">
        <f t="shared" si="4"/>
        <v>0</v>
      </c>
      <c r="R166" s="71" t="str">
        <f t="array" ref="R166">IF(B166="","",INDEX('Bán nhanh'!$C$4:$C$103,INT((ROW()-4)/10)+1))</f>
        <v/>
      </c>
      <c r="S166" s="71" t="str">
        <f t="array" ref="S166">IF(B166="","",INDEX('Bán nhanh'!$P$4:$P$103,INT((ROW()-4)/10)+1))</f>
        <v/>
      </c>
      <c r="T166" s="58"/>
      <c r="U166" s="68" t="str">
        <f>IF('Mẻ sữa'!F167&lt;&gt;"",'Mẻ sữa'!F167,"")</f>
        <v/>
      </c>
      <c r="V166" s="68"/>
      <c r="W166" s="87"/>
      <c r="X166" s="36"/>
      <c r="Y166" s="36"/>
      <c r="Z166" s="36"/>
    </row>
    <row r="167" ht="15.75" customHeight="1">
      <c r="A167" s="70" t="str">
        <f t="array" ref="A167">IF(B167="","",INDEX('Bán nhanh'!$A$4:$A$103,INT((ROW()-4)/10)+1))</f>
        <v/>
      </c>
      <c r="B167" s="71" t="str">
        <f t="array" ref="B167">IF(OR(INDEX('Bán nhanh'!$D$3:$M$3,1,MOD(ROW()-4,10)+1)="",INDEX('Bán nhanh'!$D$4:$M$103,INT((ROW()-4)/10)+1,MOD(ROW()-4,10)+1)&lt;=0),"",INDEX('Bán nhanh'!$D$3:$M$3,1,MOD(ROW()-4,10)+1))</f>
        <v/>
      </c>
      <c r="C167" s="58" t="str">
        <f t="array" ref="C167">IFERROR(INDEX('Sản phẩm'!$A$4:$A$103,MATCH(B167,'Sản phẩm'!$D$4:$D$103,0)),"")</f>
        <v/>
      </c>
      <c r="D167" s="71" t="str">
        <f t="array" ref="D167">IF(B167="","",INDEX('Bán nhanh'!$B$4:$B$103,INT((ROW()-4)/10)+1))</f>
        <v/>
      </c>
      <c r="E167" s="58" t="str">
        <f t="array" ref="E167">IFERROR(INDEX('Mẻ sữa'!$B$4:$B$203,MATCH(D167,'Mẻ sữa'!$C$4:$C$203,0)),"")</f>
        <v/>
      </c>
      <c r="F167" s="66">
        <f t="array" ref="F167">IF(B167="",0,INDEX('Bán nhanh'!$D$4:$M$103,INT((ROW()-4)/10)+1,MOD(ROW()-4,10)+1))</f>
        <v>0</v>
      </c>
      <c r="G167" s="46">
        <f t="array" ref="G167">IFERROR(INDEX('Sản phẩm'!$F$4:$F$103,MATCH(B167,'Sản phẩm'!$D$4:$D$103,0)),0)</f>
        <v>0</v>
      </c>
      <c r="H167" s="67">
        <f t="shared" si="5"/>
        <v>0</v>
      </c>
      <c r="I167" s="46">
        <f t="shared" si="1"/>
        <v>0</v>
      </c>
      <c r="J167" s="46">
        <f t="array" ref="J167">IFERROR(INDEX('Sản phẩm'!$G$4:$G$103,MATCH(B167,'Sản phẩm'!$D$4:$D$103,0)),0)</f>
        <v>0</v>
      </c>
      <c r="K167" s="46">
        <f t="array" ref="K167">IFERROR(J167*INDEX('Mẻ sữa'!$N$4:$N$203,MATCH(D167,'Mẻ sữa'!$C$4:$C$203,0)),0)</f>
        <v>0</v>
      </c>
      <c r="L167" s="46">
        <f t="array" ref="L167">IFERROR(INDEX('Sản phẩm'!$I$4:$I$103,MATCH(B167,'Sản phẩm'!$D$4:$D$103,0)),0)</f>
        <v>0</v>
      </c>
      <c r="M167" s="72" t="str">
        <f t="array" ref="M167">IFERROR(INDEX('Sản phẩm'!$J$4:$J$103,MATCH(B167,'Sản phẩm'!$D$4:$D$103,0)),0)</f>
        <v/>
      </c>
      <c r="N167" s="46">
        <f>IF(B167="",0,(K167+L167+M167)*'Thiết lập'!$B$8)</f>
        <v>0</v>
      </c>
      <c r="O167" s="46">
        <f t="shared" si="2"/>
        <v>0</v>
      </c>
      <c r="P167" s="46">
        <f t="shared" si="3"/>
        <v>0</v>
      </c>
      <c r="Q167" s="46">
        <f t="shared" si="4"/>
        <v>0</v>
      </c>
      <c r="R167" s="71" t="str">
        <f t="array" ref="R167">IF(B167="","",INDEX('Bán nhanh'!$C$4:$C$103,INT((ROW()-4)/10)+1))</f>
        <v/>
      </c>
      <c r="S167" s="71" t="str">
        <f t="array" ref="S167">IF(B167="","",INDEX('Bán nhanh'!$P$4:$P$103,INT((ROW()-4)/10)+1))</f>
        <v/>
      </c>
      <c r="T167" s="58"/>
      <c r="U167" s="68" t="str">
        <f>IF('Mẻ sữa'!F168&lt;&gt;"",'Mẻ sữa'!F168,"")</f>
        <v/>
      </c>
      <c r="V167" s="68"/>
      <c r="W167" s="87"/>
      <c r="X167" s="36"/>
      <c r="Y167" s="36"/>
      <c r="Z167" s="36"/>
    </row>
    <row r="168" ht="15.75" customHeight="1">
      <c r="A168" s="70" t="str">
        <f t="array" ref="A168">IF(B168="","",INDEX('Bán nhanh'!$A$4:$A$103,INT((ROW()-4)/10)+1))</f>
        <v/>
      </c>
      <c r="B168" s="71" t="str">
        <f t="array" ref="B168">IF(OR(INDEX('Bán nhanh'!$D$3:$M$3,1,MOD(ROW()-4,10)+1)="",INDEX('Bán nhanh'!$D$4:$M$103,INT((ROW()-4)/10)+1,MOD(ROW()-4,10)+1)&lt;=0),"",INDEX('Bán nhanh'!$D$3:$M$3,1,MOD(ROW()-4,10)+1))</f>
        <v/>
      </c>
      <c r="C168" s="58" t="str">
        <f t="array" ref="C168">IFERROR(INDEX('Sản phẩm'!$A$4:$A$103,MATCH(B168,'Sản phẩm'!$D$4:$D$103,0)),"")</f>
        <v/>
      </c>
      <c r="D168" s="71" t="str">
        <f t="array" ref="D168">IF(B168="","",INDEX('Bán nhanh'!$B$4:$B$103,INT((ROW()-4)/10)+1))</f>
        <v/>
      </c>
      <c r="E168" s="58" t="str">
        <f t="array" ref="E168">IFERROR(INDEX('Mẻ sữa'!$B$4:$B$203,MATCH(D168,'Mẻ sữa'!$C$4:$C$203,0)),"")</f>
        <v/>
      </c>
      <c r="F168" s="66">
        <f t="array" ref="F168">IF(B168="",0,INDEX('Bán nhanh'!$D$4:$M$103,INT((ROW()-4)/10)+1,MOD(ROW()-4,10)+1))</f>
        <v>0</v>
      </c>
      <c r="G168" s="46">
        <f t="array" ref="G168">IFERROR(INDEX('Sản phẩm'!$F$4:$F$103,MATCH(B168,'Sản phẩm'!$D$4:$D$103,0)),0)</f>
        <v>0</v>
      </c>
      <c r="H168" s="67">
        <f t="shared" si="5"/>
        <v>0</v>
      </c>
      <c r="I168" s="46">
        <f t="shared" si="1"/>
        <v>0</v>
      </c>
      <c r="J168" s="46">
        <f t="array" ref="J168">IFERROR(INDEX('Sản phẩm'!$G$4:$G$103,MATCH(B168,'Sản phẩm'!$D$4:$D$103,0)),0)</f>
        <v>0</v>
      </c>
      <c r="K168" s="46">
        <f t="array" ref="K168">IFERROR(J168*INDEX('Mẻ sữa'!$N$4:$N$203,MATCH(D168,'Mẻ sữa'!$C$4:$C$203,0)),0)</f>
        <v>0</v>
      </c>
      <c r="L168" s="46">
        <f t="array" ref="L168">IFERROR(INDEX('Sản phẩm'!$I$4:$I$103,MATCH(B168,'Sản phẩm'!$D$4:$D$103,0)),0)</f>
        <v>0</v>
      </c>
      <c r="M168" s="72" t="str">
        <f t="array" ref="M168">IFERROR(INDEX('Sản phẩm'!$J$4:$J$103,MATCH(B168,'Sản phẩm'!$D$4:$D$103,0)),0)</f>
        <v/>
      </c>
      <c r="N168" s="46">
        <f>IF(B168="",0,(K168+L168+M168)*'Thiết lập'!$B$8)</f>
        <v>0</v>
      </c>
      <c r="O168" s="46">
        <f t="shared" si="2"/>
        <v>0</v>
      </c>
      <c r="P168" s="46">
        <f t="shared" si="3"/>
        <v>0</v>
      </c>
      <c r="Q168" s="46">
        <f t="shared" si="4"/>
        <v>0</v>
      </c>
      <c r="R168" s="71" t="str">
        <f t="array" ref="R168">IF(B168="","",INDEX('Bán nhanh'!$C$4:$C$103,INT((ROW()-4)/10)+1))</f>
        <v/>
      </c>
      <c r="S168" s="71" t="str">
        <f t="array" ref="S168">IF(B168="","",INDEX('Bán nhanh'!$P$4:$P$103,INT((ROW()-4)/10)+1))</f>
        <v/>
      </c>
      <c r="T168" s="58"/>
      <c r="U168" s="68" t="str">
        <f>IF('Mẻ sữa'!F169&lt;&gt;"",'Mẻ sữa'!F169,"")</f>
        <v/>
      </c>
      <c r="V168" s="68"/>
      <c r="W168" s="87"/>
      <c r="X168" s="36"/>
      <c r="Y168" s="36"/>
      <c r="Z168" s="36"/>
    </row>
    <row r="169" ht="15.75" customHeight="1">
      <c r="A169" s="70" t="str">
        <f t="array" ref="A169">IF(B169="","",INDEX('Bán nhanh'!$A$4:$A$103,INT((ROW()-4)/10)+1))</f>
        <v/>
      </c>
      <c r="B169" s="71" t="str">
        <f t="array" ref="B169">IF(OR(INDEX('Bán nhanh'!$D$3:$M$3,1,MOD(ROW()-4,10)+1)="",INDEX('Bán nhanh'!$D$4:$M$103,INT((ROW()-4)/10)+1,MOD(ROW()-4,10)+1)&lt;=0),"",INDEX('Bán nhanh'!$D$3:$M$3,1,MOD(ROW()-4,10)+1))</f>
        <v/>
      </c>
      <c r="C169" s="58" t="str">
        <f t="array" ref="C169">IFERROR(INDEX('Sản phẩm'!$A$4:$A$103,MATCH(B169,'Sản phẩm'!$D$4:$D$103,0)),"")</f>
        <v/>
      </c>
      <c r="D169" s="71" t="str">
        <f t="array" ref="D169">IF(B169="","",INDEX('Bán nhanh'!$B$4:$B$103,INT((ROW()-4)/10)+1))</f>
        <v/>
      </c>
      <c r="E169" s="58" t="str">
        <f t="array" ref="E169">IFERROR(INDEX('Mẻ sữa'!$B$4:$B$203,MATCH(D169,'Mẻ sữa'!$C$4:$C$203,0)),"")</f>
        <v/>
      </c>
      <c r="F169" s="66">
        <f t="array" ref="F169">IF(B169="",0,INDEX('Bán nhanh'!$D$4:$M$103,INT((ROW()-4)/10)+1,MOD(ROW()-4,10)+1))</f>
        <v>0</v>
      </c>
      <c r="G169" s="46">
        <f t="array" ref="G169">IFERROR(INDEX('Sản phẩm'!$F$4:$F$103,MATCH(B169,'Sản phẩm'!$D$4:$D$103,0)),0)</f>
        <v>0</v>
      </c>
      <c r="H169" s="67">
        <f t="shared" si="5"/>
        <v>0</v>
      </c>
      <c r="I169" s="46">
        <f t="shared" si="1"/>
        <v>0</v>
      </c>
      <c r="J169" s="46">
        <f t="array" ref="J169">IFERROR(INDEX('Sản phẩm'!$G$4:$G$103,MATCH(B169,'Sản phẩm'!$D$4:$D$103,0)),0)</f>
        <v>0</v>
      </c>
      <c r="K169" s="46">
        <f t="array" ref="K169">IFERROR(J169*INDEX('Mẻ sữa'!$N$4:$N$203,MATCH(D169,'Mẻ sữa'!$C$4:$C$203,0)),0)</f>
        <v>0</v>
      </c>
      <c r="L169" s="46">
        <f t="array" ref="L169">IFERROR(INDEX('Sản phẩm'!$I$4:$I$103,MATCH(B169,'Sản phẩm'!$D$4:$D$103,0)),0)</f>
        <v>0</v>
      </c>
      <c r="M169" s="72" t="str">
        <f t="array" ref="M169">IFERROR(INDEX('Sản phẩm'!$J$4:$J$103,MATCH(B169,'Sản phẩm'!$D$4:$D$103,0)),0)</f>
        <v/>
      </c>
      <c r="N169" s="46">
        <f>IF(B169="",0,(K169+L169+M169)*'Thiết lập'!$B$8)</f>
        <v>0</v>
      </c>
      <c r="O169" s="46">
        <f t="shared" si="2"/>
        <v>0</v>
      </c>
      <c r="P169" s="46">
        <f t="shared" si="3"/>
        <v>0</v>
      </c>
      <c r="Q169" s="46">
        <f t="shared" si="4"/>
        <v>0</v>
      </c>
      <c r="R169" s="71" t="str">
        <f t="array" ref="R169">IF(B169="","",INDEX('Bán nhanh'!$C$4:$C$103,INT((ROW()-4)/10)+1))</f>
        <v/>
      </c>
      <c r="S169" s="71" t="str">
        <f t="array" ref="S169">IF(B169="","",INDEX('Bán nhanh'!$P$4:$P$103,INT((ROW()-4)/10)+1))</f>
        <v/>
      </c>
      <c r="T169" s="58"/>
      <c r="U169" s="68" t="str">
        <f>IF('Mẻ sữa'!F170&lt;&gt;"",'Mẻ sữa'!F170,"")</f>
        <v/>
      </c>
      <c r="V169" s="68"/>
      <c r="W169" s="87"/>
      <c r="X169" s="36"/>
      <c r="Y169" s="36"/>
      <c r="Z169" s="36"/>
    </row>
    <row r="170" ht="15.75" customHeight="1">
      <c r="A170" s="70" t="str">
        <f t="array" ref="A170">IF(B170="","",INDEX('Bán nhanh'!$A$4:$A$103,INT((ROW()-4)/10)+1))</f>
        <v/>
      </c>
      <c r="B170" s="71" t="str">
        <f t="array" ref="B170">IF(OR(INDEX('Bán nhanh'!$D$3:$M$3,1,MOD(ROW()-4,10)+1)="",INDEX('Bán nhanh'!$D$4:$M$103,INT((ROW()-4)/10)+1,MOD(ROW()-4,10)+1)&lt;=0),"",INDEX('Bán nhanh'!$D$3:$M$3,1,MOD(ROW()-4,10)+1))</f>
        <v/>
      </c>
      <c r="C170" s="58" t="str">
        <f t="array" ref="C170">IFERROR(INDEX('Sản phẩm'!$A$4:$A$103,MATCH(B170,'Sản phẩm'!$D$4:$D$103,0)),"")</f>
        <v/>
      </c>
      <c r="D170" s="71" t="str">
        <f t="array" ref="D170">IF(B170="","",INDEX('Bán nhanh'!$B$4:$B$103,INT((ROW()-4)/10)+1))</f>
        <v/>
      </c>
      <c r="E170" s="58" t="str">
        <f t="array" ref="E170">IFERROR(INDEX('Mẻ sữa'!$B$4:$B$203,MATCH(D170,'Mẻ sữa'!$C$4:$C$203,0)),"")</f>
        <v/>
      </c>
      <c r="F170" s="66">
        <f t="array" ref="F170">IF(B170="",0,INDEX('Bán nhanh'!$D$4:$M$103,INT((ROW()-4)/10)+1,MOD(ROW()-4,10)+1))</f>
        <v>0</v>
      </c>
      <c r="G170" s="46">
        <f t="array" ref="G170">IFERROR(INDEX('Sản phẩm'!$F$4:$F$103,MATCH(B170,'Sản phẩm'!$D$4:$D$103,0)),0)</f>
        <v>0</v>
      </c>
      <c r="H170" s="67">
        <f t="shared" si="5"/>
        <v>0</v>
      </c>
      <c r="I170" s="46">
        <f t="shared" si="1"/>
        <v>0</v>
      </c>
      <c r="J170" s="46">
        <f t="array" ref="J170">IFERROR(INDEX('Sản phẩm'!$G$4:$G$103,MATCH(B170,'Sản phẩm'!$D$4:$D$103,0)),0)</f>
        <v>0</v>
      </c>
      <c r="K170" s="46">
        <f t="array" ref="K170">IFERROR(J170*INDEX('Mẻ sữa'!$N$4:$N$203,MATCH(D170,'Mẻ sữa'!$C$4:$C$203,0)),0)</f>
        <v>0</v>
      </c>
      <c r="L170" s="46">
        <f t="array" ref="L170">IFERROR(INDEX('Sản phẩm'!$I$4:$I$103,MATCH(B170,'Sản phẩm'!$D$4:$D$103,0)),0)</f>
        <v>0</v>
      </c>
      <c r="M170" s="72" t="str">
        <f t="array" ref="M170">IFERROR(INDEX('Sản phẩm'!$J$4:$J$103,MATCH(B170,'Sản phẩm'!$D$4:$D$103,0)),0)</f>
        <v/>
      </c>
      <c r="N170" s="46">
        <f>IF(B170="",0,(K170+L170+M170)*'Thiết lập'!$B$8)</f>
        <v>0</v>
      </c>
      <c r="O170" s="46">
        <f t="shared" si="2"/>
        <v>0</v>
      </c>
      <c r="P170" s="46">
        <f t="shared" si="3"/>
        <v>0</v>
      </c>
      <c r="Q170" s="46">
        <f t="shared" si="4"/>
        <v>0</v>
      </c>
      <c r="R170" s="71" t="str">
        <f t="array" ref="R170">IF(B170="","",INDEX('Bán nhanh'!$C$4:$C$103,INT((ROW()-4)/10)+1))</f>
        <v/>
      </c>
      <c r="S170" s="71" t="str">
        <f t="array" ref="S170">IF(B170="","",INDEX('Bán nhanh'!$P$4:$P$103,INT((ROW()-4)/10)+1))</f>
        <v/>
      </c>
      <c r="T170" s="58"/>
      <c r="U170" s="68" t="str">
        <f>IF('Mẻ sữa'!F171&lt;&gt;"",'Mẻ sữa'!F171,"")</f>
        <v/>
      </c>
      <c r="V170" s="68"/>
      <c r="W170" s="87"/>
      <c r="X170" s="36"/>
      <c r="Y170" s="36"/>
      <c r="Z170" s="36"/>
    </row>
    <row r="171" ht="15.75" customHeight="1">
      <c r="A171" s="70" t="str">
        <f t="array" ref="A171">IF(B171="","",INDEX('Bán nhanh'!$A$4:$A$103,INT((ROW()-4)/10)+1))</f>
        <v/>
      </c>
      <c r="B171" s="71" t="str">
        <f t="array" ref="B171">IF(OR(INDEX('Bán nhanh'!$D$3:$M$3,1,MOD(ROW()-4,10)+1)="",INDEX('Bán nhanh'!$D$4:$M$103,INT((ROW()-4)/10)+1,MOD(ROW()-4,10)+1)&lt;=0),"",INDEX('Bán nhanh'!$D$3:$M$3,1,MOD(ROW()-4,10)+1))</f>
        <v/>
      </c>
      <c r="C171" s="58" t="str">
        <f t="array" ref="C171">IFERROR(INDEX('Sản phẩm'!$A$4:$A$103,MATCH(B171,'Sản phẩm'!$D$4:$D$103,0)),"")</f>
        <v/>
      </c>
      <c r="D171" s="71" t="str">
        <f t="array" ref="D171">IF(B171="","",INDEX('Bán nhanh'!$B$4:$B$103,INT((ROW()-4)/10)+1))</f>
        <v/>
      </c>
      <c r="E171" s="58" t="str">
        <f t="array" ref="E171">IFERROR(INDEX('Mẻ sữa'!$B$4:$B$203,MATCH(D171,'Mẻ sữa'!$C$4:$C$203,0)),"")</f>
        <v/>
      </c>
      <c r="F171" s="66">
        <f t="array" ref="F171">IF(B171="",0,INDEX('Bán nhanh'!$D$4:$M$103,INT((ROW()-4)/10)+1,MOD(ROW()-4,10)+1))</f>
        <v>0</v>
      </c>
      <c r="G171" s="46">
        <f t="array" ref="G171">IFERROR(INDEX('Sản phẩm'!$F$4:$F$103,MATCH(B171,'Sản phẩm'!$D$4:$D$103,0)),0)</f>
        <v>0</v>
      </c>
      <c r="H171" s="67">
        <f t="shared" si="5"/>
        <v>0</v>
      </c>
      <c r="I171" s="46">
        <f t="shared" si="1"/>
        <v>0</v>
      </c>
      <c r="J171" s="46">
        <f t="array" ref="J171">IFERROR(INDEX('Sản phẩm'!$G$4:$G$103,MATCH(B171,'Sản phẩm'!$D$4:$D$103,0)),0)</f>
        <v>0</v>
      </c>
      <c r="K171" s="46">
        <f t="array" ref="K171">IFERROR(J171*INDEX('Mẻ sữa'!$N$4:$N$203,MATCH(D171,'Mẻ sữa'!$C$4:$C$203,0)),0)</f>
        <v>0</v>
      </c>
      <c r="L171" s="46">
        <f t="array" ref="L171">IFERROR(INDEX('Sản phẩm'!$I$4:$I$103,MATCH(B171,'Sản phẩm'!$D$4:$D$103,0)),0)</f>
        <v>0</v>
      </c>
      <c r="M171" s="72" t="str">
        <f t="array" ref="M171">IFERROR(INDEX('Sản phẩm'!$J$4:$J$103,MATCH(B171,'Sản phẩm'!$D$4:$D$103,0)),0)</f>
        <v/>
      </c>
      <c r="N171" s="46">
        <f>IF(B171="",0,(K171+L171+M171)*'Thiết lập'!$B$8)</f>
        <v>0</v>
      </c>
      <c r="O171" s="46">
        <f t="shared" si="2"/>
        <v>0</v>
      </c>
      <c r="P171" s="46">
        <f t="shared" si="3"/>
        <v>0</v>
      </c>
      <c r="Q171" s="46">
        <f t="shared" si="4"/>
        <v>0</v>
      </c>
      <c r="R171" s="71" t="str">
        <f t="array" ref="R171">IF(B171="","",INDEX('Bán nhanh'!$C$4:$C$103,INT((ROW()-4)/10)+1))</f>
        <v/>
      </c>
      <c r="S171" s="71" t="str">
        <f t="array" ref="S171">IF(B171="","",INDEX('Bán nhanh'!$P$4:$P$103,INT((ROW()-4)/10)+1))</f>
        <v/>
      </c>
      <c r="T171" s="58"/>
      <c r="U171" s="68" t="str">
        <f>IF('Mẻ sữa'!F172&lt;&gt;"",'Mẻ sữa'!F172,"")</f>
        <v/>
      </c>
      <c r="V171" s="68"/>
      <c r="W171" s="87"/>
      <c r="X171" s="36"/>
      <c r="Y171" s="36"/>
      <c r="Z171" s="36"/>
    </row>
    <row r="172" ht="15.75" customHeight="1">
      <c r="A172" s="70" t="str">
        <f t="array" ref="A172">IF(B172="","",INDEX('Bán nhanh'!$A$4:$A$103,INT((ROW()-4)/10)+1))</f>
        <v/>
      </c>
      <c r="B172" s="71" t="str">
        <f t="array" ref="B172">IF(OR(INDEX('Bán nhanh'!$D$3:$M$3,1,MOD(ROW()-4,10)+1)="",INDEX('Bán nhanh'!$D$4:$M$103,INT((ROW()-4)/10)+1,MOD(ROW()-4,10)+1)&lt;=0),"",INDEX('Bán nhanh'!$D$3:$M$3,1,MOD(ROW()-4,10)+1))</f>
        <v/>
      </c>
      <c r="C172" s="58" t="str">
        <f t="array" ref="C172">IFERROR(INDEX('Sản phẩm'!$A$4:$A$103,MATCH(B172,'Sản phẩm'!$D$4:$D$103,0)),"")</f>
        <v/>
      </c>
      <c r="D172" s="71" t="str">
        <f t="array" ref="D172">IF(B172="","",INDEX('Bán nhanh'!$B$4:$B$103,INT((ROW()-4)/10)+1))</f>
        <v/>
      </c>
      <c r="E172" s="58" t="str">
        <f t="array" ref="E172">IFERROR(INDEX('Mẻ sữa'!$B$4:$B$203,MATCH(D172,'Mẻ sữa'!$C$4:$C$203,0)),"")</f>
        <v/>
      </c>
      <c r="F172" s="66">
        <f t="array" ref="F172">IF(B172="",0,INDEX('Bán nhanh'!$D$4:$M$103,INT((ROW()-4)/10)+1,MOD(ROW()-4,10)+1))</f>
        <v>0</v>
      </c>
      <c r="G172" s="46">
        <f t="array" ref="G172">IFERROR(INDEX('Sản phẩm'!$F$4:$F$103,MATCH(B172,'Sản phẩm'!$D$4:$D$103,0)),0)</f>
        <v>0</v>
      </c>
      <c r="H172" s="67">
        <f t="shared" si="5"/>
        <v>0</v>
      </c>
      <c r="I172" s="46">
        <f t="shared" si="1"/>
        <v>0</v>
      </c>
      <c r="J172" s="46">
        <f t="array" ref="J172">IFERROR(INDEX('Sản phẩm'!$G$4:$G$103,MATCH(B172,'Sản phẩm'!$D$4:$D$103,0)),0)</f>
        <v>0</v>
      </c>
      <c r="K172" s="46">
        <f t="array" ref="K172">IFERROR(J172*INDEX('Mẻ sữa'!$N$4:$N$203,MATCH(D172,'Mẻ sữa'!$C$4:$C$203,0)),0)</f>
        <v>0</v>
      </c>
      <c r="L172" s="46">
        <f t="array" ref="L172">IFERROR(INDEX('Sản phẩm'!$I$4:$I$103,MATCH(B172,'Sản phẩm'!$D$4:$D$103,0)),0)</f>
        <v>0</v>
      </c>
      <c r="M172" s="72" t="str">
        <f t="array" ref="M172">IFERROR(INDEX('Sản phẩm'!$J$4:$J$103,MATCH(B172,'Sản phẩm'!$D$4:$D$103,0)),0)</f>
        <v/>
      </c>
      <c r="N172" s="46">
        <f>IF(B172="",0,(K172+L172+M172)*'Thiết lập'!$B$8)</f>
        <v>0</v>
      </c>
      <c r="O172" s="46">
        <f t="shared" si="2"/>
        <v>0</v>
      </c>
      <c r="P172" s="46">
        <f t="shared" si="3"/>
        <v>0</v>
      </c>
      <c r="Q172" s="46">
        <f t="shared" si="4"/>
        <v>0</v>
      </c>
      <c r="R172" s="71" t="str">
        <f t="array" ref="R172">IF(B172="","",INDEX('Bán nhanh'!$C$4:$C$103,INT((ROW()-4)/10)+1))</f>
        <v/>
      </c>
      <c r="S172" s="71" t="str">
        <f t="array" ref="S172">IF(B172="","",INDEX('Bán nhanh'!$P$4:$P$103,INT((ROW()-4)/10)+1))</f>
        <v/>
      </c>
      <c r="T172" s="58"/>
      <c r="U172" s="68" t="str">
        <f>IF('Mẻ sữa'!F173&lt;&gt;"",'Mẻ sữa'!F173,"")</f>
        <v/>
      </c>
      <c r="V172" s="68"/>
      <c r="W172" s="87"/>
      <c r="X172" s="36"/>
      <c r="Y172" s="36"/>
      <c r="Z172" s="36"/>
    </row>
    <row r="173" ht="15.75" customHeight="1">
      <c r="A173" s="70" t="str">
        <f t="array" ref="A173">IF(B173="","",INDEX('Bán nhanh'!$A$4:$A$103,INT((ROW()-4)/10)+1))</f>
        <v/>
      </c>
      <c r="B173" s="71" t="str">
        <f t="array" ref="B173">IF(OR(INDEX('Bán nhanh'!$D$3:$M$3,1,MOD(ROW()-4,10)+1)="",INDEX('Bán nhanh'!$D$4:$M$103,INT((ROW()-4)/10)+1,MOD(ROW()-4,10)+1)&lt;=0),"",INDEX('Bán nhanh'!$D$3:$M$3,1,MOD(ROW()-4,10)+1))</f>
        <v/>
      </c>
      <c r="C173" s="58" t="str">
        <f t="array" ref="C173">IFERROR(INDEX('Sản phẩm'!$A$4:$A$103,MATCH(B173,'Sản phẩm'!$D$4:$D$103,0)),"")</f>
        <v/>
      </c>
      <c r="D173" s="71" t="str">
        <f t="array" ref="D173">IF(B173="","",INDEX('Bán nhanh'!$B$4:$B$103,INT((ROW()-4)/10)+1))</f>
        <v/>
      </c>
      <c r="E173" s="58" t="str">
        <f t="array" ref="E173">IFERROR(INDEX('Mẻ sữa'!$B$4:$B$203,MATCH(D173,'Mẻ sữa'!$C$4:$C$203,0)),"")</f>
        <v/>
      </c>
      <c r="F173" s="66">
        <f t="array" ref="F173">IF(B173="",0,INDEX('Bán nhanh'!$D$4:$M$103,INT((ROW()-4)/10)+1,MOD(ROW()-4,10)+1))</f>
        <v>0</v>
      </c>
      <c r="G173" s="46">
        <f t="array" ref="G173">IFERROR(INDEX('Sản phẩm'!$F$4:$F$103,MATCH(B173,'Sản phẩm'!$D$4:$D$103,0)),0)</f>
        <v>0</v>
      </c>
      <c r="H173" s="67">
        <f t="shared" si="5"/>
        <v>0</v>
      </c>
      <c r="I173" s="46">
        <f t="shared" si="1"/>
        <v>0</v>
      </c>
      <c r="J173" s="46">
        <f t="array" ref="J173">IFERROR(INDEX('Sản phẩm'!$G$4:$G$103,MATCH(B173,'Sản phẩm'!$D$4:$D$103,0)),0)</f>
        <v>0</v>
      </c>
      <c r="K173" s="46">
        <f t="array" ref="K173">IFERROR(J173*INDEX('Mẻ sữa'!$N$4:$N$203,MATCH(D173,'Mẻ sữa'!$C$4:$C$203,0)),0)</f>
        <v>0</v>
      </c>
      <c r="L173" s="46">
        <f t="array" ref="L173">IFERROR(INDEX('Sản phẩm'!$I$4:$I$103,MATCH(B173,'Sản phẩm'!$D$4:$D$103,0)),0)</f>
        <v>0</v>
      </c>
      <c r="M173" s="72" t="str">
        <f t="array" ref="M173">IFERROR(INDEX('Sản phẩm'!$J$4:$J$103,MATCH(B173,'Sản phẩm'!$D$4:$D$103,0)),0)</f>
        <v/>
      </c>
      <c r="N173" s="46">
        <f>IF(B173="",0,(K173+L173+M173)*'Thiết lập'!$B$8)</f>
        <v>0</v>
      </c>
      <c r="O173" s="46">
        <f t="shared" si="2"/>
        <v>0</v>
      </c>
      <c r="P173" s="46">
        <f t="shared" si="3"/>
        <v>0</v>
      </c>
      <c r="Q173" s="46">
        <f t="shared" si="4"/>
        <v>0</v>
      </c>
      <c r="R173" s="71" t="str">
        <f t="array" ref="R173">IF(B173="","",INDEX('Bán nhanh'!$C$4:$C$103,INT((ROW()-4)/10)+1))</f>
        <v/>
      </c>
      <c r="S173" s="71" t="str">
        <f t="array" ref="S173">IF(B173="","",INDEX('Bán nhanh'!$P$4:$P$103,INT((ROW()-4)/10)+1))</f>
        <v/>
      </c>
      <c r="T173" s="58"/>
      <c r="U173" s="68" t="str">
        <f>IF('Mẻ sữa'!F174&lt;&gt;"",'Mẻ sữa'!F174,"")</f>
        <v/>
      </c>
      <c r="V173" s="68"/>
      <c r="W173" s="87"/>
      <c r="X173" s="36"/>
      <c r="Y173" s="36"/>
      <c r="Z173" s="36"/>
    </row>
    <row r="174" ht="15.75" customHeight="1">
      <c r="A174" s="70" t="str">
        <f t="array" ref="A174">IF(B174="","",INDEX('Bán nhanh'!$A$4:$A$103,INT((ROW()-4)/10)+1))</f>
        <v/>
      </c>
      <c r="B174" s="71" t="str">
        <f t="array" ref="B174">IF(OR(INDEX('Bán nhanh'!$D$3:$M$3,1,MOD(ROW()-4,10)+1)="",INDEX('Bán nhanh'!$D$4:$M$103,INT((ROW()-4)/10)+1,MOD(ROW()-4,10)+1)&lt;=0),"",INDEX('Bán nhanh'!$D$3:$M$3,1,MOD(ROW()-4,10)+1))</f>
        <v/>
      </c>
      <c r="C174" s="58" t="str">
        <f t="array" ref="C174">IFERROR(INDEX('Sản phẩm'!$A$4:$A$103,MATCH(B174,'Sản phẩm'!$D$4:$D$103,0)),"")</f>
        <v/>
      </c>
      <c r="D174" s="71" t="str">
        <f t="array" ref="D174">IF(B174="","",INDEX('Bán nhanh'!$B$4:$B$103,INT((ROW()-4)/10)+1))</f>
        <v/>
      </c>
      <c r="E174" s="58" t="str">
        <f t="array" ref="E174">IFERROR(INDEX('Mẻ sữa'!$B$4:$B$203,MATCH(D174,'Mẻ sữa'!$C$4:$C$203,0)),"")</f>
        <v/>
      </c>
      <c r="F174" s="66">
        <f t="array" ref="F174">IF(B174="",0,INDEX('Bán nhanh'!$D$4:$M$103,INT((ROW()-4)/10)+1,MOD(ROW()-4,10)+1))</f>
        <v>0</v>
      </c>
      <c r="G174" s="46">
        <f t="array" ref="G174">IFERROR(INDEX('Sản phẩm'!$F$4:$F$103,MATCH(B174,'Sản phẩm'!$D$4:$D$103,0)),0)</f>
        <v>0</v>
      </c>
      <c r="H174" s="67">
        <f t="shared" si="5"/>
        <v>0</v>
      </c>
      <c r="I174" s="46">
        <f t="shared" si="1"/>
        <v>0</v>
      </c>
      <c r="J174" s="46">
        <f t="array" ref="J174">IFERROR(INDEX('Sản phẩm'!$G$4:$G$103,MATCH(B174,'Sản phẩm'!$D$4:$D$103,0)),0)</f>
        <v>0</v>
      </c>
      <c r="K174" s="46">
        <f t="array" ref="K174">IFERROR(J174*INDEX('Mẻ sữa'!$N$4:$N$203,MATCH(D174,'Mẻ sữa'!$C$4:$C$203,0)),0)</f>
        <v>0</v>
      </c>
      <c r="L174" s="46">
        <f t="array" ref="L174">IFERROR(INDEX('Sản phẩm'!$I$4:$I$103,MATCH(B174,'Sản phẩm'!$D$4:$D$103,0)),0)</f>
        <v>0</v>
      </c>
      <c r="M174" s="72" t="str">
        <f t="array" ref="M174">IFERROR(INDEX('Sản phẩm'!$J$4:$J$103,MATCH(B174,'Sản phẩm'!$D$4:$D$103,0)),0)</f>
        <v/>
      </c>
      <c r="N174" s="46">
        <f>IF(B174="",0,(K174+L174+M174)*'Thiết lập'!$B$8)</f>
        <v>0</v>
      </c>
      <c r="O174" s="46">
        <f t="shared" si="2"/>
        <v>0</v>
      </c>
      <c r="P174" s="46">
        <f t="shared" si="3"/>
        <v>0</v>
      </c>
      <c r="Q174" s="46">
        <f t="shared" si="4"/>
        <v>0</v>
      </c>
      <c r="R174" s="71" t="str">
        <f t="array" ref="R174">IF(B174="","",INDEX('Bán nhanh'!$C$4:$C$103,INT((ROW()-4)/10)+1))</f>
        <v/>
      </c>
      <c r="S174" s="71" t="str">
        <f t="array" ref="S174">IF(B174="","",INDEX('Bán nhanh'!$P$4:$P$103,INT((ROW()-4)/10)+1))</f>
        <v/>
      </c>
      <c r="T174" s="58"/>
      <c r="U174" s="68" t="str">
        <f>IF('Mẻ sữa'!F175&lt;&gt;"",'Mẻ sữa'!F175,"")</f>
        <v/>
      </c>
      <c r="V174" s="68"/>
      <c r="W174" s="87"/>
      <c r="X174" s="36"/>
      <c r="Y174" s="36"/>
      <c r="Z174" s="36"/>
    </row>
    <row r="175" ht="15.75" customHeight="1">
      <c r="A175" s="70" t="str">
        <f t="array" ref="A175">IF(B175="","",INDEX('Bán nhanh'!$A$4:$A$103,INT((ROW()-4)/10)+1))</f>
        <v/>
      </c>
      <c r="B175" s="71" t="str">
        <f t="array" ref="B175">IF(OR(INDEX('Bán nhanh'!$D$3:$M$3,1,MOD(ROW()-4,10)+1)="",INDEX('Bán nhanh'!$D$4:$M$103,INT((ROW()-4)/10)+1,MOD(ROW()-4,10)+1)&lt;=0),"",INDEX('Bán nhanh'!$D$3:$M$3,1,MOD(ROW()-4,10)+1))</f>
        <v/>
      </c>
      <c r="C175" s="58" t="str">
        <f t="array" ref="C175">IFERROR(INDEX('Sản phẩm'!$A$4:$A$103,MATCH(B175,'Sản phẩm'!$D$4:$D$103,0)),"")</f>
        <v/>
      </c>
      <c r="D175" s="71" t="str">
        <f t="array" ref="D175">IF(B175="","",INDEX('Bán nhanh'!$B$4:$B$103,INT((ROW()-4)/10)+1))</f>
        <v/>
      </c>
      <c r="E175" s="58" t="str">
        <f t="array" ref="E175">IFERROR(INDEX('Mẻ sữa'!$B$4:$B$203,MATCH(D175,'Mẻ sữa'!$C$4:$C$203,0)),"")</f>
        <v/>
      </c>
      <c r="F175" s="66">
        <f t="array" ref="F175">IF(B175="",0,INDEX('Bán nhanh'!$D$4:$M$103,INT((ROW()-4)/10)+1,MOD(ROW()-4,10)+1))</f>
        <v>0</v>
      </c>
      <c r="G175" s="46">
        <f t="array" ref="G175">IFERROR(INDEX('Sản phẩm'!$F$4:$F$103,MATCH(B175,'Sản phẩm'!$D$4:$D$103,0)),0)</f>
        <v>0</v>
      </c>
      <c r="H175" s="67">
        <f t="shared" si="5"/>
        <v>0</v>
      </c>
      <c r="I175" s="46">
        <f t="shared" si="1"/>
        <v>0</v>
      </c>
      <c r="J175" s="46">
        <f t="array" ref="J175">IFERROR(INDEX('Sản phẩm'!$G$4:$G$103,MATCH(B175,'Sản phẩm'!$D$4:$D$103,0)),0)</f>
        <v>0</v>
      </c>
      <c r="K175" s="46">
        <f t="array" ref="K175">IFERROR(J175*INDEX('Mẻ sữa'!$N$4:$N$203,MATCH(D175,'Mẻ sữa'!$C$4:$C$203,0)),0)</f>
        <v>0</v>
      </c>
      <c r="L175" s="46">
        <f t="array" ref="L175">IFERROR(INDEX('Sản phẩm'!$I$4:$I$103,MATCH(B175,'Sản phẩm'!$D$4:$D$103,0)),0)</f>
        <v>0</v>
      </c>
      <c r="M175" s="72" t="str">
        <f t="array" ref="M175">IFERROR(INDEX('Sản phẩm'!$J$4:$J$103,MATCH(B175,'Sản phẩm'!$D$4:$D$103,0)),0)</f>
        <v/>
      </c>
      <c r="N175" s="46">
        <f>IF(B175="",0,(K175+L175+M175)*'Thiết lập'!$B$8)</f>
        <v>0</v>
      </c>
      <c r="O175" s="46">
        <f t="shared" si="2"/>
        <v>0</v>
      </c>
      <c r="P175" s="46">
        <f t="shared" si="3"/>
        <v>0</v>
      </c>
      <c r="Q175" s="46">
        <f t="shared" si="4"/>
        <v>0</v>
      </c>
      <c r="R175" s="71" t="str">
        <f t="array" ref="R175">IF(B175="","",INDEX('Bán nhanh'!$C$4:$C$103,INT((ROW()-4)/10)+1))</f>
        <v/>
      </c>
      <c r="S175" s="71" t="str">
        <f t="array" ref="S175">IF(B175="","",INDEX('Bán nhanh'!$P$4:$P$103,INT((ROW()-4)/10)+1))</f>
        <v/>
      </c>
      <c r="T175" s="58"/>
      <c r="U175" s="68" t="str">
        <f>IF('Mẻ sữa'!F176&lt;&gt;"",'Mẻ sữa'!F176,"")</f>
        <v/>
      </c>
      <c r="V175" s="68"/>
      <c r="W175" s="87"/>
      <c r="X175" s="36"/>
      <c r="Y175" s="36"/>
      <c r="Z175" s="36"/>
    </row>
    <row r="176" ht="15.75" customHeight="1">
      <c r="A176" s="70" t="str">
        <f t="array" ref="A176">IF(B176="","",INDEX('Bán nhanh'!$A$4:$A$103,INT((ROW()-4)/10)+1))</f>
        <v/>
      </c>
      <c r="B176" s="71" t="str">
        <f t="array" ref="B176">IF(OR(INDEX('Bán nhanh'!$D$3:$M$3,1,MOD(ROW()-4,10)+1)="",INDEX('Bán nhanh'!$D$4:$M$103,INT((ROW()-4)/10)+1,MOD(ROW()-4,10)+1)&lt;=0),"",INDEX('Bán nhanh'!$D$3:$M$3,1,MOD(ROW()-4,10)+1))</f>
        <v/>
      </c>
      <c r="C176" s="58" t="str">
        <f t="array" ref="C176">IFERROR(INDEX('Sản phẩm'!$A$4:$A$103,MATCH(B176,'Sản phẩm'!$D$4:$D$103,0)),"")</f>
        <v/>
      </c>
      <c r="D176" s="71" t="str">
        <f t="array" ref="D176">IF(B176="","",INDEX('Bán nhanh'!$B$4:$B$103,INT((ROW()-4)/10)+1))</f>
        <v/>
      </c>
      <c r="E176" s="58" t="str">
        <f t="array" ref="E176">IFERROR(INDEX('Mẻ sữa'!$B$4:$B$203,MATCH(D176,'Mẻ sữa'!$C$4:$C$203,0)),"")</f>
        <v/>
      </c>
      <c r="F176" s="66">
        <f t="array" ref="F176">IF(B176="",0,INDEX('Bán nhanh'!$D$4:$M$103,INT((ROW()-4)/10)+1,MOD(ROW()-4,10)+1))</f>
        <v>0</v>
      </c>
      <c r="G176" s="46">
        <f t="array" ref="G176">IFERROR(INDEX('Sản phẩm'!$F$4:$F$103,MATCH(B176,'Sản phẩm'!$D$4:$D$103,0)),0)</f>
        <v>0</v>
      </c>
      <c r="H176" s="67">
        <f t="shared" si="5"/>
        <v>0</v>
      </c>
      <c r="I176" s="46">
        <f t="shared" si="1"/>
        <v>0</v>
      </c>
      <c r="J176" s="46">
        <f t="array" ref="J176">IFERROR(INDEX('Sản phẩm'!$G$4:$G$103,MATCH(B176,'Sản phẩm'!$D$4:$D$103,0)),0)</f>
        <v>0</v>
      </c>
      <c r="K176" s="46">
        <f t="array" ref="K176">IFERROR(J176*INDEX('Mẻ sữa'!$N$4:$N$203,MATCH(D176,'Mẻ sữa'!$C$4:$C$203,0)),0)</f>
        <v>0</v>
      </c>
      <c r="L176" s="46">
        <f t="array" ref="L176">IFERROR(INDEX('Sản phẩm'!$I$4:$I$103,MATCH(B176,'Sản phẩm'!$D$4:$D$103,0)),0)</f>
        <v>0</v>
      </c>
      <c r="M176" s="72" t="str">
        <f t="array" ref="M176">IFERROR(INDEX('Sản phẩm'!$J$4:$J$103,MATCH(B176,'Sản phẩm'!$D$4:$D$103,0)),0)</f>
        <v/>
      </c>
      <c r="N176" s="46">
        <f>IF(B176="",0,(K176+L176+M176)*'Thiết lập'!$B$8)</f>
        <v>0</v>
      </c>
      <c r="O176" s="46">
        <f t="shared" si="2"/>
        <v>0</v>
      </c>
      <c r="P176" s="46">
        <f t="shared" si="3"/>
        <v>0</v>
      </c>
      <c r="Q176" s="46">
        <f t="shared" si="4"/>
        <v>0</v>
      </c>
      <c r="R176" s="71" t="str">
        <f t="array" ref="R176">IF(B176="","",INDEX('Bán nhanh'!$C$4:$C$103,INT((ROW()-4)/10)+1))</f>
        <v/>
      </c>
      <c r="S176" s="71" t="str">
        <f t="array" ref="S176">IF(B176="","",INDEX('Bán nhanh'!$P$4:$P$103,INT((ROW()-4)/10)+1))</f>
        <v/>
      </c>
      <c r="T176" s="58"/>
      <c r="U176" s="68" t="str">
        <f>IF('Mẻ sữa'!F177&lt;&gt;"",'Mẻ sữa'!F177,"")</f>
        <v/>
      </c>
      <c r="V176" s="68"/>
      <c r="W176" s="87"/>
      <c r="X176" s="36"/>
      <c r="Y176" s="36"/>
      <c r="Z176" s="36"/>
    </row>
    <row r="177" ht="15.75" customHeight="1">
      <c r="A177" s="70" t="str">
        <f t="array" ref="A177">IF(B177="","",INDEX('Bán nhanh'!$A$4:$A$103,INT((ROW()-4)/10)+1))</f>
        <v/>
      </c>
      <c r="B177" s="71" t="str">
        <f t="array" ref="B177">IF(OR(INDEX('Bán nhanh'!$D$3:$M$3,1,MOD(ROW()-4,10)+1)="",INDEX('Bán nhanh'!$D$4:$M$103,INT((ROW()-4)/10)+1,MOD(ROW()-4,10)+1)&lt;=0),"",INDEX('Bán nhanh'!$D$3:$M$3,1,MOD(ROW()-4,10)+1))</f>
        <v/>
      </c>
      <c r="C177" s="58" t="str">
        <f t="array" ref="C177">IFERROR(INDEX('Sản phẩm'!$A$4:$A$103,MATCH(B177,'Sản phẩm'!$D$4:$D$103,0)),"")</f>
        <v/>
      </c>
      <c r="D177" s="71" t="str">
        <f t="array" ref="D177">IF(B177="","",INDEX('Bán nhanh'!$B$4:$B$103,INT((ROW()-4)/10)+1))</f>
        <v/>
      </c>
      <c r="E177" s="58" t="str">
        <f t="array" ref="E177">IFERROR(INDEX('Mẻ sữa'!$B$4:$B$203,MATCH(D177,'Mẻ sữa'!$C$4:$C$203,0)),"")</f>
        <v/>
      </c>
      <c r="F177" s="66">
        <f t="array" ref="F177">IF(B177="",0,INDEX('Bán nhanh'!$D$4:$M$103,INT((ROW()-4)/10)+1,MOD(ROW()-4,10)+1))</f>
        <v>0</v>
      </c>
      <c r="G177" s="46">
        <f t="array" ref="G177">IFERROR(INDEX('Sản phẩm'!$F$4:$F$103,MATCH(B177,'Sản phẩm'!$D$4:$D$103,0)),0)</f>
        <v>0</v>
      </c>
      <c r="H177" s="67">
        <f t="shared" si="5"/>
        <v>0</v>
      </c>
      <c r="I177" s="46">
        <f t="shared" si="1"/>
        <v>0</v>
      </c>
      <c r="J177" s="46">
        <f t="array" ref="J177">IFERROR(INDEX('Sản phẩm'!$G$4:$G$103,MATCH(B177,'Sản phẩm'!$D$4:$D$103,0)),0)</f>
        <v>0</v>
      </c>
      <c r="K177" s="46">
        <f t="array" ref="K177">IFERROR(J177*INDEX('Mẻ sữa'!$N$4:$N$203,MATCH(D177,'Mẻ sữa'!$C$4:$C$203,0)),0)</f>
        <v>0</v>
      </c>
      <c r="L177" s="46">
        <f t="array" ref="L177">IFERROR(INDEX('Sản phẩm'!$I$4:$I$103,MATCH(B177,'Sản phẩm'!$D$4:$D$103,0)),0)</f>
        <v>0</v>
      </c>
      <c r="M177" s="72" t="str">
        <f t="array" ref="M177">IFERROR(INDEX('Sản phẩm'!$J$4:$J$103,MATCH(B177,'Sản phẩm'!$D$4:$D$103,0)),0)</f>
        <v/>
      </c>
      <c r="N177" s="46">
        <f>IF(B177="",0,(K177+L177+M177)*'Thiết lập'!$B$8)</f>
        <v>0</v>
      </c>
      <c r="O177" s="46">
        <f t="shared" si="2"/>
        <v>0</v>
      </c>
      <c r="P177" s="46">
        <f t="shared" si="3"/>
        <v>0</v>
      </c>
      <c r="Q177" s="46">
        <f t="shared" si="4"/>
        <v>0</v>
      </c>
      <c r="R177" s="71" t="str">
        <f t="array" ref="R177">IF(B177="","",INDEX('Bán nhanh'!$C$4:$C$103,INT((ROW()-4)/10)+1))</f>
        <v/>
      </c>
      <c r="S177" s="71" t="str">
        <f t="array" ref="S177">IF(B177="","",INDEX('Bán nhanh'!$P$4:$P$103,INT((ROW()-4)/10)+1))</f>
        <v/>
      </c>
      <c r="T177" s="58"/>
      <c r="U177" s="68" t="str">
        <f>IF('Mẻ sữa'!F178&lt;&gt;"",'Mẻ sữa'!F178,"")</f>
        <v/>
      </c>
      <c r="V177" s="68"/>
      <c r="W177" s="87"/>
      <c r="X177" s="36"/>
      <c r="Y177" s="36"/>
      <c r="Z177" s="36"/>
    </row>
    <row r="178" ht="15.75" customHeight="1">
      <c r="A178" s="70" t="str">
        <f t="array" ref="A178">IF(B178="","",INDEX('Bán nhanh'!$A$4:$A$103,INT((ROW()-4)/10)+1))</f>
        <v/>
      </c>
      <c r="B178" s="71" t="str">
        <f t="array" ref="B178">IF(OR(INDEX('Bán nhanh'!$D$3:$M$3,1,MOD(ROW()-4,10)+1)="",INDEX('Bán nhanh'!$D$4:$M$103,INT((ROW()-4)/10)+1,MOD(ROW()-4,10)+1)&lt;=0),"",INDEX('Bán nhanh'!$D$3:$M$3,1,MOD(ROW()-4,10)+1))</f>
        <v/>
      </c>
      <c r="C178" s="58" t="str">
        <f t="array" ref="C178">IFERROR(INDEX('Sản phẩm'!$A$4:$A$103,MATCH(B178,'Sản phẩm'!$D$4:$D$103,0)),"")</f>
        <v/>
      </c>
      <c r="D178" s="71" t="str">
        <f t="array" ref="D178">IF(B178="","",INDEX('Bán nhanh'!$B$4:$B$103,INT((ROW()-4)/10)+1))</f>
        <v/>
      </c>
      <c r="E178" s="58" t="str">
        <f t="array" ref="E178">IFERROR(INDEX('Mẻ sữa'!$B$4:$B$203,MATCH(D178,'Mẻ sữa'!$C$4:$C$203,0)),"")</f>
        <v/>
      </c>
      <c r="F178" s="66">
        <f t="array" ref="F178">IF(B178="",0,INDEX('Bán nhanh'!$D$4:$M$103,INT((ROW()-4)/10)+1,MOD(ROW()-4,10)+1))</f>
        <v>0</v>
      </c>
      <c r="G178" s="46">
        <f t="array" ref="G178">IFERROR(INDEX('Sản phẩm'!$F$4:$F$103,MATCH(B178,'Sản phẩm'!$D$4:$D$103,0)),0)</f>
        <v>0</v>
      </c>
      <c r="H178" s="67">
        <f t="shared" si="5"/>
        <v>0</v>
      </c>
      <c r="I178" s="46">
        <f t="shared" si="1"/>
        <v>0</v>
      </c>
      <c r="J178" s="46">
        <f t="array" ref="J178">IFERROR(INDEX('Sản phẩm'!$G$4:$G$103,MATCH(B178,'Sản phẩm'!$D$4:$D$103,0)),0)</f>
        <v>0</v>
      </c>
      <c r="K178" s="46">
        <f t="array" ref="K178">IFERROR(J178*INDEX('Mẻ sữa'!$N$4:$N$203,MATCH(D178,'Mẻ sữa'!$C$4:$C$203,0)),0)</f>
        <v>0</v>
      </c>
      <c r="L178" s="46">
        <f t="array" ref="L178">IFERROR(INDEX('Sản phẩm'!$I$4:$I$103,MATCH(B178,'Sản phẩm'!$D$4:$D$103,0)),0)</f>
        <v>0</v>
      </c>
      <c r="M178" s="72" t="str">
        <f t="array" ref="M178">IFERROR(INDEX('Sản phẩm'!$J$4:$J$103,MATCH(B178,'Sản phẩm'!$D$4:$D$103,0)),0)</f>
        <v/>
      </c>
      <c r="N178" s="46">
        <f>IF(B178="",0,(K178+L178+M178)*'Thiết lập'!$B$8)</f>
        <v>0</v>
      </c>
      <c r="O178" s="46">
        <f t="shared" si="2"/>
        <v>0</v>
      </c>
      <c r="P178" s="46">
        <f t="shared" si="3"/>
        <v>0</v>
      </c>
      <c r="Q178" s="46">
        <f t="shared" si="4"/>
        <v>0</v>
      </c>
      <c r="R178" s="71" t="str">
        <f t="array" ref="R178">IF(B178="","",INDEX('Bán nhanh'!$C$4:$C$103,INT((ROW()-4)/10)+1))</f>
        <v/>
      </c>
      <c r="S178" s="71" t="str">
        <f t="array" ref="S178">IF(B178="","",INDEX('Bán nhanh'!$P$4:$P$103,INT((ROW()-4)/10)+1))</f>
        <v/>
      </c>
      <c r="T178" s="58"/>
      <c r="U178" s="68" t="str">
        <f>IF('Mẻ sữa'!F179&lt;&gt;"",'Mẻ sữa'!F179,"")</f>
        <v/>
      </c>
      <c r="V178" s="68"/>
      <c r="W178" s="87"/>
      <c r="X178" s="36"/>
      <c r="Y178" s="36"/>
      <c r="Z178" s="36"/>
    </row>
    <row r="179" ht="15.75" customHeight="1">
      <c r="A179" s="70" t="str">
        <f t="array" ref="A179">IF(B179="","",INDEX('Bán nhanh'!$A$4:$A$103,INT((ROW()-4)/10)+1))</f>
        <v/>
      </c>
      <c r="B179" s="71" t="str">
        <f t="array" ref="B179">IF(OR(INDEX('Bán nhanh'!$D$3:$M$3,1,MOD(ROW()-4,10)+1)="",INDEX('Bán nhanh'!$D$4:$M$103,INT((ROW()-4)/10)+1,MOD(ROW()-4,10)+1)&lt;=0),"",INDEX('Bán nhanh'!$D$3:$M$3,1,MOD(ROW()-4,10)+1))</f>
        <v/>
      </c>
      <c r="C179" s="58" t="str">
        <f t="array" ref="C179">IFERROR(INDEX('Sản phẩm'!$A$4:$A$103,MATCH(B179,'Sản phẩm'!$D$4:$D$103,0)),"")</f>
        <v/>
      </c>
      <c r="D179" s="71" t="str">
        <f t="array" ref="D179">IF(B179="","",INDEX('Bán nhanh'!$B$4:$B$103,INT((ROW()-4)/10)+1))</f>
        <v/>
      </c>
      <c r="E179" s="58" t="str">
        <f t="array" ref="E179">IFERROR(INDEX('Mẻ sữa'!$B$4:$B$203,MATCH(D179,'Mẻ sữa'!$C$4:$C$203,0)),"")</f>
        <v/>
      </c>
      <c r="F179" s="66">
        <f t="array" ref="F179">IF(B179="",0,INDEX('Bán nhanh'!$D$4:$M$103,INT((ROW()-4)/10)+1,MOD(ROW()-4,10)+1))</f>
        <v>0</v>
      </c>
      <c r="G179" s="46">
        <f t="array" ref="G179">IFERROR(INDEX('Sản phẩm'!$F$4:$F$103,MATCH(B179,'Sản phẩm'!$D$4:$D$103,0)),0)</f>
        <v>0</v>
      </c>
      <c r="H179" s="67">
        <f t="shared" si="5"/>
        <v>0</v>
      </c>
      <c r="I179" s="46">
        <f t="shared" si="1"/>
        <v>0</v>
      </c>
      <c r="J179" s="46">
        <f t="array" ref="J179">IFERROR(INDEX('Sản phẩm'!$G$4:$G$103,MATCH(B179,'Sản phẩm'!$D$4:$D$103,0)),0)</f>
        <v>0</v>
      </c>
      <c r="K179" s="46">
        <f t="array" ref="K179">IFERROR(J179*INDEX('Mẻ sữa'!$N$4:$N$203,MATCH(D179,'Mẻ sữa'!$C$4:$C$203,0)),0)</f>
        <v>0</v>
      </c>
      <c r="L179" s="46">
        <f t="array" ref="L179">IFERROR(INDEX('Sản phẩm'!$I$4:$I$103,MATCH(B179,'Sản phẩm'!$D$4:$D$103,0)),0)</f>
        <v>0</v>
      </c>
      <c r="M179" s="72" t="str">
        <f t="array" ref="M179">IFERROR(INDEX('Sản phẩm'!$J$4:$J$103,MATCH(B179,'Sản phẩm'!$D$4:$D$103,0)),0)</f>
        <v/>
      </c>
      <c r="N179" s="46">
        <f>IF(B179="",0,(K179+L179+M179)*'Thiết lập'!$B$8)</f>
        <v>0</v>
      </c>
      <c r="O179" s="46">
        <f t="shared" si="2"/>
        <v>0</v>
      </c>
      <c r="P179" s="46">
        <f t="shared" si="3"/>
        <v>0</v>
      </c>
      <c r="Q179" s="46">
        <f t="shared" si="4"/>
        <v>0</v>
      </c>
      <c r="R179" s="71" t="str">
        <f t="array" ref="R179">IF(B179="","",INDEX('Bán nhanh'!$C$4:$C$103,INT((ROW()-4)/10)+1))</f>
        <v/>
      </c>
      <c r="S179" s="71" t="str">
        <f t="array" ref="S179">IF(B179="","",INDEX('Bán nhanh'!$P$4:$P$103,INT((ROW()-4)/10)+1))</f>
        <v/>
      </c>
      <c r="T179" s="58"/>
      <c r="U179" s="68" t="str">
        <f>IF('Mẻ sữa'!F180&lt;&gt;"",'Mẻ sữa'!F180,"")</f>
        <v/>
      </c>
      <c r="V179" s="68"/>
      <c r="W179" s="87"/>
      <c r="X179" s="36"/>
      <c r="Y179" s="36"/>
      <c r="Z179" s="36"/>
    </row>
    <row r="180" ht="15.75" customHeight="1">
      <c r="A180" s="70" t="str">
        <f t="array" ref="A180">IF(B180="","",INDEX('Bán nhanh'!$A$4:$A$103,INT((ROW()-4)/10)+1))</f>
        <v/>
      </c>
      <c r="B180" s="71" t="str">
        <f t="array" ref="B180">IF(OR(INDEX('Bán nhanh'!$D$3:$M$3,1,MOD(ROW()-4,10)+1)="",INDEX('Bán nhanh'!$D$4:$M$103,INT((ROW()-4)/10)+1,MOD(ROW()-4,10)+1)&lt;=0),"",INDEX('Bán nhanh'!$D$3:$M$3,1,MOD(ROW()-4,10)+1))</f>
        <v/>
      </c>
      <c r="C180" s="58" t="str">
        <f t="array" ref="C180">IFERROR(INDEX('Sản phẩm'!$A$4:$A$103,MATCH(B180,'Sản phẩm'!$D$4:$D$103,0)),"")</f>
        <v/>
      </c>
      <c r="D180" s="71" t="str">
        <f t="array" ref="D180">IF(B180="","",INDEX('Bán nhanh'!$B$4:$B$103,INT((ROW()-4)/10)+1))</f>
        <v/>
      </c>
      <c r="E180" s="58" t="str">
        <f t="array" ref="E180">IFERROR(INDEX('Mẻ sữa'!$B$4:$B$203,MATCH(D180,'Mẻ sữa'!$C$4:$C$203,0)),"")</f>
        <v/>
      </c>
      <c r="F180" s="66">
        <f t="array" ref="F180">IF(B180="",0,INDEX('Bán nhanh'!$D$4:$M$103,INT((ROW()-4)/10)+1,MOD(ROW()-4,10)+1))</f>
        <v>0</v>
      </c>
      <c r="G180" s="46">
        <f t="array" ref="G180">IFERROR(INDEX('Sản phẩm'!$F$4:$F$103,MATCH(B180,'Sản phẩm'!$D$4:$D$103,0)),0)</f>
        <v>0</v>
      </c>
      <c r="H180" s="67">
        <f t="shared" si="5"/>
        <v>0</v>
      </c>
      <c r="I180" s="46">
        <f t="shared" si="1"/>
        <v>0</v>
      </c>
      <c r="J180" s="46">
        <f t="array" ref="J180">IFERROR(INDEX('Sản phẩm'!$G$4:$G$103,MATCH(B180,'Sản phẩm'!$D$4:$D$103,0)),0)</f>
        <v>0</v>
      </c>
      <c r="K180" s="46">
        <f t="array" ref="K180">IFERROR(J180*INDEX('Mẻ sữa'!$N$4:$N$203,MATCH(D180,'Mẻ sữa'!$C$4:$C$203,0)),0)</f>
        <v>0</v>
      </c>
      <c r="L180" s="46">
        <f t="array" ref="L180">IFERROR(INDEX('Sản phẩm'!$I$4:$I$103,MATCH(B180,'Sản phẩm'!$D$4:$D$103,0)),0)</f>
        <v>0</v>
      </c>
      <c r="M180" s="72" t="str">
        <f t="array" ref="M180">IFERROR(INDEX('Sản phẩm'!$J$4:$J$103,MATCH(B180,'Sản phẩm'!$D$4:$D$103,0)),0)</f>
        <v/>
      </c>
      <c r="N180" s="46">
        <f>IF(B180="",0,(K180+L180+M180)*'Thiết lập'!$B$8)</f>
        <v>0</v>
      </c>
      <c r="O180" s="46">
        <f t="shared" si="2"/>
        <v>0</v>
      </c>
      <c r="P180" s="46">
        <f t="shared" si="3"/>
        <v>0</v>
      </c>
      <c r="Q180" s="46">
        <f t="shared" si="4"/>
        <v>0</v>
      </c>
      <c r="R180" s="71" t="str">
        <f t="array" ref="R180">IF(B180="","",INDEX('Bán nhanh'!$C$4:$C$103,INT((ROW()-4)/10)+1))</f>
        <v/>
      </c>
      <c r="S180" s="71" t="str">
        <f t="array" ref="S180">IF(B180="","",INDEX('Bán nhanh'!$P$4:$P$103,INT((ROW()-4)/10)+1))</f>
        <v/>
      </c>
      <c r="T180" s="58"/>
      <c r="U180" s="68" t="str">
        <f>IF('Mẻ sữa'!F181&lt;&gt;"",'Mẻ sữa'!F181,"")</f>
        <v/>
      </c>
      <c r="V180" s="68"/>
      <c r="W180" s="87"/>
      <c r="X180" s="36"/>
      <c r="Y180" s="36"/>
      <c r="Z180" s="36"/>
    </row>
    <row r="181" ht="15.75" customHeight="1">
      <c r="A181" s="70" t="str">
        <f t="array" ref="A181">IF(B181="","",INDEX('Bán nhanh'!$A$4:$A$103,INT((ROW()-4)/10)+1))</f>
        <v/>
      </c>
      <c r="B181" s="71" t="str">
        <f t="array" ref="B181">IF(OR(INDEX('Bán nhanh'!$D$3:$M$3,1,MOD(ROW()-4,10)+1)="",INDEX('Bán nhanh'!$D$4:$M$103,INT((ROW()-4)/10)+1,MOD(ROW()-4,10)+1)&lt;=0),"",INDEX('Bán nhanh'!$D$3:$M$3,1,MOD(ROW()-4,10)+1))</f>
        <v/>
      </c>
      <c r="C181" s="58" t="str">
        <f t="array" ref="C181">IFERROR(INDEX('Sản phẩm'!$A$4:$A$103,MATCH(B181,'Sản phẩm'!$D$4:$D$103,0)),"")</f>
        <v/>
      </c>
      <c r="D181" s="71" t="str">
        <f t="array" ref="D181">IF(B181="","",INDEX('Bán nhanh'!$B$4:$B$103,INT((ROW()-4)/10)+1))</f>
        <v/>
      </c>
      <c r="E181" s="58" t="str">
        <f t="array" ref="E181">IFERROR(INDEX('Mẻ sữa'!$B$4:$B$203,MATCH(D181,'Mẻ sữa'!$C$4:$C$203,0)),"")</f>
        <v/>
      </c>
      <c r="F181" s="66">
        <f t="array" ref="F181">IF(B181="",0,INDEX('Bán nhanh'!$D$4:$M$103,INT((ROW()-4)/10)+1,MOD(ROW()-4,10)+1))</f>
        <v>0</v>
      </c>
      <c r="G181" s="46">
        <f t="array" ref="G181">IFERROR(INDEX('Sản phẩm'!$F$4:$F$103,MATCH(B181,'Sản phẩm'!$D$4:$D$103,0)),0)</f>
        <v>0</v>
      </c>
      <c r="H181" s="67">
        <f t="shared" si="5"/>
        <v>0</v>
      </c>
      <c r="I181" s="46">
        <f t="shared" si="1"/>
        <v>0</v>
      </c>
      <c r="J181" s="46">
        <f t="array" ref="J181">IFERROR(INDEX('Sản phẩm'!$G$4:$G$103,MATCH(B181,'Sản phẩm'!$D$4:$D$103,0)),0)</f>
        <v>0</v>
      </c>
      <c r="K181" s="46">
        <f t="array" ref="K181">IFERROR(J181*INDEX('Mẻ sữa'!$N$4:$N$203,MATCH(D181,'Mẻ sữa'!$C$4:$C$203,0)),0)</f>
        <v>0</v>
      </c>
      <c r="L181" s="46">
        <f t="array" ref="L181">IFERROR(INDEX('Sản phẩm'!$I$4:$I$103,MATCH(B181,'Sản phẩm'!$D$4:$D$103,0)),0)</f>
        <v>0</v>
      </c>
      <c r="M181" s="72" t="str">
        <f t="array" ref="M181">IFERROR(INDEX('Sản phẩm'!$J$4:$J$103,MATCH(B181,'Sản phẩm'!$D$4:$D$103,0)),0)</f>
        <v/>
      </c>
      <c r="N181" s="46">
        <f>IF(B181="",0,(K181+L181+M181)*'Thiết lập'!$B$8)</f>
        <v>0</v>
      </c>
      <c r="O181" s="46">
        <f t="shared" si="2"/>
        <v>0</v>
      </c>
      <c r="P181" s="46">
        <f t="shared" si="3"/>
        <v>0</v>
      </c>
      <c r="Q181" s="46">
        <f t="shared" si="4"/>
        <v>0</v>
      </c>
      <c r="R181" s="71" t="str">
        <f t="array" ref="R181">IF(B181="","",INDEX('Bán nhanh'!$C$4:$C$103,INT((ROW()-4)/10)+1))</f>
        <v/>
      </c>
      <c r="S181" s="71" t="str">
        <f t="array" ref="S181">IF(B181="","",INDEX('Bán nhanh'!$P$4:$P$103,INT((ROW()-4)/10)+1))</f>
        <v/>
      </c>
      <c r="T181" s="58"/>
      <c r="U181" s="68" t="str">
        <f>IF('Mẻ sữa'!F182&lt;&gt;"",'Mẻ sữa'!F182,"")</f>
        <v/>
      </c>
      <c r="V181" s="68"/>
      <c r="W181" s="87"/>
      <c r="X181" s="36"/>
      <c r="Y181" s="36"/>
      <c r="Z181" s="36"/>
    </row>
    <row r="182" ht="15.75" customHeight="1">
      <c r="A182" s="70" t="str">
        <f t="array" ref="A182">IF(B182="","",INDEX('Bán nhanh'!$A$4:$A$103,INT((ROW()-4)/10)+1))</f>
        <v/>
      </c>
      <c r="B182" s="71" t="str">
        <f t="array" ref="B182">IF(OR(INDEX('Bán nhanh'!$D$3:$M$3,1,MOD(ROW()-4,10)+1)="",INDEX('Bán nhanh'!$D$4:$M$103,INT((ROW()-4)/10)+1,MOD(ROW()-4,10)+1)&lt;=0),"",INDEX('Bán nhanh'!$D$3:$M$3,1,MOD(ROW()-4,10)+1))</f>
        <v/>
      </c>
      <c r="C182" s="58" t="str">
        <f t="array" ref="C182">IFERROR(INDEX('Sản phẩm'!$A$4:$A$103,MATCH(B182,'Sản phẩm'!$D$4:$D$103,0)),"")</f>
        <v/>
      </c>
      <c r="D182" s="71" t="str">
        <f t="array" ref="D182">IF(B182="","",INDEX('Bán nhanh'!$B$4:$B$103,INT((ROW()-4)/10)+1))</f>
        <v/>
      </c>
      <c r="E182" s="58" t="str">
        <f t="array" ref="E182">IFERROR(INDEX('Mẻ sữa'!$B$4:$B$203,MATCH(D182,'Mẻ sữa'!$C$4:$C$203,0)),"")</f>
        <v/>
      </c>
      <c r="F182" s="66">
        <f t="array" ref="F182">IF(B182="",0,INDEX('Bán nhanh'!$D$4:$M$103,INT((ROW()-4)/10)+1,MOD(ROW()-4,10)+1))</f>
        <v>0</v>
      </c>
      <c r="G182" s="46">
        <f t="array" ref="G182">IFERROR(INDEX('Sản phẩm'!$F$4:$F$103,MATCH(B182,'Sản phẩm'!$D$4:$D$103,0)),0)</f>
        <v>0</v>
      </c>
      <c r="H182" s="67">
        <f t="shared" si="5"/>
        <v>0</v>
      </c>
      <c r="I182" s="46">
        <f t="shared" si="1"/>
        <v>0</v>
      </c>
      <c r="J182" s="46">
        <f t="array" ref="J182">IFERROR(INDEX('Sản phẩm'!$G$4:$G$103,MATCH(B182,'Sản phẩm'!$D$4:$D$103,0)),0)</f>
        <v>0</v>
      </c>
      <c r="K182" s="46">
        <f t="array" ref="K182">IFERROR(J182*INDEX('Mẻ sữa'!$N$4:$N$203,MATCH(D182,'Mẻ sữa'!$C$4:$C$203,0)),0)</f>
        <v>0</v>
      </c>
      <c r="L182" s="46">
        <f t="array" ref="L182">IFERROR(INDEX('Sản phẩm'!$I$4:$I$103,MATCH(B182,'Sản phẩm'!$D$4:$D$103,0)),0)</f>
        <v>0</v>
      </c>
      <c r="M182" s="72" t="str">
        <f t="array" ref="M182">IFERROR(INDEX('Sản phẩm'!$J$4:$J$103,MATCH(B182,'Sản phẩm'!$D$4:$D$103,0)),0)</f>
        <v/>
      </c>
      <c r="N182" s="46">
        <f>IF(B182="",0,(K182+L182+M182)*'Thiết lập'!$B$8)</f>
        <v>0</v>
      </c>
      <c r="O182" s="46">
        <f t="shared" si="2"/>
        <v>0</v>
      </c>
      <c r="P182" s="46">
        <f t="shared" si="3"/>
        <v>0</v>
      </c>
      <c r="Q182" s="46">
        <f t="shared" si="4"/>
        <v>0</v>
      </c>
      <c r="R182" s="71" t="str">
        <f t="array" ref="R182">IF(B182="","",INDEX('Bán nhanh'!$C$4:$C$103,INT((ROW()-4)/10)+1))</f>
        <v/>
      </c>
      <c r="S182" s="71" t="str">
        <f t="array" ref="S182">IF(B182="","",INDEX('Bán nhanh'!$P$4:$P$103,INT((ROW()-4)/10)+1))</f>
        <v/>
      </c>
      <c r="T182" s="58"/>
      <c r="U182" s="68" t="str">
        <f>IF('Mẻ sữa'!F183&lt;&gt;"",'Mẻ sữa'!F183,"")</f>
        <v/>
      </c>
      <c r="V182" s="68"/>
      <c r="W182" s="87"/>
      <c r="X182" s="36"/>
      <c r="Y182" s="36"/>
      <c r="Z182" s="36"/>
    </row>
    <row r="183" ht="15.75" customHeight="1">
      <c r="A183" s="70" t="str">
        <f t="array" ref="A183">IF(B183="","",INDEX('Bán nhanh'!$A$4:$A$103,INT((ROW()-4)/10)+1))</f>
        <v/>
      </c>
      <c r="B183" s="71" t="str">
        <f t="array" ref="B183">IF(OR(INDEX('Bán nhanh'!$D$3:$M$3,1,MOD(ROW()-4,10)+1)="",INDEX('Bán nhanh'!$D$4:$M$103,INT((ROW()-4)/10)+1,MOD(ROW()-4,10)+1)&lt;=0),"",INDEX('Bán nhanh'!$D$3:$M$3,1,MOD(ROW()-4,10)+1))</f>
        <v/>
      </c>
      <c r="C183" s="58" t="str">
        <f t="array" ref="C183">IFERROR(INDEX('Sản phẩm'!$A$4:$A$103,MATCH(B183,'Sản phẩm'!$D$4:$D$103,0)),"")</f>
        <v/>
      </c>
      <c r="D183" s="71" t="str">
        <f t="array" ref="D183">IF(B183="","",INDEX('Bán nhanh'!$B$4:$B$103,INT((ROW()-4)/10)+1))</f>
        <v/>
      </c>
      <c r="E183" s="58" t="str">
        <f t="array" ref="E183">IFERROR(INDEX('Mẻ sữa'!$B$4:$B$203,MATCH(D183,'Mẻ sữa'!$C$4:$C$203,0)),"")</f>
        <v/>
      </c>
      <c r="F183" s="66">
        <f t="array" ref="F183">IF(B183="",0,INDEX('Bán nhanh'!$D$4:$M$103,INT((ROW()-4)/10)+1,MOD(ROW()-4,10)+1))</f>
        <v>0</v>
      </c>
      <c r="G183" s="46">
        <f t="array" ref="G183">IFERROR(INDEX('Sản phẩm'!$F$4:$F$103,MATCH(B183,'Sản phẩm'!$D$4:$D$103,0)),0)</f>
        <v>0</v>
      </c>
      <c r="H183" s="67">
        <f t="shared" si="5"/>
        <v>0</v>
      </c>
      <c r="I183" s="46">
        <f t="shared" si="1"/>
        <v>0</v>
      </c>
      <c r="J183" s="46">
        <f t="array" ref="J183">IFERROR(INDEX('Sản phẩm'!$G$4:$G$103,MATCH(B183,'Sản phẩm'!$D$4:$D$103,0)),0)</f>
        <v>0</v>
      </c>
      <c r="K183" s="46">
        <f t="array" ref="K183">IFERROR(J183*INDEX('Mẻ sữa'!$N$4:$N$203,MATCH(D183,'Mẻ sữa'!$C$4:$C$203,0)),0)</f>
        <v>0</v>
      </c>
      <c r="L183" s="46">
        <f t="array" ref="L183">IFERROR(INDEX('Sản phẩm'!$I$4:$I$103,MATCH(B183,'Sản phẩm'!$D$4:$D$103,0)),0)</f>
        <v>0</v>
      </c>
      <c r="M183" s="72" t="str">
        <f t="array" ref="M183">IFERROR(INDEX('Sản phẩm'!$J$4:$J$103,MATCH(B183,'Sản phẩm'!$D$4:$D$103,0)),0)</f>
        <v/>
      </c>
      <c r="N183" s="46">
        <f>IF(B183="",0,(K183+L183+M183)*'Thiết lập'!$B$8)</f>
        <v>0</v>
      </c>
      <c r="O183" s="46">
        <f t="shared" si="2"/>
        <v>0</v>
      </c>
      <c r="P183" s="46">
        <f t="shared" si="3"/>
        <v>0</v>
      </c>
      <c r="Q183" s="46">
        <f t="shared" si="4"/>
        <v>0</v>
      </c>
      <c r="R183" s="71" t="str">
        <f t="array" ref="R183">IF(B183="","",INDEX('Bán nhanh'!$C$4:$C$103,INT((ROW()-4)/10)+1))</f>
        <v/>
      </c>
      <c r="S183" s="71" t="str">
        <f t="array" ref="S183">IF(B183="","",INDEX('Bán nhanh'!$P$4:$P$103,INT((ROW()-4)/10)+1))</f>
        <v/>
      </c>
      <c r="T183" s="58"/>
      <c r="U183" s="68" t="str">
        <f>IF('Mẻ sữa'!F184&lt;&gt;"",'Mẻ sữa'!F184,"")</f>
        <v/>
      </c>
      <c r="V183" s="68"/>
      <c r="W183" s="87"/>
      <c r="X183" s="36"/>
      <c r="Y183" s="36"/>
      <c r="Z183" s="36"/>
    </row>
    <row r="184" ht="15.75" customHeight="1">
      <c r="A184" s="70" t="str">
        <f t="array" ref="A184">IF(B184="","",INDEX('Bán nhanh'!$A$4:$A$103,INT((ROW()-4)/10)+1))</f>
        <v/>
      </c>
      <c r="B184" s="71" t="str">
        <f t="array" ref="B184">IF(OR(INDEX('Bán nhanh'!$D$3:$M$3,1,MOD(ROW()-4,10)+1)="",INDEX('Bán nhanh'!$D$4:$M$103,INT((ROW()-4)/10)+1,MOD(ROW()-4,10)+1)&lt;=0),"",INDEX('Bán nhanh'!$D$3:$M$3,1,MOD(ROW()-4,10)+1))</f>
        <v/>
      </c>
      <c r="C184" s="58" t="str">
        <f t="array" ref="C184">IFERROR(INDEX('Sản phẩm'!$A$4:$A$103,MATCH(B184,'Sản phẩm'!$D$4:$D$103,0)),"")</f>
        <v/>
      </c>
      <c r="D184" s="71" t="str">
        <f t="array" ref="D184">IF(B184="","",INDEX('Bán nhanh'!$B$4:$B$103,INT((ROW()-4)/10)+1))</f>
        <v/>
      </c>
      <c r="E184" s="58" t="str">
        <f t="array" ref="E184">IFERROR(INDEX('Mẻ sữa'!$B$4:$B$203,MATCH(D184,'Mẻ sữa'!$C$4:$C$203,0)),"")</f>
        <v/>
      </c>
      <c r="F184" s="66">
        <f t="array" ref="F184">IF(B184="",0,INDEX('Bán nhanh'!$D$4:$M$103,INT((ROW()-4)/10)+1,MOD(ROW()-4,10)+1))</f>
        <v>0</v>
      </c>
      <c r="G184" s="46">
        <f t="array" ref="G184">IFERROR(INDEX('Sản phẩm'!$F$4:$F$103,MATCH(B184,'Sản phẩm'!$D$4:$D$103,0)),0)</f>
        <v>0</v>
      </c>
      <c r="H184" s="67">
        <f t="shared" si="5"/>
        <v>0</v>
      </c>
      <c r="I184" s="46">
        <f t="shared" si="1"/>
        <v>0</v>
      </c>
      <c r="J184" s="46">
        <f t="array" ref="J184">IFERROR(INDEX('Sản phẩm'!$G$4:$G$103,MATCH(B184,'Sản phẩm'!$D$4:$D$103,0)),0)</f>
        <v>0</v>
      </c>
      <c r="K184" s="46">
        <f t="array" ref="K184">IFERROR(J184*INDEX('Mẻ sữa'!$N$4:$N$203,MATCH(D184,'Mẻ sữa'!$C$4:$C$203,0)),0)</f>
        <v>0</v>
      </c>
      <c r="L184" s="46">
        <f t="array" ref="L184">IFERROR(INDEX('Sản phẩm'!$I$4:$I$103,MATCH(B184,'Sản phẩm'!$D$4:$D$103,0)),0)</f>
        <v>0</v>
      </c>
      <c r="M184" s="72" t="str">
        <f t="array" ref="M184">IFERROR(INDEX('Sản phẩm'!$J$4:$J$103,MATCH(B184,'Sản phẩm'!$D$4:$D$103,0)),0)</f>
        <v/>
      </c>
      <c r="N184" s="46">
        <f>IF(B184="",0,(K184+L184+M184)*'Thiết lập'!$B$8)</f>
        <v>0</v>
      </c>
      <c r="O184" s="46">
        <f t="shared" si="2"/>
        <v>0</v>
      </c>
      <c r="P184" s="46">
        <f t="shared" si="3"/>
        <v>0</v>
      </c>
      <c r="Q184" s="46">
        <f t="shared" si="4"/>
        <v>0</v>
      </c>
      <c r="R184" s="71" t="str">
        <f t="array" ref="R184">IF(B184="","",INDEX('Bán nhanh'!$C$4:$C$103,INT((ROW()-4)/10)+1))</f>
        <v/>
      </c>
      <c r="S184" s="71" t="str">
        <f t="array" ref="S184">IF(B184="","",INDEX('Bán nhanh'!$P$4:$P$103,INT((ROW()-4)/10)+1))</f>
        <v/>
      </c>
      <c r="T184" s="58"/>
      <c r="U184" s="68" t="str">
        <f>IF('Mẻ sữa'!F185&lt;&gt;"",'Mẻ sữa'!F185,"")</f>
        <v/>
      </c>
      <c r="V184" s="68"/>
      <c r="W184" s="87"/>
      <c r="X184" s="36"/>
      <c r="Y184" s="36"/>
      <c r="Z184" s="36"/>
    </row>
    <row r="185" ht="15.75" customHeight="1">
      <c r="A185" s="70" t="str">
        <f t="array" ref="A185">IF(B185="","",INDEX('Bán nhanh'!$A$4:$A$103,INT((ROW()-4)/10)+1))</f>
        <v/>
      </c>
      <c r="B185" s="71" t="str">
        <f t="array" ref="B185">IF(OR(INDEX('Bán nhanh'!$D$3:$M$3,1,MOD(ROW()-4,10)+1)="",INDEX('Bán nhanh'!$D$4:$M$103,INT((ROW()-4)/10)+1,MOD(ROW()-4,10)+1)&lt;=0),"",INDEX('Bán nhanh'!$D$3:$M$3,1,MOD(ROW()-4,10)+1))</f>
        <v/>
      </c>
      <c r="C185" s="58" t="str">
        <f t="array" ref="C185">IFERROR(INDEX('Sản phẩm'!$A$4:$A$103,MATCH(B185,'Sản phẩm'!$D$4:$D$103,0)),"")</f>
        <v/>
      </c>
      <c r="D185" s="71" t="str">
        <f t="array" ref="D185">IF(B185="","",INDEX('Bán nhanh'!$B$4:$B$103,INT((ROW()-4)/10)+1))</f>
        <v/>
      </c>
      <c r="E185" s="58" t="str">
        <f t="array" ref="E185">IFERROR(INDEX('Mẻ sữa'!$B$4:$B$203,MATCH(D185,'Mẻ sữa'!$C$4:$C$203,0)),"")</f>
        <v/>
      </c>
      <c r="F185" s="66">
        <f t="array" ref="F185">IF(B185="",0,INDEX('Bán nhanh'!$D$4:$M$103,INT((ROW()-4)/10)+1,MOD(ROW()-4,10)+1))</f>
        <v>0</v>
      </c>
      <c r="G185" s="46">
        <f t="array" ref="G185">IFERROR(INDEX('Sản phẩm'!$F$4:$F$103,MATCH(B185,'Sản phẩm'!$D$4:$D$103,0)),0)</f>
        <v>0</v>
      </c>
      <c r="H185" s="67">
        <f t="shared" si="5"/>
        <v>0</v>
      </c>
      <c r="I185" s="46">
        <f t="shared" si="1"/>
        <v>0</v>
      </c>
      <c r="J185" s="46">
        <f t="array" ref="J185">IFERROR(INDEX('Sản phẩm'!$G$4:$G$103,MATCH(B185,'Sản phẩm'!$D$4:$D$103,0)),0)</f>
        <v>0</v>
      </c>
      <c r="K185" s="46">
        <f t="array" ref="K185">IFERROR(J185*INDEX('Mẻ sữa'!$N$4:$N$203,MATCH(D185,'Mẻ sữa'!$C$4:$C$203,0)),0)</f>
        <v>0</v>
      </c>
      <c r="L185" s="46">
        <f t="array" ref="L185">IFERROR(INDEX('Sản phẩm'!$I$4:$I$103,MATCH(B185,'Sản phẩm'!$D$4:$D$103,0)),0)</f>
        <v>0</v>
      </c>
      <c r="M185" s="72" t="str">
        <f t="array" ref="M185">IFERROR(INDEX('Sản phẩm'!$J$4:$J$103,MATCH(B185,'Sản phẩm'!$D$4:$D$103,0)),0)</f>
        <v/>
      </c>
      <c r="N185" s="46">
        <f>IF(B185="",0,(K185+L185+M185)*'Thiết lập'!$B$8)</f>
        <v>0</v>
      </c>
      <c r="O185" s="46">
        <f t="shared" si="2"/>
        <v>0</v>
      </c>
      <c r="P185" s="46">
        <f t="shared" si="3"/>
        <v>0</v>
      </c>
      <c r="Q185" s="46">
        <f t="shared" si="4"/>
        <v>0</v>
      </c>
      <c r="R185" s="71" t="str">
        <f t="array" ref="R185">IF(B185="","",INDEX('Bán nhanh'!$C$4:$C$103,INT((ROW()-4)/10)+1))</f>
        <v/>
      </c>
      <c r="S185" s="71" t="str">
        <f t="array" ref="S185">IF(B185="","",INDEX('Bán nhanh'!$P$4:$P$103,INT((ROW()-4)/10)+1))</f>
        <v/>
      </c>
      <c r="T185" s="58"/>
      <c r="U185" s="68" t="str">
        <f>IF('Mẻ sữa'!F186&lt;&gt;"",'Mẻ sữa'!F186,"")</f>
        <v/>
      </c>
      <c r="V185" s="68"/>
      <c r="W185" s="87"/>
      <c r="X185" s="36"/>
      <c r="Y185" s="36"/>
      <c r="Z185" s="36"/>
    </row>
    <row r="186" ht="15.75" customHeight="1">
      <c r="A186" s="70" t="str">
        <f t="array" ref="A186">IF(B186="","",INDEX('Bán nhanh'!$A$4:$A$103,INT((ROW()-4)/10)+1))</f>
        <v/>
      </c>
      <c r="B186" s="71" t="str">
        <f t="array" ref="B186">IF(OR(INDEX('Bán nhanh'!$D$3:$M$3,1,MOD(ROW()-4,10)+1)="",INDEX('Bán nhanh'!$D$4:$M$103,INT((ROW()-4)/10)+1,MOD(ROW()-4,10)+1)&lt;=0),"",INDEX('Bán nhanh'!$D$3:$M$3,1,MOD(ROW()-4,10)+1))</f>
        <v/>
      </c>
      <c r="C186" s="58" t="str">
        <f t="array" ref="C186">IFERROR(INDEX('Sản phẩm'!$A$4:$A$103,MATCH(B186,'Sản phẩm'!$D$4:$D$103,0)),"")</f>
        <v/>
      </c>
      <c r="D186" s="71" t="str">
        <f t="array" ref="D186">IF(B186="","",INDEX('Bán nhanh'!$B$4:$B$103,INT((ROW()-4)/10)+1))</f>
        <v/>
      </c>
      <c r="E186" s="58" t="str">
        <f t="array" ref="E186">IFERROR(INDEX('Mẻ sữa'!$B$4:$B$203,MATCH(D186,'Mẻ sữa'!$C$4:$C$203,0)),"")</f>
        <v/>
      </c>
      <c r="F186" s="66">
        <f t="array" ref="F186">IF(B186="",0,INDEX('Bán nhanh'!$D$4:$M$103,INT((ROW()-4)/10)+1,MOD(ROW()-4,10)+1))</f>
        <v>0</v>
      </c>
      <c r="G186" s="46">
        <f t="array" ref="G186">IFERROR(INDEX('Sản phẩm'!$F$4:$F$103,MATCH(B186,'Sản phẩm'!$D$4:$D$103,0)),0)</f>
        <v>0</v>
      </c>
      <c r="H186" s="67">
        <f t="shared" si="5"/>
        <v>0</v>
      </c>
      <c r="I186" s="46">
        <f t="shared" si="1"/>
        <v>0</v>
      </c>
      <c r="J186" s="46">
        <f t="array" ref="J186">IFERROR(INDEX('Sản phẩm'!$G$4:$G$103,MATCH(B186,'Sản phẩm'!$D$4:$D$103,0)),0)</f>
        <v>0</v>
      </c>
      <c r="K186" s="46">
        <f t="array" ref="K186">IFERROR(J186*INDEX('Mẻ sữa'!$N$4:$N$203,MATCH(D186,'Mẻ sữa'!$C$4:$C$203,0)),0)</f>
        <v>0</v>
      </c>
      <c r="L186" s="46">
        <f t="array" ref="L186">IFERROR(INDEX('Sản phẩm'!$I$4:$I$103,MATCH(B186,'Sản phẩm'!$D$4:$D$103,0)),0)</f>
        <v>0</v>
      </c>
      <c r="M186" s="72" t="str">
        <f t="array" ref="M186">IFERROR(INDEX('Sản phẩm'!$J$4:$J$103,MATCH(B186,'Sản phẩm'!$D$4:$D$103,0)),0)</f>
        <v/>
      </c>
      <c r="N186" s="46">
        <f>IF(B186="",0,(K186+L186+M186)*'Thiết lập'!$B$8)</f>
        <v>0</v>
      </c>
      <c r="O186" s="46">
        <f t="shared" si="2"/>
        <v>0</v>
      </c>
      <c r="P186" s="46">
        <f t="shared" si="3"/>
        <v>0</v>
      </c>
      <c r="Q186" s="46">
        <f t="shared" si="4"/>
        <v>0</v>
      </c>
      <c r="R186" s="71" t="str">
        <f t="array" ref="R186">IF(B186="","",INDEX('Bán nhanh'!$C$4:$C$103,INT((ROW()-4)/10)+1))</f>
        <v/>
      </c>
      <c r="S186" s="71" t="str">
        <f t="array" ref="S186">IF(B186="","",INDEX('Bán nhanh'!$P$4:$P$103,INT((ROW()-4)/10)+1))</f>
        <v/>
      </c>
      <c r="T186" s="58"/>
      <c r="U186" s="68" t="str">
        <f>IF('Mẻ sữa'!F187&lt;&gt;"",'Mẻ sữa'!F187,"")</f>
        <v/>
      </c>
      <c r="V186" s="68"/>
      <c r="W186" s="87"/>
      <c r="X186" s="36"/>
      <c r="Y186" s="36"/>
      <c r="Z186" s="36"/>
    </row>
    <row r="187" ht="15.75" customHeight="1">
      <c r="A187" s="70" t="str">
        <f t="array" ref="A187">IF(B187="","",INDEX('Bán nhanh'!$A$4:$A$103,INT((ROW()-4)/10)+1))</f>
        <v/>
      </c>
      <c r="B187" s="71" t="str">
        <f t="array" ref="B187">IF(OR(INDEX('Bán nhanh'!$D$3:$M$3,1,MOD(ROW()-4,10)+1)="",INDEX('Bán nhanh'!$D$4:$M$103,INT((ROW()-4)/10)+1,MOD(ROW()-4,10)+1)&lt;=0),"",INDEX('Bán nhanh'!$D$3:$M$3,1,MOD(ROW()-4,10)+1))</f>
        <v/>
      </c>
      <c r="C187" s="58" t="str">
        <f t="array" ref="C187">IFERROR(INDEX('Sản phẩm'!$A$4:$A$103,MATCH(B187,'Sản phẩm'!$D$4:$D$103,0)),"")</f>
        <v/>
      </c>
      <c r="D187" s="71" t="str">
        <f t="array" ref="D187">IF(B187="","",INDEX('Bán nhanh'!$B$4:$B$103,INT((ROW()-4)/10)+1))</f>
        <v/>
      </c>
      <c r="E187" s="58" t="str">
        <f t="array" ref="E187">IFERROR(INDEX('Mẻ sữa'!$B$4:$B$203,MATCH(D187,'Mẻ sữa'!$C$4:$C$203,0)),"")</f>
        <v/>
      </c>
      <c r="F187" s="66">
        <f t="array" ref="F187">IF(B187="",0,INDEX('Bán nhanh'!$D$4:$M$103,INT((ROW()-4)/10)+1,MOD(ROW()-4,10)+1))</f>
        <v>0</v>
      </c>
      <c r="G187" s="46">
        <f t="array" ref="G187">IFERROR(INDEX('Sản phẩm'!$F$4:$F$103,MATCH(B187,'Sản phẩm'!$D$4:$D$103,0)),0)</f>
        <v>0</v>
      </c>
      <c r="H187" s="67">
        <f t="shared" si="5"/>
        <v>0</v>
      </c>
      <c r="I187" s="46">
        <f t="shared" si="1"/>
        <v>0</v>
      </c>
      <c r="J187" s="46">
        <f t="array" ref="J187">IFERROR(INDEX('Sản phẩm'!$G$4:$G$103,MATCH(B187,'Sản phẩm'!$D$4:$D$103,0)),0)</f>
        <v>0</v>
      </c>
      <c r="K187" s="46">
        <f t="array" ref="K187">IFERROR(J187*INDEX('Mẻ sữa'!$N$4:$N$203,MATCH(D187,'Mẻ sữa'!$C$4:$C$203,0)),0)</f>
        <v>0</v>
      </c>
      <c r="L187" s="46">
        <f t="array" ref="L187">IFERROR(INDEX('Sản phẩm'!$I$4:$I$103,MATCH(B187,'Sản phẩm'!$D$4:$D$103,0)),0)</f>
        <v>0</v>
      </c>
      <c r="M187" s="72" t="str">
        <f t="array" ref="M187">IFERROR(INDEX('Sản phẩm'!$J$4:$J$103,MATCH(B187,'Sản phẩm'!$D$4:$D$103,0)),0)</f>
        <v/>
      </c>
      <c r="N187" s="46">
        <f>IF(B187="",0,(K187+L187+M187)*'Thiết lập'!$B$8)</f>
        <v>0</v>
      </c>
      <c r="O187" s="46">
        <f t="shared" si="2"/>
        <v>0</v>
      </c>
      <c r="P187" s="46">
        <f t="shared" si="3"/>
        <v>0</v>
      </c>
      <c r="Q187" s="46">
        <f t="shared" si="4"/>
        <v>0</v>
      </c>
      <c r="R187" s="71" t="str">
        <f t="array" ref="R187">IF(B187="","",INDEX('Bán nhanh'!$C$4:$C$103,INT((ROW()-4)/10)+1))</f>
        <v/>
      </c>
      <c r="S187" s="71" t="str">
        <f t="array" ref="S187">IF(B187="","",INDEX('Bán nhanh'!$P$4:$P$103,INT((ROW()-4)/10)+1))</f>
        <v/>
      </c>
      <c r="T187" s="58"/>
      <c r="U187" s="68" t="str">
        <f>IF('Mẻ sữa'!F188&lt;&gt;"",'Mẻ sữa'!F188,"")</f>
        <v/>
      </c>
      <c r="V187" s="68"/>
      <c r="W187" s="87"/>
      <c r="X187" s="36"/>
      <c r="Y187" s="36"/>
      <c r="Z187" s="36"/>
    </row>
    <row r="188" ht="15.75" customHeight="1">
      <c r="A188" s="70" t="str">
        <f t="array" ref="A188">IF(B188="","",INDEX('Bán nhanh'!$A$4:$A$103,INT((ROW()-4)/10)+1))</f>
        <v/>
      </c>
      <c r="B188" s="71" t="str">
        <f t="array" ref="B188">IF(OR(INDEX('Bán nhanh'!$D$3:$M$3,1,MOD(ROW()-4,10)+1)="",INDEX('Bán nhanh'!$D$4:$M$103,INT((ROW()-4)/10)+1,MOD(ROW()-4,10)+1)&lt;=0),"",INDEX('Bán nhanh'!$D$3:$M$3,1,MOD(ROW()-4,10)+1))</f>
        <v/>
      </c>
      <c r="C188" s="58" t="str">
        <f t="array" ref="C188">IFERROR(INDEX('Sản phẩm'!$A$4:$A$103,MATCH(B188,'Sản phẩm'!$D$4:$D$103,0)),"")</f>
        <v/>
      </c>
      <c r="D188" s="71" t="str">
        <f t="array" ref="D188">IF(B188="","",INDEX('Bán nhanh'!$B$4:$B$103,INT((ROW()-4)/10)+1))</f>
        <v/>
      </c>
      <c r="E188" s="58" t="str">
        <f t="array" ref="E188">IFERROR(INDEX('Mẻ sữa'!$B$4:$B$203,MATCH(D188,'Mẻ sữa'!$C$4:$C$203,0)),"")</f>
        <v/>
      </c>
      <c r="F188" s="66">
        <f t="array" ref="F188">IF(B188="",0,INDEX('Bán nhanh'!$D$4:$M$103,INT((ROW()-4)/10)+1,MOD(ROW()-4,10)+1))</f>
        <v>0</v>
      </c>
      <c r="G188" s="46">
        <f t="array" ref="G188">IFERROR(INDEX('Sản phẩm'!$F$4:$F$103,MATCH(B188,'Sản phẩm'!$D$4:$D$103,0)),0)</f>
        <v>0</v>
      </c>
      <c r="H188" s="67">
        <f t="shared" si="5"/>
        <v>0</v>
      </c>
      <c r="I188" s="46">
        <f t="shared" si="1"/>
        <v>0</v>
      </c>
      <c r="J188" s="46">
        <f t="array" ref="J188">IFERROR(INDEX('Sản phẩm'!$G$4:$G$103,MATCH(B188,'Sản phẩm'!$D$4:$D$103,0)),0)</f>
        <v>0</v>
      </c>
      <c r="K188" s="46">
        <f t="array" ref="K188">IFERROR(J188*INDEX('Mẻ sữa'!$N$4:$N$203,MATCH(D188,'Mẻ sữa'!$C$4:$C$203,0)),0)</f>
        <v>0</v>
      </c>
      <c r="L188" s="46">
        <f t="array" ref="L188">IFERROR(INDEX('Sản phẩm'!$I$4:$I$103,MATCH(B188,'Sản phẩm'!$D$4:$D$103,0)),0)</f>
        <v>0</v>
      </c>
      <c r="M188" s="72" t="str">
        <f t="array" ref="M188">IFERROR(INDEX('Sản phẩm'!$J$4:$J$103,MATCH(B188,'Sản phẩm'!$D$4:$D$103,0)),0)</f>
        <v/>
      </c>
      <c r="N188" s="46">
        <f>IF(B188="",0,(K188+L188+M188)*'Thiết lập'!$B$8)</f>
        <v>0</v>
      </c>
      <c r="O188" s="46">
        <f t="shared" si="2"/>
        <v>0</v>
      </c>
      <c r="P188" s="46">
        <f t="shared" si="3"/>
        <v>0</v>
      </c>
      <c r="Q188" s="46">
        <f t="shared" si="4"/>
        <v>0</v>
      </c>
      <c r="R188" s="71" t="str">
        <f t="array" ref="R188">IF(B188="","",INDEX('Bán nhanh'!$C$4:$C$103,INT((ROW()-4)/10)+1))</f>
        <v/>
      </c>
      <c r="S188" s="71" t="str">
        <f t="array" ref="S188">IF(B188="","",INDEX('Bán nhanh'!$P$4:$P$103,INT((ROW()-4)/10)+1))</f>
        <v/>
      </c>
      <c r="T188" s="58"/>
      <c r="U188" s="68" t="str">
        <f>IF('Mẻ sữa'!F189&lt;&gt;"",'Mẻ sữa'!F189,"")</f>
        <v/>
      </c>
      <c r="V188" s="68"/>
      <c r="W188" s="87"/>
      <c r="X188" s="36"/>
      <c r="Y188" s="36"/>
      <c r="Z188" s="36"/>
    </row>
    <row r="189" ht="15.75" customHeight="1">
      <c r="A189" s="70" t="str">
        <f t="array" ref="A189">IF(B189="","",INDEX('Bán nhanh'!$A$4:$A$103,INT((ROW()-4)/10)+1))</f>
        <v/>
      </c>
      <c r="B189" s="71" t="str">
        <f t="array" ref="B189">IF(OR(INDEX('Bán nhanh'!$D$3:$M$3,1,MOD(ROW()-4,10)+1)="",INDEX('Bán nhanh'!$D$4:$M$103,INT((ROW()-4)/10)+1,MOD(ROW()-4,10)+1)&lt;=0),"",INDEX('Bán nhanh'!$D$3:$M$3,1,MOD(ROW()-4,10)+1))</f>
        <v/>
      </c>
      <c r="C189" s="58" t="str">
        <f t="array" ref="C189">IFERROR(INDEX('Sản phẩm'!$A$4:$A$103,MATCH(B189,'Sản phẩm'!$D$4:$D$103,0)),"")</f>
        <v/>
      </c>
      <c r="D189" s="71" t="str">
        <f t="array" ref="D189">IF(B189="","",INDEX('Bán nhanh'!$B$4:$B$103,INT((ROW()-4)/10)+1))</f>
        <v/>
      </c>
      <c r="E189" s="58" t="str">
        <f t="array" ref="E189">IFERROR(INDEX('Mẻ sữa'!$B$4:$B$203,MATCH(D189,'Mẻ sữa'!$C$4:$C$203,0)),"")</f>
        <v/>
      </c>
      <c r="F189" s="66">
        <f t="array" ref="F189">IF(B189="",0,INDEX('Bán nhanh'!$D$4:$M$103,INT((ROW()-4)/10)+1,MOD(ROW()-4,10)+1))</f>
        <v>0</v>
      </c>
      <c r="G189" s="46">
        <f t="array" ref="G189">IFERROR(INDEX('Sản phẩm'!$F$4:$F$103,MATCH(B189,'Sản phẩm'!$D$4:$D$103,0)),0)</f>
        <v>0</v>
      </c>
      <c r="H189" s="67">
        <f t="shared" si="5"/>
        <v>0</v>
      </c>
      <c r="I189" s="46">
        <f t="shared" si="1"/>
        <v>0</v>
      </c>
      <c r="J189" s="46">
        <f t="array" ref="J189">IFERROR(INDEX('Sản phẩm'!$G$4:$G$103,MATCH(B189,'Sản phẩm'!$D$4:$D$103,0)),0)</f>
        <v>0</v>
      </c>
      <c r="K189" s="46">
        <f t="array" ref="K189">IFERROR(J189*INDEX('Mẻ sữa'!$N$4:$N$203,MATCH(D189,'Mẻ sữa'!$C$4:$C$203,0)),0)</f>
        <v>0</v>
      </c>
      <c r="L189" s="46">
        <f t="array" ref="L189">IFERROR(INDEX('Sản phẩm'!$I$4:$I$103,MATCH(B189,'Sản phẩm'!$D$4:$D$103,0)),0)</f>
        <v>0</v>
      </c>
      <c r="M189" s="72" t="str">
        <f t="array" ref="M189">IFERROR(INDEX('Sản phẩm'!$J$4:$J$103,MATCH(B189,'Sản phẩm'!$D$4:$D$103,0)),0)</f>
        <v/>
      </c>
      <c r="N189" s="46">
        <f>IF(B189="",0,(K189+L189+M189)*'Thiết lập'!$B$8)</f>
        <v>0</v>
      </c>
      <c r="O189" s="46">
        <f t="shared" si="2"/>
        <v>0</v>
      </c>
      <c r="P189" s="46">
        <f t="shared" si="3"/>
        <v>0</v>
      </c>
      <c r="Q189" s="46">
        <f t="shared" si="4"/>
        <v>0</v>
      </c>
      <c r="R189" s="71" t="str">
        <f t="array" ref="R189">IF(B189="","",INDEX('Bán nhanh'!$C$4:$C$103,INT((ROW()-4)/10)+1))</f>
        <v/>
      </c>
      <c r="S189" s="71" t="str">
        <f t="array" ref="S189">IF(B189="","",INDEX('Bán nhanh'!$P$4:$P$103,INT((ROW()-4)/10)+1))</f>
        <v/>
      </c>
      <c r="T189" s="58"/>
      <c r="U189" s="68" t="str">
        <f>IF('Mẻ sữa'!F190&lt;&gt;"",'Mẻ sữa'!F190,"")</f>
        <v/>
      </c>
      <c r="V189" s="68"/>
      <c r="W189" s="87"/>
      <c r="X189" s="36"/>
      <c r="Y189" s="36"/>
      <c r="Z189" s="36"/>
    </row>
    <row r="190" ht="15.75" customHeight="1">
      <c r="A190" s="70" t="str">
        <f t="array" ref="A190">IF(B190="","",INDEX('Bán nhanh'!$A$4:$A$103,INT((ROW()-4)/10)+1))</f>
        <v/>
      </c>
      <c r="B190" s="71" t="str">
        <f t="array" ref="B190">IF(OR(INDEX('Bán nhanh'!$D$3:$M$3,1,MOD(ROW()-4,10)+1)="",INDEX('Bán nhanh'!$D$4:$M$103,INT((ROW()-4)/10)+1,MOD(ROW()-4,10)+1)&lt;=0),"",INDEX('Bán nhanh'!$D$3:$M$3,1,MOD(ROW()-4,10)+1))</f>
        <v/>
      </c>
      <c r="C190" s="58" t="str">
        <f t="array" ref="C190">IFERROR(INDEX('Sản phẩm'!$A$4:$A$103,MATCH(B190,'Sản phẩm'!$D$4:$D$103,0)),"")</f>
        <v/>
      </c>
      <c r="D190" s="71" t="str">
        <f t="array" ref="D190">IF(B190="","",INDEX('Bán nhanh'!$B$4:$B$103,INT((ROW()-4)/10)+1))</f>
        <v/>
      </c>
      <c r="E190" s="58" t="str">
        <f t="array" ref="E190">IFERROR(INDEX('Mẻ sữa'!$B$4:$B$203,MATCH(D190,'Mẻ sữa'!$C$4:$C$203,0)),"")</f>
        <v/>
      </c>
      <c r="F190" s="66">
        <f t="array" ref="F190">IF(B190="",0,INDEX('Bán nhanh'!$D$4:$M$103,INT((ROW()-4)/10)+1,MOD(ROW()-4,10)+1))</f>
        <v>0</v>
      </c>
      <c r="G190" s="46">
        <f t="array" ref="G190">IFERROR(INDEX('Sản phẩm'!$F$4:$F$103,MATCH(B190,'Sản phẩm'!$D$4:$D$103,0)),0)</f>
        <v>0</v>
      </c>
      <c r="H190" s="67">
        <f t="shared" si="5"/>
        <v>0</v>
      </c>
      <c r="I190" s="46">
        <f t="shared" si="1"/>
        <v>0</v>
      </c>
      <c r="J190" s="46">
        <f t="array" ref="J190">IFERROR(INDEX('Sản phẩm'!$G$4:$G$103,MATCH(B190,'Sản phẩm'!$D$4:$D$103,0)),0)</f>
        <v>0</v>
      </c>
      <c r="K190" s="46">
        <f t="array" ref="K190">IFERROR(J190*INDEX('Mẻ sữa'!$N$4:$N$203,MATCH(D190,'Mẻ sữa'!$C$4:$C$203,0)),0)</f>
        <v>0</v>
      </c>
      <c r="L190" s="46">
        <f t="array" ref="L190">IFERROR(INDEX('Sản phẩm'!$I$4:$I$103,MATCH(B190,'Sản phẩm'!$D$4:$D$103,0)),0)</f>
        <v>0</v>
      </c>
      <c r="M190" s="72" t="str">
        <f t="array" ref="M190">IFERROR(INDEX('Sản phẩm'!$J$4:$J$103,MATCH(B190,'Sản phẩm'!$D$4:$D$103,0)),0)</f>
        <v/>
      </c>
      <c r="N190" s="46">
        <f>IF(B190="",0,(K190+L190+M190)*'Thiết lập'!$B$8)</f>
        <v>0</v>
      </c>
      <c r="O190" s="46">
        <f t="shared" si="2"/>
        <v>0</v>
      </c>
      <c r="P190" s="46">
        <f t="shared" si="3"/>
        <v>0</v>
      </c>
      <c r="Q190" s="46">
        <f t="shared" si="4"/>
        <v>0</v>
      </c>
      <c r="R190" s="71" t="str">
        <f t="array" ref="R190">IF(B190="","",INDEX('Bán nhanh'!$C$4:$C$103,INT((ROW()-4)/10)+1))</f>
        <v/>
      </c>
      <c r="S190" s="71" t="str">
        <f t="array" ref="S190">IF(B190="","",INDEX('Bán nhanh'!$P$4:$P$103,INT((ROW()-4)/10)+1))</f>
        <v/>
      </c>
      <c r="T190" s="58"/>
      <c r="U190" s="68" t="str">
        <f>IF('Mẻ sữa'!F191&lt;&gt;"",'Mẻ sữa'!F191,"")</f>
        <v/>
      </c>
      <c r="V190" s="68"/>
      <c r="W190" s="87"/>
      <c r="X190" s="36"/>
      <c r="Y190" s="36"/>
      <c r="Z190" s="36"/>
    </row>
    <row r="191" ht="15.75" customHeight="1">
      <c r="A191" s="70" t="str">
        <f t="array" ref="A191">IF(B191="","",INDEX('Bán nhanh'!$A$4:$A$103,INT((ROW()-4)/10)+1))</f>
        <v/>
      </c>
      <c r="B191" s="71" t="str">
        <f t="array" ref="B191">IF(OR(INDEX('Bán nhanh'!$D$3:$M$3,1,MOD(ROW()-4,10)+1)="",INDEX('Bán nhanh'!$D$4:$M$103,INT((ROW()-4)/10)+1,MOD(ROW()-4,10)+1)&lt;=0),"",INDEX('Bán nhanh'!$D$3:$M$3,1,MOD(ROW()-4,10)+1))</f>
        <v/>
      </c>
      <c r="C191" s="58" t="str">
        <f t="array" ref="C191">IFERROR(INDEX('Sản phẩm'!$A$4:$A$103,MATCH(B191,'Sản phẩm'!$D$4:$D$103,0)),"")</f>
        <v/>
      </c>
      <c r="D191" s="71" t="str">
        <f t="array" ref="D191">IF(B191="","",INDEX('Bán nhanh'!$B$4:$B$103,INT((ROW()-4)/10)+1))</f>
        <v/>
      </c>
      <c r="E191" s="58" t="str">
        <f t="array" ref="E191">IFERROR(INDEX('Mẻ sữa'!$B$4:$B$203,MATCH(D191,'Mẻ sữa'!$C$4:$C$203,0)),"")</f>
        <v/>
      </c>
      <c r="F191" s="66">
        <f t="array" ref="F191">IF(B191="",0,INDEX('Bán nhanh'!$D$4:$M$103,INT((ROW()-4)/10)+1,MOD(ROW()-4,10)+1))</f>
        <v>0</v>
      </c>
      <c r="G191" s="46">
        <f t="array" ref="G191">IFERROR(INDEX('Sản phẩm'!$F$4:$F$103,MATCH(B191,'Sản phẩm'!$D$4:$D$103,0)),0)</f>
        <v>0</v>
      </c>
      <c r="H191" s="67">
        <f t="shared" si="5"/>
        <v>0</v>
      </c>
      <c r="I191" s="46">
        <f t="shared" si="1"/>
        <v>0</v>
      </c>
      <c r="J191" s="46">
        <f t="array" ref="J191">IFERROR(INDEX('Sản phẩm'!$G$4:$G$103,MATCH(B191,'Sản phẩm'!$D$4:$D$103,0)),0)</f>
        <v>0</v>
      </c>
      <c r="K191" s="46">
        <f t="array" ref="K191">IFERROR(J191*INDEX('Mẻ sữa'!$N$4:$N$203,MATCH(D191,'Mẻ sữa'!$C$4:$C$203,0)),0)</f>
        <v>0</v>
      </c>
      <c r="L191" s="46">
        <f t="array" ref="L191">IFERROR(INDEX('Sản phẩm'!$I$4:$I$103,MATCH(B191,'Sản phẩm'!$D$4:$D$103,0)),0)</f>
        <v>0</v>
      </c>
      <c r="M191" s="72" t="str">
        <f t="array" ref="M191">IFERROR(INDEX('Sản phẩm'!$J$4:$J$103,MATCH(B191,'Sản phẩm'!$D$4:$D$103,0)),0)</f>
        <v/>
      </c>
      <c r="N191" s="46">
        <f>IF(B191="",0,(K191+L191+M191)*'Thiết lập'!$B$8)</f>
        <v>0</v>
      </c>
      <c r="O191" s="46">
        <f t="shared" si="2"/>
        <v>0</v>
      </c>
      <c r="P191" s="46">
        <f t="shared" si="3"/>
        <v>0</v>
      </c>
      <c r="Q191" s="46">
        <f t="shared" si="4"/>
        <v>0</v>
      </c>
      <c r="R191" s="71" t="str">
        <f t="array" ref="R191">IF(B191="","",INDEX('Bán nhanh'!$C$4:$C$103,INT((ROW()-4)/10)+1))</f>
        <v/>
      </c>
      <c r="S191" s="71" t="str">
        <f t="array" ref="S191">IF(B191="","",INDEX('Bán nhanh'!$P$4:$P$103,INT((ROW()-4)/10)+1))</f>
        <v/>
      </c>
      <c r="T191" s="58"/>
      <c r="U191" s="68" t="str">
        <f>IF('Mẻ sữa'!F192&lt;&gt;"",'Mẻ sữa'!F192,"")</f>
        <v/>
      </c>
      <c r="V191" s="68"/>
      <c r="W191" s="87"/>
      <c r="X191" s="36"/>
      <c r="Y191" s="36"/>
      <c r="Z191" s="36"/>
    </row>
    <row r="192" ht="15.75" customHeight="1">
      <c r="A192" s="70" t="str">
        <f t="array" ref="A192">IF(B192="","",INDEX('Bán nhanh'!$A$4:$A$103,INT((ROW()-4)/10)+1))</f>
        <v/>
      </c>
      <c r="B192" s="71" t="str">
        <f t="array" ref="B192">IF(OR(INDEX('Bán nhanh'!$D$3:$M$3,1,MOD(ROW()-4,10)+1)="",INDEX('Bán nhanh'!$D$4:$M$103,INT((ROW()-4)/10)+1,MOD(ROW()-4,10)+1)&lt;=0),"",INDEX('Bán nhanh'!$D$3:$M$3,1,MOD(ROW()-4,10)+1))</f>
        <v/>
      </c>
      <c r="C192" s="58" t="str">
        <f t="array" ref="C192">IFERROR(INDEX('Sản phẩm'!$A$4:$A$103,MATCH(B192,'Sản phẩm'!$D$4:$D$103,0)),"")</f>
        <v/>
      </c>
      <c r="D192" s="71" t="str">
        <f t="array" ref="D192">IF(B192="","",INDEX('Bán nhanh'!$B$4:$B$103,INT((ROW()-4)/10)+1))</f>
        <v/>
      </c>
      <c r="E192" s="58" t="str">
        <f t="array" ref="E192">IFERROR(INDEX('Mẻ sữa'!$B$4:$B$203,MATCH(D192,'Mẻ sữa'!$C$4:$C$203,0)),"")</f>
        <v/>
      </c>
      <c r="F192" s="66">
        <f t="array" ref="F192">IF(B192="",0,INDEX('Bán nhanh'!$D$4:$M$103,INT((ROW()-4)/10)+1,MOD(ROW()-4,10)+1))</f>
        <v>0</v>
      </c>
      <c r="G192" s="46">
        <f t="array" ref="G192">IFERROR(INDEX('Sản phẩm'!$F$4:$F$103,MATCH(B192,'Sản phẩm'!$D$4:$D$103,0)),0)</f>
        <v>0</v>
      </c>
      <c r="H192" s="67">
        <f t="shared" si="5"/>
        <v>0</v>
      </c>
      <c r="I192" s="46">
        <f t="shared" si="1"/>
        <v>0</v>
      </c>
      <c r="J192" s="46">
        <f t="array" ref="J192">IFERROR(INDEX('Sản phẩm'!$G$4:$G$103,MATCH(B192,'Sản phẩm'!$D$4:$D$103,0)),0)</f>
        <v>0</v>
      </c>
      <c r="K192" s="46">
        <f t="array" ref="K192">IFERROR(J192*INDEX('Mẻ sữa'!$N$4:$N$203,MATCH(D192,'Mẻ sữa'!$C$4:$C$203,0)),0)</f>
        <v>0</v>
      </c>
      <c r="L192" s="46">
        <f t="array" ref="L192">IFERROR(INDEX('Sản phẩm'!$I$4:$I$103,MATCH(B192,'Sản phẩm'!$D$4:$D$103,0)),0)</f>
        <v>0</v>
      </c>
      <c r="M192" s="72" t="str">
        <f t="array" ref="M192">IFERROR(INDEX('Sản phẩm'!$J$4:$J$103,MATCH(B192,'Sản phẩm'!$D$4:$D$103,0)),0)</f>
        <v/>
      </c>
      <c r="N192" s="46">
        <f>IF(B192="",0,(K192+L192+M192)*'Thiết lập'!$B$8)</f>
        <v>0</v>
      </c>
      <c r="O192" s="46">
        <f t="shared" si="2"/>
        <v>0</v>
      </c>
      <c r="P192" s="46">
        <f t="shared" si="3"/>
        <v>0</v>
      </c>
      <c r="Q192" s="46">
        <f t="shared" si="4"/>
        <v>0</v>
      </c>
      <c r="R192" s="71" t="str">
        <f t="array" ref="R192">IF(B192="","",INDEX('Bán nhanh'!$C$4:$C$103,INT((ROW()-4)/10)+1))</f>
        <v/>
      </c>
      <c r="S192" s="71" t="str">
        <f t="array" ref="S192">IF(B192="","",INDEX('Bán nhanh'!$P$4:$P$103,INT((ROW()-4)/10)+1))</f>
        <v/>
      </c>
      <c r="T192" s="58"/>
      <c r="U192" s="68" t="str">
        <f>IF('Mẻ sữa'!F193&lt;&gt;"",'Mẻ sữa'!F193,"")</f>
        <v/>
      </c>
      <c r="V192" s="68"/>
      <c r="W192" s="87"/>
      <c r="X192" s="36"/>
      <c r="Y192" s="36"/>
      <c r="Z192" s="36"/>
    </row>
    <row r="193" ht="15.75" customHeight="1">
      <c r="A193" s="70" t="str">
        <f t="array" ref="A193">IF(B193="","",INDEX('Bán nhanh'!$A$4:$A$103,INT((ROW()-4)/10)+1))</f>
        <v/>
      </c>
      <c r="B193" s="71" t="str">
        <f t="array" ref="B193">IF(OR(INDEX('Bán nhanh'!$D$3:$M$3,1,MOD(ROW()-4,10)+1)="",INDEX('Bán nhanh'!$D$4:$M$103,INT((ROW()-4)/10)+1,MOD(ROW()-4,10)+1)&lt;=0),"",INDEX('Bán nhanh'!$D$3:$M$3,1,MOD(ROW()-4,10)+1))</f>
        <v/>
      </c>
      <c r="C193" s="58" t="str">
        <f t="array" ref="C193">IFERROR(INDEX('Sản phẩm'!$A$4:$A$103,MATCH(B193,'Sản phẩm'!$D$4:$D$103,0)),"")</f>
        <v/>
      </c>
      <c r="D193" s="71" t="str">
        <f t="array" ref="D193">IF(B193="","",INDEX('Bán nhanh'!$B$4:$B$103,INT((ROW()-4)/10)+1))</f>
        <v/>
      </c>
      <c r="E193" s="58" t="str">
        <f t="array" ref="E193">IFERROR(INDEX('Mẻ sữa'!$B$4:$B$203,MATCH(D193,'Mẻ sữa'!$C$4:$C$203,0)),"")</f>
        <v/>
      </c>
      <c r="F193" s="66">
        <f t="array" ref="F193">IF(B193="",0,INDEX('Bán nhanh'!$D$4:$M$103,INT((ROW()-4)/10)+1,MOD(ROW()-4,10)+1))</f>
        <v>0</v>
      </c>
      <c r="G193" s="46">
        <f t="array" ref="G193">IFERROR(INDEX('Sản phẩm'!$F$4:$F$103,MATCH(B193,'Sản phẩm'!$D$4:$D$103,0)),0)</f>
        <v>0</v>
      </c>
      <c r="H193" s="67">
        <f t="shared" si="5"/>
        <v>0</v>
      </c>
      <c r="I193" s="46">
        <f t="shared" si="1"/>
        <v>0</v>
      </c>
      <c r="J193" s="46">
        <f t="array" ref="J193">IFERROR(INDEX('Sản phẩm'!$G$4:$G$103,MATCH(B193,'Sản phẩm'!$D$4:$D$103,0)),0)</f>
        <v>0</v>
      </c>
      <c r="K193" s="46">
        <f t="array" ref="K193">IFERROR(J193*INDEX('Mẻ sữa'!$N$4:$N$203,MATCH(D193,'Mẻ sữa'!$C$4:$C$203,0)),0)</f>
        <v>0</v>
      </c>
      <c r="L193" s="46">
        <f t="array" ref="L193">IFERROR(INDEX('Sản phẩm'!$I$4:$I$103,MATCH(B193,'Sản phẩm'!$D$4:$D$103,0)),0)</f>
        <v>0</v>
      </c>
      <c r="M193" s="72" t="str">
        <f t="array" ref="M193">IFERROR(INDEX('Sản phẩm'!$J$4:$J$103,MATCH(B193,'Sản phẩm'!$D$4:$D$103,0)),0)</f>
        <v/>
      </c>
      <c r="N193" s="46">
        <f>IF(B193="",0,(K193+L193+M193)*'Thiết lập'!$B$8)</f>
        <v>0</v>
      </c>
      <c r="O193" s="46">
        <f t="shared" si="2"/>
        <v>0</v>
      </c>
      <c r="P193" s="46">
        <f t="shared" si="3"/>
        <v>0</v>
      </c>
      <c r="Q193" s="46">
        <f t="shared" si="4"/>
        <v>0</v>
      </c>
      <c r="R193" s="71" t="str">
        <f t="array" ref="R193">IF(B193="","",INDEX('Bán nhanh'!$C$4:$C$103,INT((ROW()-4)/10)+1))</f>
        <v/>
      </c>
      <c r="S193" s="71" t="str">
        <f t="array" ref="S193">IF(B193="","",INDEX('Bán nhanh'!$P$4:$P$103,INT((ROW()-4)/10)+1))</f>
        <v/>
      </c>
      <c r="T193" s="58"/>
      <c r="U193" s="68" t="str">
        <f>IF('Mẻ sữa'!F194&lt;&gt;"",'Mẻ sữa'!F194,"")</f>
        <v/>
      </c>
      <c r="V193" s="68"/>
      <c r="W193" s="87"/>
      <c r="X193" s="36"/>
      <c r="Y193" s="36"/>
      <c r="Z193" s="36"/>
    </row>
    <row r="194" ht="15.75" customHeight="1">
      <c r="A194" s="70" t="str">
        <f t="array" ref="A194">IF(B194="","",INDEX('Bán nhanh'!$A$4:$A$103,INT((ROW()-4)/10)+1))</f>
        <v/>
      </c>
      <c r="B194" s="71" t="str">
        <f t="array" ref="B194">IF(OR(INDEX('Bán nhanh'!$D$3:$M$3,1,MOD(ROW()-4,10)+1)="",INDEX('Bán nhanh'!$D$4:$M$103,INT((ROW()-4)/10)+1,MOD(ROW()-4,10)+1)&lt;=0),"",INDEX('Bán nhanh'!$D$3:$M$3,1,MOD(ROW()-4,10)+1))</f>
        <v/>
      </c>
      <c r="C194" s="58" t="str">
        <f t="array" ref="C194">IFERROR(INDEX('Sản phẩm'!$A$4:$A$103,MATCH(B194,'Sản phẩm'!$D$4:$D$103,0)),"")</f>
        <v/>
      </c>
      <c r="D194" s="71" t="str">
        <f t="array" ref="D194">IF(B194="","",INDEX('Bán nhanh'!$B$4:$B$103,INT((ROW()-4)/10)+1))</f>
        <v/>
      </c>
      <c r="E194" s="58" t="str">
        <f t="array" ref="E194">IFERROR(INDEX('Mẻ sữa'!$B$4:$B$203,MATCH(D194,'Mẻ sữa'!$C$4:$C$203,0)),"")</f>
        <v/>
      </c>
      <c r="F194" s="66">
        <f t="array" ref="F194">IF(B194="",0,INDEX('Bán nhanh'!$D$4:$M$103,INT((ROW()-4)/10)+1,MOD(ROW()-4,10)+1))</f>
        <v>0</v>
      </c>
      <c r="G194" s="46">
        <f t="array" ref="G194">IFERROR(INDEX('Sản phẩm'!$F$4:$F$103,MATCH(B194,'Sản phẩm'!$D$4:$D$103,0)),0)</f>
        <v>0</v>
      </c>
      <c r="H194" s="67">
        <f t="shared" si="5"/>
        <v>0</v>
      </c>
      <c r="I194" s="46">
        <f t="shared" si="1"/>
        <v>0</v>
      </c>
      <c r="J194" s="46">
        <f t="array" ref="J194">IFERROR(INDEX('Sản phẩm'!$G$4:$G$103,MATCH(B194,'Sản phẩm'!$D$4:$D$103,0)),0)</f>
        <v>0</v>
      </c>
      <c r="K194" s="46">
        <f t="array" ref="K194">IFERROR(J194*INDEX('Mẻ sữa'!$N$4:$N$203,MATCH(D194,'Mẻ sữa'!$C$4:$C$203,0)),0)</f>
        <v>0</v>
      </c>
      <c r="L194" s="46">
        <f t="array" ref="L194">IFERROR(INDEX('Sản phẩm'!$I$4:$I$103,MATCH(B194,'Sản phẩm'!$D$4:$D$103,0)),0)</f>
        <v>0</v>
      </c>
      <c r="M194" s="72" t="str">
        <f t="array" ref="M194">IFERROR(INDEX('Sản phẩm'!$J$4:$J$103,MATCH(B194,'Sản phẩm'!$D$4:$D$103,0)),0)</f>
        <v/>
      </c>
      <c r="N194" s="46">
        <f>IF(B194="",0,(K194+L194+M194)*'Thiết lập'!$B$8)</f>
        <v>0</v>
      </c>
      <c r="O194" s="46">
        <f t="shared" si="2"/>
        <v>0</v>
      </c>
      <c r="P194" s="46">
        <f t="shared" si="3"/>
        <v>0</v>
      </c>
      <c r="Q194" s="46">
        <f t="shared" si="4"/>
        <v>0</v>
      </c>
      <c r="R194" s="71" t="str">
        <f t="array" ref="R194">IF(B194="","",INDEX('Bán nhanh'!$C$4:$C$103,INT((ROW()-4)/10)+1))</f>
        <v/>
      </c>
      <c r="S194" s="71" t="str">
        <f t="array" ref="S194">IF(B194="","",INDEX('Bán nhanh'!$P$4:$P$103,INT((ROW()-4)/10)+1))</f>
        <v/>
      </c>
      <c r="T194" s="58"/>
      <c r="U194" s="68" t="str">
        <f>IF('Mẻ sữa'!F195&lt;&gt;"",'Mẻ sữa'!F195,"")</f>
        <v/>
      </c>
      <c r="V194" s="68"/>
      <c r="W194" s="87"/>
      <c r="X194" s="36"/>
      <c r="Y194" s="36"/>
      <c r="Z194" s="36"/>
    </row>
    <row r="195" ht="15.75" customHeight="1">
      <c r="A195" s="70" t="str">
        <f t="array" ref="A195">IF(B195="","",INDEX('Bán nhanh'!$A$4:$A$103,INT((ROW()-4)/10)+1))</f>
        <v/>
      </c>
      <c r="B195" s="71" t="str">
        <f t="array" ref="B195">IF(OR(INDEX('Bán nhanh'!$D$3:$M$3,1,MOD(ROW()-4,10)+1)="",INDEX('Bán nhanh'!$D$4:$M$103,INT((ROW()-4)/10)+1,MOD(ROW()-4,10)+1)&lt;=0),"",INDEX('Bán nhanh'!$D$3:$M$3,1,MOD(ROW()-4,10)+1))</f>
        <v/>
      </c>
      <c r="C195" s="58" t="str">
        <f t="array" ref="C195">IFERROR(INDEX('Sản phẩm'!$A$4:$A$103,MATCH(B195,'Sản phẩm'!$D$4:$D$103,0)),"")</f>
        <v/>
      </c>
      <c r="D195" s="71" t="str">
        <f t="array" ref="D195">IF(B195="","",INDEX('Bán nhanh'!$B$4:$B$103,INT((ROW()-4)/10)+1))</f>
        <v/>
      </c>
      <c r="E195" s="58" t="str">
        <f t="array" ref="E195">IFERROR(INDEX('Mẻ sữa'!$B$4:$B$203,MATCH(D195,'Mẻ sữa'!$C$4:$C$203,0)),"")</f>
        <v/>
      </c>
      <c r="F195" s="66">
        <f t="array" ref="F195">IF(B195="",0,INDEX('Bán nhanh'!$D$4:$M$103,INT((ROW()-4)/10)+1,MOD(ROW()-4,10)+1))</f>
        <v>0</v>
      </c>
      <c r="G195" s="46">
        <f t="array" ref="G195">IFERROR(INDEX('Sản phẩm'!$F$4:$F$103,MATCH(B195,'Sản phẩm'!$D$4:$D$103,0)),0)</f>
        <v>0</v>
      </c>
      <c r="H195" s="67">
        <f t="shared" si="5"/>
        <v>0</v>
      </c>
      <c r="I195" s="46">
        <f t="shared" si="1"/>
        <v>0</v>
      </c>
      <c r="J195" s="46">
        <f t="array" ref="J195">IFERROR(INDEX('Sản phẩm'!$G$4:$G$103,MATCH(B195,'Sản phẩm'!$D$4:$D$103,0)),0)</f>
        <v>0</v>
      </c>
      <c r="K195" s="46">
        <f t="array" ref="K195">IFERROR(J195*INDEX('Mẻ sữa'!$N$4:$N$203,MATCH(D195,'Mẻ sữa'!$C$4:$C$203,0)),0)</f>
        <v>0</v>
      </c>
      <c r="L195" s="46">
        <f t="array" ref="L195">IFERROR(INDEX('Sản phẩm'!$I$4:$I$103,MATCH(B195,'Sản phẩm'!$D$4:$D$103,0)),0)</f>
        <v>0</v>
      </c>
      <c r="M195" s="72" t="str">
        <f t="array" ref="M195">IFERROR(INDEX('Sản phẩm'!$J$4:$J$103,MATCH(B195,'Sản phẩm'!$D$4:$D$103,0)),0)</f>
        <v/>
      </c>
      <c r="N195" s="46">
        <f>IF(B195="",0,(K195+L195+M195)*'Thiết lập'!$B$8)</f>
        <v>0</v>
      </c>
      <c r="O195" s="46">
        <f t="shared" si="2"/>
        <v>0</v>
      </c>
      <c r="P195" s="46">
        <f t="shared" si="3"/>
        <v>0</v>
      </c>
      <c r="Q195" s="46">
        <f t="shared" si="4"/>
        <v>0</v>
      </c>
      <c r="R195" s="71" t="str">
        <f t="array" ref="R195">IF(B195="","",INDEX('Bán nhanh'!$C$4:$C$103,INT((ROW()-4)/10)+1))</f>
        <v/>
      </c>
      <c r="S195" s="71" t="str">
        <f t="array" ref="S195">IF(B195="","",INDEX('Bán nhanh'!$P$4:$P$103,INT((ROW()-4)/10)+1))</f>
        <v/>
      </c>
      <c r="T195" s="58"/>
      <c r="U195" s="68" t="str">
        <f>IF('Mẻ sữa'!F196&lt;&gt;"",'Mẻ sữa'!F196,"")</f>
        <v/>
      </c>
      <c r="V195" s="68"/>
      <c r="W195" s="87"/>
      <c r="X195" s="36"/>
      <c r="Y195" s="36"/>
      <c r="Z195" s="36"/>
    </row>
    <row r="196" ht="15.75" customHeight="1">
      <c r="A196" s="70" t="str">
        <f t="array" ref="A196">IF(B196="","",INDEX('Bán nhanh'!$A$4:$A$103,INT((ROW()-4)/10)+1))</f>
        <v/>
      </c>
      <c r="B196" s="71" t="str">
        <f t="array" ref="B196">IF(OR(INDEX('Bán nhanh'!$D$3:$M$3,1,MOD(ROW()-4,10)+1)="",INDEX('Bán nhanh'!$D$4:$M$103,INT((ROW()-4)/10)+1,MOD(ROW()-4,10)+1)&lt;=0),"",INDEX('Bán nhanh'!$D$3:$M$3,1,MOD(ROW()-4,10)+1))</f>
        <v/>
      </c>
      <c r="C196" s="58" t="str">
        <f t="array" ref="C196">IFERROR(INDEX('Sản phẩm'!$A$4:$A$103,MATCH(B196,'Sản phẩm'!$D$4:$D$103,0)),"")</f>
        <v/>
      </c>
      <c r="D196" s="71" t="str">
        <f t="array" ref="D196">IF(B196="","",INDEX('Bán nhanh'!$B$4:$B$103,INT((ROW()-4)/10)+1))</f>
        <v/>
      </c>
      <c r="E196" s="58" t="str">
        <f t="array" ref="E196">IFERROR(INDEX('Mẻ sữa'!$B$4:$B$203,MATCH(D196,'Mẻ sữa'!$C$4:$C$203,0)),"")</f>
        <v/>
      </c>
      <c r="F196" s="66">
        <f t="array" ref="F196">IF(B196="",0,INDEX('Bán nhanh'!$D$4:$M$103,INT((ROW()-4)/10)+1,MOD(ROW()-4,10)+1))</f>
        <v>0</v>
      </c>
      <c r="G196" s="46">
        <f t="array" ref="G196">IFERROR(INDEX('Sản phẩm'!$F$4:$F$103,MATCH(B196,'Sản phẩm'!$D$4:$D$103,0)),0)</f>
        <v>0</v>
      </c>
      <c r="H196" s="67">
        <f t="shared" si="5"/>
        <v>0</v>
      </c>
      <c r="I196" s="46">
        <f t="shared" si="1"/>
        <v>0</v>
      </c>
      <c r="J196" s="46">
        <f t="array" ref="J196">IFERROR(INDEX('Sản phẩm'!$G$4:$G$103,MATCH(B196,'Sản phẩm'!$D$4:$D$103,0)),0)</f>
        <v>0</v>
      </c>
      <c r="K196" s="46">
        <f t="array" ref="K196">IFERROR(J196*INDEX('Mẻ sữa'!$N$4:$N$203,MATCH(D196,'Mẻ sữa'!$C$4:$C$203,0)),0)</f>
        <v>0</v>
      </c>
      <c r="L196" s="46">
        <f t="array" ref="L196">IFERROR(INDEX('Sản phẩm'!$I$4:$I$103,MATCH(B196,'Sản phẩm'!$D$4:$D$103,0)),0)</f>
        <v>0</v>
      </c>
      <c r="M196" s="72" t="str">
        <f t="array" ref="M196">IFERROR(INDEX('Sản phẩm'!$J$4:$J$103,MATCH(B196,'Sản phẩm'!$D$4:$D$103,0)),0)</f>
        <v/>
      </c>
      <c r="N196" s="46">
        <f>IF(B196="",0,(K196+L196+M196)*'Thiết lập'!$B$8)</f>
        <v>0</v>
      </c>
      <c r="O196" s="46">
        <f t="shared" si="2"/>
        <v>0</v>
      </c>
      <c r="P196" s="46">
        <f t="shared" si="3"/>
        <v>0</v>
      </c>
      <c r="Q196" s="46">
        <f t="shared" si="4"/>
        <v>0</v>
      </c>
      <c r="R196" s="71" t="str">
        <f t="array" ref="R196">IF(B196="","",INDEX('Bán nhanh'!$C$4:$C$103,INT((ROW()-4)/10)+1))</f>
        <v/>
      </c>
      <c r="S196" s="71" t="str">
        <f t="array" ref="S196">IF(B196="","",INDEX('Bán nhanh'!$P$4:$P$103,INT((ROW()-4)/10)+1))</f>
        <v/>
      </c>
      <c r="T196" s="58"/>
      <c r="U196" s="68" t="str">
        <f>IF('Mẻ sữa'!F197&lt;&gt;"",'Mẻ sữa'!F197,"")</f>
        <v/>
      </c>
      <c r="V196" s="68"/>
      <c r="W196" s="87"/>
      <c r="X196" s="36"/>
      <c r="Y196" s="36"/>
      <c r="Z196" s="36"/>
    </row>
    <row r="197" ht="15.75" customHeight="1">
      <c r="A197" s="70" t="str">
        <f t="array" ref="A197">IF(B197="","",INDEX('Bán nhanh'!$A$4:$A$103,INT((ROW()-4)/10)+1))</f>
        <v/>
      </c>
      <c r="B197" s="71" t="str">
        <f t="array" ref="B197">IF(OR(INDEX('Bán nhanh'!$D$3:$M$3,1,MOD(ROW()-4,10)+1)="",INDEX('Bán nhanh'!$D$4:$M$103,INT((ROW()-4)/10)+1,MOD(ROW()-4,10)+1)&lt;=0),"",INDEX('Bán nhanh'!$D$3:$M$3,1,MOD(ROW()-4,10)+1))</f>
        <v/>
      </c>
      <c r="C197" s="58" t="str">
        <f t="array" ref="C197">IFERROR(INDEX('Sản phẩm'!$A$4:$A$103,MATCH(B197,'Sản phẩm'!$D$4:$D$103,0)),"")</f>
        <v/>
      </c>
      <c r="D197" s="71" t="str">
        <f t="array" ref="D197">IF(B197="","",INDEX('Bán nhanh'!$B$4:$B$103,INT((ROW()-4)/10)+1))</f>
        <v/>
      </c>
      <c r="E197" s="58" t="str">
        <f t="array" ref="E197">IFERROR(INDEX('Mẻ sữa'!$B$4:$B$203,MATCH(D197,'Mẻ sữa'!$C$4:$C$203,0)),"")</f>
        <v/>
      </c>
      <c r="F197" s="66">
        <f t="array" ref="F197">IF(B197="",0,INDEX('Bán nhanh'!$D$4:$M$103,INT((ROW()-4)/10)+1,MOD(ROW()-4,10)+1))</f>
        <v>0</v>
      </c>
      <c r="G197" s="46">
        <f t="array" ref="G197">IFERROR(INDEX('Sản phẩm'!$F$4:$F$103,MATCH(B197,'Sản phẩm'!$D$4:$D$103,0)),0)</f>
        <v>0</v>
      </c>
      <c r="H197" s="67">
        <f t="shared" si="5"/>
        <v>0</v>
      </c>
      <c r="I197" s="46">
        <f t="shared" si="1"/>
        <v>0</v>
      </c>
      <c r="J197" s="46">
        <f t="array" ref="J197">IFERROR(INDEX('Sản phẩm'!$G$4:$G$103,MATCH(B197,'Sản phẩm'!$D$4:$D$103,0)),0)</f>
        <v>0</v>
      </c>
      <c r="K197" s="46">
        <f t="array" ref="K197">IFERROR(J197*INDEX('Mẻ sữa'!$N$4:$N$203,MATCH(D197,'Mẻ sữa'!$C$4:$C$203,0)),0)</f>
        <v>0</v>
      </c>
      <c r="L197" s="46">
        <f t="array" ref="L197">IFERROR(INDEX('Sản phẩm'!$I$4:$I$103,MATCH(B197,'Sản phẩm'!$D$4:$D$103,0)),0)</f>
        <v>0</v>
      </c>
      <c r="M197" s="72" t="str">
        <f t="array" ref="M197">IFERROR(INDEX('Sản phẩm'!$J$4:$J$103,MATCH(B197,'Sản phẩm'!$D$4:$D$103,0)),0)</f>
        <v/>
      </c>
      <c r="N197" s="46">
        <f>IF(B197="",0,(K197+L197+M197)*'Thiết lập'!$B$8)</f>
        <v>0</v>
      </c>
      <c r="O197" s="46">
        <f t="shared" si="2"/>
        <v>0</v>
      </c>
      <c r="P197" s="46">
        <f t="shared" si="3"/>
        <v>0</v>
      </c>
      <c r="Q197" s="46">
        <f t="shared" si="4"/>
        <v>0</v>
      </c>
      <c r="R197" s="71" t="str">
        <f t="array" ref="R197">IF(B197="","",INDEX('Bán nhanh'!$C$4:$C$103,INT((ROW()-4)/10)+1))</f>
        <v/>
      </c>
      <c r="S197" s="71" t="str">
        <f t="array" ref="S197">IF(B197="","",INDEX('Bán nhanh'!$P$4:$P$103,INT((ROW()-4)/10)+1))</f>
        <v/>
      </c>
      <c r="T197" s="58"/>
      <c r="U197" s="68" t="str">
        <f>IF('Mẻ sữa'!F198&lt;&gt;"",'Mẻ sữa'!F198,"")</f>
        <v/>
      </c>
      <c r="V197" s="68"/>
      <c r="W197" s="87"/>
      <c r="X197" s="36"/>
      <c r="Y197" s="36"/>
      <c r="Z197" s="36"/>
    </row>
    <row r="198" ht="15.75" customHeight="1">
      <c r="A198" s="70" t="str">
        <f t="array" ref="A198">IF(B198="","",INDEX('Bán nhanh'!$A$4:$A$103,INT((ROW()-4)/10)+1))</f>
        <v/>
      </c>
      <c r="B198" s="71" t="str">
        <f t="array" ref="B198">IF(OR(INDEX('Bán nhanh'!$D$3:$M$3,1,MOD(ROW()-4,10)+1)="",INDEX('Bán nhanh'!$D$4:$M$103,INT((ROW()-4)/10)+1,MOD(ROW()-4,10)+1)&lt;=0),"",INDEX('Bán nhanh'!$D$3:$M$3,1,MOD(ROW()-4,10)+1))</f>
        <v/>
      </c>
      <c r="C198" s="58" t="str">
        <f t="array" ref="C198">IFERROR(INDEX('Sản phẩm'!$A$4:$A$103,MATCH(B198,'Sản phẩm'!$D$4:$D$103,0)),"")</f>
        <v/>
      </c>
      <c r="D198" s="71" t="str">
        <f t="array" ref="D198">IF(B198="","",INDEX('Bán nhanh'!$B$4:$B$103,INT((ROW()-4)/10)+1))</f>
        <v/>
      </c>
      <c r="E198" s="58" t="str">
        <f t="array" ref="E198">IFERROR(INDEX('Mẻ sữa'!$B$4:$B$203,MATCH(D198,'Mẻ sữa'!$C$4:$C$203,0)),"")</f>
        <v/>
      </c>
      <c r="F198" s="66">
        <f t="array" ref="F198">IF(B198="",0,INDEX('Bán nhanh'!$D$4:$M$103,INT((ROW()-4)/10)+1,MOD(ROW()-4,10)+1))</f>
        <v>0</v>
      </c>
      <c r="G198" s="46">
        <f t="array" ref="G198">IFERROR(INDEX('Sản phẩm'!$F$4:$F$103,MATCH(B198,'Sản phẩm'!$D$4:$D$103,0)),0)</f>
        <v>0</v>
      </c>
      <c r="H198" s="67">
        <f t="shared" si="5"/>
        <v>0</v>
      </c>
      <c r="I198" s="46">
        <f t="shared" si="1"/>
        <v>0</v>
      </c>
      <c r="J198" s="46">
        <f t="array" ref="J198">IFERROR(INDEX('Sản phẩm'!$G$4:$G$103,MATCH(B198,'Sản phẩm'!$D$4:$D$103,0)),0)</f>
        <v>0</v>
      </c>
      <c r="K198" s="46">
        <f t="array" ref="K198">IFERROR(J198*INDEX('Mẻ sữa'!$N$4:$N$203,MATCH(D198,'Mẻ sữa'!$C$4:$C$203,0)),0)</f>
        <v>0</v>
      </c>
      <c r="L198" s="46">
        <f t="array" ref="L198">IFERROR(INDEX('Sản phẩm'!$I$4:$I$103,MATCH(B198,'Sản phẩm'!$D$4:$D$103,0)),0)</f>
        <v>0</v>
      </c>
      <c r="M198" s="72" t="str">
        <f t="array" ref="M198">IFERROR(INDEX('Sản phẩm'!$J$4:$J$103,MATCH(B198,'Sản phẩm'!$D$4:$D$103,0)),0)</f>
        <v/>
      </c>
      <c r="N198" s="46">
        <f>IF(B198="",0,(K198+L198+M198)*'Thiết lập'!$B$8)</f>
        <v>0</v>
      </c>
      <c r="O198" s="46">
        <f t="shared" si="2"/>
        <v>0</v>
      </c>
      <c r="P198" s="46">
        <f t="shared" si="3"/>
        <v>0</v>
      </c>
      <c r="Q198" s="46">
        <f t="shared" si="4"/>
        <v>0</v>
      </c>
      <c r="R198" s="71" t="str">
        <f t="array" ref="R198">IF(B198="","",INDEX('Bán nhanh'!$C$4:$C$103,INT((ROW()-4)/10)+1))</f>
        <v/>
      </c>
      <c r="S198" s="71" t="str">
        <f t="array" ref="S198">IF(B198="","",INDEX('Bán nhanh'!$P$4:$P$103,INT((ROW()-4)/10)+1))</f>
        <v/>
      </c>
      <c r="T198" s="58"/>
      <c r="U198" s="68" t="str">
        <f>IF('Mẻ sữa'!F199&lt;&gt;"",'Mẻ sữa'!F199,"")</f>
        <v/>
      </c>
      <c r="V198" s="68"/>
      <c r="W198" s="87"/>
      <c r="X198" s="36"/>
      <c r="Y198" s="36"/>
      <c r="Z198" s="36"/>
    </row>
    <row r="199" ht="15.75" customHeight="1">
      <c r="A199" s="70" t="str">
        <f t="array" ref="A199">IF(B199="","",INDEX('Bán nhanh'!$A$4:$A$103,INT((ROW()-4)/10)+1))</f>
        <v/>
      </c>
      <c r="B199" s="71" t="str">
        <f t="array" ref="B199">IF(OR(INDEX('Bán nhanh'!$D$3:$M$3,1,MOD(ROW()-4,10)+1)="",INDEX('Bán nhanh'!$D$4:$M$103,INT((ROW()-4)/10)+1,MOD(ROW()-4,10)+1)&lt;=0),"",INDEX('Bán nhanh'!$D$3:$M$3,1,MOD(ROW()-4,10)+1))</f>
        <v/>
      </c>
      <c r="C199" s="58" t="str">
        <f t="array" ref="C199">IFERROR(INDEX('Sản phẩm'!$A$4:$A$103,MATCH(B199,'Sản phẩm'!$D$4:$D$103,0)),"")</f>
        <v/>
      </c>
      <c r="D199" s="71" t="str">
        <f t="array" ref="D199">IF(B199="","",INDEX('Bán nhanh'!$B$4:$B$103,INT((ROW()-4)/10)+1))</f>
        <v/>
      </c>
      <c r="E199" s="58" t="str">
        <f t="array" ref="E199">IFERROR(INDEX('Mẻ sữa'!$B$4:$B$203,MATCH(D199,'Mẻ sữa'!$C$4:$C$203,0)),"")</f>
        <v/>
      </c>
      <c r="F199" s="66">
        <f t="array" ref="F199">IF(B199="",0,INDEX('Bán nhanh'!$D$4:$M$103,INT((ROW()-4)/10)+1,MOD(ROW()-4,10)+1))</f>
        <v>0</v>
      </c>
      <c r="G199" s="46">
        <f t="array" ref="G199">IFERROR(INDEX('Sản phẩm'!$F$4:$F$103,MATCH(B199,'Sản phẩm'!$D$4:$D$103,0)),0)</f>
        <v>0</v>
      </c>
      <c r="H199" s="67">
        <f t="shared" si="5"/>
        <v>0</v>
      </c>
      <c r="I199" s="46">
        <f t="shared" si="1"/>
        <v>0</v>
      </c>
      <c r="J199" s="46">
        <f t="array" ref="J199">IFERROR(INDEX('Sản phẩm'!$G$4:$G$103,MATCH(B199,'Sản phẩm'!$D$4:$D$103,0)),0)</f>
        <v>0</v>
      </c>
      <c r="K199" s="46">
        <f t="array" ref="K199">IFERROR(J199*INDEX('Mẻ sữa'!$N$4:$N$203,MATCH(D199,'Mẻ sữa'!$C$4:$C$203,0)),0)</f>
        <v>0</v>
      </c>
      <c r="L199" s="46">
        <f t="array" ref="L199">IFERROR(INDEX('Sản phẩm'!$I$4:$I$103,MATCH(B199,'Sản phẩm'!$D$4:$D$103,0)),0)</f>
        <v>0</v>
      </c>
      <c r="M199" s="72" t="str">
        <f t="array" ref="M199">IFERROR(INDEX('Sản phẩm'!$J$4:$J$103,MATCH(B199,'Sản phẩm'!$D$4:$D$103,0)),0)</f>
        <v/>
      </c>
      <c r="N199" s="46">
        <f>IF(B199="",0,(K199+L199+M199)*'Thiết lập'!$B$8)</f>
        <v>0</v>
      </c>
      <c r="O199" s="46">
        <f t="shared" si="2"/>
        <v>0</v>
      </c>
      <c r="P199" s="46">
        <f t="shared" si="3"/>
        <v>0</v>
      </c>
      <c r="Q199" s="46">
        <f t="shared" si="4"/>
        <v>0</v>
      </c>
      <c r="R199" s="71" t="str">
        <f t="array" ref="R199">IF(B199="","",INDEX('Bán nhanh'!$C$4:$C$103,INT((ROW()-4)/10)+1))</f>
        <v/>
      </c>
      <c r="S199" s="71" t="str">
        <f t="array" ref="S199">IF(B199="","",INDEX('Bán nhanh'!$P$4:$P$103,INT((ROW()-4)/10)+1))</f>
        <v/>
      </c>
      <c r="T199" s="58"/>
      <c r="U199" s="68" t="str">
        <f>IF('Mẻ sữa'!F200&lt;&gt;"",'Mẻ sữa'!F200,"")</f>
        <v/>
      </c>
      <c r="V199" s="68"/>
      <c r="W199" s="87"/>
      <c r="X199" s="36"/>
      <c r="Y199" s="36"/>
      <c r="Z199" s="36"/>
    </row>
    <row r="200" ht="15.75" customHeight="1">
      <c r="A200" s="70" t="str">
        <f t="array" ref="A200">IF(B200="","",INDEX('Bán nhanh'!$A$4:$A$103,INT((ROW()-4)/10)+1))</f>
        <v/>
      </c>
      <c r="B200" s="71" t="str">
        <f t="array" ref="B200">IF(OR(INDEX('Bán nhanh'!$D$3:$M$3,1,MOD(ROW()-4,10)+1)="",INDEX('Bán nhanh'!$D$4:$M$103,INT((ROW()-4)/10)+1,MOD(ROW()-4,10)+1)&lt;=0),"",INDEX('Bán nhanh'!$D$3:$M$3,1,MOD(ROW()-4,10)+1))</f>
        <v/>
      </c>
      <c r="C200" s="58" t="str">
        <f t="array" ref="C200">IFERROR(INDEX('Sản phẩm'!$A$4:$A$103,MATCH(B200,'Sản phẩm'!$D$4:$D$103,0)),"")</f>
        <v/>
      </c>
      <c r="D200" s="71" t="str">
        <f t="array" ref="D200">IF(B200="","",INDEX('Bán nhanh'!$B$4:$B$103,INT((ROW()-4)/10)+1))</f>
        <v/>
      </c>
      <c r="E200" s="58" t="str">
        <f t="array" ref="E200">IFERROR(INDEX('Mẻ sữa'!$B$4:$B$203,MATCH(D200,'Mẻ sữa'!$C$4:$C$203,0)),"")</f>
        <v/>
      </c>
      <c r="F200" s="66">
        <f t="array" ref="F200">IF(B200="",0,INDEX('Bán nhanh'!$D$4:$M$103,INT((ROW()-4)/10)+1,MOD(ROW()-4,10)+1))</f>
        <v>0</v>
      </c>
      <c r="G200" s="46">
        <f t="array" ref="G200">IFERROR(INDEX('Sản phẩm'!$F$4:$F$103,MATCH(B200,'Sản phẩm'!$D$4:$D$103,0)),0)</f>
        <v>0</v>
      </c>
      <c r="H200" s="67">
        <f t="shared" si="5"/>
        <v>0</v>
      </c>
      <c r="I200" s="46">
        <f t="shared" si="1"/>
        <v>0</v>
      </c>
      <c r="J200" s="46">
        <f t="array" ref="J200">IFERROR(INDEX('Sản phẩm'!$G$4:$G$103,MATCH(B200,'Sản phẩm'!$D$4:$D$103,0)),0)</f>
        <v>0</v>
      </c>
      <c r="K200" s="46">
        <f t="array" ref="K200">IFERROR(J200*INDEX('Mẻ sữa'!$N$4:$N$203,MATCH(D200,'Mẻ sữa'!$C$4:$C$203,0)),0)</f>
        <v>0</v>
      </c>
      <c r="L200" s="46">
        <f t="array" ref="L200">IFERROR(INDEX('Sản phẩm'!$I$4:$I$103,MATCH(B200,'Sản phẩm'!$D$4:$D$103,0)),0)</f>
        <v>0</v>
      </c>
      <c r="M200" s="72" t="str">
        <f t="array" ref="M200">IFERROR(INDEX('Sản phẩm'!$J$4:$J$103,MATCH(B200,'Sản phẩm'!$D$4:$D$103,0)),0)</f>
        <v/>
      </c>
      <c r="N200" s="46">
        <f>IF(B200="",0,(K200+L200+M200)*'Thiết lập'!$B$8)</f>
        <v>0</v>
      </c>
      <c r="O200" s="46">
        <f t="shared" si="2"/>
        <v>0</v>
      </c>
      <c r="P200" s="46">
        <f t="shared" si="3"/>
        <v>0</v>
      </c>
      <c r="Q200" s="46">
        <f t="shared" si="4"/>
        <v>0</v>
      </c>
      <c r="R200" s="71" t="str">
        <f t="array" ref="R200">IF(B200="","",INDEX('Bán nhanh'!$C$4:$C$103,INT((ROW()-4)/10)+1))</f>
        <v/>
      </c>
      <c r="S200" s="71" t="str">
        <f t="array" ref="S200">IF(B200="","",INDEX('Bán nhanh'!$P$4:$P$103,INT((ROW()-4)/10)+1))</f>
        <v/>
      </c>
      <c r="T200" s="58"/>
      <c r="U200" s="68" t="str">
        <f>IF('Mẻ sữa'!F201&lt;&gt;"",'Mẻ sữa'!F201,"")</f>
        <v/>
      </c>
      <c r="V200" s="68"/>
      <c r="W200" s="87"/>
      <c r="X200" s="36"/>
      <c r="Y200" s="36"/>
      <c r="Z200" s="36"/>
    </row>
    <row r="201" ht="15.75" customHeight="1">
      <c r="A201" s="70" t="str">
        <f t="array" ref="A201">IF(B201="","",INDEX('Bán nhanh'!$A$4:$A$103,INT((ROW()-4)/10)+1))</f>
        <v/>
      </c>
      <c r="B201" s="71" t="str">
        <f t="array" ref="B201">IF(OR(INDEX('Bán nhanh'!$D$3:$M$3,1,MOD(ROW()-4,10)+1)="",INDEX('Bán nhanh'!$D$4:$M$103,INT((ROW()-4)/10)+1,MOD(ROW()-4,10)+1)&lt;=0),"",INDEX('Bán nhanh'!$D$3:$M$3,1,MOD(ROW()-4,10)+1))</f>
        <v/>
      </c>
      <c r="C201" s="58" t="str">
        <f t="array" ref="C201">IFERROR(INDEX('Sản phẩm'!$A$4:$A$103,MATCH(B201,'Sản phẩm'!$D$4:$D$103,0)),"")</f>
        <v/>
      </c>
      <c r="D201" s="71" t="str">
        <f t="array" ref="D201">IF(B201="","",INDEX('Bán nhanh'!$B$4:$B$103,INT((ROW()-4)/10)+1))</f>
        <v/>
      </c>
      <c r="E201" s="58" t="str">
        <f t="array" ref="E201">IFERROR(INDEX('Mẻ sữa'!$B$4:$B$203,MATCH(D201,'Mẻ sữa'!$C$4:$C$203,0)),"")</f>
        <v/>
      </c>
      <c r="F201" s="66">
        <f t="array" ref="F201">IF(B201="",0,INDEX('Bán nhanh'!$D$4:$M$103,INT((ROW()-4)/10)+1,MOD(ROW()-4,10)+1))</f>
        <v>0</v>
      </c>
      <c r="G201" s="46">
        <f t="array" ref="G201">IFERROR(INDEX('Sản phẩm'!$F$4:$F$103,MATCH(B201,'Sản phẩm'!$D$4:$D$103,0)),0)</f>
        <v>0</v>
      </c>
      <c r="H201" s="67">
        <f t="shared" si="5"/>
        <v>0</v>
      </c>
      <c r="I201" s="46">
        <f t="shared" si="1"/>
        <v>0</v>
      </c>
      <c r="J201" s="46">
        <f t="array" ref="J201">IFERROR(INDEX('Sản phẩm'!$G$4:$G$103,MATCH(B201,'Sản phẩm'!$D$4:$D$103,0)),0)</f>
        <v>0</v>
      </c>
      <c r="K201" s="46">
        <f t="array" ref="K201">IFERROR(J201*INDEX('Mẻ sữa'!$N$4:$N$203,MATCH(D201,'Mẻ sữa'!$C$4:$C$203,0)),0)</f>
        <v>0</v>
      </c>
      <c r="L201" s="46">
        <f t="array" ref="L201">IFERROR(INDEX('Sản phẩm'!$I$4:$I$103,MATCH(B201,'Sản phẩm'!$D$4:$D$103,0)),0)</f>
        <v>0</v>
      </c>
      <c r="M201" s="72" t="str">
        <f t="array" ref="M201">IFERROR(INDEX('Sản phẩm'!$J$4:$J$103,MATCH(B201,'Sản phẩm'!$D$4:$D$103,0)),0)</f>
        <v/>
      </c>
      <c r="N201" s="46">
        <f>IF(B201="",0,(K201+L201+M201)*'Thiết lập'!$B$8)</f>
        <v>0</v>
      </c>
      <c r="O201" s="46">
        <f t="shared" si="2"/>
        <v>0</v>
      </c>
      <c r="P201" s="46">
        <f t="shared" si="3"/>
        <v>0</v>
      </c>
      <c r="Q201" s="46">
        <f t="shared" si="4"/>
        <v>0</v>
      </c>
      <c r="R201" s="71" t="str">
        <f t="array" ref="R201">IF(B201="","",INDEX('Bán nhanh'!$C$4:$C$103,INT((ROW()-4)/10)+1))</f>
        <v/>
      </c>
      <c r="S201" s="71" t="str">
        <f t="array" ref="S201">IF(B201="","",INDEX('Bán nhanh'!$P$4:$P$103,INT((ROW()-4)/10)+1))</f>
        <v/>
      </c>
      <c r="T201" s="58"/>
      <c r="U201" s="68" t="str">
        <f>IF('Mẻ sữa'!F202&lt;&gt;"",'Mẻ sữa'!F202,"")</f>
        <v/>
      </c>
      <c r="V201" s="68"/>
      <c r="W201" s="87"/>
      <c r="X201" s="36"/>
      <c r="Y201" s="36"/>
      <c r="Z201" s="36"/>
    </row>
    <row r="202" ht="15.75" customHeight="1">
      <c r="A202" s="70" t="str">
        <f t="array" ref="A202">IF(B202="","",INDEX('Bán nhanh'!$A$4:$A$103,INT((ROW()-4)/10)+1))</f>
        <v/>
      </c>
      <c r="B202" s="71" t="str">
        <f t="array" ref="B202">IF(OR(INDEX('Bán nhanh'!$D$3:$M$3,1,MOD(ROW()-4,10)+1)="",INDEX('Bán nhanh'!$D$4:$M$103,INT((ROW()-4)/10)+1,MOD(ROW()-4,10)+1)&lt;=0),"",INDEX('Bán nhanh'!$D$3:$M$3,1,MOD(ROW()-4,10)+1))</f>
        <v/>
      </c>
      <c r="C202" s="58" t="str">
        <f t="array" ref="C202">IFERROR(INDEX('Sản phẩm'!$A$4:$A$103,MATCH(B202,'Sản phẩm'!$D$4:$D$103,0)),"")</f>
        <v/>
      </c>
      <c r="D202" s="71" t="str">
        <f t="array" ref="D202">IF(B202="","",INDEX('Bán nhanh'!$B$4:$B$103,INT((ROW()-4)/10)+1))</f>
        <v/>
      </c>
      <c r="E202" s="58" t="str">
        <f t="array" ref="E202">IFERROR(INDEX('Mẻ sữa'!$B$4:$B$203,MATCH(D202,'Mẻ sữa'!$C$4:$C$203,0)),"")</f>
        <v/>
      </c>
      <c r="F202" s="66">
        <f t="array" ref="F202">IF(B202="",0,INDEX('Bán nhanh'!$D$4:$M$103,INT((ROW()-4)/10)+1,MOD(ROW()-4,10)+1))</f>
        <v>0</v>
      </c>
      <c r="G202" s="46">
        <f t="array" ref="G202">IFERROR(INDEX('Sản phẩm'!$F$4:$F$103,MATCH(B202,'Sản phẩm'!$D$4:$D$103,0)),0)</f>
        <v>0</v>
      </c>
      <c r="H202" s="67">
        <f t="shared" si="5"/>
        <v>0</v>
      </c>
      <c r="I202" s="46">
        <f t="shared" si="1"/>
        <v>0</v>
      </c>
      <c r="J202" s="46">
        <f t="array" ref="J202">IFERROR(INDEX('Sản phẩm'!$G$4:$G$103,MATCH(B202,'Sản phẩm'!$D$4:$D$103,0)),0)</f>
        <v>0</v>
      </c>
      <c r="K202" s="46">
        <f t="array" ref="K202">IFERROR(J202*INDEX('Mẻ sữa'!$N$4:$N$203,MATCH(D202,'Mẻ sữa'!$C$4:$C$203,0)),0)</f>
        <v>0</v>
      </c>
      <c r="L202" s="46">
        <f t="array" ref="L202">IFERROR(INDEX('Sản phẩm'!$I$4:$I$103,MATCH(B202,'Sản phẩm'!$D$4:$D$103,0)),0)</f>
        <v>0</v>
      </c>
      <c r="M202" s="72" t="str">
        <f t="array" ref="M202">IFERROR(INDEX('Sản phẩm'!$J$4:$J$103,MATCH(B202,'Sản phẩm'!$D$4:$D$103,0)),0)</f>
        <v/>
      </c>
      <c r="N202" s="46">
        <f>IF(B202="",0,(K202+L202+M202)*'Thiết lập'!$B$8)</f>
        <v>0</v>
      </c>
      <c r="O202" s="46">
        <f t="shared" si="2"/>
        <v>0</v>
      </c>
      <c r="P202" s="46">
        <f t="shared" si="3"/>
        <v>0</v>
      </c>
      <c r="Q202" s="46">
        <f t="shared" si="4"/>
        <v>0</v>
      </c>
      <c r="R202" s="71" t="str">
        <f t="array" ref="R202">IF(B202="","",INDEX('Bán nhanh'!$C$4:$C$103,INT((ROW()-4)/10)+1))</f>
        <v/>
      </c>
      <c r="S202" s="71" t="str">
        <f t="array" ref="S202">IF(B202="","",INDEX('Bán nhanh'!$P$4:$P$103,INT((ROW()-4)/10)+1))</f>
        <v/>
      </c>
      <c r="T202" s="58"/>
      <c r="U202" s="68" t="str">
        <f>IF('Mẻ sữa'!F203&lt;&gt;"",'Mẻ sữa'!F203,"")</f>
        <v/>
      </c>
      <c r="V202" s="68"/>
      <c r="W202" s="87"/>
      <c r="X202" s="36"/>
      <c r="Y202" s="36"/>
      <c r="Z202" s="36"/>
    </row>
    <row r="203" ht="15.75" customHeight="1">
      <c r="A203" s="70" t="str">
        <f t="array" ref="A203">IF(B203="","",INDEX('Bán nhanh'!$A$4:$A$103,INT((ROW()-4)/10)+1))</f>
        <v/>
      </c>
      <c r="B203" s="71" t="str">
        <f t="array" ref="B203">IF(OR(INDEX('Bán nhanh'!$D$3:$M$3,1,MOD(ROW()-4,10)+1)="",INDEX('Bán nhanh'!$D$4:$M$103,INT((ROW()-4)/10)+1,MOD(ROW()-4,10)+1)&lt;=0),"",INDEX('Bán nhanh'!$D$3:$M$3,1,MOD(ROW()-4,10)+1))</f>
        <v/>
      </c>
      <c r="C203" s="58" t="str">
        <f t="array" ref="C203">IFERROR(INDEX('Sản phẩm'!$A$4:$A$103,MATCH(B203,'Sản phẩm'!$D$4:$D$103,0)),"")</f>
        <v/>
      </c>
      <c r="D203" s="71" t="str">
        <f t="array" ref="D203">IF(B203="","",INDEX('Bán nhanh'!$B$4:$B$103,INT((ROW()-4)/10)+1))</f>
        <v/>
      </c>
      <c r="E203" s="58" t="str">
        <f t="array" ref="E203">IFERROR(INDEX('Mẻ sữa'!$B$4:$B$203,MATCH(D203,'Mẻ sữa'!$C$4:$C$203,0)),"")</f>
        <v/>
      </c>
      <c r="F203" s="66">
        <f t="array" ref="F203">IF(B203="",0,INDEX('Bán nhanh'!$D$4:$M$103,INT((ROW()-4)/10)+1,MOD(ROW()-4,10)+1))</f>
        <v>0</v>
      </c>
      <c r="G203" s="46">
        <f t="array" ref="G203">IFERROR(INDEX('Sản phẩm'!$F$4:$F$103,MATCH(B203,'Sản phẩm'!$D$4:$D$103,0)),0)</f>
        <v>0</v>
      </c>
      <c r="H203" s="67">
        <f t="shared" si="5"/>
        <v>0</v>
      </c>
      <c r="I203" s="46">
        <f t="shared" si="1"/>
        <v>0</v>
      </c>
      <c r="J203" s="46">
        <f t="array" ref="J203">IFERROR(INDEX('Sản phẩm'!$G$4:$G$103,MATCH(B203,'Sản phẩm'!$D$4:$D$103,0)),0)</f>
        <v>0</v>
      </c>
      <c r="K203" s="46">
        <f t="array" ref="K203">IFERROR(J203*INDEX('Mẻ sữa'!$N$4:$N$203,MATCH(D203,'Mẻ sữa'!$C$4:$C$203,0)),0)</f>
        <v>0</v>
      </c>
      <c r="L203" s="46">
        <f t="array" ref="L203">IFERROR(INDEX('Sản phẩm'!$I$4:$I$103,MATCH(B203,'Sản phẩm'!$D$4:$D$103,0)),0)</f>
        <v>0</v>
      </c>
      <c r="M203" s="72" t="str">
        <f t="array" ref="M203">IFERROR(INDEX('Sản phẩm'!$J$4:$J$103,MATCH(B203,'Sản phẩm'!$D$4:$D$103,0)),0)</f>
        <v/>
      </c>
      <c r="N203" s="46">
        <f>IF(B203="",0,(K203+L203+M203)*'Thiết lập'!$B$8)</f>
        <v>0</v>
      </c>
      <c r="O203" s="46">
        <f t="shared" si="2"/>
        <v>0</v>
      </c>
      <c r="P203" s="46">
        <f t="shared" si="3"/>
        <v>0</v>
      </c>
      <c r="Q203" s="46">
        <f t="shared" si="4"/>
        <v>0</v>
      </c>
      <c r="R203" s="71" t="str">
        <f t="array" ref="R203">IF(B203="","",INDEX('Bán nhanh'!$C$4:$C$103,INT((ROW()-4)/10)+1))</f>
        <v/>
      </c>
      <c r="S203" s="71" t="str">
        <f t="array" ref="S203">IF(B203="","",INDEX('Bán nhanh'!$P$4:$P$103,INT((ROW()-4)/10)+1))</f>
        <v/>
      </c>
      <c r="T203" s="58"/>
      <c r="U203" s="36"/>
      <c r="V203" s="36"/>
      <c r="W203" s="58"/>
      <c r="X203" s="36"/>
      <c r="Y203" s="36"/>
      <c r="Z203" s="36"/>
    </row>
    <row r="204" ht="15.75" customHeight="1">
      <c r="A204" s="70" t="str">
        <f t="array" ref="A204">IF(B204="","",INDEX('Bán nhanh'!$A$4:$A$103,INT((ROW()-4)/10)+1))</f>
        <v/>
      </c>
      <c r="B204" s="71" t="str">
        <f t="array" ref="B204">IF(OR(INDEX('Bán nhanh'!$D$3:$M$3,1,MOD(ROW()-4,10)+1)="",INDEX('Bán nhanh'!$D$4:$M$103,INT((ROW()-4)/10)+1,MOD(ROW()-4,10)+1)&lt;=0),"",INDEX('Bán nhanh'!$D$3:$M$3,1,MOD(ROW()-4,10)+1))</f>
        <v/>
      </c>
      <c r="C204" s="58" t="str">
        <f t="array" ref="C204">IFERROR(INDEX('Sản phẩm'!$A$4:$A$103,MATCH(B204,'Sản phẩm'!$D$4:$D$103,0)),"")</f>
        <v/>
      </c>
      <c r="D204" s="71" t="str">
        <f t="array" ref="D204">IF(B204="","",INDEX('Bán nhanh'!$B$4:$B$103,INT((ROW()-4)/10)+1))</f>
        <v/>
      </c>
      <c r="E204" s="58" t="str">
        <f t="array" ref="E204">IFERROR(INDEX('Mẻ sữa'!$B$4:$B$203,MATCH(D204,'Mẻ sữa'!$C$4:$C$203,0)),"")</f>
        <v/>
      </c>
      <c r="F204" s="66">
        <f t="array" ref="F204">IF(B204="",0,INDEX('Bán nhanh'!$D$4:$M$103,INT((ROW()-4)/10)+1,MOD(ROW()-4,10)+1))</f>
        <v>0</v>
      </c>
      <c r="G204" s="46">
        <f t="array" ref="G204">IFERROR(INDEX('Sản phẩm'!$F$4:$F$103,MATCH(B204,'Sản phẩm'!$D$4:$D$103,0)),0)</f>
        <v>0</v>
      </c>
      <c r="H204" s="67">
        <f t="shared" si="5"/>
        <v>0</v>
      </c>
      <c r="I204" s="46">
        <f t="shared" si="1"/>
        <v>0</v>
      </c>
      <c r="J204" s="46">
        <f t="array" ref="J204">IFERROR(INDEX('Sản phẩm'!$G$4:$G$103,MATCH(B204,'Sản phẩm'!$D$4:$D$103,0)),0)</f>
        <v>0</v>
      </c>
      <c r="K204" s="46">
        <f t="array" ref="K204">IFERROR(J204*INDEX('Mẻ sữa'!$N$4:$N$203,MATCH(D204,'Mẻ sữa'!$C$4:$C$203,0)),0)</f>
        <v>0</v>
      </c>
      <c r="L204" s="46">
        <f t="array" ref="L204">IFERROR(INDEX('Sản phẩm'!$I$4:$I$103,MATCH(B204,'Sản phẩm'!$D$4:$D$103,0)),0)</f>
        <v>0</v>
      </c>
      <c r="M204" s="72" t="str">
        <f t="array" ref="M204">IFERROR(INDEX('Sản phẩm'!$J$4:$J$103,MATCH(B204,'Sản phẩm'!$D$4:$D$103,0)),0)</f>
        <v/>
      </c>
      <c r="N204" s="46">
        <f>IF(B204="",0,(K204+L204+M204)*'Thiết lập'!$B$8)</f>
        <v>0</v>
      </c>
      <c r="O204" s="46">
        <f t="shared" si="2"/>
        <v>0</v>
      </c>
      <c r="P204" s="46">
        <f t="shared" si="3"/>
        <v>0</v>
      </c>
      <c r="Q204" s="46">
        <f t="shared" si="4"/>
        <v>0</v>
      </c>
      <c r="R204" s="71" t="str">
        <f t="array" ref="R204">IF(B204="","",INDEX('Bán nhanh'!$C$4:$C$103,INT((ROW()-4)/10)+1))</f>
        <v/>
      </c>
      <c r="S204" s="71" t="str">
        <f t="array" ref="S204">IF(B204="","",INDEX('Bán nhanh'!$P$4:$P$103,INT((ROW()-4)/10)+1))</f>
        <v/>
      </c>
      <c r="T204" s="58"/>
      <c r="U204" s="36"/>
      <c r="V204" s="36"/>
      <c r="W204" s="58"/>
      <c r="X204" s="36"/>
      <c r="Y204" s="36"/>
      <c r="Z204" s="36"/>
    </row>
    <row r="205" ht="15.75" customHeight="1">
      <c r="A205" s="70" t="str">
        <f t="array" ref="A205">IF(B205="","",INDEX('Bán nhanh'!$A$4:$A$103,INT((ROW()-4)/10)+1))</f>
        <v/>
      </c>
      <c r="B205" s="71" t="str">
        <f t="array" ref="B205">IF(OR(INDEX('Bán nhanh'!$D$3:$M$3,1,MOD(ROW()-4,10)+1)="",INDEX('Bán nhanh'!$D$4:$M$103,INT((ROW()-4)/10)+1,MOD(ROW()-4,10)+1)&lt;=0),"",INDEX('Bán nhanh'!$D$3:$M$3,1,MOD(ROW()-4,10)+1))</f>
        <v/>
      </c>
      <c r="C205" s="58" t="str">
        <f t="array" ref="C205">IFERROR(INDEX('Sản phẩm'!$A$4:$A$103,MATCH(B205,'Sản phẩm'!$D$4:$D$103,0)),"")</f>
        <v/>
      </c>
      <c r="D205" s="71" t="str">
        <f t="array" ref="D205">IF(B205="","",INDEX('Bán nhanh'!$B$4:$B$103,INT((ROW()-4)/10)+1))</f>
        <v/>
      </c>
      <c r="E205" s="58" t="str">
        <f t="array" ref="E205">IFERROR(INDEX('Mẻ sữa'!$B$4:$B$203,MATCH(D205,'Mẻ sữa'!$C$4:$C$203,0)),"")</f>
        <v/>
      </c>
      <c r="F205" s="66">
        <f t="array" ref="F205">IF(B205="",0,INDEX('Bán nhanh'!$D$4:$M$103,INT((ROW()-4)/10)+1,MOD(ROW()-4,10)+1))</f>
        <v>0</v>
      </c>
      <c r="G205" s="46">
        <f t="array" ref="G205">IFERROR(INDEX('Sản phẩm'!$F$4:$F$103,MATCH(B205,'Sản phẩm'!$D$4:$D$103,0)),0)</f>
        <v>0</v>
      </c>
      <c r="H205" s="67">
        <f t="shared" si="5"/>
        <v>0</v>
      </c>
      <c r="I205" s="46">
        <f t="shared" si="1"/>
        <v>0</v>
      </c>
      <c r="J205" s="46">
        <f t="array" ref="J205">IFERROR(INDEX('Sản phẩm'!$G$4:$G$103,MATCH(B205,'Sản phẩm'!$D$4:$D$103,0)),0)</f>
        <v>0</v>
      </c>
      <c r="K205" s="46">
        <f t="array" ref="K205">IFERROR(J205*INDEX('Mẻ sữa'!$N$4:$N$203,MATCH(D205,'Mẻ sữa'!$C$4:$C$203,0)),0)</f>
        <v>0</v>
      </c>
      <c r="L205" s="46">
        <f t="array" ref="L205">IFERROR(INDEX('Sản phẩm'!$I$4:$I$103,MATCH(B205,'Sản phẩm'!$D$4:$D$103,0)),0)</f>
        <v>0</v>
      </c>
      <c r="M205" s="72" t="str">
        <f t="array" ref="M205">IFERROR(INDEX('Sản phẩm'!$J$4:$J$103,MATCH(B205,'Sản phẩm'!$D$4:$D$103,0)),0)</f>
        <v/>
      </c>
      <c r="N205" s="46">
        <f>IF(B205="",0,(K205+L205+M205)*'Thiết lập'!$B$8)</f>
        <v>0</v>
      </c>
      <c r="O205" s="46">
        <f t="shared" si="2"/>
        <v>0</v>
      </c>
      <c r="P205" s="46">
        <f t="shared" si="3"/>
        <v>0</v>
      </c>
      <c r="Q205" s="46">
        <f t="shared" si="4"/>
        <v>0</v>
      </c>
      <c r="R205" s="71" t="str">
        <f t="array" ref="R205">IF(B205="","",INDEX('Bán nhanh'!$C$4:$C$103,INT((ROW()-4)/10)+1))</f>
        <v/>
      </c>
      <c r="S205" s="71" t="str">
        <f t="array" ref="S205">IF(B205="","",INDEX('Bán nhanh'!$P$4:$P$103,INT((ROW()-4)/10)+1))</f>
        <v/>
      </c>
      <c r="T205" s="58"/>
      <c r="U205" s="36"/>
      <c r="V205" s="36"/>
      <c r="W205" s="58"/>
      <c r="X205" s="36"/>
      <c r="Y205" s="36"/>
      <c r="Z205" s="36"/>
    </row>
    <row r="206" ht="15.75" customHeight="1">
      <c r="A206" s="70" t="str">
        <f t="array" ref="A206">IF(B206="","",INDEX('Bán nhanh'!$A$4:$A$103,INT((ROW()-4)/10)+1))</f>
        <v/>
      </c>
      <c r="B206" s="71" t="str">
        <f t="array" ref="B206">IF(OR(INDEX('Bán nhanh'!$D$3:$M$3,1,MOD(ROW()-4,10)+1)="",INDEX('Bán nhanh'!$D$4:$M$103,INT((ROW()-4)/10)+1,MOD(ROW()-4,10)+1)&lt;=0),"",INDEX('Bán nhanh'!$D$3:$M$3,1,MOD(ROW()-4,10)+1))</f>
        <v/>
      </c>
      <c r="C206" s="58" t="str">
        <f t="array" ref="C206">IFERROR(INDEX('Sản phẩm'!$A$4:$A$103,MATCH(B206,'Sản phẩm'!$D$4:$D$103,0)),"")</f>
        <v/>
      </c>
      <c r="D206" s="71" t="str">
        <f t="array" ref="D206">IF(B206="","",INDEX('Bán nhanh'!$B$4:$B$103,INT((ROW()-4)/10)+1))</f>
        <v/>
      </c>
      <c r="E206" s="58" t="str">
        <f t="array" ref="E206">IFERROR(INDEX('Mẻ sữa'!$B$4:$B$203,MATCH(D206,'Mẻ sữa'!$C$4:$C$203,0)),"")</f>
        <v/>
      </c>
      <c r="F206" s="66">
        <f t="array" ref="F206">IF(B206="",0,INDEX('Bán nhanh'!$D$4:$M$103,INT((ROW()-4)/10)+1,MOD(ROW()-4,10)+1))</f>
        <v>0</v>
      </c>
      <c r="G206" s="46">
        <f t="array" ref="G206">IFERROR(INDEX('Sản phẩm'!$F$4:$F$103,MATCH(B206,'Sản phẩm'!$D$4:$D$103,0)),0)</f>
        <v>0</v>
      </c>
      <c r="H206" s="67">
        <f t="shared" si="5"/>
        <v>0</v>
      </c>
      <c r="I206" s="46">
        <f t="shared" si="1"/>
        <v>0</v>
      </c>
      <c r="J206" s="46">
        <f t="array" ref="J206">IFERROR(INDEX('Sản phẩm'!$G$4:$G$103,MATCH(B206,'Sản phẩm'!$D$4:$D$103,0)),0)</f>
        <v>0</v>
      </c>
      <c r="K206" s="46">
        <f t="array" ref="K206">IFERROR(J206*INDEX('Mẻ sữa'!$N$4:$N$203,MATCH(D206,'Mẻ sữa'!$C$4:$C$203,0)),0)</f>
        <v>0</v>
      </c>
      <c r="L206" s="46">
        <f t="array" ref="L206">IFERROR(INDEX('Sản phẩm'!$I$4:$I$103,MATCH(B206,'Sản phẩm'!$D$4:$D$103,0)),0)</f>
        <v>0</v>
      </c>
      <c r="M206" s="72" t="str">
        <f t="array" ref="M206">IFERROR(INDEX('Sản phẩm'!$J$4:$J$103,MATCH(B206,'Sản phẩm'!$D$4:$D$103,0)),0)</f>
        <v/>
      </c>
      <c r="N206" s="46">
        <f>IF(B206="",0,(K206+L206+M206)*'Thiết lập'!$B$8)</f>
        <v>0</v>
      </c>
      <c r="O206" s="46">
        <f t="shared" si="2"/>
        <v>0</v>
      </c>
      <c r="P206" s="46">
        <f t="shared" si="3"/>
        <v>0</v>
      </c>
      <c r="Q206" s="46">
        <f t="shared" si="4"/>
        <v>0</v>
      </c>
      <c r="R206" s="71" t="str">
        <f t="array" ref="R206">IF(B206="","",INDEX('Bán nhanh'!$C$4:$C$103,INT((ROW()-4)/10)+1))</f>
        <v/>
      </c>
      <c r="S206" s="71" t="str">
        <f t="array" ref="S206">IF(B206="","",INDEX('Bán nhanh'!$P$4:$P$103,INT((ROW()-4)/10)+1))</f>
        <v/>
      </c>
      <c r="T206" s="58"/>
      <c r="U206" s="36"/>
      <c r="V206" s="36"/>
      <c r="W206" s="58"/>
      <c r="X206" s="36"/>
      <c r="Y206" s="36"/>
      <c r="Z206" s="36"/>
    </row>
    <row r="207" ht="15.75" customHeight="1">
      <c r="A207" s="70" t="str">
        <f t="array" ref="A207">IF(B207="","",INDEX('Bán nhanh'!$A$4:$A$103,INT((ROW()-4)/10)+1))</f>
        <v/>
      </c>
      <c r="B207" s="71" t="str">
        <f t="array" ref="B207">IF(OR(INDEX('Bán nhanh'!$D$3:$M$3,1,MOD(ROW()-4,10)+1)="",INDEX('Bán nhanh'!$D$4:$M$103,INT((ROW()-4)/10)+1,MOD(ROW()-4,10)+1)&lt;=0),"",INDEX('Bán nhanh'!$D$3:$M$3,1,MOD(ROW()-4,10)+1))</f>
        <v/>
      </c>
      <c r="C207" s="58" t="str">
        <f t="array" ref="C207">IFERROR(INDEX('Sản phẩm'!$A$4:$A$103,MATCH(B207,'Sản phẩm'!$D$4:$D$103,0)),"")</f>
        <v/>
      </c>
      <c r="D207" s="71" t="str">
        <f t="array" ref="D207">IF(B207="","",INDEX('Bán nhanh'!$B$4:$B$103,INT((ROW()-4)/10)+1))</f>
        <v/>
      </c>
      <c r="E207" s="58" t="str">
        <f t="array" ref="E207">IFERROR(INDEX('Mẻ sữa'!$B$4:$B$203,MATCH(D207,'Mẻ sữa'!$C$4:$C$203,0)),"")</f>
        <v/>
      </c>
      <c r="F207" s="66">
        <f t="array" ref="F207">IF(B207="",0,INDEX('Bán nhanh'!$D$4:$M$103,INT((ROW()-4)/10)+1,MOD(ROW()-4,10)+1))</f>
        <v>0</v>
      </c>
      <c r="G207" s="46">
        <f t="array" ref="G207">IFERROR(INDEX('Sản phẩm'!$F$4:$F$103,MATCH(B207,'Sản phẩm'!$D$4:$D$103,0)),0)</f>
        <v>0</v>
      </c>
      <c r="H207" s="67">
        <f t="shared" si="5"/>
        <v>0</v>
      </c>
      <c r="I207" s="46">
        <f t="shared" si="1"/>
        <v>0</v>
      </c>
      <c r="J207" s="46">
        <f t="array" ref="J207">IFERROR(INDEX('Sản phẩm'!$G$4:$G$103,MATCH(B207,'Sản phẩm'!$D$4:$D$103,0)),0)</f>
        <v>0</v>
      </c>
      <c r="K207" s="46">
        <f t="array" ref="K207">IFERROR(J207*INDEX('Mẻ sữa'!$N$4:$N$203,MATCH(D207,'Mẻ sữa'!$C$4:$C$203,0)),0)</f>
        <v>0</v>
      </c>
      <c r="L207" s="46">
        <f t="array" ref="L207">IFERROR(INDEX('Sản phẩm'!$I$4:$I$103,MATCH(B207,'Sản phẩm'!$D$4:$D$103,0)),0)</f>
        <v>0</v>
      </c>
      <c r="M207" s="72" t="str">
        <f t="array" ref="M207">IFERROR(INDEX('Sản phẩm'!$J$4:$J$103,MATCH(B207,'Sản phẩm'!$D$4:$D$103,0)),0)</f>
        <v/>
      </c>
      <c r="N207" s="46">
        <f>IF(B207="",0,(K207+L207+M207)*'Thiết lập'!$B$8)</f>
        <v>0</v>
      </c>
      <c r="O207" s="46">
        <f t="shared" si="2"/>
        <v>0</v>
      </c>
      <c r="P207" s="46">
        <f t="shared" si="3"/>
        <v>0</v>
      </c>
      <c r="Q207" s="46">
        <f t="shared" si="4"/>
        <v>0</v>
      </c>
      <c r="R207" s="71" t="str">
        <f t="array" ref="R207">IF(B207="","",INDEX('Bán nhanh'!$C$4:$C$103,INT((ROW()-4)/10)+1))</f>
        <v/>
      </c>
      <c r="S207" s="71" t="str">
        <f t="array" ref="S207">IF(B207="","",INDEX('Bán nhanh'!$P$4:$P$103,INT((ROW()-4)/10)+1))</f>
        <v/>
      </c>
      <c r="T207" s="58"/>
      <c r="U207" s="36"/>
      <c r="V207" s="36"/>
      <c r="W207" s="58"/>
      <c r="X207" s="36"/>
      <c r="Y207" s="36"/>
      <c r="Z207" s="36"/>
    </row>
    <row r="208" ht="15.75" customHeight="1">
      <c r="A208" s="70" t="str">
        <f t="array" ref="A208">IF(B208="","",INDEX('Bán nhanh'!$A$4:$A$103,INT((ROW()-4)/10)+1))</f>
        <v/>
      </c>
      <c r="B208" s="71" t="str">
        <f t="array" ref="B208">IF(OR(INDEX('Bán nhanh'!$D$3:$M$3,1,MOD(ROW()-4,10)+1)="",INDEX('Bán nhanh'!$D$4:$M$103,INT((ROW()-4)/10)+1,MOD(ROW()-4,10)+1)&lt;=0),"",INDEX('Bán nhanh'!$D$3:$M$3,1,MOD(ROW()-4,10)+1))</f>
        <v/>
      </c>
      <c r="C208" s="58" t="str">
        <f t="array" ref="C208">IFERROR(INDEX('Sản phẩm'!$A$4:$A$103,MATCH(B208,'Sản phẩm'!$D$4:$D$103,0)),"")</f>
        <v/>
      </c>
      <c r="D208" s="71" t="str">
        <f t="array" ref="D208">IF(B208="","",INDEX('Bán nhanh'!$B$4:$B$103,INT((ROW()-4)/10)+1))</f>
        <v/>
      </c>
      <c r="E208" s="58" t="str">
        <f t="array" ref="E208">IFERROR(INDEX('Mẻ sữa'!$B$4:$B$203,MATCH(D208,'Mẻ sữa'!$C$4:$C$203,0)),"")</f>
        <v/>
      </c>
      <c r="F208" s="66">
        <f t="array" ref="F208">IF(B208="",0,INDEX('Bán nhanh'!$D$4:$M$103,INT((ROW()-4)/10)+1,MOD(ROW()-4,10)+1))</f>
        <v>0</v>
      </c>
      <c r="G208" s="46">
        <f t="array" ref="G208">IFERROR(INDEX('Sản phẩm'!$F$4:$F$103,MATCH(B208,'Sản phẩm'!$D$4:$D$103,0)),0)</f>
        <v>0</v>
      </c>
      <c r="H208" s="67">
        <f t="shared" si="5"/>
        <v>0</v>
      </c>
      <c r="I208" s="46">
        <f t="shared" si="1"/>
        <v>0</v>
      </c>
      <c r="J208" s="46">
        <f t="array" ref="J208">IFERROR(INDEX('Sản phẩm'!$G$4:$G$103,MATCH(B208,'Sản phẩm'!$D$4:$D$103,0)),0)</f>
        <v>0</v>
      </c>
      <c r="K208" s="46">
        <f t="array" ref="K208">IFERROR(J208*INDEX('Mẻ sữa'!$N$4:$N$203,MATCH(D208,'Mẻ sữa'!$C$4:$C$203,0)),0)</f>
        <v>0</v>
      </c>
      <c r="L208" s="46">
        <f t="array" ref="L208">IFERROR(INDEX('Sản phẩm'!$I$4:$I$103,MATCH(B208,'Sản phẩm'!$D$4:$D$103,0)),0)</f>
        <v>0</v>
      </c>
      <c r="M208" s="72" t="str">
        <f t="array" ref="M208">IFERROR(INDEX('Sản phẩm'!$J$4:$J$103,MATCH(B208,'Sản phẩm'!$D$4:$D$103,0)),0)</f>
        <v/>
      </c>
      <c r="N208" s="46">
        <f>IF(B208="",0,(K208+L208+M208)*'Thiết lập'!$B$8)</f>
        <v>0</v>
      </c>
      <c r="O208" s="46">
        <f t="shared" si="2"/>
        <v>0</v>
      </c>
      <c r="P208" s="46">
        <f t="shared" si="3"/>
        <v>0</v>
      </c>
      <c r="Q208" s="46">
        <f t="shared" si="4"/>
        <v>0</v>
      </c>
      <c r="R208" s="71" t="str">
        <f t="array" ref="R208">IF(B208="","",INDEX('Bán nhanh'!$C$4:$C$103,INT((ROW()-4)/10)+1))</f>
        <v/>
      </c>
      <c r="S208" s="71" t="str">
        <f t="array" ref="S208">IF(B208="","",INDEX('Bán nhanh'!$P$4:$P$103,INT((ROW()-4)/10)+1))</f>
        <v/>
      </c>
      <c r="T208" s="58"/>
      <c r="U208" s="36"/>
      <c r="V208" s="36"/>
      <c r="W208" s="58"/>
      <c r="X208" s="36"/>
      <c r="Y208" s="36"/>
      <c r="Z208" s="36"/>
    </row>
    <row r="209" ht="15.75" customHeight="1">
      <c r="A209" s="70" t="str">
        <f t="array" ref="A209">IF(B209="","",INDEX('Bán nhanh'!$A$4:$A$103,INT((ROW()-4)/10)+1))</f>
        <v/>
      </c>
      <c r="B209" s="71" t="str">
        <f t="array" ref="B209">IF(OR(INDEX('Bán nhanh'!$D$3:$M$3,1,MOD(ROW()-4,10)+1)="",INDEX('Bán nhanh'!$D$4:$M$103,INT((ROW()-4)/10)+1,MOD(ROW()-4,10)+1)&lt;=0),"",INDEX('Bán nhanh'!$D$3:$M$3,1,MOD(ROW()-4,10)+1))</f>
        <v/>
      </c>
      <c r="C209" s="58" t="str">
        <f t="array" ref="C209">IFERROR(INDEX('Sản phẩm'!$A$4:$A$103,MATCH(B209,'Sản phẩm'!$D$4:$D$103,0)),"")</f>
        <v/>
      </c>
      <c r="D209" s="71" t="str">
        <f t="array" ref="D209">IF(B209="","",INDEX('Bán nhanh'!$B$4:$B$103,INT((ROW()-4)/10)+1))</f>
        <v/>
      </c>
      <c r="E209" s="58" t="str">
        <f t="array" ref="E209">IFERROR(INDEX('Mẻ sữa'!$B$4:$B$203,MATCH(D209,'Mẻ sữa'!$C$4:$C$203,0)),"")</f>
        <v/>
      </c>
      <c r="F209" s="66">
        <f t="array" ref="F209">IF(B209="",0,INDEX('Bán nhanh'!$D$4:$M$103,INT((ROW()-4)/10)+1,MOD(ROW()-4,10)+1))</f>
        <v>0</v>
      </c>
      <c r="G209" s="46">
        <f t="array" ref="G209">IFERROR(INDEX('Sản phẩm'!$F$4:$F$103,MATCH(B209,'Sản phẩm'!$D$4:$D$103,0)),0)</f>
        <v>0</v>
      </c>
      <c r="H209" s="67">
        <f t="shared" si="5"/>
        <v>0</v>
      </c>
      <c r="I209" s="46">
        <f t="shared" si="1"/>
        <v>0</v>
      </c>
      <c r="J209" s="46">
        <f t="array" ref="J209">IFERROR(INDEX('Sản phẩm'!$G$4:$G$103,MATCH(B209,'Sản phẩm'!$D$4:$D$103,0)),0)</f>
        <v>0</v>
      </c>
      <c r="K209" s="46">
        <f t="array" ref="K209">IFERROR(J209*INDEX('Mẻ sữa'!$N$4:$N$203,MATCH(D209,'Mẻ sữa'!$C$4:$C$203,0)),0)</f>
        <v>0</v>
      </c>
      <c r="L209" s="46">
        <f t="array" ref="L209">IFERROR(INDEX('Sản phẩm'!$I$4:$I$103,MATCH(B209,'Sản phẩm'!$D$4:$D$103,0)),0)</f>
        <v>0</v>
      </c>
      <c r="M209" s="72" t="str">
        <f t="array" ref="M209">IFERROR(INDEX('Sản phẩm'!$J$4:$J$103,MATCH(B209,'Sản phẩm'!$D$4:$D$103,0)),0)</f>
        <v/>
      </c>
      <c r="N209" s="46">
        <f>IF(B209="",0,(K209+L209+M209)*'Thiết lập'!$B$8)</f>
        <v>0</v>
      </c>
      <c r="O209" s="46">
        <f t="shared" si="2"/>
        <v>0</v>
      </c>
      <c r="P209" s="46">
        <f t="shared" si="3"/>
        <v>0</v>
      </c>
      <c r="Q209" s="46">
        <f t="shared" si="4"/>
        <v>0</v>
      </c>
      <c r="R209" s="71" t="str">
        <f t="array" ref="R209">IF(B209="","",INDEX('Bán nhanh'!$C$4:$C$103,INT((ROW()-4)/10)+1))</f>
        <v/>
      </c>
      <c r="S209" s="71" t="str">
        <f t="array" ref="S209">IF(B209="","",INDEX('Bán nhanh'!$P$4:$P$103,INT((ROW()-4)/10)+1))</f>
        <v/>
      </c>
      <c r="T209" s="58"/>
      <c r="U209" s="36"/>
      <c r="V209" s="36"/>
      <c r="W209" s="58"/>
      <c r="X209" s="36"/>
      <c r="Y209" s="36"/>
      <c r="Z209" s="36"/>
    </row>
    <row r="210" ht="15.75" customHeight="1">
      <c r="A210" s="70" t="str">
        <f t="array" ref="A210">IF(B210="","",INDEX('Bán nhanh'!$A$4:$A$103,INT((ROW()-4)/10)+1))</f>
        <v/>
      </c>
      <c r="B210" s="71" t="str">
        <f t="array" ref="B210">IF(OR(INDEX('Bán nhanh'!$D$3:$M$3,1,MOD(ROW()-4,10)+1)="",INDEX('Bán nhanh'!$D$4:$M$103,INT((ROW()-4)/10)+1,MOD(ROW()-4,10)+1)&lt;=0),"",INDEX('Bán nhanh'!$D$3:$M$3,1,MOD(ROW()-4,10)+1))</f>
        <v/>
      </c>
      <c r="C210" s="58" t="str">
        <f t="array" ref="C210">IFERROR(INDEX('Sản phẩm'!$A$4:$A$103,MATCH(B210,'Sản phẩm'!$D$4:$D$103,0)),"")</f>
        <v/>
      </c>
      <c r="D210" s="71" t="str">
        <f t="array" ref="D210">IF(B210="","",INDEX('Bán nhanh'!$B$4:$B$103,INT((ROW()-4)/10)+1))</f>
        <v/>
      </c>
      <c r="E210" s="58" t="str">
        <f t="array" ref="E210">IFERROR(INDEX('Mẻ sữa'!$B$4:$B$203,MATCH(D210,'Mẻ sữa'!$C$4:$C$203,0)),"")</f>
        <v/>
      </c>
      <c r="F210" s="66">
        <f t="array" ref="F210">IF(B210="",0,INDEX('Bán nhanh'!$D$4:$M$103,INT((ROW()-4)/10)+1,MOD(ROW()-4,10)+1))</f>
        <v>0</v>
      </c>
      <c r="G210" s="46">
        <f t="array" ref="G210">IFERROR(INDEX('Sản phẩm'!$F$4:$F$103,MATCH(B210,'Sản phẩm'!$D$4:$D$103,0)),0)</f>
        <v>0</v>
      </c>
      <c r="H210" s="67">
        <f t="shared" si="5"/>
        <v>0</v>
      </c>
      <c r="I210" s="46">
        <f t="shared" si="1"/>
        <v>0</v>
      </c>
      <c r="J210" s="46">
        <f t="array" ref="J210">IFERROR(INDEX('Sản phẩm'!$G$4:$G$103,MATCH(B210,'Sản phẩm'!$D$4:$D$103,0)),0)</f>
        <v>0</v>
      </c>
      <c r="K210" s="46">
        <f t="array" ref="K210">IFERROR(J210*INDEX('Mẻ sữa'!$N$4:$N$203,MATCH(D210,'Mẻ sữa'!$C$4:$C$203,0)),0)</f>
        <v>0</v>
      </c>
      <c r="L210" s="46">
        <f t="array" ref="L210">IFERROR(INDEX('Sản phẩm'!$I$4:$I$103,MATCH(B210,'Sản phẩm'!$D$4:$D$103,0)),0)</f>
        <v>0</v>
      </c>
      <c r="M210" s="72" t="str">
        <f t="array" ref="M210">IFERROR(INDEX('Sản phẩm'!$J$4:$J$103,MATCH(B210,'Sản phẩm'!$D$4:$D$103,0)),0)</f>
        <v/>
      </c>
      <c r="N210" s="46">
        <f>IF(B210="",0,(K210+L210+M210)*'Thiết lập'!$B$8)</f>
        <v>0</v>
      </c>
      <c r="O210" s="46">
        <f t="shared" si="2"/>
        <v>0</v>
      </c>
      <c r="P210" s="46">
        <f t="shared" si="3"/>
        <v>0</v>
      </c>
      <c r="Q210" s="46">
        <f t="shared" si="4"/>
        <v>0</v>
      </c>
      <c r="R210" s="71" t="str">
        <f t="array" ref="R210">IF(B210="","",INDEX('Bán nhanh'!$C$4:$C$103,INT((ROW()-4)/10)+1))</f>
        <v/>
      </c>
      <c r="S210" s="71" t="str">
        <f t="array" ref="S210">IF(B210="","",INDEX('Bán nhanh'!$P$4:$P$103,INT((ROW()-4)/10)+1))</f>
        <v/>
      </c>
      <c r="T210" s="58"/>
      <c r="U210" s="36"/>
      <c r="V210" s="36"/>
      <c r="W210" s="58"/>
      <c r="X210" s="36"/>
      <c r="Y210" s="36"/>
      <c r="Z210" s="36"/>
    </row>
    <row r="211" ht="15.75" customHeight="1">
      <c r="A211" s="70" t="str">
        <f t="array" ref="A211">IF(B211="","",INDEX('Bán nhanh'!$A$4:$A$103,INT((ROW()-4)/10)+1))</f>
        <v/>
      </c>
      <c r="B211" s="71" t="str">
        <f t="array" ref="B211">IF(OR(INDEX('Bán nhanh'!$D$3:$M$3,1,MOD(ROW()-4,10)+1)="",INDEX('Bán nhanh'!$D$4:$M$103,INT((ROW()-4)/10)+1,MOD(ROW()-4,10)+1)&lt;=0),"",INDEX('Bán nhanh'!$D$3:$M$3,1,MOD(ROW()-4,10)+1))</f>
        <v/>
      </c>
      <c r="C211" s="58" t="str">
        <f t="array" ref="C211">IFERROR(INDEX('Sản phẩm'!$A$4:$A$103,MATCH(B211,'Sản phẩm'!$D$4:$D$103,0)),"")</f>
        <v/>
      </c>
      <c r="D211" s="71" t="str">
        <f t="array" ref="D211">IF(B211="","",INDEX('Bán nhanh'!$B$4:$B$103,INT((ROW()-4)/10)+1))</f>
        <v/>
      </c>
      <c r="E211" s="58" t="str">
        <f t="array" ref="E211">IFERROR(INDEX('Mẻ sữa'!$B$4:$B$203,MATCH(D211,'Mẻ sữa'!$C$4:$C$203,0)),"")</f>
        <v/>
      </c>
      <c r="F211" s="66">
        <f t="array" ref="F211">IF(B211="",0,INDEX('Bán nhanh'!$D$4:$M$103,INT((ROW()-4)/10)+1,MOD(ROW()-4,10)+1))</f>
        <v>0</v>
      </c>
      <c r="G211" s="46">
        <f t="array" ref="G211">IFERROR(INDEX('Sản phẩm'!$F$4:$F$103,MATCH(B211,'Sản phẩm'!$D$4:$D$103,0)),0)</f>
        <v>0</v>
      </c>
      <c r="H211" s="67">
        <f t="shared" si="5"/>
        <v>0</v>
      </c>
      <c r="I211" s="46">
        <f t="shared" si="1"/>
        <v>0</v>
      </c>
      <c r="J211" s="46">
        <f t="array" ref="J211">IFERROR(INDEX('Sản phẩm'!$G$4:$G$103,MATCH(B211,'Sản phẩm'!$D$4:$D$103,0)),0)</f>
        <v>0</v>
      </c>
      <c r="K211" s="46">
        <f t="array" ref="K211">IFERROR(J211*INDEX('Mẻ sữa'!$N$4:$N$203,MATCH(D211,'Mẻ sữa'!$C$4:$C$203,0)),0)</f>
        <v>0</v>
      </c>
      <c r="L211" s="46">
        <f t="array" ref="L211">IFERROR(INDEX('Sản phẩm'!$I$4:$I$103,MATCH(B211,'Sản phẩm'!$D$4:$D$103,0)),0)</f>
        <v>0</v>
      </c>
      <c r="M211" s="72" t="str">
        <f t="array" ref="M211">IFERROR(INDEX('Sản phẩm'!$J$4:$J$103,MATCH(B211,'Sản phẩm'!$D$4:$D$103,0)),0)</f>
        <v/>
      </c>
      <c r="N211" s="46">
        <f>IF(B211="",0,(K211+L211+M211)*'Thiết lập'!$B$8)</f>
        <v>0</v>
      </c>
      <c r="O211" s="46">
        <f t="shared" si="2"/>
        <v>0</v>
      </c>
      <c r="P211" s="46">
        <f t="shared" si="3"/>
        <v>0</v>
      </c>
      <c r="Q211" s="46">
        <f t="shared" si="4"/>
        <v>0</v>
      </c>
      <c r="R211" s="71" t="str">
        <f t="array" ref="R211">IF(B211="","",INDEX('Bán nhanh'!$C$4:$C$103,INT((ROW()-4)/10)+1))</f>
        <v/>
      </c>
      <c r="S211" s="71" t="str">
        <f t="array" ref="S211">IF(B211="","",INDEX('Bán nhanh'!$P$4:$P$103,INT((ROW()-4)/10)+1))</f>
        <v/>
      </c>
      <c r="T211" s="58"/>
      <c r="U211" s="36"/>
      <c r="V211" s="36"/>
      <c r="W211" s="58"/>
      <c r="X211" s="36"/>
      <c r="Y211" s="36"/>
      <c r="Z211" s="36"/>
    </row>
    <row r="212" ht="15.75" customHeight="1">
      <c r="A212" s="70" t="str">
        <f t="array" ref="A212">IF(B212="","",INDEX('Bán nhanh'!$A$4:$A$103,INT((ROW()-4)/10)+1))</f>
        <v/>
      </c>
      <c r="B212" s="71" t="str">
        <f t="array" ref="B212">IF(OR(INDEX('Bán nhanh'!$D$3:$M$3,1,MOD(ROW()-4,10)+1)="",INDEX('Bán nhanh'!$D$4:$M$103,INT((ROW()-4)/10)+1,MOD(ROW()-4,10)+1)&lt;=0),"",INDEX('Bán nhanh'!$D$3:$M$3,1,MOD(ROW()-4,10)+1))</f>
        <v/>
      </c>
      <c r="C212" s="58" t="str">
        <f t="array" ref="C212">IFERROR(INDEX('Sản phẩm'!$A$4:$A$103,MATCH(B212,'Sản phẩm'!$D$4:$D$103,0)),"")</f>
        <v/>
      </c>
      <c r="D212" s="71" t="str">
        <f t="array" ref="D212">IF(B212="","",INDEX('Bán nhanh'!$B$4:$B$103,INT((ROW()-4)/10)+1))</f>
        <v/>
      </c>
      <c r="E212" s="58" t="str">
        <f t="array" ref="E212">IFERROR(INDEX('Mẻ sữa'!$B$4:$B$203,MATCH(D212,'Mẻ sữa'!$C$4:$C$203,0)),"")</f>
        <v/>
      </c>
      <c r="F212" s="66">
        <f t="array" ref="F212">IF(B212="",0,INDEX('Bán nhanh'!$D$4:$M$103,INT((ROW()-4)/10)+1,MOD(ROW()-4,10)+1))</f>
        <v>0</v>
      </c>
      <c r="G212" s="46">
        <f t="array" ref="G212">IFERROR(INDEX('Sản phẩm'!$F$4:$F$103,MATCH(B212,'Sản phẩm'!$D$4:$D$103,0)),0)</f>
        <v>0</v>
      </c>
      <c r="H212" s="67">
        <f t="shared" si="5"/>
        <v>0</v>
      </c>
      <c r="I212" s="46">
        <f t="shared" si="1"/>
        <v>0</v>
      </c>
      <c r="J212" s="46">
        <f t="array" ref="J212">IFERROR(INDEX('Sản phẩm'!$G$4:$G$103,MATCH(B212,'Sản phẩm'!$D$4:$D$103,0)),0)</f>
        <v>0</v>
      </c>
      <c r="K212" s="46">
        <f t="array" ref="K212">IFERROR(J212*INDEX('Mẻ sữa'!$N$4:$N$203,MATCH(D212,'Mẻ sữa'!$C$4:$C$203,0)),0)</f>
        <v>0</v>
      </c>
      <c r="L212" s="46">
        <f t="array" ref="L212">IFERROR(INDEX('Sản phẩm'!$I$4:$I$103,MATCH(B212,'Sản phẩm'!$D$4:$D$103,0)),0)</f>
        <v>0</v>
      </c>
      <c r="M212" s="72" t="str">
        <f t="array" ref="M212">IFERROR(INDEX('Sản phẩm'!$J$4:$J$103,MATCH(B212,'Sản phẩm'!$D$4:$D$103,0)),0)</f>
        <v/>
      </c>
      <c r="N212" s="46">
        <f>IF(B212="",0,(K212+L212+M212)*'Thiết lập'!$B$8)</f>
        <v>0</v>
      </c>
      <c r="O212" s="46">
        <f t="shared" si="2"/>
        <v>0</v>
      </c>
      <c r="P212" s="46">
        <f t="shared" si="3"/>
        <v>0</v>
      </c>
      <c r="Q212" s="46">
        <f t="shared" si="4"/>
        <v>0</v>
      </c>
      <c r="R212" s="71" t="str">
        <f t="array" ref="R212">IF(B212="","",INDEX('Bán nhanh'!$C$4:$C$103,INT((ROW()-4)/10)+1))</f>
        <v/>
      </c>
      <c r="S212" s="71" t="str">
        <f t="array" ref="S212">IF(B212="","",INDEX('Bán nhanh'!$P$4:$P$103,INT((ROW()-4)/10)+1))</f>
        <v/>
      </c>
      <c r="T212" s="58"/>
      <c r="U212" s="36"/>
      <c r="V212" s="36"/>
      <c r="W212" s="58"/>
      <c r="X212" s="36"/>
      <c r="Y212" s="36"/>
      <c r="Z212" s="36"/>
    </row>
    <row r="213" ht="15.75" customHeight="1">
      <c r="A213" s="70" t="str">
        <f t="array" ref="A213">IF(B213="","",INDEX('Bán nhanh'!$A$4:$A$103,INT((ROW()-4)/10)+1))</f>
        <v/>
      </c>
      <c r="B213" s="71" t="str">
        <f t="array" ref="B213">IF(OR(INDEX('Bán nhanh'!$D$3:$M$3,1,MOD(ROW()-4,10)+1)="",INDEX('Bán nhanh'!$D$4:$M$103,INT((ROW()-4)/10)+1,MOD(ROW()-4,10)+1)&lt;=0),"",INDEX('Bán nhanh'!$D$3:$M$3,1,MOD(ROW()-4,10)+1))</f>
        <v/>
      </c>
      <c r="C213" s="58" t="str">
        <f t="array" ref="C213">IFERROR(INDEX('Sản phẩm'!$A$4:$A$103,MATCH(B213,'Sản phẩm'!$D$4:$D$103,0)),"")</f>
        <v/>
      </c>
      <c r="D213" s="71" t="str">
        <f t="array" ref="D213">IF(B213="","",INDEX('Bán nhanh'!$B$4:$B$103,INT((ROW()-4)/10)+1))</f>
        <v/>
      </c>
      <c r="E213" s="58" t="str">
        <f t="array" ref="E213">IFERROR(INDEX('Mẻ sữa'!$B$4:$B$203,MATCH(D213,'Mẻ sữa'!$C$4:$C$203,0)),"")</f>
        <v/>
      </c>
      <c r="F213" s="66">
        <f t="array" ref="F213">IF(B213="",0,INDEX('Bán nhanh'!$D$4:$M$103,INT((ROW()-4)/10)+1,MOD(ROW()-4,10)+1))</f>
        <v>0</v>
      </c>
      <c r="G213" s="46">
        <f t="array" ref="G213">IFERROR(INDEX('Sản phẩm'!$F$4:$F$103,MATCH(B213,'Sản phẩm'!$D$4:$D$103,0)),0)</f>
        <v>0</v>
      </c>
      <c r="H213" s="67">
        <f t="shared" si="5"/>
        <v>0</v>
      </c>
      <c r="I213" s="46">
        <f t="shared" si="1"/>
        <v>0</v>
      </c>
      <c r="J213" s="46">
        <f t="array" ref="J213">IFERROR(INDEX('Sản phẩm'!$G$4:$G$103,MATCH(B213,'Sản phẩm'!$D$4:$D$103,0)),0)</f>
        <v>0</v>
      </c>
      <c r="K213" s="46">
        <f t="array" ref="K213">IFERROR(J213*INDEX('Mẻ sữa'!$N$4:$N$203,MATCH(D213,'Mẻ sữa'!$C$4:$C$203,0)),0)</f>
        <v>0</v>
      </c>
      <c r="L213" s="46">
        <f t="array" ref="L213">IFERROR(INDEX('Sản phẩm'!$I$4:$I$103,MATCH(B213,'Sản phẩm'!$D$4:$D$103,0)),0)</f>
        <v>0</v>
      </c>
      <c r="M213" s="72" t="str">
        <f t="array" ref="M213">IFERROR(INDEX('Sản phẩm'!$J$4:$J$103,MATCH(B213,'Sản phẩm'!$D$4:$D$103,0)),0)</f>
        <v/>
      </c>
      <c r="N213" s="46">
        <f>IF(B213="",0,(K213+L213+M213)*'Thiết lập'!$B$8)</f>
        <v>0</v>
      </c>
      <c r="O213" s="46">
        <f t="shared" si="2"/>
        <v>0</v>
      </c>
      <c r="P213" s="46">
        <f t="shared" si="3"/>
        <v>0</v>
      </c>
      <c r="Q213" s="46">
        <f t="shared" si="4"/>
        <v>0</v>
      </c>
      <c r="R213" s="71" t="str">
        <f t="array" ref="R213">IF(B213="","",INDEX('Bán nhanh'!$C$4:$C$103,INT((ROW()-4)/10)+1))</f>
        <v/>
      </c>
      <c r="S213" s="71" t="str">
        <f t="array" ref="S213">IF(B213="","",INDEX('Bán nhanh'!$P$4:$P$103,INT((ROW()-4)/10)+1))</f>
        <v/>
      </c>
      <c r="T213" s="58"/>
      <c r="U213" s="36"/>
      <c r="V213" s="36"/>
      <c r="W213" s="58"/>
      <c r="X213" s="36"/>
      <c r="Y213" s="36"/>
      <c r="Z213" s="36"/>
    </row>
    <row r="214" ht="15.75" customHeight="1">
      <c r="A214" s="70" t="str">
        <f t="array" ref="A214">IF(B214="","",INDEX('Bán nhanh'!$A$4:$A$103,INT((ROW()-4)/10)+1))</f>
        <v/>
      </c>
      <c r="B214" s="71" t="str">
        <f t="array" ref="B214">IF(OR(INDEX('Bán nhanh'!$D$3:$M$3,1,MOD(ROW()-4,10)+1)="",INDEX('Bán nhanh'!$D$4:$M$103,INT((ROW()-4)/10)+1,MOD(ROW()-4,10)+1)&lt;=0),"",INDEX('Bán nhanh'!$D$3:$M$3,1,MOD(ROW()-4,10)+1))</f>
        <v/>
      </c>
      <c r="C214" s="58" t="str">
        <f t="array" ref="C214">IFERROR(INDEX('Sản phẩm'!$A$4:$A$103,MATCH(B214,'Sản phẩm'!$D$4:$D$103,0)),"")</f>
        <v/>
      </c>
      <c r="D214" s="71" t="str">
        <f t="array" ref="D214">IF(B214="","",INDEX('Bán nhanh'!$B$4:$B$103,INT((ROW()-4)/10)+1))</f>
        <v/>
      </c>
      <c r="E214" s="58" t="str">
        <f t="array" ref="E214">IFERROR(INDEX('Mẻ sữa'!$B$4:$B$203,MATCH(D214,'Mẻ sữa'!$C$4:$C$203,0)),"")</f>
        <v/>
      </c>
      <c r="F214" s="66">
        <f t="array" ref="F214">IF(B214="",0,INDEX('Bán nhanh'!$D$4:$M$103,INT((ROW()-4)/10)+1,MOD(ROW()-4,10)+1))</f>
        <v>0</v>
      </c>
      <c r="G214" s="46">
        <f t="array" ref="G214">IFERROR(INDEX('Sản phẩm'!$F$4:$F$103,MATCH(B214,'Sản phẩm'!$D$4:$D$103,0)),0)</f>
        <v>0</v>
      </c>
      <c r="H214" s="67">
        <f t="shared" si="5"/>
        <v>0</v>
      </c>
      <c r="I214" s="46">
        <f t="shared" si="1"/>
        <v>0</v>
      </c>
      <c r="J214" s="46">
        <f t="array" ref="J214">IFERROR(INDEX('Sản phẩm'!$G$4:$G$103,MATCH(B214,'Sản phẩm'!$D$4:$D$103,0)),0)</f>
        <v>0</v>
      </c>
      <c r="K214" s="46">
        <f t="array" ref="K214">IFERROR(J214*INDEX('Mẻ sữa'!$N$4:$N$203,MATCH(D214,'Mẻ sữa'!$C$4:$C$203,0)),0)</f>
        <v>0</v>
      </c>
      <c r="L214" s="46">
        <f t="array" ref="L214">IFERROR(INDEX('Sản phẩm'!$I$4:$I$103,MATCH(B214,'Sản phẩm'!$D$4:$D$103,0)),0)</f>
        <v>0</v>
      </c>
      <c r="M214" s="72" t="str">
        <f t="array" ref="M214">IFERROR(INDEX('Sản phẩm'!$J$4:$J$103,MATCH(B214,'Sản phẩm'!$D$4:$D$103,0)),0)</f>
        <v/>
      </c>
      <c r="N214" s="46">
        <f>IF(B214="",0,(K214+L214+M214)*'Thiết lập'!$B$8)</f>
        <v>0</v>
      </c>
      <c r="O214" s="46">
        <f t="shared" si="2"/>
        <v>0</v>
      </c>
      <c r="P214" s="46">
        <f t="shared" si="3"/>
        <v>0</v>
      </c>
      <c r="Q214" s="46">
        <f t="shared" si="4"/>
        <v>0</v>
      </c>
      <c r="R214" s="71" t="str">
        <f t="array" ref="R214">IF(B214="","",INDEX('Bán nhanh'!$C$4:$C$103,INT((ROW()-4)/10)+1))</f>
        <v/>
      </c>
      <c r="S214" s="71" t="str">
        <f t="array" ref="S214">IF(B214="","",INDEX('Bán nhanh'!$P$4:$P$103,INT((ROW()-4)/10)+1))</f>
        <v/>
      </c>
      <c r="T214" s="58"/>
      <c r="U214" s="36"/>
      <c r="V214" s="36"/>
      <c r="W214" s="58"/>
      <c r="X214" s="36"/>
      <c r="Y214" s="36"/>
      <c r="Z214" s="36"/>
    </row>
    <row r="215" ht="15.75" customHeight="1">
      <c r="A215" s="70" t="str">
        <f t="array" ref="A215">IF(B215="","",INDEX('Bán nhanh'!$A$4:$A$103,INT((ROW()-4)/10)+1))</f>
        <v/>
      </c>
      <c r="B215" s="71" t="str">
        <f t="array" ref="B215">IF(OR(INDEX('Bán nhanh'!$D$3:$M$3,1,MOD(ROW()-4,10)+1)="",INDEX('Bán nhanh'!$D$4:$M$103,INT((ROW()-4)/10)+1,MOD(ROW()-4,10)+1)&lt;=0),"",INDEX('Bán nhanh'!$D$3:$M$3,1,MOD(ROW()-4,10)+1))</f>
        <v/>
      </c>
      <c r="C215" s="58" t="str">
        <f t="array" ref="C215">IFERROR(INDEX('Sản phẩm'!$A$4:$A$103,MATCH(B215,'Sản phẩm'!$D$4:$D$103,0)),"")</f>
        <v/>
      </c>
      <c r="D215" s="71" t="str">
        <f t="array" ref="D215">IF(B215="","",INDEX('Bán nhanh'!$B$4:$B$103,INT((ROW()-4)/10)+1))</f>
        <v/>
      </c>
      <c r="E215" s="58" t="str">
        <f t="array" ref="E215">IFERROR(INDEX('Mẻ sữa'!$B$4:$B$203,MATCH(D215,'Mẻ sữa'!$C$4:$C$203,0)),"")</f>
        <v/>
      </c>
      <c r="F215" s="66">
        <f t="array" ref="F215">IF(B215="",0,INDEX('Bán nhanh'!$D$4:$M$103,INT((ROW()-4)/10)+1,MOD(ROW()-4,10)+1))</f>
        <v>0</v>
      </c>
      <c r="G215" s="46">
        <f t="array" ref="G215">IFERROR(INDEX('Sản phẩm'!$F$4:$F$103,MATCH(B215,'Sản phẩm'!$D$4:$D$103,0)),0)</f>
        <v>0</v>
      </c>
      <c r="H215" s="67">
        <f t="shared" si="5"/>
        <v>0</v>
      </c>
      <c r="I215" s="46">
        <f t="shared" si="1"/>
        <v>0</v>
      </c>
      <c r="J215" s="46">
        <f t="array" ref="J215">IFERROR(INDEX('Sản phẩm'!$G$4:$G$103,MATCH(B215,'Sản phẩm'!$D$4:$D$103,0)),0)</f>
        <v>0</v>
      </c>
      <c r="K215" s="46">
        <f t="array" ref="K215">IFERROR(J215*INDEX('Mẻ sữa'!$N$4:$N$203,MATCH(D215,'Mẻ sữa'!$C$4:$C$203,0)),0)</f>
        <v>0</v>
      </c>
      <c r="L215" s="46">
        <f t="array" ref="L215">IFERROR(INDEX('Sản phẩm'!$I$4:$I$103,MATCH(B215,'Sản phẩm'!$D$4:$D$103,0)),0)</f>
        <v>0</v>
      </c>
      <c r="M215" s="72" t="str">
        <f t="array" ref="M215">IFERROR(INDEX('Sản phẩm'!$J$4:$J$103,MATCH(B215,'Sản phẩm'!$D$4:$D$103,0)),0)</f>
        <v/>
      </c>
      <c r="N215" s="46">
        <f>IF(B215="",0,(K215+L215+M215)*'Thiết lập'!$B$8)</f>
        <v>0</v>
      </c>
      <c r="O215" s="46">
        <f t="shared" si="2"/>
        <v>0</v>
      </c>
      <c r="P215" s="46">
        <f t="shared" si="3"/>
        <v>0</v>
      </c>
      <c r="Q215" s="46">
        <f t="shared" si="4"/>
        <v>0</v>
      </c>
      <c r="R215" s="71" t="str">
        <f t="array" ref="R215">IF(B215="","",INDEX('Bán nhanh'!$C$4:$C$103,INT((ROW()-4)/10)+1))</f>
        <v/>
      </c>
      <c r="S215" s="71" t="str">
        <f t="array" ref="S215">IF(B215="","",INDEX('Bán nhanh'!$P$4:$P$103,INT((ROW()-4)/10)+1))</f>
        <v/>
      </c>
      <c r="T215" s="58"/>
      <c r="U215" s="36"/>
      <c r="V215" s="36"/>
      <c r="W215" s="58"/>
      <c r="X215" s="36"/>
      <c r="Y215" s="36"/>
      <c r="Z215" s="36"/>
    </row>
    <row r="216" ht="15.75" customHeight="1">
      <c r="A216" s="70" t="str">
        <f t="array" ref="A216">IF(B216="","",INDEX('Bán nhanh'!$A$4:$A$103,INT((ROW()-4)/10)+1))</f>
        <v/>
      </c>
      <c r="B216" s="71" t="str">
        <f t="array" ref="B216">IF(OR(INDEX('Bán nhanh'!$D$3:$M$3,1,MOD(ROW()-4,10)+1)="",INDEX('Bán nhanh'!$D$4:$M$103,INT((ROW()-4)/10)+1,MOD(ROW()-4,10)+1)&lt;=0),"",INDEX('Bán nhanh'!$D$3:$M$3,1,MOD(ROW()-4,10)+1))</f>
        <v/>
      </c>
      <c r="C216" s="58" t="str">
        <f t="array" ref="C216">IFERROR(INDEX('Sản phẩm'!$A$4:$A$103,MATCH(B216,'Sản phẩm'!$D$4:$D$103,0)),"")</f>
        <v/>
      </c>
      <c r="D216" s="71" t="str">
        <f t="array" ref="D216">IF(B216="","",INDEX('Bán nhanh'!$B$4:$B$103,INT((ROW()-4)/10)+1))</f>
        <v/>
      </c>
      <c r="E216" s="58" t="str">
        <f t="array" ref="E216">IFERROR(INDEX('Mẻ sữa'!$B$4:$B$203,MATCH(D216,'Mẻ sữa'!$C$4:$C$203,0)),"")</f>
        <v/>
      </c>
      <c r="F216" s="66">
        <f t="array" ref="F216">IF(B216="",0,INDEX('Bán nhanh'!$D$4:$M$103,INT((ROW()-4)/10)+1,MOD(ROW()-4,10)+1))</f>
        <v>0</v>
      </c>
      <c r="G216" s="46">
        <f t="array" ref="G216">IFERROR(INDEX('Sản phẩm'!$F$4:$F$103,MATCH(B216,'Sản phẩm'!$D$4:$D$103,0)),0)</f>
        <v>0</v>
      </c>
      <c r="H216" s="67">
        <f t="shared" si="5"/>
        <v>0</v>
      </c>
      <c r="I216" s="46">
        <f t="shared" si="1"/>
        <v>0</v>
      </c>
      <c r="J216" s="46">
        <f t="array" ref="J216">IFERROR(INDEX('Sản phẩm'!$G$4:$G$103,MATCH(B216,'Sản phẩm'!$D$4:$D$103,0)),0)</f>
        <v>0</v>
      </c>
      <c r="K216" s="46">
        <f t="array" ref="K216">IFERROR(J216*INDEX('Mẻ sữa'!$N$4:$N$203,MATCH(D216,'Mẻ sữa'!$C$4:$C$203,0)),0)</f>
        <v>0</v>
      </c>
      <c r="L216" s="46">
        <f t="array" ref="L216">IFERROR(INDEX('Sản phẩm'!$I$4:$I$103,MATCH(B216,'Sản phẩm'!$D$4:$D$103,0)),0)</f>
        <v>0</v>
      </c>
      <c r="M216" s="72" t="str">
        <f t="array" ref="M216">IFERROR(INDEX('Sản phẩm'!$J$4:$J$103,MATCH(B216,'Sản phẩm'!$D$4:$D$103,0)),0)</f>
        <v/>
      </c>
      <c r="N216" s="46">
        <f>IF(B216="",0,(K216+L216+M216)*'Thiết lập'!$B$8)</f>
        <v>0</v>
      </c>
      <c r="O216" s="46">
        <f t="shared" si="2"/>
        <v>0</v>
      </c>
      <c r="P216" s="46">
        <f t="shared" si="3"/>
        <v>0</v>
      </c>
      <c r="Q216" s="46">
        <f t="shared" si="4"/>
        <v>0</v>
      </c>
      <c r="R216" s="71" t="str">
        <f t="array" ref="R216">IF(B216="","",INDEX('Bán nhanh'!$C$4:$C$103,INT((ROW()-4)/10)+1))</f>
        <v/>
      </c>
      <c r="S216" s="71" t="str">
        <f t="array" ref="S216">IF(B216="","",INDEX('Bán nhanh'!$P$4:$P$103,INT((ROW()-4)/10)+1))</f>
        <v/>
      </c>
      <c r="T216" s="58"/>
      <c r="U216" s="36"/>
      <c r="V216" s="36"/>
      <c r="W216" s="58"/>
      <c r="X216" s="36"/>
      <c r="Y216" s="36"/>
      <c r="Z216" s="36"/>
    </row>
    <row r="217" ht="15.75" customHeight="1">
      <c r="A217" s="70" t="str">
        <f t="array" ref="A217">IF(B217="","",INDEX('Bán nhanh'!$A$4:$A$103,INT((ROW()-4)/10)+1))</f>
        <v/>
      </c>
      <c r="B217" s="71" t="str">
        <f t="array" ref="B217">IF(OR(INDEX('Bán nhanh'!$D$3:$M$3,1,MOD(ROW()-4,10)+1)="",INDEX('Bán nhanh'!$D$4:$M$103,INT((ROW()-4)/10)+1,MOD(ROW()-4,10)+1)&lt;=0),"",INDEX('Bán nhanh'!$D$3:$M$3,1,MOD(ROW()-4,10)+1))</f>
        <v/>
      </c>
      <c r="C217" s="58" t="str">
        <f t="array" ref="C217">IFERROR(INDEX('Sản phẩm'!$A$4:$A$103,MATCH(B217,'Sản phẩm'!$D$4:$D$103,0)),"")</f>
        <v/>
      </c>
      <c r="D217" s="71" t="str">
        <f t="array" ref="D217">IF(B217="","",INDEX('Bán nhanh'!$B$4:$B$103,INT((ROW()-4)/10)+1))</f>
        <v/>
      </c>
      <c r="E217" s="58" t="str">
        <f t="array" ref="E217">IFERROR(INDEX('Mẻ sữa'!$B$4:$B$203,MATCH(D217,'Mẻ sữa'!$C$4:$C$203,0)),"")</f>
        <v/>
      </c>
      <c r="F217" s="66">
        <f t="array" ref="F217">IF(B217="",0,INDEX('Bán nhanh'!$D$4:$M$103,INT((ROW()-4)/10)+1,MOD(ROW()-4,10)+1))</f>
        <v>0</v>
      </c>
      <c r="G217" s="46">
        <f t="array" ref="G217">IFERROR(INDEX('Sản phẩm'!$F$4:$F$103,MATCH(B217,'Sản phẩm'!$D$4:$D$103,0)),0)</f>
        <v>0</v>
      </c>
      <c r="H217" s="67">
        <f t="shared" si="5"/>
        <v>0</v>
      </c>
      <c r="I217" s="46">
        <f t="shared" si="1"/>
        <v>0</v>
      </c>
      <c r="J217" s="46">
        <f t="array" ref="J217">IFERROR(INDEX('Sản phẩm'!$G$4:$G$103,MATCH(B217,'Sản phẩm'!$D$4:$D$103,0)),0)</f>
        <v>0</v>
      </c>
      <c r="K217" s="46">
        <f t="array" ref="K217">IFERROR(J217*INDEX('Mẻ sữa'!$N$4:$N$203,MATCH(D217,'Mẻ sữa'!$C$4:$C$203,0)),0)</f>
        <v>0</v>
      </c>
      <c r="L217" s="46">
        <f t="array" ref="L217">IFERROR(INDEX('Sản phẩm'!$I$4:$I$103,MATCH(B217,'Sản phẩm'!$D$4:$D$103,0)),0)</f>
        <v>0</v>
      </c>
      <c r="M217" s="72" t="str">
        <f t="array" ref="M217">IFERROR(INDEX('Sản phẩm'!$J$4:$J$103,MATCH(B217,'Sản phẩm'!$D$4:$D$103,0)),0)</f>
        <v/>
      </c>
      <c r="N217" s="46">
        <f>IF(B217="",0,(K217+L217+M217)*'Thiết lập'!$B$8)</f>
        <v>0</v>
      </c>
      <c r="O217" s="46">
        <f t="shared" si="2"/>
        <v>0</v>
      </c>
      <c r="P217" s="46">
        <f t="shared" si="3"/>
        <v>0</v>
      </c>
      <c r="Q217" s="46">
        <f t="shared" si="4"/>
        <v>0</v>
      </c>
      <c r="R217" s="71" t="str">
        <f t="array" ref="R217">IF(B217="","",INDEX('Bán nhanh'!$C$4:$C$103,INT((ROW()-4)/10)+1))</f>
        <v/>
      </c>
      <c r="S217" s="71" t="str">
        <f t="array" ref="S217">IF(B217="","",INDEX('Bán nhanh'!$P$4:$P$103,INT((ROW()-4)/10)+1))</f>
        <v/>
      </c>
      <c r="T217" s="58"/>
      <c r="U217" s="36"/>
      <c r="V217" s="36"/>
      <c r="W217" s="58"/>
      <c r="X217" s="36"/>
      <c r="Y217" s="36"/>
      <c r="Z217" s="36"/>
    </row>
    <row r="218" ht="15.75" customHeight="1">
      <c r="A218" s="70" t="str">
        <f t="array" ref="A218">IF(B218="","",INDEX('Bán nhanh'!$A$4:$A$103,INT((ROW()-4)/10)+1))</f>
        <v/>
      </c>
      <c r="B218" s="71" t="str">
        <f t="array" ref="B218">IF(OR(INDEX('Bán nhanh'!$D$3:$M$3,1,MOD(ROW()-4,10)+1)="",INDEX('Bán nhanh'!$D$4:$M$103,INT((ROW()-4)/10)+1,MOD(ROW()-4,10)+1)&lt;=0),"",INDEX('Bán nhanh'!$D$3:$M$3,1,MOD(ROW()-4,10)+1))</f>
        <v/>
      </c>
      <c r="C218" s="58" t="str">
        <f t="array" ref="C218">IFERROR(INDEX('Sản phẩm'!$A$4:$A$103,MATCH(B218,'Sản phẩm'!$D$4:$D$103,0)),"")</f>
        <v/>
      </c>
      <c r="D218" s="71" t="str">
        <f t="array" ref="D218">IF(B218="","",INDEX('Bán nhanh'!$B$4:$B$103,INT((ROW()-4)/10)+1))</f>
        <v/>
      </c>
      <c r="E218" s="58" t="str">
        <f t="array" ref="E218">IFERROR(INDEX('Mẻ sữa'!$B$4:$B$203,MATCH(D218,'Mẻ sữa'!$C$4:$C$203,0)),"")</f>
        <v/>
      </c>
      <c r="F218" s="66">
        <f t="array" ref="F218">IF(B218="",0,INDEX('Bán nhanh'!$D$4:$M$103,INT((ROW()-4)/10)+1,MOD(ROW()-4,10)+1))</f>
        <v>0</v>
      </c>
      <c r="G218" s="46">
        <f t="array" ref="G218">IFERROR(INDEX('Sản phẩm'!$F$4:$F$103,MATCH(B218,'Sản phẩm'!$D$4:$D$103,0)),0)</f>
        <v>0</v>
      </c>
      <c r="H218" s="67">
        <f t="shared" si="5"/>
        <v>0</v>
      </c>
      <c r="I218" s="46">
        <f t="shared" si="1"/>
        <v>0</v>
      </c>
      <c r="J218" s="46">
        <f t="array" ref="J218">IFERROR(INDEX('Sản phẩm'!$G$4:$G$103,MATCH(B218,'Sản phẩm'!$D$4:$D$103,0)),0)</f>
        <v>0</v>
      </c>
      <c r="K218" s="46">
        <f t="array" ref="K218">IFERROR(J218*INDEX('Mẻ sữa'!$N$4:$N$203,MATCH(D218,'Mẻ sữa'!$C$4:$C$203,0)),0)</f>
        <v>0</v>
      </c>
      <c r="L218" s="46">
        <f t="array" ref="L218">IFERROR(INDEX('Sản phẩm'!$I$4:$I$103,MATCH(B218,'Sản phẩm'!$D$4:$D$103,0)),0)</f>
        <v>0</v>
      </c>
      <c r="M218" s="72" t="str">
        <f t="array" ref="M218">IFERROR(INDEX('Sản phẩm'!$J$4:$J$103,MATCH(B218,'Sản phẩm'!$D$4:$D$103,0)),0)</f>
        <v/>
      </c>
      <c r="N218" s="46">
        <f>IF(B218="",0,(K218+L218+M218)*'Thiết lập'!$B$8)</f>
        <v>0</v>
      </c>
      <c r="O218" s="46">
        <f t="shared" si="2"/>
        <v>0</v>
      </c>
      <c r="P218" s="46">
        <f t="shared" si="3"/>
        <v>0</v>
      </c>
      <c r="Q218" s="46">
        <f t="shared" si="4"/>
        <v>0</v>
      </c>
      <c r="R218" s="71" t="str">
        <f t="array" ref="R218">IF(B218="","",INDEX('Bán nhanh'!$C$4:$C$103,INT((ROW()-4)/10)+1))</f>
        <v/>
      </c>
      <c r="S218" s="71" t="str">
        <f t="array" ref="S218">IF(B218="","",INDEX('Bán nhanh'!$P$4:$P$103,INT((ROW()-4)/10)+1))</f>
        <v/>
      </c>
      <c r="T218" s="58"/>
      <c r="U218" s="36"/>
      <c r="V218" s="36"/>
      <c r="W218" s="58"/>
      <c r="X218" s="36"/>
      <c r="Y218" s="36"/>
      <c r="Z218" s="36"/>
    </row>
    <row r="219" ht="15.75" customHeight="1">
      <c r="A219" s="70" t="str">
        <f t="array" ref="A219">IF(B219="","",INDEX('Bán nhanh'!$A$4:$A$103,INT((ROW()-4)/10)+1))</f>
        <v/>
      </c>
      <c r="B219" s="71" t="str">
        <f t="array" ref="B219">IF(OR(INDEX('Bán nhanh'!$D$3:$M$3,1,MOD(ROW()-4,10)+1)="",INDEX('Bán nhanh'!$D$4:$M$103,INT((ROW()-4)/10)+1,MOD(ROW()-4,10)+1)&lt;=0),"",INDEX('Bán nhanh'!$D$3:$M$3,1,MOD(ROW()-4,10)+1))</f>
        <v/>
      </c>
      <c r="C219" s="58" t="str">
        <f t="array" ref="C219">IFERROR(INDEX('Sản phẩm'!$A$4:$A$103,MATCH(B219,'Sản phẩm'!$D$4:$D$103,0)),"")</f>
        <v/>
      </c>
      <c r="D219" s="71" t="str">
        <f t="array" ref="D219">IF(B219="","",INDEX('Bán nhanh'!$B$4:$B$103,INT((ROW()-4)/10)+1))</f>
        <v/>
      </c>
      <c r="E219" s="58" t="str">
        <f t="array" ref="E219">IFERROR(INDEX('Mẻ sữa'!$B$4:$B$203,MATCH(D219,'Mẻ sữa'!$C$4:$C$203,0)),"")</f>
        <v/>
      </c>
      <c r="F219" s="66">
        <f t="array" ref="F219">IF(B219="",0,INDEX('Bán nhanh'!$D$4:$M$103,INT((ROW()-4)/10)+1,MOD(ROW()-4,10)+1))</f>
        <v>0</v>
      </c>
      <c r="G219" s="46">
        <f t="array" ref="G219">IFERROR(INDEX('Sản phẩm'!$F$4:$F$103,MATCH(B219,'Sản phẩm'!$D$4:$D$103,0)),0)</f>
        <v>0</v>
      </c>
      <c r="H219" s="67">
        <f t="shared" si="5"/>
        <v>0</v>
      </c>
      <c r="I219" s="46">
        <f t="shared" si="1"/>
        <v>0</v>
      </c>
      <c r="J219" s="46">
        <f t="array" ref="J219">IFERROR(INDEX('Sản phẩm'!$G$4:$G$103,MATCH(B219,'Sản phẩm'!$D$4:$D$103,0)),0)</f>
        <v>0</v>
      </c>
      <c r="K219" s="46">
        <f t="array" ref="K219">IFERROR(J219*INDEX('Mẻ sữa'!$N$4:$N$203,MATCH(D219,'Mẻ sữa'!$C$4:$C$203,0)),0)</f>
        <v>0</v>
      </c>
      <c r="L219" s="46">
        <f t="array" ref="L219">IFERROR(INDEX('Sản phẩm'!$I$4:$I$103,MATCH(B219,'Sản phẩm'!$D$4:$D$103,0)),0)</f>
        <v>0</v>
      </c>
      <c r="M219" s="72" t="str">
        <f t="array" ref="M219">IFERROR(INDEX('Sản phẩm'!$J$4:$J$103,MATCH(B219,'Sản phẩm'!$D$4:$D$103,0)),0)</f>
        <v/>
      </c>
      <c r="N219" s="46">
        <f>IF(B219="",0,(K219+L219+M219)*'Thiết lập'!$B$8)</f>
        <v>0</v>
      </c>
      <c r="O219" s="46">
        <f t="shared" si="2"/>
        <v>0</v>
      </c>
      <c r="P219" s="46">
        <f t="shared" si="3"/>
        <v>0</v>
      </c>
      <c r="Q219" s="46">
        <f t="shared" si="4"/>
        <v>0</v>
      </c>
      <c r="R219" s="71" t="str">
        <f t="array" ref="R219">IF(B219="","",INDEX('Bán nhanh'!$C$4:$C$103,INT((ROW()-4)/10)+1))</f>
        <v/>
      </c>
      <c r="S219" s="71" t="str">
        <f t="array" ref="S219">IF(B219="","",INDEX('Bán nhanh'!$P$4:$P$103,INT((ROW()-4)/10)+1))</f>
        <v/>
      </c>
      <c r="T219" s="58"/>
      <c r="U219" s="36"/>
      <c r="V219" s="36"/>
      <c r="W219" s="58"/>
      <c r="X219" s="36"/>
      <c r="Y219" s="36"/>
      <c r="Z219" s="36"/>
    </row>
    <row r="220" ht="15.75" customHeight="1">
      <c r="A220" s="70" t="str">
        <f t="array" ref="A220">IF(B220="","",INDEX('Bán nhanh'!$A$4:$A$103,INT((ROW()-4)/10)+1))</f>
        <v/>
      </c>
      <c r="B220" s="71" t="str">
        <f t="array" ref="B220">IF(OR(INDEX('Bán nhanh'!$D$3:$M$3,1,MOD(ROW()-4,10)+1)="",INDEX('Bán nhanh'!$D$4:$M$103,INT((ROW()-4)/10)+1,MOD(ROW()-4,10)+1)&lt;=0),"",INDEX('Bán nhanh'!$D$3:$M$3,1,MOD(ROW()-4,10)+1))</f>
        <v/>
      </c>
      <c r="C220" s="58" t="str">
        <f t="array" ref="C220">IFERROR(INDEX('Sản phẩm'!$A$4:$A$103,MATCH(B220,'Sản phẩm'!$D$4:$D$103,0)),"")</f>
        <v/>
      </c>
      <c r="D220" s="71" t="str">
        <f t="array" ref="D220">IF(B220="","",INDEX('Bán nhanh'!$B$4:$B$103,INT((ROW()-4)/10)+1))</f>
        <v/>
      </c>
      <c r="E220" s="58" t="str">
        <f t="array" ref="E220">IFERROR(INDEX('Mẻ sữa'!$B$4:$B$203,MATCH(D220,'Mẻ sữa'!$C$4:$C$203,0)),"")</f>
        <v/>
      </c>
      <c r="F220" s="66">
        <f t="array" ref="F220">IF(B220="",0,INDEX('Bán nhanh'!$D$4:$M$103,INT((ROW()-4)/10)+1,MOD(ROW()-4,10)+1))</f>
        <v>0</v>
      </c>
      <c r="G220" s="46">
        <f t="array" ref="G220">IFERROR(INDEX('Sản phẩm'!$F$4:$F$103,MATCH(B220,'Sản phẩm'!$D$4:$D$103,0)),0)</f>
        <v>0</v>
      </c>
      <c r="H220" s="67">
        <f t="shared" si="5"/>
        <v>0</v>
      </c>
      <c r="I220" s="46">
        <f t="shared" si="1"/>
        <v>0</v>
      </c>
      <c r="J220" s="46">
        <f t="array" ref="J220">IFERROR(INDEX('Sản phẩm'!$G$4:$G$103,MATCH(B220,'Sản phẩm'!$D$4:$D$103,0)),0)</f>
        <v>0</v>
      </c>
      <c r="K220" s="46">
        <f t="array" ref="K220">IFERROR(J220*INDEX('Mẻ sữa'!$N$4:$N$203,MATCH(D220,'Mẻ sữa'!$C$4:$C$203,0)),0)</f>
        <v>0</v>
      </c>
      <c r="L220" s="46">
        <f t="array" ref="L220">IFERROR(INDEX('Sản phẩm'!$I$4:$I$103,MATCH(B220,'Sản phẩm'!$D$4:$D$103,0)),0)</f>
        <v>0</v>
      </c>
      <c r="M220" s="72" t="str">
        <f t="array" ref="M220">IFERROR(INDEX('Sản phẩm'!$J$4:$J$103,MATCH(B220,'Sản phẩm'!$D$4:$D$103,0)),0)</f>
        <v/>
      </c>
      <c r="N220" s="46">
        <f>IF(B220="",0,(K220+L220+M220)*'Thiết lập'!$B$8)</f>
        <v>0</v>
      </c>
      <c r="O220" s="46">
        <f t="shared" si="2"/>
        <v>0</v>
      </c>
      <c r="P220" s="46">
        <f t="shared" si="3"/>
        <v>0</v>
      </c>
      <c r="Q220" s="46">
        <f t="shared" si="4"/>
        <v>0</v>
      </c>
      <c r="R220" s="71" t="str">
        <f t="array" ref="R220">IF(B220="","",INDEX('Bán nhanh'!$C$4:$C$103,INT((ROW()-4)/10)+1))</f>
        <v/>
      </c>
      <c r="S220" s="71" t="str">
        <f t="array" ref="S220">IF(B220="","",INDEX('Bán nhanh'!$P$4:$P$103,INT((ROW()-4)/10)+1))</f>
        <v/>
      </c>
      <c r="T220" s="58"/>
      <c r="U220" s="36"/>
      <c r="V220" s="36"/>
      <c r="W220" s="58"/>
      <c r="X220" s="36"/>
      <c r="Y220" s="36"/>
      <c r="Z220" s="36"/>
    </row>
    <row r="221" ht="15.75" customHeight="1">
      <c r="A221" s="70" t="str">
        <f t="array" ref="A221">IF(B221="","",INDEX('Bán nhanh'!$A$4:$A$103,INT((ROW()-4)/10)+1))</f>
        <v/>
      </c>
      <c r="B221" s="71" t="str">
        <f t="array" ref="B221">IF(OR(INDEX('Bán nhanh'!$D$3:$M$3,1,MOD(ROW()-4,10)+1)="",INDEX('Bán nhanh'!$D$4:$M$103,INT((ROW()-4)/10)+1,MOD(ROW()-4,10)+1)&lt;=0),"",INDEX('Bán nhanh'!$D$3:$M$3,1,MOD(ROW()-4,10)+1))</f>
        <v/>
      </c>
      <c r="C221" s="58" t="str">
        <f t="array" ref="C221">IFERROR(INDEX('Sản phẩm'!$A$4:$A$103,MATCH(B221,'Sản phẩm'!$D$4:$D$103,0)),"")</f>
        <v/>
      </c>
      <c r="D221" s="71" t="str">
        <f t="array" ref="D221">IF(B221="","",INDEX('Bán nhanh'!$B$4:$B$103,INT((ROW()-4)/10)+1))</f>
        <v/>
      </c>
      <c r="E221" s="58" t="str">
        <f t="array" ref="E221">IFERROR(INDEX('Mẻ sữa'!$B$4:$B$203,MATCH(D221,'Mẻ sữa'!$C$4:$C$203,0)),"")</f>
        <v/>
      </c>
      <c r="F221" s="66">
        <f t="array" ref="F221">IF(B221="",0,INDEX('Bán nhanh'!$D$4:$M$103,INT((ROW()-4)/10)+1,MOD(ROW()-4,10)+1))</f>
        <v>0</v>
      </c>
      <c r="G221" s="46">
        <f t="array" ref="G221">IFERROR(INDEX('Sản phẩm'!$F$4:$F$103,MATCH(B221,'Sản phẩm'!$D$4:$D$103,0)),0)</f>
        <v>0</v>
      </c>
      <c r="H221" s="67">
        <f t="shared" si="5"/>
        <v>0</v>
      </c>
      <c r="I221" s="46">
        <f t="shared" si="1"/>
        <v>0</v>
      </c>
      <c r="J221" s="46">
        <f t="array" ref="J221">IFERROR(INDEX('Sản phẩm'!$G$4:$G$103,MATCH(B221,'Sản phẩm'!$D$4:$D$103,0)),0)</f>
        <v>0</v>
      </c>
      <c r="K221" s="46">
        <f t="array" ref="K221">IFERROR(J221*INDEX('Mẻ sữa'!$N$4:$N$203,MATCH(D221,'Mẻ sữa'!$C$4:$C$203,0)),0)</f>
        <v>0</v>
      </c>
      <c r="L221" s="46">
        <f t="array" ref="L221">IFERROR(INDEX('Sản phẩm'!$I$4:$I$103,MATCH(B221,'Sản phẩm'!$D$4:$D$103,0)),0)</f>
        <v>0</v>
      </c>
      <c r="M221" s="72" t="str">
        <f t="array" ref="M221">IFERROR(INDEX('Sản phẩm'!$J$4:$J$103,MATCH(B221,'Sản phẩm'!$D$4:$D$103,0)),0)</f>
        <v/>
      </c>
      <c r="N221" s="46">
        <f>IF(B221="",0,(K221+L221+M221)*'Thiết lập'!$B$8)</f>
        <v>0</v>
      </c>
      <c r="O221" s="46">
        <f t="shared" si="2"/>
        <v>0</v>
      </c>
      <c r="P221" s="46">
        <f t="shared" si="3"/>
        <v>0</v>
      </c>
      <c r="Q221" s="46">
        <f t="shared" si="4"/>
        <v>0</v>
      </c>
      <c r="R221" s="71" t="str">
        <f t="array" ref="R221">IF(B221="","",INDEX('Bán nhanh'!$C$4:$C$103,INT((ROW()-4)/10)+1))</f>
        <v/>
      </c>
      <c r="S221" s="71" t="str">
        <f t="array" ref="S221">IF(B221="","",INDEX('Bán nhanh'!$P$4:$P$103,INT((ROW()-4)/10)+1))</f>
        <v/>
      </c>
      <c r="T221" s="58"/>
      <c r="U221" s="36"/>
      <c r="V221" s="36"/>
      <c r="W221" s="58"/>
      <c r="X221" s="36"/>
      <c r="Y221" s="36"/>
      <c r="Z221" s="36"/>
    </row>
    <row r="222" ht="15.75" customHeight="1">
      <c r="A222" s="70" t="str">
        <f t="array" ref="A222">IF(B222="","",INDEX('Bán nhanh'!$A$4:$A$103,INT((ROW()-4)/10)+1))</f>
        <v/>
      </c>
      <c r="B222" s="71" t="str">
        <f t="array" ref="B222">IF(OR(INDEX('Bán nhanh'!$D$3:$M$3,1,MOD(ROW()-4,10)+1)="",INDEX('Bán nhanh'!$D$4:$M$103,INT((ROW()-4)/10)+1,MOD(ROW()-4,10)+1)&lt;=0),"",INDEX('Bán nhanh'!$D$3:$M$3,1,MOD(ROW()-4,10)+1))</f>
        <v/>
      </c>
      <c r="C222" s="58" t="str">
        <f t="array" ref="C222">IFERROR(INDEX('Sản phẩm'!$A$4:$A$103,MATCH(B222,'Sản phẩm'!$D$4:$D$103,0)),"")</f>
        <v/>
      </c>
      <c r="D222" s="71" t="str">
        <f t="array" ref="D222">IF(B222="","",INDEX('Bán nhanh'!$B$4:$B$103,INT((ROW()-4)/10)+1))</f>
        <v/>
      </c>
      <c r="E222" s="58" t="str">
        <f t="array" ref="E222">IFERROR(INDEX('Mẻ sữa'!$B$4:$B$203,MATCH(D222,'Mẻ sữa'!$C$4:$C$203,0)),"")</f>
        <v/>
      </c>
      <c r="F222" s="66">
        <f t="array" ref="F222">IF(B222="",0,INDEX('Bán nhanh'!$D$4:$M$103,INT((ROW()-4)/10)+1,MOD(ROW()-4,10)+1))</f>
        <v>0</v>
      </c>
      <c r="G222" s="46">
        <f t="array" ref="G222">IFERROR(INDEX('Sản phẩm'!$F$4:$F$103,MATCH(B222,'Sản phẩm'!$D$4:$D$103,0)),0)</f>
        <v>0</v>
      </c>
      <c r="H222" s="67">
        <f t="shared" si="5"/>
        <v>0</v>
      </c>
      <c r="I222" s="46">
        <f t="shared" si="1"/>
        <v>0</v>
      </c>
      <c r="J222" s="46">
        <f t="array" ref="J222">IFERROR(INDEX('Sản phẩm'!$G$4:$G$103,MATCH(B222,'Sản phẩm'!$D$4:$D$103,0)),0)</f>
        <v>0</v>
      </c>
      <c r="K222" s="46">
        <f t="array" ref="K222">IFERROR(J222*INDEX('Mẻ sữa'!$N$4:$N$203,MATCH(D222,'Mẻ sữa'!$C$4:$C$203,0)),0)</f>
        <v>0</v>
      </c>
      <c r="L222" s="46">
        <f t="array" ref="L222">IFERROR(INDEX('Sản phẩm'!$I$4:$I$103,MATCH(B222,'Sản phẩm'!$D$4:$D$103,0)),0)</f>
        <v>0</v>
      </c>
      <c r="M222" s="72" t="str">
        <f t="array" ref="M222">IFERROR(INDEX('Sản phẩm'!$J$4:$J$103,MATCH(B222,'Sản phẩm'!$D$4:$D$103,0)),0)</f>
        <v/>
      </c>
      <c r="N222" s="46">
        <f>IF(B222="",0,(K222+L222+M222)*'Thiết lập'!$B$8)</f>
        <v>0</v>
      </c>
      <c r="O222" s="46">
        <f t="shared" si="2"/>
        <v>0</v>
      </c>
      <c r="P222" s="46">
        <f t="shared" si="3"/>
        <v>0</v>
      </c>
      <c r="Q222" s="46">
        <f t="shared" si="4"/>
        <v>0</v>
      </c>
      <c r="R222" s="71" t="str">
        <f t="array" ref="R222">IF(B222="","",INDEX('Bán nhanh'!$C$4:$C$103,INT((ROW()-4)/10)+1))</f>
        <v/>
      </c>
      <c r="S222" s="71" t="str">
        <f t="array" ref="S222">IF(B222="","",INDEX('Bán nhanh'!$P$4:$P$103,INT((ROW()-4)/10)+1))</f>
        <v/>
      </c>
      <c r="T222" s="58"/>
      <c r="U222" s="36"/>
      <c r="V222" s="36"/>
      <c r="W222" s="58"/>
      <c r="X222" s="36"/>
      <c r="Y222" s="36"/>
      <c r="Z222" s="36"/>
    </row>
    <row r="223" ht="15.75" customHeight="1">
      <c r="A223" s="70" t="str">
        <f t="array" ref="A223">IF(B223="","",INDEX('Bán nhanh'!$A$4:$A$103,INT((ROW()-4)/10)+1))</f>
        <v/>
      </c>
      <c r="B223" s="71" t="str">
        <f t="array" ref="B223">IF(OR(INDEX('Bán nhanh'!$D$3:$M$3,1,MOD(ROW()-4,10)+1)="",INDEX('Bán nhanh'!$D$4:$M$103,INT((ROW()-4)/10)+1,MOD(ROW()-4,10)+1)&lt;=0),"",INDEX('Bán nhanh'!$D$3:$M$3,1,MOD(ROW()-4,10)+1))</f>
        <v/>
      </c>
      <c r="C223" s="58" t="str">
        <f t="array" ref="C223">IFERROR(INDEX('Sản phẩm'!$A$4:$A$103,MATCH(B223,'Sản phẩm'!$D$4:$D$103,0)),"")</f>
        <v/>
      </c>
      <c r="D223" s="71" t="str">
        <f t="array" ref="D223">IF(B223="","",INDEX('Bán nhanh'!$B$4:$B$103,INT((ROW()-4)/10)+1))</f>
        <v/>
      </c>
      <c r="E223" s="58" t="str">
        <f t="array" ref="E223">IFERROR(INDEX('Mẻ sữa'!$B$4:$B$203,MATCH(D223,'Mẻ sữa'!$C$4:$C$203,0)),"")</f>
        <v/>
      </c>
      <c r="F223" s="66">
        <f t="array" ref="F223">IF(B223="",0,INDEX('Bán nhanh'!$D$4:$M$103,INT((ROW()-4)/10)+1,MOD(ROW()-4,10)+1))</f>
        <v>0</v>
      </c>
      <c r="G223" s="46">
        <f t="array" ref="G223">IFERROR(INDEX('Sản phẩm'!$F$4:$F$103,MATCH(B223,'Sản phẩm'!$D$4:$D$103,0)),0)</f>
        <v>0</v>
      </c>
      <c r="H223" s="67">
        <f t="shared" si="5"/>
        <v>0</v>
      </c>
      <c r="I223" s="46">
        <f t="shared" si="1"/>
        <v>0</v>
      </c>
      <c r="J223" s="46">
        <f t="array" ref="J223">IFERROR(INDEX('Sản phẩm'!$G$4:$G$103,MATCH(B223,'Sản phẩm'!$D$4:$D$103,0)),0)</f>
        <v>0</v>
      </c>
      <c r="K223" s="46">
        <f t="array" ref="K223">IFERROR(J223*INDEX('Mẻ sữa'!$N$4:$N$203,MATCH(D223,'Mẻ sữa'!$C$4:$C$203,0)),0)</f>
        <v>0</v>
      </c>
      <c r="L223" s="46">
        <f t="array" ref="L223">IFERROR(INDEX('Sản phẩm'!$I$4:$I$103,MATCH(B223,'Sản phẩm'!$D$4:$D$103,0)),0)</f>
        <v>0</v>
      </c>
      <c r="M223" s="72" t="str">
        <f t="array" ref="M223">IFERROR(INDEX('Sản phẩm'!$J$4:$J$103,MATCH(B223,'Sản phẩm'!$D$4:$D$103,0)),0)</f>
        <v/>
      </c>
      <c r="N223" s="46">
        <f>IF(B223="",0,(K223+L223+M223)*'Thiết lập'!$B$8)</f>
        <v>0</v>
      </c>
      <c r="O223" s="46">
        <f t="shared" si="2"/>
        <v>0</v>
      </c>
      <c r="P223" s="46">
        <f t="shared" si="3"/>
        <v>0</v>
      </c>
      <c r="Q223" s="46">
        <f t="shared" si="4"/>
        <v>0</v>
      </c>
      <c r="R223" s="71" t="str">
        <f t="array" ref="R223">IF(B223="","",INDEX('Bán nhanh'!$C$4:$C$103,INT((ROW()-4)/10)+1))</f>
        <v/>
      </c>
      <c r="S223" s="71" t="str">
        <f t="array" ref="S223">IF(B223="","",INDEX('Bán nhanh'!$P$4:$P$103,INT((ROW()-4)/10)+1))</f>
        <v/>
      </c>
      <c r="T223" s="58"/>
      <c r="U223" s="36"/>
      <c r="V223" s="36"/>
      <c r="W223" s="58"/>
      <c r="X223" s="36"/>
      <c r="Y223" s="36"/>
      <c r="Z223" s="36"/>
    </row>
    <row r="224" ht="15.75" customHeight="1">
      <c r="A224" s="70" t="str">
        <f t="array" ref="A224">IF(B224="","",INDEX('Bán nhanh'!$A$4:$A$103,INT((ROW()-4)/10)+1))</f>
        <v/>
      </c>
      <c r="B224" s="71" t="str">
        <f t="array" ref="B224">IF(OR(INDEX('Bán nhanh'!$D$3:$M$3,1,MOD(ROW()-4,10)+1)="",INDEX('Bán nhanh'!$D$4:$M$103,INT((ROW()-4)/10)+1,MOD(ROW()-4,10)+1)&lt;=0),"",INDEX('Bán nhanh'!$D$3:$M$3,1,MOD(ROW()-4,10)+1))</f>
        <v/>
      </c>
      <c r="C224" s="58" t="str">
        <f t="array" ref="C224">IFERROR(INDEX('Sản phẩm'!$A$4:$A$103,MATCH(B224,'Sản phẩm'!$D$4:$D$103,0)),"")</f>
        <v/>
      </c>
      <c r="D224" s="71" t="str">
        <f t="array" ref="D224">IF(B224="","",INDEX('Bán nhanh'!$B$4:$B$103,INT((ROW()-4)/10)+1))</f>
        <v/>
      </c>
      <c r="E224" s="58" t="str">
        <f t="array" ref="E224">IFERROR(INDEX('Mẻ sữa'!$B$4:$B$203,MATCH(D224,'Mẻ sữa'!$C$4:$C$203,0)),"")</f>
        <v/>
      </c>
      <c r="F224" s="66">
        <f t="array" ref="F224">IF(B224="",0,INDEX('Bán nhanh'!$D$4:$M$103,INT((ROW()-4)/10)+1,MOD(ROW()-4,10)+1))</f>
        <v>0</v>
      </c>
      <c r="G224" s="46">
        <f t="array" ref="G224">IFERROR(INDEX('Sản phẩm'!$F$4:$F$103,MATCH(B224,'Sản phẩm'!$D$4:$D$103,0)),0)</f>
        <v>0</v>
      </c>
      <c r="H224" s="67">
        <f t="shared" si="5"/>
        <v>0</v>
      </c>
      <c r="I224" s="46">
        <f t="shared" si="1"/>
        <v>0</v>
      </c>
      <c r="J224" s="46">
        <f t="array" ref="J224">IFERROR(INDEX('Sản phẩm'!$G$4:$G$103,MATCH(B224,'Sản phẩm'!$D$4:$D$103,0)),0)</f>
        <v>0</v>
      </c>
      <c r="K224" s="46">
        <f t="array" ref="K224">IFERROR(J224*INDEX('Mẻ sữa'!$N$4:$N$203,MATCH(D224,'Mẻ sữa'!$C$4:$C$203,0)),0)</f>
        <v>0</v>
      </c>
      <c r="L224" s="46">
        <f t="array" ref="L224">IFERROR(INDEX('Sản phẩm'!$I$4:$I$103,MATCH(B224,'Sản phẩm'!$D$4:$D$103,0)),0)</f>
        <v>0</v>
      </c>
      <c r="M224" s="72" t="str">
        <f t="array" ref="M224">IFERROR(INDEX('Sản phẩm'!$J$4:$J$103,MATCH(B224,'Sản phẩm'!$D$4:$D$103,0)),0)</f>
        <v/>
      </c>
      <c r="N224" s="46">
        <f>IF(B224="",0,(K224+L224+M224)*'Thiết lập'!$B$8)</f>
        <v>0</v>
      </c>
      <c r="O224" s="46">
        <f t="shared" si="2"/>
        <v>0</v>
      </c>
      <c r="P224" s="46">
        <f t="shared" si="3"/>
        <v>0</v>
      </c>
      <c r="Q224" s="46">
        <f t="shared" si="4"/>
        <v>0</v>
      </c>
      <c r="R224" s="71" t="str">
        <f t="array" ref="R224">IF(B224="","",INDEX('Bán nhanh'!$C$4:$C$103,INT((ROW()-4)/10)+1))</f>
        <v/>
      </c>
      <c r="S224" s="71" t="str">
        <f t="array" ref="S224">IF(B224="","",INDEX('Bán nhanh'!$P$4:$P$103,INT((ROW()-4)/10)+1))</f>
        <v/>
      </c>
      <c r="T224" s="58"/>
      <c r="U224" s="36"/>
      <c r="V224" s="36"/>
      <c r="W224" s="58"/>
      <c r="X224" s="36"/>
      <c r="Y224" s="36"/>
      <c r="Z224" s="36"/>
    </row>
    <row r="225" ht="15.75" customHeight="1">
      <c r="A225" s="70" t="str">
        <f t="array" ref="A225">IF(B225="","",INDEX('Bán nhanh'!$A$4:$A$103,INT((ROW()-4)/10)+1))</f>
        <v/>
      </c>
      <c r="B225" s="71" t="str">
        <f t="array" ref="B225">IF(OR(INDEX('Bán nhanh'!$D$3:$M$3,1,MOD(ROW()-4,10)+1)="",INDEX('Bán nhanh'!$D$4:$M$103,INT((ROW()-4)/10)+1,MOD(ROW()-4,10)+1)&lt;=0),"",INDEX('Bán nhanh'!$D$3:$M$3,1,MOD(ROW()-4,10)+1))</f>
        <v/>
      </c>
      <c r="C225" s="58" t="str">
        <f t="array" ref="C225">IFERROR(INDEX('Sản phẩm'!$A$4:$A$103,MATCH(B225,'Sản phẩm'!$D$4:$D$103,0)),"")</f>
        <v/>
      </c>
      <c r="D225" s="71" t="str">
        <f t="array" ref="D225">IF(B225="","",INDEX('Bán nhanh'!$B$4:$B$103,INT((ROW()-4)/10)+1))</f>
        <v/>
      </c>
      <c r="E225" s="58" t="str">
        <f t="array" ref="E225">IFERROR(INDEX('Mẻ sữa'!$B$4:$B$203,MATCH(D225,'Mẻ sữa'!$C$4:$C$203,0)),"")</f>
        <v/>
      </c>
      <c r="F225" s="66">
        <f t="array" ref="F225">IF(B225="",0,INDEX('Bán nhanh'!$D$4:$M$103,INT((ROW()-4)/10)+1,MOD(ROW()-4,10)+1))</f>
        <v>0</v>
      </c>
      <c r="G225" s="46">
        <f t="array" ref="G225">IFERROR(INDEX('Sản phẩm'!$F$4:$F$103,MATCH(B225,'Sản phẩm'!$D$4:$D$103,0)),0)</f>
        <v>0</v>
      </c>
      <c r="H225" s="67">
        <f t="shared" si="5"/>
        <v>0</v>
      </c>
      <c r="I225" s="46">
        <f t="shared" si="1"/>
        <v>0</v>
      </c>
      <c r="J225" s="46">
        <f t="array" ref="J225">IFERROR(INDEX('Sản phẩm'!$G$4:$G$103,MATCH(B225,'Sản phẩm'!$D$4:$D$103,0)),0)</f>
        <v>0</v>
      </c>
      <c r="K225" s="46">
        <f t="array" ref="K225">IFERROR(J225*INDEX('Mẻ sữa'!$N$4:$N$203,MATCH(D225,'Mẻ sữa'!$C$4:$C$203,0)),0)</f>
        <v>0</v>
      </c>
      <c r="L225" s="46">
        <f t="array" ref="L225">IFERROR(INDEX('Sản phẩm'!$I$4:$I$103,MATCH(B225,'Sản phẩm'!$D$4:$D$103,0)),0)</f>
        <v>0</v>
      </c>
      <c r="M225" s="72" t="str">
        <f t="array" ref="M225">IFERROR(INDEX('Sản phẩm'!$J$4:$J$103,MATCH(B225,'Sản phẩm'!$D$4:$D$103,0)),0)</f>
        <v/>
      </c>
      <c r="N225" s="46">
        <f>IF(B225="",0,(K225+L225+M225)*'Thiết lập'!$B$8)</f>
        <v>0</v>
      </c>
      <c r="O225" s="46">
        <f t="shared" si="2"/>
        <v>0</v>
      </c>
      <c r="P225" s="46">
        <f t="shared" si="3"/>
        <v>0</v>
      </c>
      <c r="Q225" s="46">
        <f t="shared" si="4"/>
        <v>0</v>
      </c>
      <c r="R225" s="71" t="str">
        <f t="array" ref="R225">IF(B225="","",INDEX('Bán nhanh'!$C$4:$C$103,INT((ROW()-4)/10)+1))</f>
        <v/>
      </c>
      <c r="S225" s="71" t="str">
        <f t="array" ref="S225">IF(B225="","",INDEX('Bán nhanh'!$P$4:$P$103,INT((ROW()-4)/10)+1))</f>
        <v/>
      </c>
      <c r="T225" s="58"/>
      <c r="U225" s="36"/>
      <c r="V225" s="36"/>
      <c r="W225" s="58"/>
      <c r="X225" s="36"/>
      <c r="Y225" s="36"/>
      <c r="Z225" s="36"/>
    </row>
    <row r="226" ht="15.75" customHeight="1">
      <c r="A226" s="70" t="str">
        <f t="array" ref="A226">IF(B226="","",INDEX('Bán nhanh'!$A$4:$A$103,INT((ROW()-4)/10)+1))</f>
        <v/>
      </c>
      <c r="B226" s="71" t="str">
        <f t="array" ref="B226">IF(OR(INDEX('Bán nhanh'!$D$3:$M$3,1,MOD(ROW()-4,10)+1)="",INDEX('Bán nhanh'!$D$4:$M$103,INT((ROW()-4)/10)+1,MOD(ROW()-4,10)+1)&lt;=0),"",INDEX('Bán nhanh'!$D$3:$M$3,1,MOD(ROW()-4,10)+1))</f>
        <v/>
      </c>
      <c r="C226" s="58" t="str">
        <f t="array" ref="C226">IFERROR(INDEX('Sản phẩm'!$A$4:$A$103,MATCH(B226,'Sản phẩm'!$D$4:$D$103,0)),"")</f>
        <v/>
      </c>
      <c r="D226" s="71" t="str">
        <f t="array" ref="D226">IF(B226="","",INDEX('Bán nhanh'!$B$4:$B$103,INT((ROW()-4)/10)+1))</f>
        <v/>
      </c>
      <c r="E226" s="58" t="str">
        <f t="array" ref="E226">IFERROR(INDEX('Mẻ sữa'!$B$4:$B$203,MATCH(D226,'Mẻ sữa'!$C$4:$C$203,0)),"")</f>
        <v/>
      </c>
      <c r="F226" s="66">
        <f t="array" ref="F226">IF(B226="",0,INDEX('Bán nhanh'!$D$4:$M$103,INT((ROW()-4)/10)+1,MOD(ROW()-4,10)+1))</f>
        <v>0</v>
      </c>
      <c r="G226" s="46">
        <f t="array" ref="G226">IFERROR(INDEX('Sản phẩm'!$F$4:$F$103,MATCH(B226,'Sản phẩm'!$D$4:$D$103,0)),0)</f>
        <v>0</v>
      </c>
      <c r="H226" s="67">
        <f t="shared" si="5"/>
        <v>0</v>
      </c>
      <c r="I226" s="46">
        <f t="shared" si="1"/>
        <v>0</v>
      </c>
      <c r="J226" s="46">
        <f t="array" ref="J226">IFERROR(INDEX('Sản phẩm'!$G$4:$G$103,MATCH(B226,'Sản phẩm'!$D$4:$D$103,0)),0)</f>
        <v>0</v>
      </c>
      <c r="K226" s="46">
        <f t="array" ref="K226">IFERROR(J226*INDEX('Mẻ sữa'!$N$4:$N$203,MATCH(D226,'Mẻ sữa'!$C$4:$C$203,0)),0)</f>
        <v>0</v>
      </c>
      <c r="L226" s="46">
        <f t="array" ref="L226">IFERROR(INDEX('Sản phẩm'!$I$4:$I$103,MATCH(B226,'Sản phẩm'!$D$4:$D$103,0)),0)</f>
        <v>0</v>
      </c>
      <c r="M226" s="72" t="str">
        <f t="array" ref="M226">IFERROR(INDEX('Sản phẩm'!$J$4:$J$103,MATCH(B226,'Sản phẩm'!$D$4:$D$103,0)),0)</f>
        <v/>
      </c>
      <c r="N226" s="46">
        <f>IF(B226="",0,(K226+L226+M226)*'Thiết lập'!$B$8)</f>
        <v>0</v>
      </c>
      <c r="O226" s="46">
        <f t="shared" si="2"/>
        <v>0</v>
      </c>
      <c r="P226" s="46">
        <f t="shared" si="3"/>
        <v>0</v>
      </c>
      <c r="Q226" s="46">
        <f t="shared" si="4"/>
        <v>0</v>
      </c>
      <c r="R226" s="71" t="str">
        <f t="array" ref="R226">IF(B226="","",INDEX('Bán nhanh'!$C$4:$C$103,INT((ROW()-4)/10)+1))</f>
        <v/>
      </c>
      <c r="S226" s="71" t="str">
        <f t="array" ref="S226">IF(B226="","",INDEX('Bán nhanh'!$P$4:$P$103,INT((ROW()-4)/10)+1))</f>
        <v/>
      </c>
      <c r="T226" s="58"/>
      <c r="U226" s="36"/>
      <c r="V226" s="36"/>
      <c r="W226" s="58"/>
      <c r="X226" s="36"/>
      <c r="Y226" s="36"/>
      <c r="Z226" s="36"/>
    </row>
    <row r="227" ht="15.75" customHeight="1">
      <c r="A227" s="70" t="str">
        <f t="array" ref="A227">IF(B227="","",INDEX('Bán nhanh'!$A$4:$A$103,INT((ROW()-4)/10)+1))</f>
        <v/>
      </c>
      <c r="B227" s="71" t="str">
        <f t="array" ref="B227">IF(OR(INDEX('Bán nhanh'!$D$3:$M$3,1,MOD(ROW()-4,10)+1)="",INDEX('Bán nhanh'!$D$4:$M$103,INT((ROW()-4)/10)+1,MOD(ROW()-4,10)+1)&lt;=0),"",INDEX('Bán nhanh'!$D$3:$M$3,1,MOD(ROW()-4,10)+1))</f>
        <v/>
      </c>
      <c r="C227" s="58" t="str">
        <f t="array" ref="C227">IFERROR(INDEX('Sản phẩm'!$A$4:$A$103,MATCH(B227,'Sản phẩm'!$D$4:$D$103,0)),"")</f>
        <v/>
      </c>
      <c r="D227" s="71" t="str">
        <f t="array" ref="D227">IF(B227="","",INDEX('Bán nhanh'!$B$4:$B$103,INT((ROW()-4)/10)+1))</f>
        <v/>
      </c>
      <c r="E227" s="58" t="str">
        <f t="array" ref="E227">IFERROR(INDEX('Mẻ sữa'!$B$4:$B$203,MATCH(D227,'Mẻ sữa'!$C$4:$C$203,0)),"")</f>
        <v/>
      </c>
      <c r="F227" s="66">
        <f t="array" ref="F227">IF(B227="",0,INDEX('Bán nhanh'!$D$4:$M$103,INT((ROW()-4)/10)+1,MOD(ROW()-4,10)+1))</f>
        <v>0</v>
      </c>
      <c r="G227" s="46">
        <f t="array" ref="G227">IFERROR(INDEX('Sản phẩm'!$F$4:$F$103,MATCH(B227,'Sản phẩm'!$D$4:$D$103,0)),0)</f>
        <v>0</v>
      </c>
      <c r="H227" s="67">
        <f t="shared" si="5"/>
        <v>0</v>
      </c>
      <c r="I227" s="46">
        <f t="shared" si="1"/>
        <v>0</v>
      </c>
      <c r="J227" s="46">
        <f t="array" ref="J227">IFERROR(INDEX('Sản phẩm'!$G$4:$G$103,MATCH(B227,'Sản phẩm'!$D$4:$D$103,0)),0)</f>
        <v>0</v>
      </c>
      <c r="K227" s="46">
        <f t="array" ref="K227">IFERROR(J227*INDEX('Mẻ sữa'!$N$4:$N$203,MATCH(D227,'Mẻ sữa'!$C$4:$C$203,0)),0)</f>
        <v>0</v>
      </c>
      <c r="L227" s="46">
        <f t="array" ref="L227">IFERROR(INDEX('Sản phẩm'!$I$4:$I$103,MATCH(B227,'Sản phẩm'!$D$4:$D$103,0)),0)</f>
        <v>0</v>
      </c>
      <c r="M227" s="72" t="str">
        <f t="array" ref="M227">IFERROR(INDEX('Sản phẩm'!$J$4:$J$103,MATCH(B227,'Sản phẩm'!$D$4:$D$103,0)),0)</f>
        <v/>
      </c>
      <c r="N227" s="46">
        <f>IF(B227="",0,(K227+L227+M227)*'Thiết lập'!$B$8)</f>
        <v>0</v>
      </c>
      <c r="O227" s="46">
        <f t="shared" si="2"/>
        <v>0</v>
      </c>
      <c r="P227" s="46">
        <f t="shared" si="3"/>
        <v>0</v>
      </c>
      <c r="Q227" s="46">
        <f t="shared" si="4"/>
        <v>0</v>
      </c>
      <c r="R227" s="71" t="str">
        <f t="array" ref="R227">IF(B227="","",INDEX('Bán nhanh'!$C$4:$C$103,INT((ROW()-4)/10)+1))</f>
        <v/>
      </c>
      <c r="S227" s="71" t="str">
        <f t="array" ref="S227">IF(B227="","",INDEX('Bán nhanh'!$P$4:$P$103,INT((ROW()-4)/10)+1))</f>
        <v/>
      </c>
      <c r="T227" s="58"/>
      <c r="U227" s="36"/>
      <c r="V227" s="36"/>
      <c r="W227" s="58"/>
      <c r="X227" s="36"/>
      <c r="Y227" s="36"/>
      <c r="Z227" s="36"/>
    </row>
    <row r="228" ht="15.75" customHeight="1">
      <c r="A228" s="70" t="str">
        <f t="array" ref="A228">IF(B228="","",INDEX('Bán nhanh'!$A$4:$A$103,INT((ROW()-4)/10)+1))</f>
        <v/>
      </c>
      <c r="B228" s="71" t="str">
        <f t="array" ref="B228">IF(OR(INDEX('Bán nhanh'!$D$3:$M$3,1,MOD(ROW()-4,10)+1)="",INDEX('Bán nhanh'!$D$4:$M$103,INT((ROW()-4)/10)+1,MOD(ROW()-4,10)+1)&lt;=0),"",INDEX('Bán nhanh'!$D$3:$M$3,1,MOD(ROW()-4,10)+1))</f>
        <v/>
      </c>
      <c r="C228" s="58" t="str">
        <f t="array" ref="C228">IFERROR(INDEX('Sản phẩm'!$A$4:$A$103,MATCH(B228,'Sản phẩm'!$D$4:$D$103,0)),"")</f>
        <v/>
      </c>
      <c r="D228" s="71" t="str">
        <f t="array" ref="D228">IF(B228="","",INDEX('Bán nhanh'!$B$4:$B$103,INT((ROW()-4)/10)+1))</f>
        <v/>
      </c>
      <c r="E228" s="58" t="str">
        <f t="array" ref="E228">IFERROR(INDEX('Mẻ sữa'!$B$4:$B$203,MATCH(D228,'Mẻ sữa'!$C$4:$C$203,0)),"")</f>
        <v/>
      </c>
      <c r="F228" s="66">
        <f t="array" ref="F228">IF(B228="",0,INDEX('Bán nhanh'!$D$4:$M$103,INT((ROW()-4)/10)+1,MOD(ROW()-4,10)+1))</f>
        <v>0</v>
      </c>
      <c r="G228" s="46">
        <f t="array" ref="G228">IFERROR(INDEX('Sản phẩm'!$F$4:$F$103,MATCH(B228,'Sản phẩm'!$D$4:$D$103,0)),0)</f>
        <v>0</v>
      </c>
      <c r="H228" s="67">
        <f t="shared" si="5"/>
        <v>0</v>
      </c>
      <c r="I228" s="46">
        <f t="shared" si="1"/>
        <v>0</v>
      </c>
      <c r="J228" s="46">
        <f t="array" ref="J228">IFERROR(INDEX('Sản phẩm'!$G$4:$G$103,MATCH(B228,'Sản phẩm'!$D$4:$D$103,0)),0)</f>
        <v>0</v>
      </c>
      <c r="K228" s="46">
        <f t="array" ref="K228">IFERROR(J228*INDEX('Mẻ sữa'!$N$4:$N$203,MATCH(D228,'Mẻ sữa'!$C$4:$C$203,0)),0)</f>
        <v>0</v>
      </c>
      <c r="L228" s="46">
        <f t="array" ref="L228">IFERROR(INDEX('Sản phẩm'!$I$4:$I$103,MATCH(B228,'Sản phẩm'!$D$4:$D$103,0)),0)</f>
        <v>0</v>
      </c>
      <c r="M228" s="72" t="str">
        <f t="array" ref="M228">IFERROR(INDEX('Sản phẩm'!$J$4:$J$103,MATCH(B228,'Sản phẩm'!$D$4:$D$103,0)),0)</f>
        <v/>
      </c>
      <c r="N228" s="46">
        <f>IF(B228="",0,(K228+L228+M228)*'Thiết lập'!$B$8)</f>
        <v>0</v>
      </c>
      <c r="O228" s="46">
        <f t="shared" si="2"/>
        <v>0</v>
      </c>
      <c r="P228" s="46">
        <f t="shared" si="3"/>
        <v>0</v>
      </c>
      <c r="Q228" s="46">
        <f t="shared" si="4"/>
        <v>0</v>
      </c>
      <c r="R228" s="71" t="str">
        <f t="array" ref="R228">IF(B228="","",INDEX('Bán nhanh'!$C$4:$C$103,INT((ROW()-4)/10)+1))</f>
        <v/>
      </c>
      <c r="S228" s="71" t="str">
        <f t="array" ref="S228">IF(B228="","",INDEX('Bán nhanh'!$P$4:$P$103,INT((ROW()-4)/10)+1))</f>
        <v/>
      </c>
      <c r="T228" s="58"/>
      <c r="U228" s="36"/>
      <c r="V228" s="36"/>
      <c r="W228" s="58"/>
      <c r="X228" s="36"/>
      <c r="Y228" s="36"/>
      <c r="Z228" s="36"/>
    </row>
    <row r="229" ht="15.75" customHeight="1">
      <c r="A229" s="70" t="str">
        <f t="array" ref="A229">IF(B229="","",INDEX('Bán nhanh'!$A$4:$A$103,INT((ROW()-4)/10)+1))</f>
        <v/>
      </c>
      <c r="B229" s="71" t="str">
        <f t="array" ref="B229">IF(OR(INDEX('Bán nhanh'!$D$3:$M$3,1,MOD(ROW()-4,10)+1)="",INDEX('Bán nhanh'!$D$4:$M$103,INT((ROW()-4)/10)+1,MOD(ROW()-4,10)+1)&lt;=0),"",INDEX('Bán nhanh'!$D$3:$M$3,1,MOD(ROW()-4,10)+1))</f>
        <v/>
      </c>
      <c r="C229" s="58" t="str">
        <f t="array" ref="C229">IFERROR(INDEX('Sản phẩm'!$A$4:$A$103,MATCH(B229,'Sản phẩm'!$D$4:$D$103,0)),"")</f>
        <v/>
      </c>
      <c r="D229" s="71" t="str">
        <f t="array" ref="D229">IF(B229="","",INDEX('Bán nhanh'!$B$4:$B$103,INT((ROW()-4)/10)+1))</f>
        <v/>
      </c>
      <c r="E229" s="58" t="str">
        <f t="array" ref="E229">IFERROR(INDEX('Mẻ sữa'!$B$4:$B$203,MATCH(D229,'Mẻ sữa'!$C$4:$C$203,0)),"")</f>
        <v/>
      </c>
      <c r="F229" s="66">
        <f t="array" ref="F229">IF(B229="",0,INDEX('Bán nhanh'!$D$4:$M$103,INT((ROW()-4)/10)+1,MOD(ROW()-4,10)+1))</f>
        <v>0</v>
      </c>
      <c r="G229" s="46">
        <f t="array" ref="G229">IFERROR(INDEX('Sản phẩm'!$F$4:$F$103,MATCH(B229,'Sản phẩm'!$D$4:$D$103,0)),0)</f>
        <v>0</v>
      </c>
      <c r="H229" s="67">
        <f t="shared" si="5"/>
        <v>0</v>
      </c>
      <c r="I229" s="46">
        <f t="shared" si="1"/>
        <v>0</v>
      </c>
      <c r="J229" s="46">
        <f t="array" ref="J229">IFERROR(INDEX('Sản phẩm'!$G$4:$G$103,MATCH(B229,'Sản phẩm'!$D$4:$D$103,0)),0)</f>
        <v>0</v>
      </c>
      <c r="K229" s="46">
        <f t="array" ref="K229">IFERROR(J229*INDEX('Mẻ sữa'!$N$4:$N$203,MATCH(D229,'Mẻ sữa'!$C$4:$C$203,0)),0)</f>
        <v>0</v>
      </c>
      <c r="L229" s="46">
        <f t="array" ref="L229">IFERROR(INDEX('Sản phẩm'!$I$4:$I$103,MATCH(B229,'Sản phẩm'!$D$4:$D$103,0)),0)</f>
        <v>0</v>
      </c>
      <c r="M229" s="72" t="str">
        <f t="array" ref="M229">IFERROR(INDEX('Sản phẩm'!$J$4:$J$103,MATCH(B229,'Sản phẩm'!$D$4:$D$103,0)),0)</f>
        <v/>
      </c>
      <c r="N229" s="46">
        <f>IF(B229="",0,(K229+L229+M229)*'Thiết lập'!$B$8)</f>
        <v>0</v>
      </c>
      <c r="O229" s="46">
        <f t="shared" si="2"/>
        <v>0</v>
      </c>
      <c r="P229" s="46">
        <f t="shared" si="3"/>
        <v>0</v>
      </c>
      <c r="Q229" s="46">
        <f t="shared" si="4"/>
        <v>0</v>
      </c>
      <c r="R229" s="71" t="str">
        <f t="array" ref="R229">IF(B229="","",INDEX('Bán nhanh'!$C$4:$C$103,INT((ROW()-4)/10)+1))</f>
        <v/>
      </c>
      <c r="S229" s="71" t="str">
        <f t="array" ref="S229">IF(B229="","",INDEX('Bán nhanh'!$P$4:$P$103,INT((ROW()-4)/10)+1))</f>
        <v/>
      </c>
      <c r="T229" s="58"/>
      <c r="U229" s="36"/>
      <c r="V229" s="36"/>
      <c r="W229" s="58"/>
      <c r="X229" s="36"/>
      <c r="Y229" s="36"/>
      <c r="Z229" s="36"/>
    </row>
    <row r="230" ht="15.75" customHeight="1">
      <c r="A230" s="70" t="str">
        <f t="array" ref="A230">IF(B230="","",INDEX('Bán nhanh'!$A$4:$A$103,INT((ROW()-4)/10)+1))</f>
        <v/>
      </c>
      <c r="B230" s="71" t="str">
        <f t="array" ref="B230">IF(OR(INDEX('Bán nhanh'!$D$3:$M$3,1,MOD(ROW()-4,10)+1)="",INDEX('Bán nhanh'!$D$4:$M$103,INT((ROW()-4)/10)+1,MOD(ROW()-4,10)+1)&lt;=0),"",INDEX('Bán nhanh'!$D$3:$M$3,1,MOD(ROW()-4,10)+1))</f>
        <v/>
      </c>
      <c r="C230" s="58" t="str">
        <f t="array" ref="C230">IFERROR(INDEX('Sản phẩm'!$A$4:$A$103,MATCH(B230,'Sản phẩm'!$D$4:$D$103,0)),"")</f>
        <v/>
      </c>
      <c r="D230" s="71" t="str">
        <f t="array" ref="D230">IF(B230="","",INDEX('Bán nhanh'!$B$4:$B$103,INT((ROW()-4)/10)+1))</f>
        <v/>
      </c>
      <c r="E230" s="58" t="str">
        <f t="array" ref="E230">IFERROR(INDEX('Mẻ sữa'!$B$4:$B$203,MATCH(D230,'Mẻ sữa'!$C$4:$C$203,0)),"")</f>
        <v/>
      </c>
      <c r="F230" s="66">
        <f t="array" ref="F230">IF(B230="",0,INDEX('Bán nhanh'!$D$4:$M$103,INT((ROW()-4)/10)+1,MOD(ROW()-4,10)+1))</f>
        <v>0</v>
      </c>
      <c r="G230" s="46">
        <f t="array" ref="G230">IFERROR(INDEX('Sản phẩm'!$F$4:$F$103,MATCH(B230,'Sản phẩm'!$D$4:$D$103,0)),0)</f>
        <v>0</v>
      </c>
      <c r="H230" s="67">
        <f t="shared" si="5"/>
        <v>0</v>
      </c>
      <c r="I230" s="46">
        <f t="shared" si="1"/>
        <v>0</v>
      </c>
      <c r="J230" s="46">
        <f t="array" ref="J230">IFERROR(INDEX('Sản phẩm'!$G$4:$G$103,MATCH(B230,'Sản phẩm'!$D$4:$D$103,0)),0)</f>
        <v>0</v>
      </c>
      <c r="K230" s="46">
        <f t="array" ref="K230">IFERROR(J230*INDEX('Mẻ sữa'!$N$4:$N$203,MATCH(D230,'Mẻ sữa'!$C$4:$C$203,0)),0)</f>
        <v>0</v>
      </c>
      <c r="L230" s="46">
        <f t="array" ref="L230">IFERROR(INDEX('Sản phẩm'!$I$4:$I$103,MATCH(B230,'Sản phẩm'!$D$4:$D$103,0)),0)</f>
        <v>0</v>
      </c>
      <c r="M230" s="72" t="str">
        <f t="array" ref="M230">IFERROR(INDEX('Sản phẩm'!$J$4:$J$103,MATCH(B230,'Sản phẩm'!$D$4:$D$103,0)),0)</f>
        <v/>
      </c>
      <c r="N230" s="46">
        <f>IF(B230="",0,(K230+L230+M230)*'Thiết lập'!$B$8)</f>
        <v>0</v>
      </c>
      <c r="O230" s="46">
        <f t="shared" si="2"/>
        <v>0</v>
      </c>
      <c r="P230" s="46">
        <f t="shared" si="3"/>
        <v>0</v>
      </c>
      <c r="Q230" s="46">
        <f t="shared" si="4"/>
        <v>0</v>
      </c>
      <c r="R230" s="71" t="str">
        <f t="array" ref="R230">IF(B230="","",INDEX('Bán nhanh'!$C$4:$C$103,INT((ROW()-4)/10)+1))</f>
        <v/>
      </c>
      <c r="S230" s="71" t="str">
        <f t="array" ref="S230">IF(B230="","",INDEX('Bán nhanh'!$P$4:$P$103,INT((ROW()-4)/10)+1))</f>
        <v/>
      </c>
      <c r="T230" s="58"/>
      <c r="U230" s="36"/>
      <c r="V230" s="36"/>
      <c r="W230" s="58"/>
      <c r="X230" s="36"/>
      <c r="Y230" s="36"/>
      <c r="Z230" s="36"/>
    </row>
    <row r="231" ht="15.75" customHeight="1">
      <c r="A231" s="70" t="str">
        <f t="array" ref="A231">IF(B231="","",INDEX('Bán nhanh'!$A$4:$A$103,INT((ROW()-4)/10)+1))</f>
        <v/>
      </c>
      <c r="B231" s="71" t="str">
        <f t="array" ref="B231">IF(OR(INDEX('Bán nhanh'!$D$3:$M$3,1,MOD(ROW()-4,10)+1)="",INDEX('Bán nhanh'!$D$4:$M$103,INT((ROW()-4)/10)+1,MOD(ROW()-4,10)+1)&lt;=0),"",INDEX('Bán nhanh'!$D$3:$M$3,1,MOD(ROW()-4,10)+1))</f>
        <v/>
      </c>
      <c r="C231" s="58" t="str">
        <f t="array" ref="C231">IFERROR(INDEX('Sản phẩm'!$A$4:$A$103,MATCH(B231,'Sản phẩm'!$D$4:$D$103,0)),"")</f>
        <v/>
      </c>
      <c r="D231" s="71" t="str">
        <f t="array" ref="D231">IF(B231="","",INDEX('Bán nhanh'!$B$4:$B$103,INT((ROW()-4)/10)+1))</f>
        <v/>
      </c>
      <c r="E231" s="58" t="str">
        <f t="array" ref="E231">IFERROR(INDEX('Mẻ sữa'!$B$4:$B$203,MATCH(D231,'Mẻ sữa'!$C$4:$C$203,0)),"")</f>
        <v/>
      </c>
      <c r="F231" s="66">
        <f t="array" ref="F231">IF(B231="",0,INDEX('Bán nhanh'!$D$4:$M$103,INT((ROW()-4)/10)+1,MOD(ROW()-4,10)+1))</f>
        <v>0</v>
      </c>
      <c r="G231" s="46">
        <f t="array" ref="G231">IFERROR(INDEX('Sản phẩm'!$F$4:$F$103,MATCH(B231,'Sản phẩm'!$D$4:$D$103,0)),0)</f>
        <v>0</v>
      </c>
      <c r="H231" s="67">
        <f t="shared" si="5"/>
        <v>0</v>
      </c>
      <c r="I231" s="46">
        <f t="shared" si="1"/>
        <v>0</v>
      </c>
      <c r="J231" s="46">
        <f t="array" ref="J231">IFERROR(INDEX('Sản phẩm'!$G$4:$G$103,MATCH(B231,'Sản phẩm'!$D$4:$D$103,0)),0)</f>
        <v>0</v>
      </c>
      <c r="K231" s="46">
        <f t="array" ref="K231">IFERROR(J231*INDEX('Mẻ sữa'!$N$4:$N$203,MATCH(D231,'Mẻ sữa'!$C$4:$C$203,0)),0)</f>
        <v>0</v>
      </c>
      <c r="L231" s="46">
        <f t="array" ref="L231">IFERROR(INDEX('Sản phẩm'!$I$4:$I$103,MATCH(B231,'Sản phẩm'!$D$4:$D$103,0)),0)</f>
        <v>0</v>
      </c>
      <c r="M231" s="72" t="str">
        <f t="array" ref="M231">IFERROR(INDEX('Sản phẩm'!$J$4:$J$103,MATCH(B231,'Sản phẩm'!$D$4:$D$103,0)),0)</f>
        <v/>
      </c>
      <c r="N231" s="46">
        <f>IF(B231="",0,(K231+L231+M231)*'Thiết lập'!$B$8)</f>
        <v>0</v>
      </c>
      <c r="O231" s="46">
        <f t="shared" si="2"/>
        <v>0</v>
      </c>
      <c r="P231" s="46">
        <f t="shared" si="3"/>
        <v>0</v>
      </c>
      <c r="Q231" s="46">
        <f t="shared" si="4"/>
        <v>0</v>
      </c>
      <c r="R231" s="71" t="str">
        <f t="array" ref="R231">IF(B231="","",INDEX('Bán nhanh'!$C$4:$C$103,INT((ROW()-4)/10)+1))</f>
        <v/>
      </c>
      <c r="S231" s="71" t="str">
        <f t="array" ref="S231">IF(B231="","",INDEX('Bán nhanh'!$P$4:$P$103,INT((ROW()-4)/10)+1))</f>
        <v/>
      </c>
      <c r="T231" s="58"/>
      <c r="U231" s="36"/>
      <c r="V231" s="36"/>
      <c r="W231" s="58"/>
      <c r="X231" s="36"/>
      <c r="Y231" s="36"/>
      <c r="Z231" s="36"/>
    </row>
    <row r="232" ht="15.75" customHeight="1">
      <c r="A232" s="70" t="str">
        <f t="array" ref="A232">IF(B232="","",INDEX('Bán nhanh'!$A$4:$A$103,INT((ROW()-4)/10)+1))</f>
        <v/>
      </c>
      <c r="B232" s="71" t="str">
        <f t="array" ref="B232">IF(OR(INDEX('Bán nhanh'!$D$3:$M$3,1,MOD(ROW()-4,10)+1)="",INDEX('Bán nhanh'!$D$4:$M$103,INT((ROW()-4)/10)+1,MOD(ROW()-4,10)+1)&lt;=0),"",INDEX('Bán nhanh'!$D$3:$M$3,1,MOD(ROW()-4,10)+1))</f>
        <v/>
      </c>
      <c r="C232" s="58" t="str">
        <f t="array" ref="C232">IFERROR(INDEX('Sản phẩm'!$A$4:$A$103,MATCH(B232,'Sản phẩm'!$D$4:$D$103,0)),"")</f>
        <v/>
      </c>
      <c r="D232" s="71" t="str">
        <f t="array" ref="D232">IF(B232="","",INDEX('Bán nhanh'!$B$4:$B$103,INT((ROW()-4)/10)+1))</f>
        <v/>
      </c>
      <c r="E232" s="58" t="str">
        <f t="array" ref="E232">IFERROR(INDEX('Mẻ sữa'!$B$4:$B$203,MATCH(D232,'Mẻ sữa'!$C$4:$C$203,0)),"")</f>
        <v/>
      </c>
      <c r="F232" s="66">
        <f t="array" ref="F232">IF(B232="",0,INDEX('Bán nhanh'!$D$4:$M$103,INT((ROW()-4)/10)+1,MOD(ROW()-4,10)+1))</f>
        <v>0</v>
      </c>
      <c r="G232" s="46">
        <f t="array" ref="G232">IFERROR(INDEX('Sản phẩm'!$F$4:$F$103,MATCH(B232,'Sản phẩm'!$D$4:$D$103,0)),0)</f>
        <v>0</v>
      </c>
      <c r="H232" s="67">
        <f t="shared" si="5"/>
        <v>0</v>
      </c>
      <c r="I232" s="46">
        <f t="shared" si="1"/>
        <v>0</v>
      </c>
      <c r="J232" s="46">
        <f t="array" ref="J232">IFERROR(INDEX('Sản phẩm'!$G$4:$G$103,MATCH(B232,'Sản phẩm'!$D$4:$D$103,0)),0)</f>
        <v>0</v>
      </c>
      <c r="K232" s="46">
        <f t="array" ref="K232">IFERROR(J232*INDEX('Mẻ sữa'!$N$4:$N$203,MATCH(D232,'Mẻ sữa'!$C$4:$C$203,0)),0)</f>
        <v>0</v>
      </c>
      <c r="L232" s="46">
        <f t="array" ref="L232">IFERROR(INDEX('Sản phẩm'!$I$4:$I$103,MATCH(B232,'Sản phẩm'!$D$4:$D$103,0)),0)</f>
        <v>0</v>
      </c>
      <c r="M232" s="72" t="str">
        <f t="array" ref="M232">IFERROR(INDEX('Sản phẩm'!$J$4:$J$103,MATCH(B232,'Sản phẩm'!$D$4:$D$103,0)),0)</f>
        <v/>
      </c>
      <c r="N232" s="46">
        <f>IF(B232="",0,(K232+L232+M232)*'Thiết lập'!$B$8)</f>
        <v>0</v>
      </c>
      <c r="O232" s="46">
        <f t="shared" si="2"/>
        <v>0</v>
      </c>
      <c r="P232" s="46">
        <f t="shared" si="3"/>
        <v>0</v>
      </c>
      <c r="Q232" s="46">
        <f t="shared" si="4"/>
        <v>0</v>
      </c>
      <c r="R232" s="71" t="str">
        <f t="array" ref="R232">IF(B232="","",INDEX('Bán nhanh'!$C$4:$C$103,INT((ROW()-4)/10)+1))</f>
        <v/>
      </c>
      <c r="S232" s="71" t="str">
        <f t="array" ref="S232">IF(B232="","",INDEX('Bán nhanh'!$P$4:$P$103,INT((ROW()-4)/10)+1))</f>
        <v/>
      </c>
      <c r="T232" s="58"/>
      <c r="U232" s="36"/>
      <c r="V232" s="36"/>
      <c r="W232" s="58"/>
      <c r="X232" s="36"/>
      <c r="Y232" s="36"/>
      <c r="Z232" s="36"/>
    </row>
    <row r="233" ht="15.75" customHeight="1">
      <c r="A233" s="70" t="str">
        <f t="array" ref="A233">IF(B233="","",INDEX('Bán nhanh'!$A$4:$A$103,INT((ROW()-4)/10)+1))</f>
        <v/>
      </c>
      <c r="B233" s="71" t="str">
        <f t="array" ref="B233">IF(OR(INDEX('Bán nhanh'!$D$3:$M$3,1,MOD(ROW()-4,10)+1)="",INDEX('Bán nhanh'!$D$4:$M$103,INT((ROW()-4)/10)+1,MOD(ROW()-4,10)+1)&lt;=0),"",INDEX('Bán nhanh'!$D$3:$M$3,1,MOD(ROW()-4,10)+1))</f>
        <v/>
      </c>
      <c r="C233" s="58" t="str">
        <f t="array" ref="C233">IFERROR(INDEX('Sản phẩm'!$A$4:$A$103,MATCH(B233,'Sản phẩm'!$D$4:$D$103,0)),"")</f>
        <v/>
      </c>
      <c r="D233" s="71" t="str">
        <f t="array" ref="D233">IF(B233="","",INDEX('Bán nhanh'!$B$4:$B$103,INT((ROW()-4)/10)+1))</f>
        <v/>
      </c>
      <c r="E233" s="58" t="str">
        <f t="array" ref="E233">IFERROR(INDEX('Mẻ sữa'!$B$4:$B$203,MATCH(D233,'Mẻ sữa'!$C$4:$C$203,0)),"")</f>
        <v/>
      </c>
      <c r="F233" s="66">
        <f t="array" ref="F233">IF(B233="",0,INDEX('Bán nhanh'!$D$4:$M$103,INT((ROW()-4)/10)+1,MOD(ROW()-4,10)+1))</f>
        <v>0</v>
      </c>
      <c r="G233" s="46">
        <f t="array" ref="G233">IFERROR(INDEX('Sản phẩm'!$F$4:$F$103,MATCH(B233,'Sản phẩm'!$D$4:$D$103,0)),0)</f>
        <v>0</v>
      </c>
      <c r="H233" s="67">
        <f t="shared" si="5"/>
        <v>0</v>
      </c>
      <c r="I233" s="46">
        <f t="shared" si="1"/>
        <v>0</v>
      </c>
      <c r="J233" s="46">
        <f t="array" ref="J233">IFERROR(INDEX('Sản phẩm'!$G$4:$G$103,MATCH(B233,'Sản phẩm'!$D$4:$D$103,0)),0)</f>
        <v>0</v>
      </c>
      <c r="K233" s="46">
        <f t="array" ref="K233">IFERROR(J233*INDEX('Mẻ sữa'!$N$4:$N$203,MATCH(D233,'Mẻ sữa'!$C$4:$C$203,0)),0)</f>
        <v>0</v>
      </c>
      <c r="L233" s="46">
        <f t="array" ref="L233">IFERROR(INDEX('Sản phẩm'!$I$4:$I$103,MATCH(B233,'Sản phẩm'!$D$4:$D$103,0)),0)</f>
        <v>0</v>
      </c>
      <c r="M233" s="72" t="str">
        <f t="array" ref="M233">IFERROR(INDEX('Sản phẩm'!$J$4:$J$103,MATCH(B233,'Sản phẩm'!$D$4:$D$103,0)),0)</f>
        <v/>
      </c>
      <c r="N233" s="46">
        <f>IF(B233="",0,(K233+L233+M233)*'Thiết lập'!$B$8)</f>
        <v>0</v>
      </c>
      <c r="O233" s="46">
        <f t="shared" si="2"/>
        <v>0</v>
      </c>
      <c r="P233" s="46">
        <f t="shared" si="3"/>
        <v>0</v>
      </c>
      <c r="Q233" s="46">
        <f t="shared" si="4"/>
        <v>0</v>
      </c>
      <c r="R233" s="71" t="str">
        <f t="array" ref="R233">IF(B233="","",INDEX('Bán nhanh'!$C$4:$C$103,INT((ROW()-4)/10)+1))</f>
        <v/>
      </c>
      <c r="S233" s="71" t="str">
        <f t="array" ref="S233">IF(B233="","",INDEX('Bán nhanh'!$P$4:$P$103,INT((ROW()-4)/10)+1))</f>
        <v/>
      </c>
      <c r="T233" s="58"/>
      <c r="U233" s="36"/>
      <c r="V233" s="36"/>
      <c r="W233" s="58"/>
      <c r="X233" s="36"/>
      <c r="Y233" s="36"/>
      <c r="Z233" s="36"/>
    </row>
    <row r="234" ht="15.75" customHeight="1">
      <c r="A234" s="70" t="str">
        <f t="array" ref="A234">IF(B234="","",INDEX('Bán nhanh'!$A$4:$A$103,INT((ROW()-4)/10)+1))</f>
        <v/>
      </c>
      <c r="B234" s="71" t="str">
        <f t="array" ref="B234">IF(OR(INDEX('Bán nhanh'!$D$3:$M$3,1,MOD(ROW()-4,10)+1)="",INDEX('Bán nhanh'!$D$4:$M$103,INT((ROW()-4)/10)+1,MOD(ROW()-4,10)+1)&lt;=0),"",INDEX('Bán nhanh'!$D$3:$M$3,1,MOD(ROW()-4,10)+1))</f>
        <v/>
      </c>
      <c r="C234" s="58" t="str">
        <f t="array" ref="C234">IFERROR(INDEX('Sản phẩm'!$A$4:$A$103,MATCH(B234,'Sản phẩm'!$D$4:$D$103,0)),"")</f>
        <v/>
      </c>
      <c r="D234" s="71" t="str">
        <f t="array" ref="D234">IF(B234="","",INDEX('Bán nhanh'!$B$4:$B$103,INT((ROW()-4)/10)+1))</f>
        <v/>
      </c>
      <c r="E234" s="58" t="str">
        <f t="array" ref="E234">IFERROR(INDEX('Mẻ sữa'!$B$4:$B$203,MATCH(D234,'Mẻ sữa'!$C$4:$C$203,0)),"")</f>
        <v/>
      </c>
      <c r="F234" s="66">
        <f t="array" ref="F234">IF(B234="",0,INDEX('Bán nhanh'!$D$4:$M$103,INT((ROW()-4)/10)+1,MOD(ROW()-4,10)+1))</f>
        <v>0</v>
      </c>
      <c r="G234" s="46">
        <f t="array" ref="G234">IFERROR(INDEX('Sản phẩm'!$F$4:$F$103,MATCH(B234,'Sản phẩm'!$D$4:$D$103,0)),0)</f>
        <v>0</v>
      </c>
      <c r="H234" s="67">
        <f t="shared" si="5"/>
        <v>0</v>
      </c>
      <c r="I234" s="46">
        <f t="shared" si="1"/>
        <v>0</v>
      </c>
      <c r="J234" s="46">
        <f t="array" ref="J234">IFERROR(INDEX('Sản phẩm'!$G$4:$G$103,MATCH(B234,'Sản phẩm'!$D$4:$D$103,0)),0)</f>
        <v>0</v>
      </c>
      <c r="K234" s="46">
        <f t="array" ref="K234">IFERROR(J234*INDEX('Mẻ sữa'!$N$4:$N$203,MATCH(D234,'Mẻ sữa'!$C$4:$C$203,0)),0)</f>
        <v>0</v>
      </c>
      <c r="L234" s="46">
        <f t="array" ref="L234">IFERROR(INDEX('Sản phẩm'!$I$4:$I$103,MATCH(B234,'Sản phẩm'!$D$4:$D$103,0)),0)</f>
        <v>0</v>
      </c>
      <c r="M234" s="72" t="str">
        <f t="array" ref="M234">IFERROR(INDEX('Sản phẩm'!$J$4:$J$103,MATCH(B234,'Sản phẩm'!$D$4:$D$103,0)),0)</f>
        <v/>
      </c>
      <c r="N234" s="46">
        <f>IF(B234="",0,(K234+L234+M234)*'Thiết lập'!$B$8)</f>
        <v>0</v>
      </c>
      <c r="O234" s="46">
        <f t="shared" si="2"/>
        <v>0</v>
      </c>
      <c r="P234" s="46">
        <f t="shared" si="3"/>
        <v>0</v>
      </c>
      <c r="Q234" s="46">
        <f t="shared" si="4"/>
        <v>0</v>
      </c>
      <c r="R234" s="71" t="str">
        <f t="array" ref="R234">IF(B234="","",INDEX('Bán nhanh'!$C$4:$C$103,INT((ROW()-4)/10)+1))</f>
        <v/>
      </c>
      <c r="S234" s="71" t="str">
        <f t="array" ref="S234">IF(B234="","",INDEX('Bán nhanh'!$P$4:$P$103,INT((ROW()-4)/10)+1))</f>
        <v/>
      </c>
      <c r="T234" s="58"/>
      <c r="U234" s="36"/>
      <c r="V234" s="36"/>
      <c r="W234" s="58"/>
      <c r="X234" s="36"/>
      <c r="Y234" s="36"/>
      <c r="Z234" s="36"/>
    </row>
    <row r="235" ht="15.75" customHeight="1">
      <c r="A235" s="70" t="str">
        <f t="array" ref="A235">IF(B235="","",INDEX('Bán nhanh'!$A$4:$A$103,INT((ROW()-4)/10)+1))</f>
        <v/>
      </c>
      <c r="B235" s="71" t="str">
        <f t="array" ref="B235">IF(OR(INDEX('Bán nhanh'!$D$3:$M$3,1,MOD(ROW()-4,10)+1)="",INDEX('Bán nhanh'!$D$4:$M$103,INT((ROW()-4)/10)+1,MOD(ROW()-4,10)+1)&lt;=0),"",INDEX('Bán nhanh'!$D$3:$M$3,1,MOD(ROW()-4,10)+1))</f>
        <v/>
      </c>
      <c r="C235" s="58" t="str">
        <f t="array" ref="C235">IFERROR(INDEX('Sản phẩm'!$A$4:$A$103,MATCH(B235,'Sản phẩm'!$D$4:$D$103,0)),"")</f>
        <v/>
      </c>
      <c r="D235" s="71" t="str">
        <f t="array" ref="D235">IF(B235="","",INDEX('Bán nhanh'!$B$4:$B$103,INT((ROW()-4)/10)+1))</f>
        <v/>
      </c>
      <c r="E235" s="58" t="str">
        <f t="array" ref="E235">IFERROR(INDEX('Mẻ sữa'!$B$4:$B$203,MATCH(D235,'Mẻ sữa'!$C$4:$C$203,0)),"")</f>
        <v/>
      </c>
      <c r="F235" s="66">
        <f t="array" ref="F235">IF(B235="",0,INDEX('Bán nhanh'!$D$4:$M$103,INT((ROW()-4)/10)+1,MOD(ROW()-4,10)+1))</f>
        <v>0</v>
      </c>
      <c r="G235" s="46">
        <f t="array" ref="G235">IFERROR(INDEX('Sản phẩm'!$F$4:$F$103,MATCH(B235,'Sản phẩm'!$D$4:$D$103,0)),0)</f>
        <v>0</v>
      </c>
      <c r="H235" s="67">
        <f t="shared" si="5"/>
        <v>0</v>
      </c>
      <c r="I235" s="46">
        <f t="shared" si="1"/>
        <v>0</v>
      </c>
      <c r="J235" s="46">
        <f t="array" ref="J235">IFERROR(INDEX('Sản phẩm'!$G$4:$G$103,MATCH(B235,'Sản phẩm'!$D$4:$D$103,0)),0)</f>
        <v>0</v>
      </c>
      <c r="K235" s="46">
        <f t="array" ref="K235">IFERROR(J235*INDEX('Mẻ sữa'!$N$4:$N$203,MATCH(D235,'Mẻ sữa'!$C$4:$C$203,0)),0)</f>
        <v>0</v>
      </c>
      <c r="L235" s="46">
        <f t="array" ref="L235">IFERROR(INDEX('Sản phẩm'!$I$4:$I$103,MATCH(B235,'Sản phẩm'!$D$4:$D$103,0)),0)</f>
        <v>0</v>
      </c>
      <c r="M235" s="72" t="str">
        <f t="array" ref="M235">IFERROR(INDEX('Sản phẩm'!$J$4:$J$103,MATCH(B235,'Sản phẩm'!$D$4:$D$103,0)),0)</f>
        <v/>
      </c>
      <c r="N235" s="46">
        <f>IF(B235="",0,(K235+L235+M235)*'Thiết lập'!$B$8)</f>
        <v>0</v>
      </c>
      <c r="O235" s="46">
        <f t="shared" si="2"/>
        <v>0</v>
      </c>
      <c r="P235" s="46">
        <f t="shared" si="3"/>
        <v>0</v>
      </c>
      <c r="Q235" s="46">
        <f t="shared" si="4"/>
        <v>0</v>
      </c>
      <c r="R235" s="71" t="str">
        <f t="array" ref="R235">IF(B235="","",INDEX('Bán nhanh'!$C$4:$C$103,INT((ROW()-4)/10)+1))</f>
        <v/>
      </c>
      <c r="S235" s="71" t="str">
        <f t="array" ref="S235">IF(B235="","",INDEX('Bán nhanh'!$P$4:$P$103,INT((ROW()-4)/10)+1))</f>
        <v/>
      </c>
      <c r="T235" s="58"/>
      <c r="U235" s="36"/>
      <c r="V235" s="36"/>
      <c r="W235" s="58"/>
      <c r="X235" s="36"/>
      <c r="Y235" s="36"/>
      <c r="Z235" s="36"/>
    </row>
    <row r="236" ht="15.75" customHeight="1">
      <c r="A236" s="70" t="str">
        <f t="array" ref="A236">IF(B236="","",INDEX('Bán nhanh'!$A$4:$A$103,INT((ROW()-4)/10)+1))</f>
        <v/>
      </c>
      <c r="B236" s="71" t="str">
        <f t="array" ref="B236">IF(OR(INDEX('Bán nhanh'!$D$3:$M$3,1,MOD(ROW()-4,10)+1)="",INDEX('Bán nhanh'!$D$4:$M$103,INT((ROW()-4)/10)+1,MOD(ROW()-4,10)+1)&lt;=0),"",INDEX('Bán nhanh'!$D$3:$M$3,1,MOD(ROW()-4,10)+1))</f>
        <v/>
      </c>
      <c r="C236" s="58" t="str">
        <f t="array" ref="C236">IFERROR(INDEX('Sản phẩm'!$A$4:$A$103,MATCH(B236,'Sản phẩm'!$D$4:$D$103,0)),"")</f>
        <v/>
      </c>
      <c r="D236" s="71" t="str">
        <f t="array" ref="D236">IF(B236="","",INDEX('Bán nhanh'!$B$4:$B$103,INT((ROW()-4)/10)+1))</f>
        <v/>
      </c>
      <c r="E236" s="58" t="str">
        <f t="array" ref="E236">IFERROR(INDEX('Mẻ sữa'!$B$4:$B$203,MATCH(D236,'Mẻ sữa'!$C$4:$C$203,0)),"")</f>
        <v/>
      </c>
      <c r="F236" s="66">
        <f t="array" ref="F236">IF(B236="",0,INDEX('Bán nhanh'!$D$4:$M$103,INT((ROW()-4)/10)+1,MOD(ROW()-4,10)+1))</f>
        <v>0</v>
      </c>
      <c r="G236" s="46">
        <f t="array" ref="G236">IFERROR(INDEX('Sản phẩm'!$F$4:$F$103,MATCH(B236,'Sản phẩm'!$D$4:$D$103,0)),0)</f>
        <v>0</v>
      </c>
      <c r="H236" s="67">
        <f t="shared" si="5"/>
        <v>0</v>
      </c>
      <c r="I236" s="46">
        <f t="shared" si="1"/>
        <v>0</v>
      </c>
      <c r="J236" s="46">
        <f t="array" ref="J236">IFERROR(INDEX('Sản phẩm'!$G$4:$G$103,MATCH(B236,'Sản phẩm'!$D$4:$D$103,0)),0)</f>
        <v>0</v>
      </c>
      <c r="K236" s="46">
        <f t="array" ref="K236">IFERROR(J236*INDEX('Mẻ sữa'!$N$4:$N$203,MATCH(D236,'Mẻ sữa'!$C$4:$C$203,0)),0)</f>
        <v>0</v>
      </c>
      <c r="L236" s="46">
        <f t="array" ref="L236">IFERROR(INDEX('Sản phẩm'!$I$4:$I$103,MATCH(B236,'Sản phẩm'!$D$4:$D$103,0)),0)</f>
        <v>0</v>
      </c>
      <c r="M236" s="72" t="str">
        <f t="array" ref="M236">IFERROR(INDEX('Sản phẩm'!$J$4:$J$103,MATCH(B236,'Sản phẩm'!$D$4:$D$103,0)),0)</f>
        <v/>
      </c>
      <c r="N236" s="46">
        <f>IF(B236="",0,(K236+L236+M236)*'Thiết lập'!$B$8)</f>
        <v>0</v>
      </c>
      <c r="O236" s="46">
        <f t="shared" si="2"/>
        <v>0</v>
      </c>
      <c r="P236" s="46">
        <f t="shared" si="3"/>
        <v>0</v>
      </c>
      <c r="Q236" s="46">
        <f t="shared" si="4"/>
        <v>0</v>
      </c>
      <c r="R236" s="71" t="str">
        <f t="array" ref="R236">IF(B236="","",INDEX('Bán nhanh'!$C$4:$C$103,INT((ROW()-4)/10)+1))</f>
        <v/>
      </c>
      <c r="S236" s="71" t="str">
        <f t="array" ref="S236">IF(B236="","",INDEX('Bán nhanh'!$P$4:$P$103,INT((ROW()-4)/10)+1))</f>
        <v/>
      </c>
      <c r="T236" s="58"/>
      <c r="U236" s="36"/>
      <c r="V236" s="36"/>
      <c r="W236" s="58"/>
      <c r="X236" s="36"/>
      <c r="Y236" s="36"/>
      <c r="Z236" s="36"/>
    </row>
    <row r="237" ht="15.75" customHeight="1">
      <c r="A237" s="70" t="str">
        <f t="array" ref="A237">IF(B237="","",INDEX('Bán nhanh'!$A$4:$A$103,INT((ROW()-4)/10)+1))</f>
        <v/>
      </c>
      <c r="B237" s="71" t="str">
        <f t="array" ref="B237">IF(OR(INDEX('Bán nhanh'!$D$3:$M$3,1,MOD(ROW()-4,10)+1)="",INDEX('Bán nhanh'!$D$4:$M$103,INT((ROW()-4)/10)+1,MOD(ROW()-4,10)+1)&lt;=0),"",INDEX('Bán nhanh'!$D$3:$M$3,1,MOD(ROW()-4,10)+1))</f>
        <v/>
      </c>
      <c r="C237" s="58" t="str">
        <f t="array" ref="C237">IFERROR(INDEX('Sản phẩm'!$A$4:$A$103,MATCH(B237,'Sản phẩm'!$D$4:$D$103,0)),"")</f>
        <v/>
      </c>
      <c r="D237" s="71" t="str">
        <f t="array" ref="D237">IF(B237="","",INDEX('Bán nhanh'!$B$4:$B$103,INT((ROW()-4)/10)+1))</f>
        <v/>
      </c>
      <c r="E237" s="58" t="str">
        <f t="array" ref="E237">IFERROR(INDEX('Mẻ sữa'!$B$4:$B$203,MATCH(D237,'Mẻ sữa'!$C$4:$C$203,0)),"")</f>
        <v/>
      </c>
      <c r="F237" s="66">
        <f t="array" ref="F237">IF(B237="",0,INDEX('Bán nhanh'!$D$4:$M$103,INT((ROW()-4)/10)+1,MOD(ROW()-4,10)+1))</f>
        <v>0</v>
      </c>
      <c r="G237" s="46">
        <f t="array" ref="G237">IFERROR(INDEX('Sản phẩm'!$F$4:$F$103,MATCH(B237,'Sản phẩm'!$D$4:$D$103,0)),0)</f>
        <v>0</v>
      </c>
      <c r="H237" s="67">
        <f t="shared" si="5"/>
        <v>0</v>
      </c>
      <c r="I237" s="46">
        <f t="shared" si="1"/>
        <v>0</v>
      </c>
      <c r="J237" s="46">
        <f t="array" ref="J237">IFERROR(INDEX('Sản phẩm'!$G$4:$G$103,MATCH(B237,'Sản phẩm'!$D$4:$D$103,0)),0)</f>
        <v>0</v>
      </c>
      <c r="K237" s="46">
        <f t="array" ref="K237">IFERROR(J237*INDEX('Mẻ sữa'!$N$4:$N$203,MATCH(D237,'Mẻ sữa'!$C$4:$C$203,0)),0)</f>
        <v>0</v>
      </c>
      <c r="L237" s="46">
        <f t="array" ref="L237">IFERROR(INDEX('Sản phẩm'!$I$4:$I$103,MATCH(B237,'Sản phẩm'!$D$4:$D$103,0)),0)</f>
        <v>0</v>
      </c>
      <c r="M237" s="72" t="str">
        <f t="array" ref="M237">IFERROR(INDEX('Sản phẩm'!$J$4:$J$103,MATCH(B237,'Sản phẩm'!$D$4:$D$103,0)),0)</f>
        <v/>
      </c>
      <c r="N237" s="46">
        <f>IF(B237="",0,(K237+L237+M237)*'Thiết lập'!$B$8)</f>
        <v>0</v>
      </c>
      <c r="O237" s="46">
        <f t="shared" si="2"/>
        <v>0</v>
      </c>
      <c r="P237" s="46">
        <f t="shared" si="3"/>
        <v>0</v>
      </c>
      <c r="Q237" s="46">
        <f t="shared" si="4"/>
        <v>0</v>
      </c>
      <c r="R237" s="71" t="str">
        <f t="array" ref="R237">IF(B237="","",INDEX('Bán nhanh'!$C$4:$C$103,INT((ROW()-4)/10)+1))</f>
        <v/>
      </c>
      <c r="S237" s="71" t="str">
        <f t="array" ref="S237">IF(B237="","",INDEX('Bán nhanh'!$P$4:$P$103,INT((ROW()-4)/10)+1))</f>
        <v/>
      </c>
      <c r="T237" s="58"/>
      <c r="U237" s="36"/>
      <c r="V237" s="36"/>
      <c r="W237" s="58"/>
      <c r="X237" s="36"/>
      <c r="Y237" s="36"/>
      <c r="Z237" s="36"/>
    </row>
    <row r="238" ht="15.75" customHeight="1">
      <c r="A238" s="70" t="str">
        <f t="array" ref="A238">IF(B238="","",INDEX('Bán nhanh'!$A$4:$A$103,INT((ROW()-4)/10)+1))</f>
        <v/>
      </c>
      <c r="B238" s="71" t="str">
        <f t="array" ref="B238">IF(OR(INDEX('Bán nhanh'!$D$3:$M$3,1,MOD(ROW()-4,10)+1)="",INDEX('Bán nhanh'!$D$4:$M$103,INT((ROW()-4)/10)+1,MOD(ROW()-4,10)+1)&lt;=0),"",INDEX('Bán nhanh'!$D$3:$M$3,1,MOD(ROW()-4,10)+1))</f>
        <v/>
      </c>
      <c r="C238" s="58" t="str">
        <f t="array" ref="C238">IFERROR(INDEX('Sản phẩm'!$A$4:$A$103,MATCH(B238,'Sản phẩm'!$D$4:$D$103,0)),"")</f>
        <v/>
      </c>
      <c r="D238" s="71" t="str">
        <f t="array" ref="D238">IF(B238="","",INDEX('Bán nhanh'!$B$4:$B$103,INT((ROW()-4)/10)+1))</f>
        <v/>
      </c>
      <c r="E238" s="58" t="str">
        <f t="array" ref="E238">IFERROR(INDEX('Mẻ sữa'!$B$4:$B$203,MATCH(D238,'Mẻ sữa'!$C$4:$C$203,0)),"")</f>
        <v/>
      </c>
      <c r="F238" s="66">
        <f t="array" ref="F238">IF(B238="",0,INDEX('Bán nhanh'!$D$4:$M$103,INT((ROW()-4)/10)+1,MOD(ROW()-4,10)+1))</f>
        <v>0</v>
      </c>
      <c r="G238" s="46">
        <f t="array" ref="G238">IFERROR(INDEX('Sản phẩm'!$F$4:$F$103,MATCH(B238,'Sản phẩm'!$D$4:$D$103,0)),0)</f>
        <v>0</v>
      </c>
      <c r="H238" s="67">
        <f t="shared" si="5"/>
        <v>0</v>
      </c>
      <c r="I238" s="46">
        <f t="shared" si="1"/>
        <v>0</v>
      </c>
      <c r="J238" s="46">
        <f t="array" ref="J238">IFERROR(INDEX('Sản phẩm'!$G$4:$G$103,MATCH(B238,'Sản phẩm'!$D$4:$D$103,0)),0)</f>
        <v>0</v>
      </c>
      <c r="K238" s="46">
        <f t="array" ref="K238">IFERROR(J238*INDEX('Mẻ sữa'!$N$4:$N$203,MATCH(D238,'Mẻ sữa'!$C$4:$C$203,0)),0)</f>
        <v>0</v>
      </c>
      <c r="L238" s="46">
        <f t="array" ref="L238">IFERROR(INDEX('Sản phẩm'!$I$4:$I$103,MATCH(B238,'Sản phẩm'!$D$4:$D$103,0)),0)</f>
        <v>0</v>
      </c>
      <c r="M238" s="72" t="str">
        <f t="array" ref="M238">IFERROR(INDEX('Sản phẩm'!$J$4:$J$103,MATCH(B238,'Sản phẩm'!$D$4:$D$103,0)),0)</f>
        <v/>
      </c>
      <c r="N238" s="46">
        <f>IF(B238="",0,(K238+L238+M238)*'Thiết lập'!$B$8)</f>
        <v>0</v>
      </c>
      <c r="O238" s="46">
        <f t="shared" si="2"/>
        <v>0</v>
      </c>
      <c r="P238" s="46">
        <f t="shared" si="3"/>
        <v>0</v>
      </c>
      <c r="Q238" s="46">
        <f t="shared" si="4"/>
        <v>0</v>
      </c>
      <c r="R238" s="71" t="str">
        <f t="array" ref="R238">IF(B238="","",INDEX('Bán nhanh'!$C$4:$C$103,INT((ROW()-4)/10)+1))</f>
        <v/>
      </c>
      <c r="S238" s="71" t="str">
        <f t="array" ref="S238">IF(B238="","",INDEX('Bán nhanh'!$P$4:$P$103,INT((ROW()-4)/10)+1))</f>
        <v/>
      </c>
      <c r="T238" s="58"/>
      <c r="U238" s="36"/>
      <c r="V238" s="36"/>
      <c r="W238" s="58"/>
      <c r="X238" s="36"/>
      <c r="Y238" s="36"/>
      <c r="Z238" s="36"/>
    </row>
    <row r="239" ht="15.75" customHeight="1">
      <c r="A239" s="70" t="str">
        <f t="array" ref="A239">IF(B239="","",INDEX('Bán nhanh'!$A$4:$A$103,INT((ROW()-4)/10)+1))</f>
        <v/>
      </c>
      <c r="B239" s="71" t="str">
        <f t="array" ref="B239">IF(OR(INDEX('Bán nhanh'!$D$3:$M$3,1,MOD(ROW()-4,10)+1)="",INDEX('Bán nhanh'!$D$4:$M$103,INT((ROW()-4)/10)+1,MOD(ROW()-4,10)+1)&lt;=0),"",INDEX('Bán nhanh'!$D$3:$M$3,1,MOD(ROW()-4,10)+1))</f>
        <v/>
      </c>
      <c r="C239" s="58" t="str">
        <f t="array" ref="C239">IFERROR(INDEX('Sản phẩm'!$A$4:$A$103,MATCH(B239,'Sản phẩm'!$D$4:$D$103,0)),"")</f>
        <v/>
      </c>
      <c r="D239" s="71" t="str">
        <f t="array" ref="D239">IF(B239="","",INDEX('Bán nhanh'!$B$4:$B$103,INT((ROW()-4)/10)+1))</f>
        <v/>
      </c>
      <c r="E239" s="58" t="str">
        <f t="array" ref="E239">IFERROR(INDEX('Mẻ sữa'!$B$4:$B$203,MATCH(D239,'Mẻ sữa'!$C$4:$C$203,0)),"")</f>
        <v/>
      </c>
      <c r="F239" s="66">
        <f t="array" ref="F239">IF(B239="",0,INDEX('Bán nhanh'!$D$4:$M$103,INT((ROW()-4)/10)+1,MOD(ROW()-4,10)+1))</f>
        <v>0</v>
      </c>
      <c r="G239" s="46">
        <f t="array" ref="G239">IFERROR(INDEX('Sản phẩm'!$F$4:$F$103,MATCH(B239,'Sản phẩm'!$D$4:$D$103,0)),0)</f>
        <v>0</v>
      </c>
      <c r="H239" s="67">
        <f t="shared" si="5"/>
        <v>0</v>
      </c>
      <c r="I239" s="46">
        <f t="shared" si="1"/>
        <v>0</v>
      </c>
      <c r="J239" s="46">
        <f t="array" ref="J239">IFERROR(INDEX('Sản phẩm'!$G$4:$G$103,MATCH(B239,'Sản phẩm'!$D$4:$D$103,0)),0)</f>
        <v>0</v>
      </c>
      <c r="K239" s="46">
        <f t="array" ref="K239">IFERROR(J239*INDEX('Mẻ sữa'!$N$4:$N$203,MATCH(D239,'Mẻ sữa'!$C$4:$C$203,0)),0)</f>
        <v>0</v>
      </c>
      <c r="L239" s="46">
        <f t="array" ref="L239">IFERROR(INDEX('Sản phẩm'!$I$4:$I$103,MATCH(B239,'Sản phẩm'!$D$4:$D$103,0)),0)</f>
        <v>0</v>
      </c>
      <c r="M239" s="72" t="str">
        <f t="array" ref="M239">IFERROR(INDEX('Sản phẩm'!$J$4:$J$103,MATCH(B239,'Sản phẩm'!$D$4:$D$103,0)),0)</f>
        <v/>
      </c>
      <c r="N239" s="46">
        <f>IF(B239="",0,(K239+L239+M239)*'Thiết lập'!$B$8)</f>
        <v>0</v>
      </c>
      <c r="O239" s="46">
        <f t="shared" si="2"/>
        <v>0</v>
      </c>
      <c r="P239" s="46">
        <f t="shared" si="3"/>
        <v>0</v>
      </c>
      <c r="Q239" s="46">
        <f t="shared" si="4"/>
        <v>0</v>
      </c>
      <c r="R239" s="71" t="str">
        <f t="array" ref="R239">IF(B239="","",INDEX('Bán nhanh'!$C$4:$C$103,INT((ROW()-4)/10)+1))</f>
        <v/>
      </c>
      <c r="S239" s="71" t="str">
        <f t="array" ref="S239">IF(B239="","",INDEX('Bán nhanh'!$P$4:$P$103,INT((ROW()-4)/10)+1))</f>
        <v/>
      </c>
      <c r="T239" s="58"/>
      <c r="U239" s="36"/>
      <c r="V239" s="36"/>
      <c r="W239" s="58"/>
      <c r="X239" s="36"/>
      <c r="Y239" s="36"/>
      <c r="Z239" s="36"/>
    </row>
    <row r="240" ht="15.75" customHeight="1">
      <c r="A240" s="70" t="str">
        <f t="array" ref="A240">IF(B240="","",INDEX('Bán nhanh'!$A$4:$A$103,INT((ROW()-4)/10)+1))</f>
        <v/>
      </c>
      <c r="B240" s="71" t="str">
        <f t="array" ref="B240">IF(OR(INDEX('Bán nhanh'!$D$3:$M$3,1,MOD(ROW()-4,10)+1)="",INDEX('Bán nhanh'!$D$4:$M$103,INT((ROW()-4)/10)+1,MOD(ROW()-4,10)+1)&lt;=0),"",INDEX('Bán nhanh'!$D$3:$M$3,1,MOD(ROW()-4,10)+1))</f>
        <v/>
      </c>
      <c r="C240" s="58" t="str">
        <f t="array" ref="C240">IFERROR(INDEX('Sản phẩm'!$A$4:$A$103,MATCH(B240,'Sản phẩm'!$D$4:$D$103,0)),"")</f>
        <v/>
      </c>
      <c r="D240" s="71" t="str">
        <f t="array" ref="D240">IF(B240="","",INDEX('Bán nhanh'!$B$4:$B$103,INT((ROW()-4)/10)+1))</f>
        <v/>
      </c>
      <c r="E240" s="58" t="str">
        <f t="array" ref="E240">IFERROR(INDEX('Mẻ sữa'!$B$4:$B$203,MATCH(D240,'Mẻ sữa'!$C$4:$C$203,0)),"")</f>
        <v/>
      </c>
      <c r="F240" s="66">
        <f t="array" ref="F240">IF(B240="",0,INDEX('Bán nhanh'!$D$4:$M$103,INT((ROW()-4)/10)+1,MOD(ROW()-4,10)+1))</f>
        <v>0</v>
      </c>
      <c r="G240" s="46">
        <f t="array" ref="G240">IFERROR(INDEX('Sản phẩm'!$F$4:$F$103,MATCH(B240,'Sản phẩm'!$D$4:$D$103,0)),0)</f>
        <v>0</v>
      </c>
      <c r="H240" s="67">
        <f t="shared" si="5"/>
        <v>0</v>
      </c>
      <c r="I240" s="46">
        <f t="shared" si="1"/>
        <v>0</v>
      </c>
      <c r="J240" s="46">
        <f t="array" ref="J240">IFERROR(INDEX('Sản phẩm'!$G$4:$G$103,MATCH(B240,'Sản phẩm'!$D$4:$D$103,0)),0)</f>
        <v>0</v>
      </c>
      <c r="K240" s="46">
        <f t="array" ref="K240">IFERROR(J240*INDEX('Mẻ sữa'!$N$4:$N$203,MATCH(D240,'Mẻ sữa'!$C$4:$C$203,0)),0)</f>
        <v>0</v>
      </c>
      <c r="L240" s="46">
        <f t="array" ref="L240">IFERROR(INDEX('Sản phẩm'!$I$4:$I$103,MATCH(B240,'Sản phẩm'!$D$4:$D$103,0)),0)</f>
        <v>0</v>
      </c>
      <c r="M240" s="72" t="str">
        <f t="array" ref="M240">IFERROR(INDEX('Sản phẩm'!$J$4:$J$103,MATCH(B240,'Sản phẩm'!$D$4:$D$103,0)),0)</f>
        <v/>
      </c>
      <c r="N240" s="46">
        <f>IF(B240="",0,(K240+L240+M240)*'Thiết lập'!$B$8)</f>
        <v>0</v>
      </c>
      <c r="O240" s="46">
        <f t="shared" si="2"/>
        <v>0</v>
      </c>
      <c r="P240" s="46">
        <f t="shared" si="3"/>
        <v>0</v>
      </c>
      <c r="Q240" s="46">
        <f t="shared" si="4"/>
        <v>0</v>
      </c>
      <c r="R240" s="71" t="str">
        <f t="array" ref="R240">IF(B240="","",INDEX('Bán nhanh'!$C$4:$C$103,INT((ROW()-4)/10)+1))</f>
        <v/>
      </c>
      <c r="S240" s="71" t="str">
        <f t="array" ref="S240">IF(B240="","",INDEX('Bán nhanh'!$P$4:$P$103,INT((ROW()-4)/10)+1))</f>
        <v/>
      </c>
      <c r="T240" s="58"/>
      <c r="U240" s="36"/>
      <c r="V240" s="36"/>
      <c r="W240" s="58"/>
      <c r="X240" s="36"/>
      <c r="Y240" s="36"/>
      <c r="Z240" s="36"/>
    </row>
    <row r="241" ht="15.75" customHeight="1">
      <c r="A241" s="70" t="str">
        <f t="array" ref="A241">IF(B241="","",INDEX('Bán nhanh'!$A$4:$A$103,INT((ROW()-4)/10)+1))</f>
        <v/>
      </c>
      <c r="B241" s="71" t="str">
        <f t="array" ref="B241">IF(OR(INDEX('Bán nhanh'!$D$3:$M$3,1,MOD(ROW()-4,10)+1)="",INDEX('Bán nhanh'!$D$4:$M$103,INT((ROW()-4)/10)+1,MOD(ROW()-4,10)+1)&lt;=0),"",INDEX('Bán nhanh'!$D$3:$M$3,1,MOD(ROW()-4,10)+1))</f>
        <v/>
      </c>
      <c r="C241" s="58" t="str">
        <f t="array" ref="C241">IFERROR(INDEX('Sản phẩm'!$A$4:$A$103,MATCH(B241,'Sản phẩm'!$D$4:$D$103,0)),"")</f>
        <v/>
      </c>
      <c r="D241" s="71" t="str">
        <f t="array" ref="D241">IF(B241="","",INDEX('Bán nhanh'!$B$4:$B$103,INT((ROW()-4)/10)+1))</f>
        <v/>
      </c>
      <c r="E241" s="58" t="str">
        <f t="array" ref="E241">IFERROR(INDEX('Mẻ sữa'!$B$4:$B$203,MATCH(D241,'Mẻ sữa'!$C$4:$C$203,0)),"")</f>
        <v/>
      </c>
      <c r="F241" s="66">
        <f t="array" ref="F241">IF(B241="",0,INDEX('Bán nhanh'!$D$4:$M$103,INT((ROW()-4)/10)+1,MOD(ROW()-4,10)+1))</f>
        <v>0</v>
      </c>
      <c r="G241" s="46">
        <f t="array" ref="G241">IFERROR(INDEX('Sản phẩm'!$F$4:$F$103,MATCH(B241,'Sản phẩm'!$D$4:$D$103,0)),0)</f>
        <v>0</v>
      </c>
      <c r="H241" s="67">
        <f t="shared" si="5"/>
        <v>0</v>
      </c>
      <c r="I241" s="46">
        <f t="shared" si="1"/>
        <v>0</v>
      </c>
      <c r="J241" s="46">
        <f t="array" ref="J241">IFERROR(INDEX('Sản phẩm'!$G$4:$G$103,MATCH(B241,'Sản phẩm'!$D$4:$D$103,0)),0)</f>
        <v>0</v>
      </c>
      <c r="K241" s="46">
        <f t="array" ref="K241">IFERROR(J241*INDEX('Mẻ sữa'!$N$4:$N$203,MATCH(D241,'Mẻ sữa'!$C$4:$C$203,0)),0)</f>
        <v>0</v>
      </c>
      <c r="L241" s="46">
        <f t="array" ref="L241">IFERROR(INDEX('Sản phẩm'!$I$4:$I$103,MATCH(B241,'Sản phẩm'!$D$4:$D$103,0)),0)</f>
        <v>0</v>
      </c>
      <c r="M241" s="72" t="str">
        <f t="array" ref="M241">IFERROR(INDEX('Sản phẩm'!$J$4:$J$103,MATCH(B241,'Sản phẩm'!$D$4:$D$103,0)),0)</f>
        <v/>
      </c>
      <c r="N241" s="46">
        <f>IF(B241="",0,(K241+L241+M241)*'Thiết lập'!$B$8)</f>
        <v>0</v>
      </c>
      <c r="O241" s="46">
        <f t="shared" si="2"/>
        <v>0</v>
      </c>
      <c r="P241" s="46">
        <f t="shared" si="3"/>
        <v>0</v>
      </c>
      <c r="Q241" s="46">
        <f t="shared" si="4"/>
        <v>0</v>
      </c>
      <c r="R241" s="71" t="str">
        <f t="array" ref="R241">IF(B241="","",INDEX('Bán nhanh'!$C$4:$C$103,INT((ROW()-4)/10)+1))</f>
        <v/>
      </c>
      <c r="S241" s="71" t="str">
        <f t="array" ref="S241">IF(B241="","",INDEX('Bán nhanh'!$P$4:$P$103,INT((ROW()-4)/10)+1))</f>
        <v/>
      </c>
      <c r="T241" s="58"/>
      <c r="U241" s="36"/>
      <c r="V241" s="36"/>
      <c r="W241" s="58"/>
      <c r="X241" s="36"/>
      <c r="Y241" s="36"/>
      <c r="Z241" s="36"/>
    </row>
    <row r="242" ht="15.75" customHeight="1">
      <c r="A242" s="70" t="str">
        <f t="array" ref="A242">IF(B242="","",INDEX('Bán nhanh'!$A$4:$A$103,INT((ROW()-4)/10)+1))</f>
        <v/>
      </c>
      <c r="B242" s="71" t="str">
        <f t="array" ref="B242">IF(OR(INDEX('Bán nhanh'!$D$3:$M$3,1,MOD(ROW()-4,10)+1)="",INDEX('Bán nhanh'!$D$4:$M$103,INT((ROW()-4)/10)+1,MOD(ROW()-4,10)+1)&lt;=0),"",INDEX('Bán nhanh'!$D$3:$M$3,1,MOD(ROW()-4,10)+1))</f>
        <v/>
      </c>
      <c r="C242" s="58" t="str">
        <f t="array" ref="C242">IFERROR(INDEX('Sản phẩm'!$A$4:$A$103,MATCH(B242,'Sản phẩm'!$D$4:$D$103,0)),"")</f>
        <v/>
      </c>
      <c r="D242" s="71" t="str">
        <f t="array" ref="D242">IF(B242="","",INDEX('Bán nhanh'!$B$4:$B$103,INT((ROW()-4)/10)+1))</f>
        <v/>
      </c>
      <c r="E242" s="58" t="str">
        <f t="array" ref="E242">IFERROR(INDEX('Mẻ sữa'!$B$4:$B$203,MATCH(D242,'Mẻ sữa'!$C$4:$C$203,0)),"")</f>
        <v/>
      </c>
      <c r="F242" s="66">
        <f t="array" ref="F242">IF(B242="",0,INDEX('Bán nhanh'!$D$4:$M$103,INT((ROW()-4)/10)+1,MOD(ROW()-4,10)+1))</f>
        <v>0</v>
      </c>
      <c r="G242" s="46">
        <f t="array" ref="G242">IFERROR(INDEX('Sản phẩm'!$F$4:$F$103,MATCH(B242,'Sản phẩm'!$D$4:$D$103,0)),0)</f>
        <v>0</v>
      </c>
      <c r="H242" s="67">
        <f t="shared" si="5"/>
        <v>0</v>
      </c>
      <c r="I242" s="46">
        <f t="shared" si="1"/>
        <v>0</v>
      </c>
      <c r="J242" s="46">
        <f t="array" ref="J242">IFERROR(INDEX('Sản phẩm'!$G$4:$G$103,MATCH(B242,'Sản phẩm'!$D$4:$D$103,0)),0)</f>
        <v>0</v>
      </c>
      <c r="K242" s="46">
        <f t="array" ref="K242">IFERROR(J242*INDEX('Mẻ sữa'!$N$4:$N$203,MATCH(D242,'Mẻ sữa'!$C$4:$C$203,0)),0)</f>
        <v>0</v>
      </c>
      <c r="L242" s="46">
        <f t="array" ref="L242">IFERROR(INDEX('Sản phẩm'!$I$4:$I$103,MATCH(B242,'Sản phẩm'!$D$4:$D$103,0)),0)</f>
        <v>0</v>
      </c>
      <c r="M242" s="72" t="str">
        <f t="array" ref="M242">IFERROR(INDEX('Sản phẩm'!$J$4:$J$103,MATCH(B242,'Sản phẩm'!$D$4:$D$103,0)),0)</f>
        <v/>
      </c>
      <c r="N242" s="46">
        <f>IF(B242="",0,(K242+L242+M242)*'Thiết lập'!$B$8)</f>
        <v>0</v>
      </c>
      <c r="O242" s="46">
        <f t="shared" si="2"/>
        <v>0</v>
      </c>
      <c r="P242" s="46">
        <f t="shared" si="3"/>
        <v>0</v>
      </c>
      <c r="Q242" s="46">
        <f t="shared" si="4"/>
        <v>0</v>
      </c>
      <c r="R242" s="71" t="str">
        <f t="array" ref="R242">IF(B242="","",INDEX('Bán nhanh'!$C$4:$C$103,INT((ROW()-4)/10)+1))</f>
        <v/>
      </c>
      <c r="S242" s="71" t="str">
        <f t="array" ref="S242">IF(B242="","",INDEX('Bán nhanh'!$P$4:$P$103,INT((ROW()-4)/10)+1))</f>
        <v/>
      </c>
      <c r="T242" s="58"/>
      <c r="U242" s="36"/>
      <c r="V242" s="36"/>
      <c r="W242" s="58"/>
      <c r="X242" s="36"/>
      <c r="Y242" s="36"/>
      <c r="Z242" s="36"/>
    </row>
    <row r="243" ht="15.75" customHeight="1">
      <c r="A243" s="70" t="str">
        <f t="array" ref="A243">IF(B243="","",INDEX('Bán nhanh'!$A$4:$A$103,INT((ROW()-4)/10)+1))</f>
        <v/>
      </c>
      <c r="B243" s="71" t="str">
        <f t="array" ref="B243">IF(OR(INDEX('Bán nhanh'!$D$3:$M$3,1,MOD(ROW()-4,10)+1)="",INDEX('Bán nhanh'!$D$4:$M$103,INT((ROW()-4)/10)+1,MOD(ROW()-4,10)+1)&lt;=0),"",INDEX('Bán nhanh'!$D$3:$M$3,1,MOD(ROW()-4,10)+1))</f>
        <v/>
      </c>
      <c r="C243" s="58" t="str">
        <f t="array" ref="C243">IFERROR(INDEX('Sản phẩm'!$A$4:$A$103,MATCH(B243,'Sản phẩm'!$D$4:$D$103,0)),"")</f>
        <v/>
      </c>
      <c r="D243" s="71" t="str">
        <f t="array" ref="D243">IF(B243="","",INDEX('Bán nhanh'!$B$4:$B$103,INT((ROW()-4)/10)+1))</f>
        <v/>
      </c>
      <c r="E243" s="58" t="str">
        <f t="array" ref="E243">IFERROR(INDEX('Mẻ sữa'!$B$4:$B$203,MATCH(D243,'Mẻ sữa'!$C$4:$C$203,0)),"")</f>
        <v/>
      </c>
      <c r="F243" s="66">
        <f t="array" ref="F243">IF(B243="",0,INDEX('Bán nhanh'!$D$4:$M$103,INT((ROW()-4)/10)+1,MOD(ROW()-4,10)+1))</f>
        <v>0</v>
      </c>
      <c r="G243" s="46">
        <f t="array" ref="G243">IFERROR(INDEX('Sản phẩm'!$F$4:$F$103,MATCH(B243,'Sản phẩm'!$D$4:$D$103,0)),0)</f>
        <v>0</v>
      </c>
      <c r="H243" s="67">
        <f t="shared" si="5"/>
        <v>0</v>
      </c>
      <c r="I243" s="46">
        <f t="shared" si="1"/>
        <v>0</v>
      </c>
      <c r="J243" s="46">
        <f t="array" ref="J243">IFERROR(INDEX('Sản phẩm'!$G$4:$G$103,MATCH(B243,'Sản phẩm'!$D$4:$D$103,0)),0)</f>
        <v>0</v>
      </c>
      <c r="K243" s="46">
        <f t="array" ref="K243">IFERROR(J243*INDEX('Mẻ sữa'!$N$4:$N$203,MATCH(D243,'Mẻ sữa'!$C$4:$C$203,0)),0)</f>
        <v>0</v>
      </c>
      <c r="L243" s="46">
        <f t="array" ref="L243">IFERROR(INDEX('Sản phẩm'!$I$4:$I$103,MATCH(B243,'Sản phẩm'!$D$4:$D$103,0)),0)</f>
        <v>0</v>
      </c>
      <c r="M243" s="72" t="str">
        <f t="array" ref="M243">IFERROR(INDEX('Sản phẩm'!$J$4:$J$103,MATCH(B243,'Sản phẩm'!$D$4:$D$103,0)),0)</f>
        <v/>
      </c>
      <c r="N243" s="46">
        <f>IF(B243="",0,(K243+L243+M243)*'Thiết lập'!$B$8)</f>
        <v>0</v>
      </c>
      <c r="O243" s="46">
        <f t="shared" si="2"/>
        <v>0</v>
      </c>
      <c r="P243" s="46">
        <f t="shared" si="3"/>
        <v>0</v>
      </c>
      <c r="Q243" s="46">
        <f t="shared" si="4"/>
        <v>0</v>
      </c>
      <c r="R243" s="71" t="str">
        <f t="array" ref="R243">IF(B243="","",INDEX('Bán nhanh'!$C$4:$C$103,INT((ROW()-4)/10)+1))</f>
        <v/>
      </c>
      <c r="S243" s="71" t="str">
        <f t="array" ref="S243">IF(B243="","",INDEX('Bán nhanh'!$P$4:$P$103,INT((ROW()-4)/10)+1))</f>
        <v/>
      </c>
      <c r="T243" s="58"/>
      <c r="U243" s="36"/>
      <c r="V243" s="36"/>
      <c r="W243" s="58"/>
      <c r="X243" s="36"/>
      <c r="Y243" s="36"/>
      <c r="Z243" s="36"/>
    </row>
    <row r="244" ht="15.75" customHeight="1">
      <c r="A244" s="70" t="str">
        <f t="array" ref="A244">IF(B244="","",INDEX('Bán nhanh'!$A$4:$A$103,INT((ROW()-4)/10)+1))</f>
        <v/>
      </c>
      <c r="B244" s="71" t="str">
        <f t="array" ref="B244">IF(OR(INDEX('Bán nhanh'!$D$3:$M$3,1,MOD(ROW()-4,10)+1)="",INDEX('Bán nhanh'!$D$4:$M$103,INT((ROW()-4)/10)+1,MOD(ROW()-4,10)+1)&lt;=0),"",INDEX('Bán nhanh'!$D$3:$M$3,1,MOD(ROW()-4,10)+1))</f>
        <v/>
      </c>
      <c r="C244" s="58" t="str">
        <f t="array" ref="C244">IFERROR(INDEX('Sản phẩm'!$A$4:$A$103,MATCH(B244,'Sản phẩm'!$D$4:$D$103,0)),"")</f>
        <v/>
      </c>
      <c r="D244" s="71" t="str">
        <f t="array" ref="D244">IF(B244="","",INDEX('Bán nhanh'!$B$4:$B$103,INT((ROW()-4)/10)+1))</f>
        <v/>
      </c>
      <c r="E244" s="58" t="str">
        <f t="array" ref="E244">IFERROR(INDEX('Mẻ sữa'!$B$4:$B$203,MATCH(D244,'Mẻ sữa'!$C$4:$C$203,0)),"")</f>
        <v/>
      </c>
      <c r="F244" s="66">
        <f t="array" ref="F244">IF(B244="",0,INDEX('Bán nhanh'!$D$4:$M$103,INT((ROW()-4)/10)+1,MOD(ROW()-4,10)+1))</f>
        <v>0</v>
      </c>
      <c r="G244" s="46">
        <f t="array" ref="G244">IFERROR(INDEX('Sản phẩm'!$F$4:$F$103,MATCH(B244,'Sản phẩm'!$D$4:$D$103,0)),0)</f>
        <v>0</v>
      </c>
      <c r="H244" s="67">
        <f t="shared" si="5"/>
        <v>0</v>
      </c>
      <c r="I244" s="46">
        <f t="shared" si="1"/>
        <v>0</v>
      </c>
      <c r="J244" s="46">
        <f t="array" ref="J244">IFERROR(INDEX('Sản phẩm'!$G$4:$G$103,MATCH(B244,'Sản phẩm'!$D$4:$D$103,0)),0)</f>
        <v>0</v>
      </c>
      <c r="K244" s="46">
        <f t="array" ref="K244">IFERROR(J244*INDEX('Mẻ sữa'!$N$4:$N$203,MATCH(D244,'Mẻ sữa'!$C$4:$C$203,0)),0)</f>
        <v>0</v>
      </c>
      <c r="L244" s="46">
        <f t="array" ref="L244">IFERROR(INDEX('Sản phẩm'!$I$4:$I$103,MATCH(B244,'Sản phẩm'!$D$4:$D$103,0)),0)</f>
        <v>0</v>
      </c>
      <c r="M244" s="72" t="str">
        <f t="array" ref="M244">IFERROR(INDEX('Sản phẩm'!$J$4:$J$103,MATCH(B244,'Sản phẩm'!$D$4:$D$103,0)),0)</f>
        <v/>
      </c>
      <c r="N244" s="46">
        <f>IF(B244="",0,(K244+L244+M244)*'Thiết lập'!$B$8)</f>
        <v>0</v>
      </c>
      <c r="O244" s="46">
        <f t="shared" si="2"/>
        <v>0</v>
      </c>
      <c r="P244" s="46">
        <f t="shared" si="3"/>
        <v>0</v>
      </c>
      <c r="Q244" s="46">
        <f t="shared" si="4"/>
        <v>0</v>
      </c>
      <c r="R244" s="71" t="str">
        <f t="array" ref="R244">IF(B244="","",INDEX('Bán nhanh'!$C$4:$C$103,INT((ROW()-4)/10)+1))</f>
        <v/>
      </c>
      <c r="S244" s="71" t="str">
        <f t="array" ref="S244">IF(B244="","",INDEX('Bán nhanh'!$P$4:$P$103,INT((ROW()-4)/10)+1))</f>
        <v/>
      </c>
      <c r="T244" s="58"/>
      <c r="U244" s="36"/>
      <c r="V244" s="36"/>
      <c r="W244" s="58"/>
      <c r="X244" s="36"/>
      <c r="Y244" s="36"/>
      <c r="Z244" s="36"/>
    </row>
    <row r="245" ht="15.75" customHeight="1">
      <c r="A245" s="70" t="str">
        <f t="array" ref="A245">IF(B245="","",INDEX('Bán nhanh'!$A$4:$A$103,INT((ROW()-4)/10)+1))</f>
        <v/>
      </c>
      <c r="B245" s="71" t="str">
        <f t="array" ref="B245">IF(OR(INDEX('Bán nhanh'!$D$3:$M$3,1,MOD(ROW()-4,10)+1)="",INDEX('Bán nhanh'!$D$4:$M$103,INT((ROW()-4)/10)+1,MOD(ROW()-4,10)+1)&lt;=0),"",INDEX('Bán nhanh'!$D$3:$M$3,1,MOD(ROW()-4,10)+1))</f>
        <v/>
      </c>
      <c r="C245" s="58" t="str">
        <f t="array" ref="C245">IFERROR(INDEX('Sản phẩm'!$A$4:$A$103,MATCH(B245,'Sản phẩm'!$D$4:$D$103,0)),"")</f>
        <v/>
      </c>
      <c r="D245" s="71" t="str">
        <f t="array" ref="D245">IF(B245="","",INDEX('Bán nhanh'!$B$4:$B$103,INT((ROW()-4)/10)+1))</f>
        <v/>
      </c>
      <c r="E245" s="58" t="str">
        <f t="array" ref="E245">IFERROR(INDEX('Mẻ sữa'!$B$4:$B$203,MATCH(D245,'Mẻ sữa'!$C$4:$C$203,0)),"")</f>
        <v/>
      </c>
      <c r="F245" s="66">
        <f t="array" ref="F245">IF(B245="",0,INDEX('Bán nhanh'!$D$4:$M$103,INT((ROW()-4)/10)+1,MOD(ROW()-4,10)+1))</f>
        <v>0</v>
      </c>
      <c r="G245" s="46">
        <f t="array" ref="G245">IFERROR(INDEX('Sản phẩm'!$F$4:$F$103,MATCH(B245,'Sản phẩm'!$D$4:$D$103,0)),0)</f>
        <v>0</v>
      </c>
      <c r="H245" s="67">
        <f t="shared" si="5"/>
        <v>0</v>
      </c>
      <c r="I245" s="46">
        <f t="shared" si="1"/>
        <v>0</v>
      </c>
      <c r="J245" s="46">
        <f t="array" ref="J245">IFERROR(INDEX('Sản phẩm'!$G$4:$G$103,MATCH(B245,'Sản phẩm'!$D$4:$D$103,0)),0)</f>
        <v>0</v>
      </c>
      <c r="K245" s="46">
        <f t="array" ref="K245">IFERROR(J245*INDEX('Mẻ sữa'!$N$4:$N$203,MATCH(D245,'Mẻ sữa'!$C$4:$C$203,0)),0)</f>
        <v>0</v>
      </c>
      <c r="L245" s="46">
        <f t="array" ref="L245">IFERROR(INDEX('Sản phẩm'!$I$4:$I$103,MATCH(B245,'Sản phẩm'!$D$4:$D$103,0)),0)</f>
        <v>0</v>
      </c>
      <c r="M245" s="72" t="str">
        <f t="array" ref="M245">IFERROR(INDEX('Sản phẩm'!$J$4:$J$103,MATCH(B245,'Sản phẩm'!$D$4:$D$103,0)),0)</f>
        <v/>
      </c>
      <c r="N245" s="46">
        <f>IF(B245="",0,(K245+L245+M245)*'Thiết lập'!$B$8)</f>
        <v>0</v>
      </c>
      <c r="O245" s="46">
        <f t="shared" si="2"/>
        <v>0</v>
      </c>
      <c r="P245" s="46">
        <f t="shared" si="3"/>
        <v>0</v>
      </c>
      <c r="Q245" s="46">
        <f t="shared" si="4"/>
        <v>0</v>
      </c>
      <c r="R245" s="71" t="str">
        <f t="array" ref="R245">IF(B245="","",INDEX('Bán nhanh'!$C$4:$C$103,INT((ROW()-4)/10)+1))</f>
        <v/>
      </c>
      <c r="S245" s="71" t="str">
        <f t="array" ref="S245">IF(B245="","",INDEX('Bán nhanh'!$P$4:$P$103,INT((ROW()-4)/10)+1))</f>
        <v/>
      </c>
      <c r="T245" s="58"/>
      <c r="U245" s="36"/>
      <c r="V245" s="36"/>
      <c r="W245" s="58"/>
      <c r="X245" s="36"/>
      <c r="Y245" s="36"/>
      <c r="Z245" s="36"/>
    </row>
    <row r="246" ht="15.75" customHeight="1">
      <c r="A246" s="70" t="str">
        <f t="array" ref="A246">IF(B246="","",INDEX('Bán nhanh'!$A$4:$A$103,INT((ROW()-4)/10)+1))</f>
        <v/>
      </c>
      <c r="B246" s="71" t="str">
        <f t="array" ref="B246">IF(OR(INDEX('Bán nhanh'!$D$3:$M$3,1,MOD(ROW()-4,10)+1)="",INDEX('Bán nhanh'!$D$4:$M$103,INT((ROW()-4)/10)+1,MOD(ROW()-4,10)+1)&lt;=0),"",INDEX('Bán nhanh'!$D$3:$M$3,1,MOD(ROW()-4,10)+1))</f>
        <v/>
      </c>
      <c r="C246" s="58" t="str">
        <f t="array" ref="C246">IFERROR(INDEX('Sản phẩm'!$A$4:$A$103,MATCH(B246,'Sản phẩm'!$D$4:$D$103,0)),"")</f>
        <v/>
      </c>
      <c r="D246" s="71" t="str">
        <f t="array" ref="D246">IF(B246="","",INDEX('Bán nhanh'!$B$4:$B$103,INT((ROW()-4)/10)+1))</f>
        <v/>
      </c>
      <c r="E246" s="58" t="str">
        <f t="array" ref="E246">IFERROR(INDEX('Mẻ sữa'!$B$4:$B$203,MATCH(D246,'Mẻ sữa'!$C$4:$C$203,0)),"")</f>
        <v/>
      </c>
      <c r="F246" s="66">
        <f t="array" ref="F246">IF(B246="",0,INDEX('Bán nhanh'!$D$4:$M$103,INT((ROW()-4)/10)+1,MOD(ROW()-4,10)+1))</f>
        <v>0</v>
      </c>
      <c r="G246" s="46">
        <f t="array" ref="G246">IFERROR(INDEX('Sản phẩm'!$F$4:$F$103,MATCH(B246,'Sản phẩm'!$D$4:$D$103,0)),0)</f>
        <v>0</v>
      </c>
      <c r="H246" s="67">
        <f t="shared" si="5"/>
        <v>0</v>
      </c>
      <c r="I246" s="46">
        <f t="shared" si="1"/>
        <v>0</v>
      </c>
      <c r="J246" s="46">
        <f t="array" ref="J246">IFERROR(INDEX('Sản phẩm'!$G$4:$G$103,MATCH(B246,'Sản phẩm'!$D$4:$D$103,0)),0)</f>
        <v>0</v>
      </c>
      <c r="K246" s="46">
        <f t="array" ref="K246">IFERROR(J246*INDEX('Mẻ sữa'!$N$4:$N$203,MATCH(D246,'Mẻ sữa'!$C$4:$C$203,0)),0)</f>
        <v>0</v>
      </c>
      <c r="L246" s="46">
        <f t="array" ref="L246">IFERROR(INDEX('Sản phẩm'!$I$4:$I$103,MATCH(B246,'Sản phẩm'!$D$4:$D$103,0)),0)</f>
        <v>0</v>
      </c>
      <c r="M246" s="72" t="str">
        <f t="array" ref="M246">IFERROR(INDEX('Sản phẩm'!$J$4:$J$103,MATCH(B246,'Sản phẩm'!$D$4:$D$103,0)),0)</f>
        <v/>
      </c>
      <c r="N246" s="46">
        <f>IF(B246="",0,(K246+L246+M246)*'Thiết lập'!$B$8)</f>
        <v>0</v>
      </c>
      <c r="O246" s="46">
        <f t="shared" si="2"/>
        <v>0</v>
      </c>
      <c r="P246" s="46">
        <f t="shared" si="3"/>
        <v>0</v>
      </c>
      <c r="Q246" s="46">
        <f t="shared" si="4"/>
        <v>0</v>
      </c>
      <c r="R246" s="71" t="str">
        <f t="array" ref="R246">IF(B246="","",INDEX('Bán nhanh'!$C$4:$C$103,INT((ROW()-4)/10)+1))</f>
        <v/>
      </c>
      <c r="S246" s="71" t="str">
        <f t="array" ref="S246">IF(B246="","",INDEX('Bán nhanh'!$P$4:$P$103,INT((ROW()-4)/10)+1))</f>
        <v/>
      </c>
      <c r="T246" s="58"/>
      <c r="U246" s="36"/>
      <c r="V246" s="36"/>
      <c r="W246" s="58"/>
      <c r="X246" s="36"/>
      <c r="Y246" s="36"/>
      <c r="Z246" s="36"/>
    </row>
    <row r="247" ht="15.75" customHeight="1">
      <c r="A247" s="70" t="str">
        <f t="array" ref="A247">IF(B247="","",INDEX('Bán nhanh'!$A$4:$A$103,INT((ROW()-4)/10)+1))</f>
        <v/>
      </c>
      <c r="B247" s="71" t="str">
        <f t="array" ref="B247">IF(OR(INDEX('Bán nhanh'!$D$3:$M$3,1,MOD(ROW()-4,10)+1)="",INDEX('Bán nhanh'!$D$4:$M$103,INT((ROW()-4)/10)+1,MOD(ROW()-4,10)+1)&lt;=0),"",INDEX('Bán nhanh'!$D$3:$M$3,1,MOD(ROW()-4,10)+1))</f>
        <v/>
      </c>
      <c r="C247" s="58" t="str">
        <f t="array" ref="C247">IFERROR(INDEX('Sản phẩm'!$A$4:$A$103,MATCH(B247,'Sản phẩm'!$D$4:$D$103,0)),"")</f>
        <v/>
      </c>
      <c r="D247" s="71" t="str">
        <f t="array" ref="D247">IF(B247="","",INDEX('Bán nhanh'!$B$4:$B$103,INT((ROW()-4)/10)+1))</f>
        <v/>
      </c>
      <c r="E247" s="58" t="str">
        <f t="array" ref="E247">IFERROR(INDEX('Mẻ sữa'!$B$4:$B$203,MATCH(D247,'Mẻ sữa'!$C$4:$C$203,0)),"")</f>
        <v/>
      </c>
      <c r="F247" s="66">
        <f t="array" ref="F247">IF(B247="",0,INDEX('Bán nhanh'!$D$4:$M$103,INT((ROW()-4)/10)+1,MOD(ROW()-4,10)+1))</f>
        <v>0</v>
      </c>
      <c r="G247" s="46">
        <f t="array" ref="G247">IFERROR(INDEX('Sản phẩm'!$F$4:$F$103,MATCH(B247,'Sản phẩm'!$D$4:$D$103,0)),0)</f>
        <v>0</v>
      </c>
      <c r="H247" s="67">
        <f t="shared" si="5"/>
        <v>0</v>
      </c>
      <c r="I247" s="46">
        <f t="shared" si="1"/>
        <v>0</v>
      </c>
      <c r="J247" s="46">
        <f t="array" ref="J247">IFERROR(INDEX('Sản phẩm'!$G$4:$G$103,MATCH(B247,'Sản phẩm'!$D$4:$D$103,0)),0)</f>
        <v>0</v>
      </c>
      <c r="K247" s="46">
        <f t="array" ref="K247">IFERROR(J247*INDEX('Mẻ sữa'!$N$4:$N$203,MATCH(D247,'Mẻ sữa'!$C$4:$C$203,0)),0)</f>
        <v>0</v>
      </c>
      <c r="L247" s="46">
        <f t="array" ref="L247">IFERROR(INDEX('Sản phẩm'!$I$4:$I$103,MATCH(B247,'Sản phẩm'!$D$4:$D$103,0)),0)</f>
        <v>0</v>
      </c>
      <c r="M247" s="72" t="str">
        <f t="array" ref="M247">IFERROR(INDEX('Sản phẩm'!$J$4:$J$103,MATCH(B247,'Sản phẩm'!$D$4:$D$103,0)),0)</f>
        <v/>
      </c>
      <c r="N247" s="46">
        <f>IF(B247="",0,(K247+L247+M247)*'Thiết lập'!$B$8)</f>
        <v>0</v>
      </c>
      <c r="O247" s="46">
        <f t="shared" si="2"/>
        <v>0</v>
      </c>
      <c r="P247" s="46">
        <f t="shared" si="3"/>
        <v>0</v>
      </c>
      <c r="Q247" s="46">
        <f t="shared" si="4"/>
        <v>0</v>
      </c>
      <c r="R247" s="71" t="str">
        <f t="array" ref="R247">IF(B247="","",INDEX('Bán nhanh'!$C$4:$C$103,INT((ROW()-4)/10)+1))</f>
        <v/>
      </c>
      <c r="S247" s="71" t="str">
        <f t="array" ref="S247">IF(B247="","",INDEX('Bán nhanh'!$P$4:$P$103,INT((ROW()-4)/10)+1))</f>
        <v/>
      </c>
      <c r="T247" s="58"/>
      <c r="U247" s="36"/>
      <c r="V247" s="36"/>
      <c r="W247" s="58"/>
      <c r="X247" s="36"/>
      <c r="Y247" s="36"/>
      <c r="Z247" s="36"/>
    </row>
    <row r="248" ht="15.75" customHeight="1">
      <c r="A248" s="70" t="str">
        <f t="array" ref="A248">IF(B248="","",INDEX('Bán nhanh'!$A$4:$A$103,INT((ROW()-4)/10)+1))</f>
        <v/>
      </c>
      <c r="B248" s="71" t="str">
        <f t="array" ref="B248">IF(OR(INDEX('Bán nhanh'!$D$3:$M$3,1,MOD(ROW()-4,10)+1)="",INDEX('Bán nhanh'!$D$4:$M$103,INT((ROW()-4)/10)+1,MOD(ROW()-4,10)+1)&lt;=0),"",INDEX('Bán nhanh'!$D$3:$M$3,1,MOD(ROW()-4,10)+1))</f>
        <v/>
      </c>
      <c r="C248" s="58" t="str">
        <f t="array" ref="C248">IFERROR(INDEX('Sản phẩm'!$A$4:$A$103,MATCH(B248,'Sản phẩm'!$D$4:$D$103,0)),"")</f>
        <v/>
      </c>
      <c r="D248" s="71" t="str">
        <f t="array" ref="D248">IF(B248="","",INDEX('Bán nhanh'!$B$4:$B$103,INT((ROW()-4)/10)+1))</f>
        <v/>
      </c>
      <c r="E248" s="58" t="str">
        <f t="array" ref="E248">IFERROR(INDEX('Mẻ sữa'!$B$4:$B$203,MATCH(D248,'Mẻ sữa'!$C$4:$C$203,0)),"")</f>
        <v/>
      </c>
      <c r="F248" s="66">
        <f t="array" ref="F248">IF(B248="",0,INDEX('Bán nhanh'!$D$4:$M$103,INT((ROW()-4)/10)+1,MOD(ROW()-4,10)+1))</f>
        <v>0</v>
      </c>
      <c r="G248" s="46">
        <f t="array" ref="G248">IFERROR(INDEX('Sản phẩm'!$F$4:$F$103,MATCH(B248,'Sản phẩm'!$D$4:$D$103,0)),0)</f>
        <v>0</v>
      </c>
      <c r="H248" s="67">
        <f t="shared" si="5"/>
        <v>0</v>
      </c>
      <c r="I248" s="46">
        <f t="shared" si="1"/>
        <v>0</v>
      </c>
      <c r="J248" s="46">
        <f t="array" ref="J248">IFERROR(INDEX('Sản phẩm'!$G$4:$G$103,MATCH(B248,'Sản phẩm'!$D$4:$D$103,0)),0)</f>
        <v>0</v>
      </c>
      <c r="K248" s="46">
        <f t="array" ref="K248">IFERROR(J248*INDEX('Mẻ sữa'!$N$4:$N$203,MATCH(D248,'Mẻ sữa'!$C$4:$C$203,0)),0)</f>
        <v>0</v>
      </c>
      <c r="L248" s="46">
        <f t="array" ref="L248">IFERROR(INDEX('Sản phẩm'!$I$4:$I$103,MATCH(B248,'Sản phẩm'!$D$4:$D$103,0)),0)</f>
        <v>0</v>
      </c>
      <c r="M248" s="72" t="str">
        <f t="array" ref="M248">IFERROR(INDEX('Sản phẩm'!$J$4:$J$103,MATCH(B248,'Sản phẩm'!$D$4:$D$103,0)),0)</f>
        <v/>
      </c>
      <c r="N248" s="46">
        <f>IF(B248="",0,(K248+L248+M248)*'Thiết lập'!$B$8)</f>
        <v>0</v>
      </c>
      <c r="O248" s="46">
        <f t="shared" si="2"/>
        <v>0</v>
      </c>
      <c r="P248" s="46">
        <f t="shared" si="3"/>
        <v>0</v>
      </c>
      <c r="Q248" s="46">
        <f t="shared" si="4"/>
        <v>0</v>
      </c>
      <c r="R248" s="71" t="str">
        <f t="array" ref="R248">IF(B248="","",INDEX('Bán nhanh'!$C$4:$C$103,INT((ROW()-4)/10)+1))</f>
        <v/>
      </c>
      <c r="S248" s="71" t="str">
        <f t="array" ref="S248">IF(B248="","",INDEX('Bán nhanh'!$P$4:$P$103,INT((ROW()-4)/10)+1))</f>
        <v/>
      </c>
      <c r="T248" s="58"/>
      <c r="U248" s="36"/>
      <c r="V248" s="36"/>
      <c r="W248" s="58"/>
      <c r="X248" s="36"/>
      <c r="Y248" s="36"/>
      <c r="Z248" s="36"/>
    </row>
    <row r="249" ht="15.75" customHeight="1">
      <c r="A249" s="70" t="str">
        <f t="array" ref="A249">IF(B249="","",INDEX('Bán nhanh'!$A$4:$A$103,INT((ROW()-4)/10)+1))</f>
        <v/>
      </c>
      <c r="B249" s="71" t="str">
        <f t="array" ref="B249">IF(OR(INDEX('Bán nhanh'!$D$3:$M$3,1,MOD(ROW()-4,10)+1)="",INDEX('Bán nhanh'!$D$4:$M$103,INT((ROW()-4)/10)+1,MOD(ROW()-4,10)+1)&lt;=0),"",INDEX('Bán nhanh'!$D$3:$M$3,1,MOD(ROW()-4,10)+1))</f>
        <v/>
      </c>
      <c r="C249" s="58" t="str">
        <f t="array" ref="C249">IFERROR(INDEX('Sản phẩm'!$A$4:$A$103,MATCH(B249,'Sản phẩm'!$D$4:$D$103,0)),"")</f>
        <v/>
      </c>
      <c r="D249" s="71" t="str">
        <f t="array" ref="D249">IF(B249="","",INDEX('Bán nhanh'!$B$4:$B$103,INT((ROW()-4)/10)+1))</f>
        <v/>
      </c>
      <c r="E249" s="58" t="str">
        <f t="array" ref="E249">IFERROR(INDEX('Mẻ sữa'!$B$4:$B$203,MATCH(D249,'Mẻ sữa'!$C$4:$C$203,0)),"")</f>
        <v/>
      </c>
      <c r="F249" s="66">
        <f t="array" ref="F249">IF(B249="",0,INDEX('Bán nhanh'!$D$4:$M$103,INT((ROW()-4)/10)+1,MOD(ROW()-4,10)+1))</f>
        <v>0</v>
      </c>
      <c r="G249" s="46">
        <f t="array" ref="G249">IFERROR(INDEX('Sản phẩm'!$F$4:$F$103,MATCH(B249,'Sản phẩm'!$D$4:$D$103,0)),0)</f>
        <v>0</v>
      </c>
      <c r="H249" s="67">
        <f t="shared" si="5"/>
        <v>0</v>
      </c>
      <c r="I249" s="46">
        <f t="shared" si="1"/>
        <v>0</v>
      </c>
      <c r="J249" s="46">
        <f t="array" ref="J249">IFERROR(INDEX('Sản phẩm'!$G$4:$G$103,MATCH(B249,'Sản phẩm'!$D$4:$D$103,0)),0)</f>
        <v>0</v>
      </c>
      <c r="K249" s="46">
        <f t="array" ref="K249">IFERROR(J249*INDEX('Mẻ sữa'!$N$4:$N$203,MATCH(D249,'Mẻ sữa'!$C$4:$C$203,0)),0)</f>
        <v>0</v>
      </c>
      <c r="L249" s="46">
        <f t="array" ref="L249">IFERROR(INDEX('Sản phẩm'!$I$4:$I$103,MATCH(B249,'Sản phẩm'!$D$4:$D$103,0)),0)</f>
        <v>0</v>
      </c>
      <c r="M249" s="72" t="str">
        <f t="array" ref="M249">IFERROR(INDEX('Sản phẩm'!$J$4:$J$103,MATCH(B249,'Sản phẩm'!$D$4:$D$103,0)),0)</f>
        <v/>
      </c>
      <c r="N249" s="46">
        <f>IF(B249="",0,(K249+L249+M249)*'Thiết lập'!$B$8)</f>
        <v>0</v>
      </c>
      <c r="O249" s="46">
        <f t="shared" si="2"/>
        <v>0</v>
      </c>
      <c r="P249" s="46">
        <f t="shared" si="3"/>
        <v>0</v>
      </c>
      <c r="Q249" s="46">
        <f t="shared" si="4"/>
        <v>0</v>
      </c>
      <c r="R249" s="71" t="str">
        <f t="array" ref="R249">IF(B249="","",INDEX('Bán nhanh'!$C$4:$C$103,INT((ROW()-4)/10)+1))</f>
        <v/>
      </c>
      <c r="S249" s="71" t="str">
        <f t="array" ref="S249">IF(B249="","",INDEX('Bán nhanh'!$P$4:$P$103,INT((ROW()-4)/10)+1))</f>
        <v/>
      </c>
      <c r="T249" s="58"/>
      <c r="U249" s="36"/>
      <c r="V249" s="36"/>
      <c r="W249" s="58"/>
      <c r="X249" s="36"/>
      <c r="Y249" s="36"/>
      <c r="Z249" s="36"/>
    </row>
    <row r="250" ht="15.75" customHeight="1">
      <c r="A250" s="70" t="str">
        <f t="array" ref="A250">IF(B250="","",INDEX('Bán nhanh'!$A$4:$A$103,INT((ROW()-4)/10)+1))</f>
        <v/>
      </c>
      <c r="B250" s="71" t="str">
        <f t="array" ref="B250">IF(OR(INDEX('Bán nhanh'!$D$3:$M$3,1,MOD(ROW()-4,10)+1)="",INDEX('Bán nhanh'!$D$4:$M$103,INT((ROW()-4)/10)+1,MOD(ROW()-4,10)+1)&lt;=0),"",INDEX('Bán nhanh'!$D$3:$M$3,1,MOD(ROW()-4,10)+1))</f>
        <v/>
      </c>
      <c r="C250" s="58" t="str">
        <f t="array" ref="C250">IFERROR(INDEX('Sản phẩm'!$A$4:$A$103,MATCH(B250,'Sản phẩm'!$D$4:$D$103,0)),"")</f>
        <v/>
      </c>
      <c r="D250" s="71" t="str">
        <f t="array" ref="D250">IF(B250="","",INDEX('Bán nhanh'!$B$4:$B$103,INT((ROW()-4)/10)+1))</f>
        <v/>
      </c>
      <c r="E250" s="58" t="str">
        <f t="array" ref="E250">IFERROR(INDEX('Mẻ sữa'!$B$4:$B$203,MATCH(D250,'Mẻ sữa'!$C$4:$C$203,0)),"")</f>
        <v/>
      </c>
      <c r="F250" s="66">
        <f t="array" ref="F250">IF(B250="",0,INDEX('Bán nhanh'!$D$4:$M$103,INT((ROW()-4)/10)+1,MOD(ROW()-4,10)+1))</f>
        <v>0</v>
      </c>
      <c r="G250" s="46">
        <f t="array" ref="G250">IFERROR(INDEX('Sản phẩm'!$F$4:$F$103,MATCH(B250,'Sản phẩm'!$D$4:$D$103,0)),0)</f>
        <v>0</v>
      </c>
      <c r="H250" s="67">
        <f t="shared" si="5"/>
        <v>0</v>
      </c>
      <c r="I250" s="46">
        <f t="shared" si="1"/>
        <v>0</v>
      </c>
      <c r="J250" s="46">
        <f t="array" ref="J250">IFERROR(INDEX('Sản phẩm'!$G$4:$G$103,MATCH(B250,'Sản phẩm'!$D$4:$D$103,0)),0)</f>
        <v>0</v>
      </c>
      <c r="K250" s="46">
        <f t="array" ref="K250">IFERROR(J250*INDEX('Mẻ sữa'!$N$4:$N$203,MATCH(D250,'Mẻ sữa'!$C$4:$C$203,0)),0)</f>
        <v>0</v>
      </c>
      <c r="L250" s="46">
        <f t="array" ref="L250">IFERROR(INDEX('Sản phẩm'!$I$4:$I$103,MATCH(B250,'Sản phẩm'!$D$4:$D$103,0)),0)</f>
        <v>0</v>
      </c>
      <c r="M250" s="72" t="str">
        <f t="array" ref="M250">IFERROR(INDEX('Sản phẩm'!$J$4:$J$103,MATCH(B250,'Sản phẩm'!$D$4:$D$103,0)),0)</f>
        <v/>
      </c>
      <c r="N250" s="46">
        <f>IF(B250="",0,(K250+L250+M250)*'Thiết lập'!$B$8)</f>
        <v>0</v>
      </c>
      <c r="O250" s="46">
        <f t="shared" si="2"/>
        <v>0</v>
      </c>
      <c r="P250" s="46">
        <f t="shared" si="3"/>
        <v>0</v>
      </c>
      <c r="Q250" s="46">
        <f t="shared" si="4"/>
        <v>0</v>
      </c>
      <c r="R250" s="71" t="str">
        <f t="array" ref="R250">IF(B250="","",INDEX('Bán nhanh'!$C$4:$C$103,INT((ROW()-4)/10)+1))</f>
        <v/>
      </c>
      <c r="S250" s="71" t="str">
        <f t="array" ref="S250">IF(B250="","",INDEX('Bán nhanh'!$P$4:$P$103,INT((ROW()-4)/10)+1))</f>
        <v/>
      </c>
      <c r="T250" s="58"/>
      <c r="U250" s="36"/>
      <c r="V250" s="36"/>
      <c r="W250" s="58"/>
      <c r="X250" s="36"/>
      <c r="Y250" s="36"/>
      <c r="Z250" s="36"/>
    </row>
    <row r="251" ht="15.75" customHeight="1">
      <c r="A251" s="70" t="str">
        <f t="array" ref="A251">IF(B251="","",INDEX('Bán nhanh'!$A$4:$A$103,INT((ROW()-4)/10)+1))</f>
        <v/>
      </c>
      <c r="B251" s="71" t="str">
        <f t="array" ref="B251">IF(OR(INDEX('Bán nhanh'!$D$3:$M$3,1,MOD(ROW()-4,10)+1)="",INDEX('Bán nhanh'!$D$4:$M$103,INT((ROW()-4)/10)+1,MOD(ROW()-4,10)+1)&lt;=0),"",INDEX('Bán nhanh'!$D$3:$M$3,1,MOD(ROW()-4,10)+1))</f>
        <v/>
      </c>
      <c r="C251" s="58" t="str">
        <f t="array" ref="C251">IFERROR(INDEX('Sản phẩm'!$A$4:$A$103,MATCH(B251,'Sản phẩm'!$D$4:$D$103,0)),"")</f>
        <v/>
      </c>
      <c r="D251" s="71" t="str">
        <f t="array" ref="D251">IF(B251="","",INDEX('Bán nhanh'!$B$4:$B$103,INT((ROW()-4)/10)+1))</f>
        <v/>
      </c>
      <c r="E251" s="58" t="str">
        <f t="array" ref="E251">IFERROR(INDEX('Mẻ sữa'!$B$4:$B$203,MATCH(D251,'Mẻ sữa'!$C$4:$C$203,0)),"")</f>
        <v/>
      </c>
      <c r="F251" s="66">
        <f t="array" ref="F251">IF(B251="",0,INDEX('Bán nhanh'!$D$4:$M$103,INT((ROW()-4)/10)+1,MOD(ROW()-4,10)+1))</f>
        <v>0</v>
      </c>
      <c r="G251" s="46">
        <f t="array" ref="G251">IFERROR(INDEX('Sản phẩm'!$F$4:$F$103,MATCH(B251,'Sản phẩm'!$D$4:$D$103,0)),0)</f>
        <v>0</v>
      </c>
      <c r="H251" s="67">
        <f t="shared" si="5"/>
        <v>0</v>
      </c>
      <c r="I251" s="46">
        <f t="shared" si="1"/>
        <v>0</v>
      </c>
      <c r="J251" s="46">
        <f t="array" ref="J251">IFERROR(INDEX('Sản phẩm'!$G$4:$G$103,MATCH(B251,'Sản phẩm'!$D$4:$D$103,0)),0)</f>
        <v>0</v>
      </c>
      <c r="K251" s="46">
        <f t="array" ref="K251">IFERROR(J251*INDEX('Mẻ sữa'!$N$4:$N$203,MATCH(D251,'Mẻ sữa'!$C$4:$C$203,0)),0)</f>
        <v>0</v>
      </c>
      <c r="L251" s="46">
        <f t="array" ref="L251">IFERROR(INDEX('Sản phẩm'!$I$4:$I$103,MATCH(B251,'Sản phẩm'!$D$4:$D$103,0)),0)</f>
        <v>0</v>
      </c>
      <c r="M251" s="72" t="str">
        <f t="array" ref="M251">IFERROR(INDEX('Sản phẩm'!$J$4:$J$103,MATCH(B251,'Sản phẩm'!$D$4:$D$103,0)),0)</f>
        <v/>
      </c>
      <c r="N251" s="46">
        <f>IF(B251="",0,(K251+L251+M251)*'Thiết lập'!$B$8)</f>
        <v>0</v>
      </c>
      <c r="O251" s="46">
        <f t="shared" si="2"/>
        <v>0</v>
      </c>
      <c r="P251" s="46">
        <f t="shared" si="3"/>
        <v>0</v>
      </c>
      <c r="Q251" s="46">
        <f t="shared" si="4"/>
        <v>0</v>
      </c>
      <c r="R251" s="71" t="str">
        <f t="array" ref="R251">IF(B251="","",INDEX('Bán nhanh'!$C$4:$C$103,INT((ROW()-4)/10)+1))</f>
        <v/>
      </c>
      <c r="S251" s="71" t="str">
        <f t="array" ref="S251">IF(B251="","",INDEX('Bán nhanh'!$P$4:$P$103,INT((ROW()-4)/10)+1))</f>
        <v/>
      </c>
      <c r="T251" s="58"/>
      <c r="U251" s="36"/>
      <c r="V251" s="36"/>
      <c r="W251" s="58"/>
      <c r="X251" s="36"/>
      <c r="Y251" s="36"/>
      <c r="Z251" s="36"/>
    </row>
    <row r="252" ht="15.75" customHeight="1">
      <c r="A252" s="70" t="str">
        <f t="array" ref="A252">IF(B252="","",INDEX('Bán nhanh'!$A$4:$A$103,INT((ROW()-4)/10)+1))</f>
        <v/>
      </c>
      <c r="B252" s="71" t="str">
        <f t="array" ref="B252">IF(OR(INDEX('Bán nhanh'!$D$3:$M$3,1,MOD(ROW()-4,10)+1)="",INDEX('Bán nhanh'!$D$4:$M$103,INT((ROW()-4)/10)+1,MOD(ROW()-4,10)+1)&lt;=0),"",INDEX('Bán nhanh'!$D$3:$M$3,1,MOD(ROW()-4,10)+1))</f>
        <v/>
      </c>
      <c r="C252" s="58" t="str">
        <f t="array" ref="C252">IFERROR(INDEX('Sản phẩm'!$A$4:$A$103,MATCH(B252,'Sản phẩm'!$D$4:$D$103,0)),"")</f>
        <v/>
      </c>
      <c r="D252" s="71" t="str">
        <f t="array" ref="D252">IF(B252="","",INDEX('Bán nhanh'!$B$4:$B$103,INT((ROW()-4)/10)+1))</f>
        <v/>
      </c>
      <c r="E252" s="58" t="str">
        <f t="array" ref="E252">IFERROR(INDEX('Mẻ sữa'!$B$4:$B$203,MATCH(D252,'Mẻ sữa'!$C$4:$C$203,0)),"")</f>
        <v/>
      </c>
      <c r="F252" s="66">
        <f t="array" ref="F252">IF(B252="",0,INDEX('Bán nhanh'!$D$4:$M$103,INT((ROW()-4)/10)+1,MOD(ROW()-4,10)+1))</f>
        <v>0</v>
      </c>
      <c r="G252" s="46">
        <f t="array" ref="G252">IFERROR(INDEX('Sản phẩm'!$F$4:$F$103,MATCH(B252,'Sản phẩm'!$D$4:$D$103,0)),0)</f>
        <v>0</v>
      </c>
      <c r="H252" s="67">
        <f t="shared" si="5"/>
        <v>0</v>
      </c>
      <c r="I252" s="46">
        <f t="shared" si="1"/>
        <v>0</v>
      </c>
      <c r="J252" s="46">
        <f t="array" ref="J252">IFERROR(INDEX('Sản phẩm'!$G$4:$G$103,MATCH(B252,'Sản phẩm'!$D$4:$D$103,0)),0)</f>
        <v>0</v>
      </c>
      <c r="K252" s="46">
        <f t="array" ref="K252">IFERROR(J252*INDEX('Mẻ sữa'!$N$4:$N$203,MATCH(D252,'Mẻ sữa'!$C$4:$C$203,0)),0)</f>
        <v>0</v>
      </c>
      <c r="L252" s="46">
        <f t="array" ref="L252">IFERROR(INDEX('Sản phẩm'!$I$4:$I$103,MATCH(B252,'Sản phẩm'!$D$4:$D$103,0)),0)</f>
        <v>0</v>
      </c>
      <c r="M252" s="72" t="str">
        <f t="array" ref="M252">IFERROR(INDEX('Sản phẩm'!$J$4:$J$103,MATCH(B252,'Sản phẩm'!$D$4:$D$103,0)),0)</f>
        <v/>
      </c>
      <c r="N252" s="46">
        <f>IF(B252="",0,(K252+L252+M252)*'Thiết lập'!$B$8)</f>
        <v>0</v>
      </c>
      <c r="O252" s="46">
        <f t="shared" si="2"/>
        <v>0</v>
      </c>
      <c r="P252" s="46">
        <f t="shared" si="3"/>
        <v>0</v>
      </c>
      <c r="Q252" s="46">
        <f t="shared" si="4"/>
        <v>0</v>
      </c>
      <c r="R252" s="71" t="str">
        <f t="array" ref="R252">IF(B252="","",INDEX('Bán nhanh'!$C$4:$C$103,INT((ROW()-4)/10)+1))</f>
        <v/>
      </c>
      <c r="S252" s="71" t="str">
        <f t="array" ref="S252">IF(B252="","",INDEX('Bán nhanh'!$P$4:$P$103,INT((ROW()-4)/10)+1))</f>
        <v/>
      </c>
      <c r="T252" s="58"/>
      <c r="U252" s="36"/>
      <c r="V252" s="36"/>
      <c r="W252" s="58"/>
      <c r="X252" s="36"/>
      <c r="Y252" s="36"/>
      <c r="Z252" s="36"/>
    </row>
    <row r="253" ht="15.75" customHeight="1">
      <c r="A253" s="70" t="str">
        <f t="array" ref="A253">IF(B253="","",INDEX('Bán nhanh'!$A$4:$A$103,INT((ROW()-4)/10)+1))</f>
        <v/>
      </c>
      <c r="B253" s="71" t="str">
        <f t="array" ref="B253">IF(OR(INDEX('Bán nhanh'!$D$3:$M$3,1,MOD(ROW()-4,10)+1)="",INDEX('Bán nhanh'!$D$4:$M$103,INT((ROW()-4)/10)+1,MOD(ROW()-4,10)+1)&lt;=0),"",INDEX('Bán nhanh'!$D$3:$M$3,1,MOD(ROW()-4,10)+1))</f>
        <v/>
      </c>
      <c r="C253" s="58" t="str">
        <f t="array" ref="C253">IFERROR(INDEX('Sản phẩm'!$A$4:$A$103,MATCH(B253,'Sản phẩm'!$D$4:$D$103,0)),"")</f>
        <v/>
      </c>
      <c r="D253" s="71" t="str">
        <f t="array" ref="D253">IF(B253="","",INDEX('Bán nhanh'!$B$4:$B$103,INT((ROW()-4)/10)+1))</f>
        <v/>
      </c>
      <c r="E253" s="58" t="str">
        <f t="array" ref="E253">IFERROR(INDEX('Mẻ sữa'!$B$4:$B$203,MATCH(D253,'Mẻ sữa'!$C$4:$C$203,0)),"")</f>
        <v/>
      </c>
      <c r="F253" s="66">
        <f t="array" ref="F253">IF(B253="",0,INDEX('Bán nhanh'!$D$4:$M$103,INT((ROW()-4)/10)+1,MOD(ROW()-4,10)+1))</f>
        <v>0</v>
      </c>
      <c r="G253" s="46">
        <f t="array" ref="G253">IFERROR(INDEX('Sản phẩm'!$F$4:$F$103,MATCH(B253,'Sản phẩm'!$D$4:$D$103,0)),0)</f>
        <v>0</v>
      </c>
      <c r="H253" s="67">
        <f t="shared" si="5"/>
        <v>0</v>
      </c>
      <c r="I253" s="46">
        <f t="shared" si="1"/>
        <v>0</v>
      </c>
      <c r="J253" s="46">
        <f t="array" ref="J253">IFERROR(INDEX('Sản phẩm'!$G$4:$G$103,MATCH(B253,'Sản phẩm'!$D$4:$D$103,0)),0)</f>
        <v>0</v>
      </c>
      <c r="K253" s="46">
        <f t="array" ref="K253">IFERROR(J253*INDEX('Mẻ sữa'!$N$4:$N$203,MATCH(D253,'Mẻ sữa'!$C$4:$C$203,0)),0)</f>
        <v>0</v>
      </c>
      <c r="L253" s="46">
        <f t="array" ref="L253">IFERROR(INDEX('Sản phẩm'!$I$4:$I$103,MATCH(B253,'Sản phẩm'!$D$4:$D$103,0)),0)</f>
        <v>0</v>
      </c>
      <c r="M253" s="72" t="str">
        <f t="array" ref="M253">IFERROR(INDEX('Sản phẩm'!$J$4:$J$103,MATCH(B253,'Sản phẩm'!$D$4:$D$103,0)),0)</f>
        <v/>
      </c>
      <c r="N253" s="46">
        <f>IF(B253="",0,(K253+L253+M253)*'Thiết lập'!$B$8)</f>
        <v>0</v>
      </c>
      <c r="O253" s="46">
        <f t="shared" si="2"/>
        <v>0</v>
      </c>
      <c r="P253" s="46">
        <f t="shared" si="3"/>
        <v>0</v>
      </c>
      <c r="Q253" s="46">
        <f t="shared" si="4"/>
        <v>0</v>
      </c>
      <c r="R253" s="71" t="str">
        <f t="array" ref="R253">IF(B253="","",INDEX('Bán nhanh'!$C$4:$C$103,INT((ROW()-4)/10)+1))</f>
        <v/>
      </c>
      <c r="S253" s="71" t="str">
        <f t="array" ref="S253">IF(B253="","",INDEX('Bán nhanh'!$P$4:$P$103,INT((ROW()-4)/10)+1))</f>
        <v/>
      </c>
      <c r="T253" s="58"/>
      <c r="U253" s="36"/>
      <c r="V253" s="36"/>
      <c r="W253" s="58"/>
      <c r="X253" s="36"/>
      <c r="Y253" s="36"/>
      <c r="Z253" s="36"/>
    </row>
    <row r="254" ht="15.75" customHeight="1">
      <c r="A254" s="70" t="str">
        <f t="array" ref="A254">IF(B254="","",INDEX('Bán nhanh'!$A$4:$A$103,INT((ROW()-4)/10)+1))</f>
        <v/>
      </c>
      <c r="B254" s="71" t="str">
        <f t="array" ref="B254">IF(OR(INDEX('Bán nhanh'!$D$3:$M$3,1,MOD(ROW()-4,10)+1)="",INDEX('Bán nhanh'!$D$4:$M$103,INT((ROW()-4)/10)+1,MOD(ROW()-4,10)+1)&lt;=0),"",INDEX('Bán nhanh'!$D$3:$M$3,1,MOD(ROW()-4,10)+1))</f>
        <v/>
      </c>
      <c r="C254" s="58" t="str">
        <f t="array" ref="C254">IFERROR(INDEX('Sản phẩm'!$A$4:$A$103,MATCH(B254,'Sản phẩm'!$D$4:$D$103,0)),"")</f>
        <v/>
      </c>
      <c r="D254" s="71" t="str">
        <f t="array" ref="D254">IF(B254="","",INDEX('Bán nhanh'!$B$4:$B$103,INT((ROW()-4)/10)+1))</f>
        <v/>
      </c>
      <c r="E254" s="58" t="str">
        <f t="array" ref="E254">IFERROR(INDEX('Mẻ sữa'!$B$4:$B$203,MATCH(D254,'Mẻ sữa'!$C$4:$C$203,0)),"")</f>
        <v/>
      </c>
      <c r="F254" s="66">
        <f t="array" ref="F254">IF(B254="",0,INDEX('Bán nhanh'!$D$4:$M$103,INT((ROW()-4)/10)+1,MOD(ROW()-4,10)+1))</f>
        <v>0</v>
      </c>
      <c r="G254" s="46">
        <f t="array" ref="G254">IFERROR(INDEX('Sản phẩm'!$F$4:$F$103,MATCH(B254,'Sản phẩm'!$D$4:$D$103,0)),0)</f>
        <v>0</v>
      </c>
      <c r="H254" s="67">
        <f t="shared" si="5"/>
        <v>0</v>
      </c>
      <c r="I254" s="46">
        <f t="shared" si="1"/>
        <v>0</v>
      </c>
      <c r="J254" s="46">
        <f t="array" ref="J254">IFERROR(INDEX('Sản phẩm'!$G$4:$G$103,MATCH(B254,'Sản phẩm'!$D$4:$D$103,0)),0)</f>
        <v>0</v>
      </c>
      <c r="K254" s="46">
        <f t="array" ref="K254">IFERROR(J254*INDEX('Mẻ sữa'!$N$4:$N$203,MATCH(D254,'Mẻ sữa'!$C$4:$C$203,0)),0)</f>
        <v>0</v>
      </c>
      <c r="L254" s="46">
        <f t="array" ref="L254">IFERROR(INDEX('Sản phẩm'!$I$4:$I$103,MATCH(B254,'Sản phẩm'!$D$4:$D$103,0)),0)</f>
        <v>0</v>
      </c>
      <c r="M254" s="72" t="str">
        <f t="array" ref="M254">IFERROR(INDEX('Sản phẩm'!$J$4:$J$103,MATCH(B254,'Sản phẩm'!$D$4:$D$103,0)),0)</f>
        <v/>
      </c>
      <c r="N254" s="46">
        <f>IF(B254="",0,(K254+L254+M254)*'Thiết lập'!$B$8)</f>
        <v>0</v>
      </c>
      <c r="O254" s="46">
        <f t="shared" si="2"/>
        <v>0</v>
      </c>
      <c r="P254" s="46">
        <f t="shared" si="3"/>
        <v>0</v>
      </c>
      <c r="Q254" s="46">
        <f t="shared" si="4"/>
        <v>0</v>
      </c>
      <c r="R254" s="71" t="str">
        <f t="array" ref="R254">IF(B254="","",INDEX('Bán nhanh'!$C$4:$C$103,INT((ROW()-4)/10)+1))</f>
        <v/>
      </c>
      <c r="S254" s="71" t="str">
        <f t="array" ref="S254">IF(B254="","",INDEX('Bán nhanh'!$P$4:$P$103,INT((ROW()-4)/10)+1))</f>
        <v/>
      </c>
      <c r="T254" s="58"/>
      <c r="U254" s="36"/>
      <c r="V254" s="36"/>
      <c r="W254" s="58"/>
      <c r="X254" s="36"/>
      <c r="Y254" s="36"/>
      <c r="Z254" s="36"/>
    </row>
    <row r="255" ht="15.75" customHeight="1">
      <c r="A255" s="70" t="str">
        <f t="array" ref="A255">IF(B255="","",INDEX('Bán nhanh'!$A$4:$A$103,INT((ROW()-4)/10)+1))</f>
        <v/>
      </c>
      <c r="B255" s="71" t="str">
        <f t="array" ref="B255">IF(OR(INDEX('Bán nhanh'!$D$3:$M$3,1,MOD(ROW()-4,10)+1)="",INDEX('Bán nhanh'!$D$4:$M$103,INT((ROW()-4)/10)+1,MOD(ROW()-4,10)+1)&lt;=0),"",INDEX('Bán nhanh'!$D$3:$M$3,1,MOD(ROW()-4,10)+1))</f>
        <v/>
      </c>
      <c r="C255" s="58" t="str">
        <f t="array" ref="C255">IFERROR(INDEX('Sản phẩm'!$A$4:$A$103,MATCH(B255,'Sản phẩm'!$D$4:$D$103,0)),"")</f>
        <v/>
      </c>
      <c r="D255" s="71" t="str">
        <f t="array" ref="D255">IF(B255="","",INDEX('Bán nhanh'!$B$4:$B$103,INT((ROW()-4)/10)+1))</f>
        <v/>
      </c>
      <c r="E255" s="58" t="str">
        <f t="array" ref="E255">IFERROR(INDEX('Mẻ sữa'!$B$4:$B$203,MATCH(D255,'Mẻ sữa'!$C$4:$C$203,0)),"")</f>
        <v/>
      </c>
      <c r="F255" s="66">
        <f t="array" ref="F255">IF(B255="",0,INDEX('Bán nhanh'!$D$4:$M$103,INT((ROW()-4)/10)+1,MOD(ROW()-4,10)+1))</f>
        <v>0</v>
      </c>
      <c r="G255" s="46">
        <f t="array" ref="G255">IFERROR(INDEX('Sản phẩm'!$F$4:$F$103,MATCH(B255,'Sản phẩm'!$D$4:$D$103,0)),0)</f>
        <v>0</v>
      </c>
      <c r="H255" s="67">
        <f t="shared" si="5"/>
        <v>0</v>
      </c>
      <c r="I255" s="46">
        <f t="shared" si="1"/>
        <v>0</v>
      </c>
      <c r="J255" s="46">
        <f t="array" ref="J255">IFERROR(INDEX('Sản phẩm'!$G$4:$G$103,MATCH(B255,'Sản phẩm'!$D$4:$D$103,0)),0)</f>
        <v>0</v>
      </c>
      <c r="K255" s="46">
        <f t="array" ref="K255">IFERROR(J255*INDEX('Mẻ sữa'!$N$4:$N$203,MATCH(D255,'Mẻ sữa'!$C$4:$C$203,0)),0)</f>
        <v>0</v>
      </c>
      <c r="L255" s="46">
        <f t="array" ref="L255">IFERROR(INDEX('Sản phẩm'!$I$4:$I$103,MATCH(B255,'Sản phẩm'!$D$4:$D$103,0)),0)</f>
        <v>0</v>
      </c>
      <c r="M255" s="72" t="str">
        <f t="array" ref="M255">IFERROR(INDEX('Sản phẩm'!$J$4:$J$103,MATCH(B255,'Sản phẩm'!$D$4:$D$103,0)),0)</f>
        <v/>
      </c>
      <c r="N255" s="46">
        <f>IF(B255="",0,(K255+L255+M255)*'Thiết lập'!$B$8)</f>
        <v>0</v>
      </c>
      <c r="O255" s="46">
        <f t="shared" si="2"/>
        <v>0</v>
      </c>
      <c r="P255" s="46">
        <f t="shared" si="3"/>
        <v>0</v>
      </c>
      <c r="Q255" s="46">
        <f t="shared" si="4"/>
        <v>0</v>
      </c>
      <c r="R255" s="71" t="str">
        <f t="array" ref="R255">IF(B255="","",INDEX('Bán nhanh'!$C$4:$C$103,INT((ROW()-4)/10)+1))</f>
        <v/>
      </c>
      <c r="S255" s="71" t="str">
        <f t="array" ref="S255">IF(B255="","",INDEX('Bán nhanh'!$P$4:$P$103,INT((ROW()-4)/10)+1))</f>
        <v/>
      </c>
      <c r="T255" s="58"/>
      <c r="U255" s="36"/>
      <c r="V255" s="36"/>
      <c r="W255" s="58"/>
      <c r="X255" s="36"/>
      <c r="Y255" s="36"/>
      <c r="Z255" s="36"/>
    </row>
    <row r="256" ht="15.75" customHeight="1">
      <c r="A256" s="70" t="str">
        <f t="array" ref="A256">IF(B256="","",INDEX('Bán nhanh'!$A$4:$A$103,INT((ROW()-4)/10)+1))</f>
        <v/>
      </c>
      <c r="B256" s="71" t="str">
        <f t="array" ref="B256">IF(OR(INDEX('Bán nhanh'!$D$3:$M$3,1,MOD(ROW()-4,10)+1)="",INDEX('Bán nhanh'!$D$4:$M$103,INT((ROW()-4)/10)+1,MOD(ROW()-4,10)+1)&lt;=0),"",INDEX('Bán nhanh'!$D$3:$M$3,1,MOD(ROW()-4,10)+1))</f>
        <v/>
      </c>
      <c r="C256" s="58" t="str">
        <f t="array" ref="C256">IFERROR(INDEX('Sản phẩm'!$A$4:$A$103,MATCH(B256,'Sản phẩm'!$D$4:$D$103,0)),"")</f>
        <v/>
      </c>
      <c r="D256" s="71" t="str">
        <f t="array" ref="D256">IF(B256="","",INDEX('Bán nhanh'!$B$4:$B$103,INT((ROW()-4)/10)+1))</f>
        <v/>
      </c>
      <c r="E256" s="58" t="str">
        <f t="array" ref="E256">IFERROR(INDEX('Mẻ sữa'!$B$4:$B$203,MATCH(D256,'Mẻ sữa'!$C$4:$C$203,0)),"")</f>
        <v/>
      </c>
      <c r="F256" s="66">
        <f t="array" ref="F256">IF(B256="",0,INDEX('Bán nhanh'!$D$4:$M$103,INT((ROW()-4)/10)+1,MOD(ROW()-4,10)+1))</f>
        <v>0</v>
      </c>
      <c r="G256" s="46">
        <f t="array" ref="G256">IFERROR(INDEX('Sản phẩm'!$F$4:$F$103,MATCH(B256,'Sản phẩm'!$D$4:$D$103,0)),0)</f>
        <v>0</v>
      </c>
      <c r="H256" s="67">
        <f t="shared" si="5"/>
        <v>0</v>
      </c>
      <c r="I256" s="46">
        <f t="shared" si="1"/>
        <v>0</v>
      </c>
      <c r="J256" s="46">
        <f t="array" ref="J256">IFERROR(INDEX('Sản phẩm'!$G$4:$G$103,MATCH(B256,'Sản phẩm'!$D$4:$D$103,0)),0)</f>
        <v>0</v>
      </c>
      <c r="K256" s="46">
        <f t="array" ref="K256">IFERROR(J256*INDEX('Mẻ sữa'!$N$4:$N$203,MATCH(D256,'Mẻ sữa'!$C$4:$C$203,0)),0)</f>
        <v>0</v>
      </c>
      <c r="L256" s="46">
        <f t="array" ref="L256">IFERROR(INDEX('Sản phẩm'!$I$4:$I$103,MATCH(B256,'Sản phẩm'!$D$4:$D$103,0)),0)</f>
        <v>0</v>
      </c>
      <c r="M256" s="72" t="str">
        <f t="array" ref="M256">IFERROR(INDEX('Sản phẩm'!$J$4:$J$103,MATCH(B256,'Sản phẩm'!$D$4:$D$103,0)),0)</f>
        <v/>
      </c>
      <c r="N256" s="46">
        <f>IF(B256="",0,(K256+L256+M256)*'Thiết lập'!$B$8)</f>
        <v>0</v>
      </c>
      <c r="O256" s="46">
        <f t="shared" si="2"/>
        <v>0</v>
      </c>
      <c r="P256" s="46">
        <f t="shared" si="3"/>
        <v>0</v>
      </c>
      <c r="Q256" s="46">
        <f t="shared" si="4"/>
        <v>0</v>
      </c>
      <c r="R256" s="71" t="str">
        <f t="array" ref="R256">IF(B256="","",INDEX('Bán nhanh'!$C$4:$C$103,INT((ROW()-4)/10)+1))</f>
        <v/>
      </c>
      <c r="S256" s="71" t="str">
        <f t="array" ref="S256">IF(B256="","",INDEX('Bán nhanh'!$P$4:$P$103,INT((ROW()-4)/10)+1))</f>
        <v/>
      </c>
      <c r="T256" s="58"/>
      <c r="U256" s="36"/>
      <c r="V256" s="36"/>
      <c r="W256" s="58"/>
      <c r="X256" s="36"/>
      <c r="Y256" s="36"/>
      <c r="Z256" s="36"/>
    </row>
    <row r="257" ht="15.75" customHeight="1">
      <c r="A257" s="70" t="str">
        <f t="array" ref="A257">IF(B257="","",INDEX('Bán nhanh'!$A$4:$A$103,INT((ROW()-4)/10)+1))</f>
        <v/>
      </c>
      <c r="B257" s="71" t="str">
        <f t="array" ref="B257">IF(OR(INDEX('Bán nhanh'!$D$3:$M$3,1,MOD(ROW()-4,10)+1)="",INDEX('Bán nhanh'!$D$4:$M$103,INT((ROW()-4)/10)+1,MOD(ROW()-4,10)+1)&lt;=0),"",INDEX('Bán nhanh'!$D$3:$M$3,1,MOD(ROW()-4,10)+1))</f>
        <v/>
      </c>
      <c r="C257" s="58" t="str">
        <f t="array" ref="C257">IFERROR(INDEX('Sản phẩm'!$A$4:$A$103,MATCH(B257,'Sản phẩm'!$D$4:$D$103,0)),"")</f>
        <v/>
      </c>
      <c r="D257" s="71" t="str">
        <f t="array" ref="D257">IF(B257="","",INDEX('Bán nhanh'!$B$4:$B$103,INT((ROW()-4)/10)+1))</f>
        <v/>
      </c>
      <c r="E257" s="58" t="str">
        <f t="array" ref="E257">IFERROR(INDEX('Mẻ sữa'!$B$4:$B$203,MATCH(D257,'Mẻ sữa'!$C$4:$C$203,0)),"")</f>
        <v/>
      </c>
      <c r="F257" s="66">
        <f t="array" ref="F257">IF(B257="",0,INDEX('Bán nhanh'!$D$4:$M$103,INT((ROW()-4)/10)+1,MOD(ROW()-4,10)+1))</f>
        <v>0</v>
      </c>
      <c r="G257" s="46">
        <f t="array" ref="G257">IFERROR(INDEX('Sản phẩm'!$F$4:$F$103,MATCH(B257,'Sản phẩm'!$D$4:$D$103,0)),0)</f>
        <v>0</v>
      </c>
      <c r="H257" s="67">
        <f t="shared" si="5"/>
        <v>0</v>
      </c>
      <c r="I257" s="46">
        <f t="shared" si="1"/>
        <v>0</v>
      </c>
      <c r="J257" s="46">
        <f t="array" ref="J257">IFERROR(INDEX('Sản phẩm'!$G$4:$G$103,MATCH(B257,'Sản phẩm'!$D$4:$D$103,0)),0)</f>
        <v>0</v>
      </c>
      <c r="K257" s="46">
        <f t="array" ref="K257">IFERROR(J257*INDEX('Mẻ sữa'!$N$4:$N$203,MATCH(D257,'Mẻ sữa'!$C$4:$C$203,0)),0)</f>
        <v>0</v>
      </c>
      <c r="L257" s="46">
        <f t="array" ref="L257">IFERROR(INDEX('Sản phẩm'!$I$4:$I$103,MATCH(B257,'Sản phẩm'!$D$4:$D$103,0)),0)</f>
        <v>0</v>
      </c>
      <c r="M257" s="72" t="str">
        <f t="array" ref="M257">IFERROR(INDEX('Sản phẩm'!$J$4:$J$103,MATCH(B257,'Sản phẩm'!$D$4:$D$103,0)),0)</f>
        <v/>
      </c>
      <c r="N257" s="46">
        <f>IF(B257="",0,(K257+L257+M257)*'Thiết lập'!$B$8)</f>
        <v>0</v>
      </c>
      <c r="O257" s="46">
        <f t="shared" si="2"/>
        <v>0</v>
      </c>
      <c r="P257" s="46">
        <f t="shared" si="3"/>
        <v>0</v>
      </c>
      <c r="Q257" s="46">
        <f t="shared" si="4"/>
        <v>0</v>
      </c>
      <c r="R257" s="71" t="str">
        <f t="array" ref="R257">IF(B257="","",INDEX('Bán nhanh'!$C$4:$C$103,INT((ROW()-4)/10)+1))</f>
        <v/>
      </c>
      <c r="S257" s="71" t="str">
        <f t="array" ref="S257">IF(B257="","",INDEX('Bán nhanh'!$P$4:$P$103,INT((ROW()-4)/10)+1))</f>
        <v/>
      </c>
      <c r="T257" s="58"/>
      <c r="U257" s="36"/>
      <c r="V257" s="36"/>
      <c r="W257" s="58"/>
      <c r="X257" s="36"/>
      <c r="Y257" s="36"/>
      <c r="Z257" s="36"/>
    </row>
    <row r="258" ht="15.75" customHeight="1">
      <c r="A258" s="70" t="str">
        <f t="array" ref="A258">IF(B258="","",INDEX('Bán nhanh'!$A$4:$A$103,INT((ROW()-4)/10)+1))</f>
        <v/>
      </c>
      <c r="B258" s="71" t="str">
        <f t="array" ref="B258">IF(OR(INDEX('Bán nhanh'!$D$3:$M$3,1,MOD(ROW()-4,10)+1)="",INDEX('Bán nhanh'!$D$4:$M$103,INT((ROW()-4)/10)+1,MOD(ROW()-4,10)+1)&lt;=0),"",INDEX('Bán nhanh'!$D$3:$M$3,1,MOD(ROW()-4,10)+1))</f>
        <v/>
      </c>
      <c r="C258" s="58" t="str">
        <f t="array" ref="C258">IFERROR(INDEX('Sản phẩm'!$A$4:$A$103,MATCH(B258,'Sản phẩm'!$D$4:$D$103,0)),"")</f>
        <v/>
      </c>
      <c r="D258" s="71" t="str">
        <f t="array" ref="D258">IF(B258="","",INDEX('Bán nhanh'!$B$4:$B$103,INT((ROW()-4)/10)+1))</f>
        <v/>
      </c>
      <c r="E258" s="58" t="str">
        <f t="array" ref="E258">IFERROR(INDEX('Mẻ sữa'!$B$4:$B$203,MATCH(D258,'Mẻ sữa'!$C$4:$C$203,0)),"")</f>
        <v/>
      </c>
      <c r="F258" s="66">
        <f t="array" ref="F258">IF(B258="",0,INDEX('Bán nhanh'!$D$4:$M$103,INT((ROW()-4)/10)+1,MOD(ROW()-4,10)+1))</f>
        <v>0</v>
      </c>
      <c r="G258" s="46">
        <f t="array" ref="G258">IFERROR(INDEX('Sản phẩm'!$F$4:$F$103,MATCH(B258,'Sản phẩm'!$D$4:$D$103,0)),0)</f>
        <v>0</v>
      </c>
      <c r="H258" s="67">
        <f t="shared" si="5"/>
        <v>0</v>
      </c>
      <c r="I258" s="46">
        <f t="shared" si="1"/>
        <v>0</v>
      </c>
      <c r="J258" s="46">
        <f t="array" ref="J258">IFERROR(INDEX('Sản phẩm'!$G$4:$G$103,MATCH(B258,'Sản phẩm'!$D$4:$D$103,0)),0)</f>
        <v>0</v>
      </c>
      <c r="K258" s="46">
        <f t="array" ref="K258">IFERROR(J258*INDEX('Mẻ sữa'!$N$4:$N$203,MATCH(D258,'Mẻ sữa'!$C$4:$C$203,0)),0)</f>
        <v>0</v>
      </c>
      <c r="L258" s="46">
        <f t="array" ref="L258">IFERROR(INDEX('Sản phẩm'!$I$4:$I$103,MATCH(B258,'Sản phẩm'!$D$4:$D$103,0)),0)</f>
        <v>0</v>
      </c>
      <c r="M258" s="72" t="str">
        <f t="array" ref="M258">IFERROR(INDEX('Sản phẩm'!$J$4:$J$103,MATCH(B258,'Sản phẩm'!$D$4:$D$103,0)),0)</f>
        <v/>
      </c>
      <c r="N258" s="46">
        <f>IF(B258="",0,(K258+L258+M258)*'Thiết lập'!$B$8)</f>
        <v>0</v>
      </c>
      <c r="O258" s="46">
        <f t="shared" si="2"/>
        <v>0</v>
      </c>
      <c r="P258" s="46">
        <f t="shared" si="3"/>
        <v>0</v>
      </c>
      <c r="Q258" s="46">
        <f t="shared" si="4"/>
        <v>0</v>
      </c>
      <c r="R258" s="71" t="str">
        <f t="array" ref="R258">IF(B258="","",INDEX('Bán nhanh'!$C$4:$C$103,INT((ROW()-4)/10)+1))</f>
        <v/>
      </c>
      <c r="S258" s="71" t="str">
        <f t="array" ref="S258">IF(B258="","",INDEX('Bán nhanh'!$P$4:$P$103,INT((ROW()-4)/10)+1))</f>
        <v/>
      </c>
      <c r="T258" s="58"/>
      <c r="U258" s="36"/>
      <c r="V258" s="36"/>
      <c r="W258" s="58"/>
      <c r="X258" s="36"/>
      <c r="Y258" s="36"/>
      <c r="Z258" s="36"/>
    </row>
    <row r="259" ht="15.75" customHeight="1">
      <c r="A259" s="70" t="str">
        <f t="array" ref="A259">IF(B259="","",INDEX('Bán nhanh'!$A$4:$A$103,INT((ROW()-4)/10)+1))</f>
        <v/>
      </c>
      <c r="B259" s="71" t="str">
        <f t="array" ref="B259">IF(OR(INDEX('Bán nhanh'!$D$3:$M$3,1,MOD(ROW()-4,10)+1)="",INDEX('Bán nhanh'!$D$4:$M$103,INT((ROW()-4)/10)+1,MOD(ROW()-4,10)+1)&lt;=0),"",INDEX('Bán nhanh'!$D$3:$M$3,1,MOD(ROW()-4,10)+1))</f>
        <v/>
      </c>
      <c r="C259" s="58" t="str">
        <f t="array" ref="C259">IFERROR(INDEX('Sản phẩm'!$A$4:$A$103,MATCH(B259,'Sản phẩm'!$D$4:$D$103,0)),"")</f>
        <v/>
      </c>
      <c r="D259" s="71" t="str">
        <f t="array" ref="D259">IF(B259="","",INDEX('Bán nhanh'!$B$4:$B$103,INT((ROW()-4)/10)+1))</f>
        <v/>
      </c>
      <c r="E259" s="58" t="str">
        <f t="array" ref="E259">IFERROR(INDEX('Mẻ sữa'!$B$4:$B$203,MATCH(D259,'Mẻ sữa'!$C$4:$C$203,0)),"")</f>
        <v/>
      </c>
      <c r="F259" s="66">
        <f t="array" ref="F259">IF(B259="",0,INDEX('Bán nhanh'!$D$4:$M$103,INT((ROW()-4)/10)+1,MOD(ROW()-4,10)+1))</f>
        <v>0</v>
      </c>
      <c r="G259" s="46">
        <f t="array" ref="G259">IFERROR(INDEX('Sản phẩm'!$F$4:$F$103,MATCH(B259,'Sản phẩm'!$D$4:$D$103,0)),0)</f>
        <v>0</v>
      </c>
      <c r="H259" s="67">
        <f t="shared" si="5"/>
        <v>0</v>
      </c>
      <c r="I259" s="46">
        <f t="shared" si="1"/>
        <v>0</v>
      </c>
      <c r="J259" s="46">
        <f t="array" ref="J259">IFERROR(INDEX('Sản phẩm'!$G$4:$G$103,MATCH(B259,'Sản phẩm'!$D$4:$D$103,0)),0)</f>
        <v>0</v>
      </c>
      <c r="K259" s="46">
        <f t="array" ref="K259">IFERROR(J259*INDEX('Mẻ sữa'!$N$4:$N$203,MATCH(D259,'Mẻ sữa'!$C$4:$C$203,0)),0)</f>
        <v>0</v>
      </c>
      <c r="L259" s="46">
        <f t="array" ref="L259">IFERROR(INDEX('Sản phẩm'!$I$4:$I$103,MATCH(B259,'Sản phẩm'!$D$4:$D$103,0)),0)</f>
        <v>0</v>
      </c>
      <c r="M259" s="72" t="str">
        <f t="array" ref="M259">IFERROR(INDEX('Sản phẩm'!$J$4:$J$103,MATCH(B259,'Sản phẩm'!$D$4:$D$103,0)),0)</f>
        <v/>
      </c>
      <c r="N259" s="46">
        <f>IF(B259="",0,(K259+L259+M259)*'Thiết lập'!$B$8)</f>
        <v>0</v>
      </c>
      <c r="O259" s="46">
        <f t="shared" si="2"/>
        <v>0</v>
      </c>
      <c r="P259" s="46">
        <f t="shared" si="3"/>
        <v>0</v>
      </c>
      <c r="Q259" s="46">
        <f t="shared" si="4"/>
        <v>0</v>
      </c>
      <c r="R259" s="71" t="str">
        <f t="array" ref="R259">IF(B259="","",INDEX('Bán nhanh'!$C$4:$C$103,INT((ROW()-4)/10)+1))</f>
        <v/>
      </c>
      <c r="S259" s="71" t="str">
        <f t="array" ref="S259">IF(B259="","",INDEX('Bán nhanh'!$P$4:$P$103,INT((ROW()-4)/10)+1))</f>
        <v/>
      </c>
      <c r="T259" s="58"/>
      <c r="U259" s="36"/>
      <c r="V259" s="36"/>
      <c r="W259" s="58"/>
      <c r="X259" s="36"/>
      <c r="Y259" s="36"/>
      <c r="Z259" s="36"/>
    </row>
    <row r="260" ht="15.75" customHeight="1">
      <c r="A260" s="70" t="str">
        <f t="array" ref="A260">IF(B260="","",INDEX('Bán nhanh'!$A$4:$A$103,INT((ROW()-4)/10)+1))</f>
        <v/>
      </c>
      <c r="B260" s="71" t="str">
        <f t="array" ref="B260">IF(OR(INDEX('Bán nhanh'!$D$3:$M$3,1,MOD(ROW()-4,10)+1)="",INDEX('Bán nhanh'!$D$4:$M$103,INT((ROW()-4)/10)+1,MOD(ROW()-4,10)+1)&lt;=0),"",INDEX('Bán nhanh'!$D$3:$M$3,1,MOD(ROW()-4,10)+1))</f>
        <v/>
      </c>
      <c r="C260" s="58" t="str">
        <f t="array" ref="C260">IFERROR(INDEX('Sản phẩm'!$A$4:$A$103,MATCH(B260,'Sản phẩm'!$D$4:$D$103,0)),"")</f>
        <v/>
      </c>
      <c r="D260" s="71" t="str">
        <f t="array" ref="D260">IF(B260="","",INDEX('Bán nhanh'!$B$4:$B$103,INT((ROW()-4)/10)+1))</f>
        <v/>
      </c>
      <c r="E260" s="58" t="str">
        <f t="array" ref="E260">IFERROR(INDEX('Mẻ sữa'!$B$4:$B$203,MATCH(D260,'Mẻ sữa'!$C$4:$C$203,0)),"")</f>
        <v/>
      </c>
      <c r="F260" s="66">
        <f t="array" ref="F260">IF(B260="",0,INDEX('Bán nhanh'!$D$4:$M$103,INT((ROW()-4)/10)+1,MOD(ROW()-4,10)+1))</f>
        <v>0</v>
      </c>
      <c r="G260" s="46">
        <f t="array" ref="G260">IFERROR(INDEX('Sản phẩm'!$F$4:$F$103,MATCH(B260,'Sản phẩm'!$D$4:$D$103,0)),0)</f>
        <v>0</v>
      </c>
      <c r="H260" s="67">
        <f t="shared" si="5"/>
        <v>0</v>
      </c>
      <c r="I260" s="46">
        <f t="shared" si="1"/>
        <v>0</v>
      </c>
      <c r="J260" s="46">
        <f t="array" ref="J260">IFERROR(INDEX('Sản phẩm'!$G$4:$G$103,MATCH(B260,'Sản phẩm'!$D$4:$D$103,0)),0)</f>
        <v>0</v>
      </c>
      <c r="K260" s="46">
        <f t="array" ref="K260">IFERROR(J260*INDEX('Mẻ sữa'!$N$4:$N$203,MATCH(D260,'Mẻ sữa'!$C$4:$C$203,0)),0)</f>
        <v>0</v>
      </c>
      <c r="L260" s="46">
        <f t="array" ref="L260">IFERROR(INDEX('Sản phẩm'!$I$4:$I$103,MATCH(B260,'Sản phẩm'!$D$4:$D$103,0)),0)</f>
        <v>0</v>
      </c>
      <c r="M260" s="72" t="str">
        <f t="array" ref="M260">IFERROR(INDEX('Sản phẩm'!$J$4:$J$103,MATCH(B260,'Sản phẩm'!$D$4:$D$103,0)),0)</f>
        <v/>
      </c>
      <c r="N260" s="46">
        <f>IF(B260="",0,(K260+L260+M260)*'Thiết lập'!$B$8)</f>
        <v>0</v>
      </c>
      <c r="O260" s="46">
        <f t="shared" si="2"/>
        <v>0</v>
      </c>
      <c r="P260" s="46">
        <f t="shared" si="3"/>
        <v>0</v>
      </c>
      <c r="Q260" s="46">
        <f t="shared" si="4"/>
        <v>0</v>
      </c>
      <c r="R260" s="71" t="str">
        <f t="array" ref="R260">IF(B260="","",INDEX('Bán nhanh'!$C$4:$C$103,INT((ROW()-4)/10)+1))</f>
        <v/>
      </c>
      <c r="S260" s="71" t="str">
        <f t="array" ref="S260">IF(B260="","",INDEX('Bán nhanh'!$P$4:$P$103,INT((ROW()-4)/10)+1))</f>
        <v/>
      </c>
      <c r="T260" s="58"/>
      <c r="U260" s="36"/>
      <c r="V260" s="36"/>
      <c r="W260" s="58"/>
      <c r="X260" s="36"/>
      <c r="Y260" s="36"/>
      <c r="Z260" s="36"/>
    </row>
    <row r="261" ht="15.75" customHeight="1">
      <c r="A261" s="70" t="str">
        <f t="array" ref="A261">IF(B261="","",INDEX('Bán nhanh'!$A$4:$A$103,INT((ROW()-4)/10)+1))</f>
        <v/>
      </c>
      <c r="B261" s="71" t="str">
        <f t="array" ref="B261">IF(OR(INDEX('Bán nhanh'!$D$3:$M$3,1,MOD(ROW()-4,10)+1)="",INDEX('Bán nhanh'!$D$4:$M$103,INT((ROW()-4)/10)+1,MOD(ROW()-4,10)+1)&lt;=0),"",INDEX('Bán nhanh'!$D$3:$M$3,1,MOD(ROW()-4,10)+1))</f>
        <v/>
      </c>
      <c r="C261" s="58" t="str">
        <f t="array" ref="C261">IFERROR(INDEX('Sản phẩm'!$A$4:$A$103,MATCH(B261,'Sản phẩm'!$D$4:$D$103,0)),"")</f>
        <v/>
      </c>
      <c r="D261" s="71" t="str">
        <f t="array" ref="D261">IF(B261="","",INDEX('Bán nhanh'!$B$4:$B$103,INT((ROW()-4)/10)+1))</f>
        <v/>
      </c>
      <c r="E261" s="58" t="str">
        <f t="array" ref="E261">IFERROR(INDEX('Mẻ sữa'!$B$4:$B$203,MATCH(D261,'Mẻ sữa'!$C$4:$C$203,0)),"")</f>
        <v/>
      </c>
      <c r="F261" s="66">
        <f t="array" ref="F261">IF(B261="",0,INDEX('Bán nhanh'!$D$4:$M$103,INT((ROW()-4)/10)+1,MOD(ROW()-4,10)+1))</f>
        <v>0</v>
      </c>
      <c r="G261" s="46">
        <f t="array" ref="G261">IFERROR(INDEX('Sản phẩm'!$F$4:$F$103,MATCH(B261,'Sản phẩm'!$D$4:$D$103,0)),0)</f>
        <v>0</v>
      </c>
      <c r="H261" s="67">
        <f t="shared" si="5"/>
        <v>0</v>
      </c>
      <c r="I261" s="46">
        <f t="shared" si="1"/>
        <v>0</v>
      </c>
      <c r="J261" s="46">
        <f t="array" ref="J261">IFERROR(INDEX('Sản phẩm'!$G$4:$G$103,MATCH(B261,'Sản phẩm'!$D$4:$D$103,0)),0)</f>
        <v>0</v>
      </c>
      <c r="K261" s="46">
        <f t="array" ref="K261">IFERROR(J261*INDEX('Mẻ sữa'!$N$4:$N$203,MATCH(D261,'Mẻ sữa'!$C$4:$C$203,0)),0)</f>
        <v>0</v>
      </c>
      <c r="L261" s="46">
        <f t="array" ref="L261">IFERROR(INDEX('Sản phẩm'!$I$4:$I$103,MATCH(B261,'Sản phẩm'!$D$4:$D$103,0)),0)</f>
        <v>0</v>
      </c>
      <c r="M261" s="72" t="str">
        <f t="array" ref="M261">IFERROR(INDEX('Sản phẩm'!$J$4:$J$103,MATCH(B261,'Sản phẩm'!$D$4:$D$103,0)),0)</f>
        <v/>
      </c>
      <c r="N261" s="46">
        <f>IF(B261="",0,(K261+L261+M261)*'Thiết lập'!$B$8)</f>
        <v>0</v>
      </c>
      <c r="O261" s="46">
        <f t="shared" si="2"/>
        <v>0</v>
      </c>
      <c r="P261" s="46">
        <f t="shared" si="3"/>
        <v>0</v>
      </c>
      <c r="Q261" s="46">
        <f t="shared" si="4"/>
        <v>0</v>
      </c>
      <c r="R261" s="71" t="str">
        <f t="array" ref="R261">IF(B261="","",INDEX('Bán nhanh'!$C$4:$C$103,INT((ROW()-4)/10)+1))</f>
        <v/>
      </c>
      <c r="S261" s="71" t="str">
        <f t="array" ref="S261">IF(B261="","",INDEX('Bán nhanh'!$P$4:$P$103,INT((ROW()-4)/10)+1))</f>
        <v/>
      </c>
      <c r="T261" s="58"/>
      <c r="U261" s="36"/>
      <c r="V261" s="36"/>
      <c r="W261" s="58"/>
      <c r="X261" s="36"/>
      <c r="Y261" s="36"/>
      <c r="Z261" s="36"/>
    </row>
    <row r="262" ht="15.75" customHeight="1">
      <c r="A262" s="70" t="str">
        <f t="array" ref="A262">IF(B262="","",INDEX('Bán nhanh'!$A$4:$A$103,INT((ROW()-4)/10)+1))</f>
        <v/>
      </c>
      <c r="B262" s="71" t="str">
        <f t="array" ref="B262">IF(OR(INDEX('Bán nhanh'!$D$3:$M$3,1,MOD(ROW()-4,10)+1)="",INDEX('Bán nhanh'!$D$4:$M$103,INT((ROW()-4)/10)+1,MOD(ROW()-4,10)+1)&lt;=0),"",INDEX('Bán nhanh'!$D$3:$M$3,1,MOD(ROW()-4,10)+1))</f>
        <v/>
      </c>
      <c r="C262" s="58" t="str">
        <f t="array" ref="C262">IFERROR(INDEX('Sản phẩm'!$A$4:$A$103,MATCH(B262,'Sản phẩm'!$D$4:$D$103,0)),"")</f>
        <v/>
      </c>
      <c r="D262" s="71" t="str">
        <f t="array" ref="D262">IF(B262="","",INDEX('Bán nhanh'!$B$4:$B$103,INT((ROW()-4)/10)+1))</f>
        <v/>
      </c>
      <c r="E262" s="58" t="str">
        <f t="array" ref="E262">IFERROR(INDEX('Mẻ sữa'!$B$4:$B$203,MATCH(D262,'Mẻ sữa'!$C$4:$C$203,0)),"")</f>
        <v/>
      </c>
      <c r="F262" s="66">
        <f t="array" ref="F262">IF(B262="",0,INDEX('Bán nhanh'!$D$4:$M$103,INT((ROW()-4)/10)+1,MOD(ROW()-4,10)+1))</f>
        <v>0</v>
      </c>
      <c r="G262" s="46">
        <f t="array" ref="G262">IFERROR(INDEX('Sản phẩm'!$F$4:$F$103,MATCH(B262,'Sản phẩm'!$D$4:$D$103,0)),0)</f>
        <v>0</v>
      </c>
      <c r="H262" s="67">
        <f t="shared" si="5"/>
        <v>0</v>
      </c>
      <c r="I262" s="46">
        <f t="shared" si="1"/>
        <v>0</v>
      </c>
      <c r="J262" s="46">
        <f t="array" ref="J262">IFERROR(INDEX('Sản phẩm'!$G$4:$G$103,MATCH(B262,'Sản phẩm'!$D$4:$D$103,0)),0)</f>
        <v>0</v>
      </c>
      <c r="K262" s="46">
        <f t="array" ref="K262">IFERROR(J262*INDEX('Mẻ sữa'!$N$4:$N$203,MATCH(D262,'Mẻ sữa'!$C$4:$C$203,0)),0)</f>
        <v>0</v>
      </c>
      <c r="L262" s="46">
        <f t="array" ref="L262">IFERROR(INDEX('Sản phẩm'!$I$4:$I$103,MATCH(B262,'Sản phẩm'!$D$4:$D$103,0)),0)</f>
        <v>0</v>
      </c>
      <c r="M262" s="72" t="str">
        <f t="array" ref="M262">IFERROR(INDEX('Sản phẩm'!$J$4:$J$103,MATCH(B262,'Sản phẩm'!$D$4:$D$103,0)),0)</f>
        <v/>
      </c>
      <c r="N262" s="46">
        <f>IF(B262="",0,(K262+L262+M262)*'Thiết lập'!$B$8)</f>
        <v>0</v>
      </c>
      <c r="O262" s="46">
        <f t="shared" si="2"/>
        <v>0</v>
      </c>
      <c r="P262" s="46">
        <f t="shared" si="3"/>
        <v>0</v>
      </c>
      <c r="Q262" s="46">
        <f t="shared" si="4"/>
        <v>0</v>
      </c>
      <c r="R262" s="71" t="str">
        <f t="array" ref="R262">IF(B262="","",INDEX('Bán nhanh'!$C$4:$C$103,INT((ROW()-4)/10)+1))</f>
        <v/>
      </c>
      <c r="S262" s="71" t="str">
        <f t="array" ref="S262">IF(B262="","",INDEX('Bán nhanh'!$P$4:$P$103,INT((ROW()-4)/10)+1))</f>
        <v/>
      </c>
      <c r="T262" s="58"/>
      <c r="U262" s="36"/>
      <c r="V262" s="36"/>
      <c r="W262" s="58"/>
      <c r="X262" s="36"/>
      <c r="Y262" s="36"/>
      <c r="Z262" s="36"/>
    </row>
    <row r="263" ht="15.75" customHeight="1">
      <c r="A263" s="70" t="str">
        <f t="array" ref="A263">IF(B263="","",INDEX('Bán nhanh'!$A$4:$A$103,INT((ROW()-4)/10)+1))</f>
        <v/>
      </c>
      <c r="B263" s="71" t="str">
        <f t="array" ref="B263">IF(OR(INDEX('Bán nhanh'!$D$3:$M$3,1,MOD(ROW()-4,10)+1)="",INDEX('Bán nhanh'!$D$4:$M$103,INT((ROW()-4)/10)+1,MOD(ROW()-4,10)+1)&lt;=0),"",INDEX('Bán nhanh'!$D$3:$M$3,1,MOD(ROW()-4,10)+1))</f>
        <v/>
      </c>
      <c r="C263" s="58" t="str">
        <f t="array" ref="C263">IFERROR(INDEX('Sản phẩm'!$A$4:$A$103,MATCH(B263,'Sản phẩm'!$D$4:$D$103,0)),"")</f>
        <v/>
      </c>
      <c r="D263" s="71" t="str">
        <f t="array" ref="D263">IF(B263="","",INDEX('Bán nhanh'!$B$4:$B$103,INT((ROW()-4)/10)+1))</f>
        <v/>
      </c>
      <c r="E263" s="58" t="str">
        <f t="array" ref="E263">IFERROR(INDEX('Mẻ sữa'!$B$4:$B$203,MATCH(D263,'Mẻ sữa'!$C$4:$C$203,0)),"")</f>
        <v/>
      </c>
      <c r="F263" s="66">
        <f t="array" ref="F263">IF(B263="",0,INDEX('Bán nhanh'!$D$4:$M$103,INT((ROW()-4)/10)+1,MOD(ROW()-4,10)+1))</f>
        <v>0</v>
      </c>
      <c r="G263" s="46">
        <f t="array" ref="G263">IFERROR(INDEX('Sản phẩm'!$F$4:$F$103,MATCH(B263,'Sản phẩm'!$D$4:$D$103,0)),0)</f>
        <v>0</v>
      </c>
      <c r="H263" s="67">
        <f t="shared" si="5"/>
        <v>0</v>
      </c>
      <c r="I263" s="46">
        <f t="shared" si="1"/>
        <v>0</v>
      </c>
      <c r="J263" s="46">
        <f t="array" ref="J263">IFERROR(INDEX('Sản phẩm'!$G$4:$G$103,MATCH(B263,'Sản phẩm'!$D$4:$D$103,0)),0)</f>
        <v>0</v>
      </c>
      <c r="K263" s="46">
        <f t="array" ref="K263">IFERROR(J263*INDEX('Mẻ sữa'!$N$4:$N$203,MATCH(D263,'Mẻ sữa'!$C$4:$C$203,0)),0)</f>
        <v>0</v>
      </c>
      <c r="L263" s="46">
        <f t="array" ref="L263">IFERROR(INDEX('Sản phẩm'!$I$4:$I$103,MATCH(B263,'Sản phẩm'!$D$4:$D$103,0)),0)</f>
        <v>0</v>
      </c>
      <c r="M263" s="72" t="str">
        <f t="array" ref="M263">IFERROR(INDEX('Sản phẩm'!$J$4:$J$103,MATCH(B263,'Sản phẩm'!$D$4:$D$103,0)),0)</f>
        <v/>
      </c>
      <c r="N263" s="46">
        <f>IF(B263="",0,(K263+L263+M263)*'Thiết lập'!$B$8)</f>
        <v>0</v>
      </c>
      <c r="O263" s="46">
        <f t="shared" si="2"/>
        <v>0</v>
      </c>
      <c r="P263" s="46">
        <f t="shared" si="3"/>
        <v>0</v>
      </c>
      <c r="Q263" s="46">
        <f t="shared" si="4"/>
        <v>0</v>
      </c>
      <c r="R263" s="71" t="str">
        <f t="array" ref="R263">IF(B263="","",INDEX('Bán nhanh'!$C$4:$C$103,INT((ROW()-4)/10)+1))</f>
        <v/>
      </c>
      <c r="S263" s="71" t="str">
        <f t="array" ref="S263">IF(B263="","",INDEX('Bán nhanh'!$P$4:$P$103,INT((ROW()-4)/10)+1))</f>
        <v/>
      </c>
      <c r="T263" s="58"/>
      <c r="U263" s="36"/>
      <c r="V263" s="36"/>
      <c r="W263" s="58"/>
      <c r="X263" s="36"/>
      <c r="Y263" s="36"/>
      <c r="Z263" s="36"/>
    </row>
    <row r="264" ht="15.75" customHeight="1">
      <c r="A264" s="70" t="str">
        <f t="array" ref="A264">IF(B264="","",INDEX('Bán nhanh'!$A$4:$A$103,INT((ROW()-4)/10)+1))</f>
        <v/>
      </c>
      <c r="B264" s="71" t="str">
        <f t="array" ref="B264">IF(OR(INDEX('Bán nhanh'!$D$3:$M$3,1,MOD(ROW()-4,10)+1)="",INDEX('Bán nhanh'!$D$4:$M$103,INT((ROW()-4)/10)+1,MOD(ROW()-4,10)+1)&lt;=0),"",INDEX('Bán nhanh'!$D$3:$M$3,1,MOD(ROW()-4,10)+1))</f>
        <v/>
      </c>
      <c r="C264" s="58" t="str">
        <f t="array" ref="C264">IFERROR(INDEX('Sản phẩm'!$A$4:$A$103,MATCH(B264,'Sản phẩm'!$D$4:$D$103,0)),"")</f>
        <v/>
      </c>
      <c r="D264" s="71" t="str">
        <f t="array" ref="D264">IF(B264="","",INDEX('Bán nhanh'!$B$4:$B$103,INT((ROW()-4)/10)+1))</f>
        <v/>
      </c>
      <c r="E264" s="58" t="str">
        <f t="array" ref="E264">IFERROR(INDEX('Mẻ sữa'!$B$4:$B$203,MATCH(D264,'Mẻ sữa'!$C$4:$C$203,0)),"")</f>
        <v/>
      </c>
      <c r="F264" s="66">
        <f t="array" ref="F264">IF(B264="",0,INDEX('Bán nhanh'!$D$4:$M$103,INT((ROW()-4)/10)+1,MOD(ROW()-4,10)+1))</f>
        <v>0</v>
      </c>
      <c r="G264" s="46">
        <f t="array" ref="G264">IFERROR(INDEX('Sản phẩm'!$F$4:$F$103,MATCH(B264,'Sản phẩm'!$D$4:$D$103,0)),0)</f>
        <v>0</v>
      </c>
      <c r="H264" s="67">
        <f t="shared" si="5"/>
        <v>0</v>
      </c>
      <c r="I264" s="46">
        <f t="shared" si="1"/>
        <v>0</v>
      </c>
      <c r="J264" s="46">
        <f t="array" ref="J264">IFERROR(INDEX('Sản phẩm'!$G$4:$G$103,MATCH(B264,'Sản phẩm'!$D$4:$D$103,0)),0)</f>
        <v>0</v>
      </c>
      <c r="K264" s="46">
        <f t="array" ref="K264">IFERROR(J264*INDEX('Mẻ sữa'!$N$4:$N$203,MATCH(D264,'Mẻ sữa'!$C$4:$C$203,0)),0)</f>
        <v>0</v>
      </c>
      <c r="L264" s="46">
        <f t="array" ref="L264">IFERROR(INDEX('Sản phẩm'!$I$4:$I$103,MATCH(B264,'Sản phẩm'!$D$4:$D$103,0)),0)</f>
        <v>0</v>
      </c>
      <c r="M264" s="72" t="str">
        <f t="array" ref="M264">IFERROR(INDEX('Sản phẩm'!$J$4:$J$103,MATCH(B264,'Sản phẩm'!$D$4:$D$103,0)),0)</f>
        <v/>
      </c>
      <c r="N264" s="46">
        <f>IF(B264="",0,(K264+L264+M264)*'Thiết lập'!$B$8)</f>
        <v>0</v>
      </c>
      <c r="O264" s="46">
        <f t="shared" si="2"/>
        <v>0</v>
      </c>
      <c r="P264" s="46">
        <f t="shared" si="3"/>
        <v>0</v>
      </c>
      <c r="Q264" s="46">
        <f t="shared" si="4"/>
        <v>0</v>
      </c>
      <c r="R264" s="71" t="str">
        <f t="array" ref="R264">IF(B264="","",INDEX('Bán nhanh'!$C$4:$C$103,INT((ROW()-4)/10)+1))</f>
        <v/>
      </c>
      <c r="S264" s="71" t="str">
        <f t="array" ref="S264">IF(B264="","",INDEX('Bán nhanh'!$P$4:$P$103,INT((ROW()-4)/10)+1))</f>
        <v/>
      </c>
      <c r="T264" s="58"/>
      <c r="U264" s="36"/>
      <c r="V264" s="36"/>
      <c r="W264" s="58"/>
      <c r="X264" s="36"/>
      <c r="Y264" s="36"/>
      <c r="Z264" s="36"/>
    </row>
    <row r="265" ht="15.75" customHeight="1">
      <c r="A265" s="70" t="str">
        <f t="array" ref="A265">IF(B265="","",INDEX('Bán nhanh'!$A$4:$A$103,INT((ROW()-4)/10)+1))</f>
        <v/>
      </c>
      <c r="B265" s="71" t="str">
        <f t="array" ref="B265">IF(OR(INDEX('Bán nhanh'!$D$3:$M$3,1,MOD(ROW()-4,10)+1)="",INDEX('Bán nhanh'!$D$4:$M$103,INT((ROW()-4)/10)+1,MOD(ROW()-4,10)+1)&lt;=0),"",INDEX('Bán nhanh'!$D$3:$M$3,1,MOD(ROW()-4,10)+1))</f>
        <v/>
      </c>
      <c r="C265" s="58" t="str">
        <f t="array" ref="C265">IFERROR(INDEX('Sản phẩm'!$A$4:$A$103,MATCH(B265,'Sản phẩm'!$D$4:$D$103,0)),"")</f>
        <v/>
      </c>
      <c r="D265" s="71" t="str">
        <f t="array" ref="D265">IF(B265="","",INDEX('Bán nhanh'!$B$4:$B$103,INT((ROW()-4)/10)+1))</f>
        <v/>
      </c>
      <c r="E265" s="58" t="str">
        <f t="array" ref="E265">IFERROR(INDEX('Mẻ sữa'!$B$4:$B$203,MATCH(D265,'Mẻ sữa'!$C$4:$C$203,0)),"")</f>
        <v/>
      </c>
      <c r="F265" s="66">
        <f t="array" ref="F265">IF(B265="",0,INDEX('Bán nhanh'!$D$4:$M$103,INT((ROW()-4)/10)+1,MOD(ROW()-4,10)+1))</f>
        <v>0</v>
      </c>
      <c r="G265" s="46">
        <f t="array" ref="G265">IFERROR(INDEX('Sản phẩm'!$F$4:$F$103,MATCH(B265,'Sản phẩm'!$D$4:$D$103,0)),0)</f>
        <v>0</v>
      </c>
      <c r="H265" s="67">
        <f t="shared" si="5"/>
        <v>0</v>
      </c>
      <c r="I265" s="46">
        <f t="shared" si="1"/>
        <v>0</v>
      </c>
      <c r="J265" s="46">
        <f t="array" ref="J265">IFERROR(INDEX('Sản phẩm'!$G$4:$G$103,MATCH(B265,'Sản phẩm'!$D$4:$D$103,0)),0)</f>
        <v>0</v>
      </c>
      <c r="K265" s="46">
        <f t="array" ref="K265">IFERROR(J265*INDEX('Mẻ sữa'!$N$4:$N$203,MATCH(D265,'Mẻ sữa'!$C$4:$C$203,0)),0)</f>
        <v>0</v>
      </c>
      <c r="L265" s="46">
        <f t="array" ref="L265">IFERROR(INDEX('Sản phẩm'!$I$4:$I$103,MATCH(B265,'Sản phẩm'!$D$4:$D$103,0)),0)</f>
        <v>0</v>
      </c>
      <c r="M265" s="72" t="str">
        <f t="array" ref="M265">IFERROR(INDEX('Sản phẩm'!$J$4:$J$103,MATCH(B265,'Sản phẩm'!$D$4:$D$103,0)),0)</f>
        <v/>
      </c>
      <c r="N265" s="46">
        <f>IF(B265="",0,(K265+L265+M265)*'Thiết lập'!$B$8)</f>
        <v>0</v>
      </c>
      <c r="O265" s="46">
        <f t="shared" si="2"/>
        <v>0</v>
      </c>
      <c r="P265" s="46">
        <f t="shared" si="3"/>
        <v>0</v>
      </c>
      <c r="Q265" s="46">
        <f t="shared" si="4"/>
        <v>0</v>
      </c>
      <c r="R265" s="71" t="str">
        <f t="array" ref="R265">IF(B265="","",INDEX('Bán nhanh'!$C$4:$C$103,INT((ROW()-4)/10)+1))</f>
        <v/>
      </c>
      <c r="S265" s="71" t="str">
        <f t="array" ref="S265">IF(B265="","",INDEX('Bán nhanh'!$P$4:$P$103,INT((ROW()-4)/10)+1))</f>
        <v/>
      </c>
      <c r="T265" s="58"/>
      <c r="U265" s="36"/>
      <c r="V265" s="36"/>
      <c r="W265" s="58"/>
      <c r="X265" s="36"/>
      <c r="Y265" s="36"/>
      <c r="Z265" s="36"/>
    </row>
    <row r="266" ht="15.75" customHeight="1">
      <c r="A266" s="70" t="str">
        <f t="array" ref="A266">IF(B266="","",INDEX('Bán nhanh'!$A$4:$A$103,INT((ROW()-4)/10)+1))</f>
        <v/>
      </c>
      <c r="B266" s="71" t="str">
        <f t="array" ref="B266">IF(OR(INDEX('Bán nhanh'!$D$3:$M$3,1,MOD(ROW()-4,10)+1)="",INDEX('Bán nhanh'!$D$4:$M$103,INT((ROW()-4)/10)+1,MOD(ROW()-4,10)+1)&lt;=0),"",INDEX('Bán nhanh'!$D$3:$M$3,1,MOD(ROW()-4,10)+1))</f>
        <v/>
      </c>
      <c r="C266" s="58" t="str">
        <f t="array" ref="C266">IFERROR(INDEX('Sản phẩm'!$A$4:$A$103,MATCH(B266,'Sản phẩm'!$D$4:$D$103,0)),"")</f>
        <v/>
      </c>
      <c r="D266" s="71" t="str">
        <f t="array" ref="D266">IF(B266="","",INDEX('Bán nhanh'!$B$4:$B$103,INT((ROW()-4)/10)+1))</f>
        <v/>
      </c>
      <c r="E266" s="58" t="str">
        <f t="array" ref="E266">IFERROR(INDEX('Mẻ sữa'!$B$4:$B$203,MATCH(D266,'Mẻ sữa'!$C$4:$C$203,0)),"")</f>
        <v/>
      </c>
      <c r="F266" s="66">
        <f t="array" ref="F266">IF(B266="",0,INDEX('Bán nhanh'!$D$4:$M$103,INT((ROW()-4)/10)+1,MOD(ROW()-4,10)+1))</f>
        <v>0</v>
      </c>
      <c r="G266" s="46">
        <f t="array" ref="G266">IFERROR(INDEX('Sản phẩm'!$F$4:$F$103,MATCH(B266,'Sản phẩm'!$D$4:$D$103,0)),0)</f>
        <v>0</v>
      </c>
      <c r="H266" s="67">
        <f t="shared" si="5"/>
        <v>0</v>
      </c>
      <c r="I266" s="46">
        <f t="shared" si="1"/>
        <v>0</v>
      </c>
      <c r="J266" s="46">
        <f t="array" ref="J266">IFERROR(INDEX('Sản phẩm'!$G$4:$G$103,MATCH(B266,'Sản phẩm'!$D$4:$D$103,0)),0)</f>
        <v>0</v>
      </c>
      <c r="K266" s="46">
        <f t="array" ref="K266">IFERROR(J266*INDEX('Mẻ sữa'!$N$4:$N$203,MATCH(D266,'Mẻ sữa'!$C$4:$C$203,0)),0)</f>
        <v>0</v>
      </c>
      <c r="L266" s="46">
        <f t="array" ref="L266">IFERROR(INDEX('Sản phẩm'!$I$4:$I$103,MATCH(B266,'Sản phẩm'!$D$4:$D$103,0)),0)</f>
        <v>0</v>
      </c>
      <c r="M266" s="72" t="str">
        <f t="array" ref="M266">IFERROR(INDEX('Sản phẩm'!$J$4:$J$103,MATCH(B266,'Sản phẩm'!$D$4:$D$103,0)),0)</f>
        <v/>
      </c>
      <c r="N266" s="46">
        <f>IF(B266="",0,(K266+L266+M266)*'Thiết lập'!$B$8)</f>
        <v>0</v>
      </c>
      <c r="O266" s="46">
        <f t="shared" si="2"/>
        <v>0</v>
      </c>
      <c r="P266" s="46">
        <f t="shared" si="3"/>
        <v>0</v>
      </c>
      <c r="Q266" s="46">
        <f t="shared" si="4"/>
        <v>0</v>
      </c>
      <c r="R266" s="71" t="str">
        <f t="array" ref="R266">IF(B266="","",INDEX('Bán nhanh'!$C$4:$C$103,INT((ROW()-4)/10)+1))</f>
        <v/>
      </c>
      <c r="S266" s="71" t="str">
        <f t="array" ref="S266">IF(B266="","",INDEX('Bán nhanh'!$P$4:$P$103,INT((ROW()-4)/10)+1))</f>
        <v/>
      </c>
      <c r="T266" s="58"/>
      <c r="U266" s="36"/>
      <c r="V266" s="36"/>
      <c r="W266" s="58"/>
      <c r="X266" s="36"/>
      <c r="Y266" s="36"/>
      <c r="Z266" s="36"/>
    </row>
    <row r="267" ht="15.75" customHeight="1">
      <c r="A267" s="70" t="str">
        <f t="array" ref="A267">IF(B267="","",INDEX('Bán nhanh'!$A$4:$A$103,INT((ROW()-4)/10)+1))</f>
        <v/>
      </c>
      <c r="B267" s="71" t="str">
        <f t="array" ref="B267">IF(OR(INDEX('Bán nhanh'!$D$3:$M$3,1,MOD(ROW()-4,10)+1)="",INDEX('Bán nhanh'!$D$4:$M$103,INT((ROW()-4)/10)+1,MOD(ROW()-4,10)+1)&lt;=0),"",INDEX('Bán nhanh'!$D$3:$M$3,1,MOD(ROW()-4,10)+1))</f>
        <v/>
      </c>
      <c r="C267" s="58" t="str">
        <f t="array" ref="C267">IFERROR(INDEX('Sản phẩm'!$A$4:$A$103,MATCH(B267,'Sản phẩm'!$D$4:$D$103,0)),"")</f>
        <v/>
      </c>
      <c r="D267" s="71" t="str">
        <f t="array" ref="D267">IF(B267="","",INDEX('Bán nhanh'!$B$4:$B$103,INT((ROW()-4)/10)+1))</f>
        <v/>
      </c>
      <c r="E267" s="58" t="str">
        <f t="array" ref="E267">IFERROR(INDEX('Mẻ sữa'!$B$4:$B$203,MATCH(D267,'Mẻ sữa'!$C$4:$C$203,0)),"")</f>
        <v/>
      </c>
      <c r="F267" s="66">
        <f t="array" ref="F267">IF(B267="",0,INDEX('Bán nhanh'!$D$4:$M$103,INT((ROW()-4)/10)+1,MOD(ROW()-4,10)+1))</f>
        <v>0</v>
      </c>
      <c r="G267" s="46">
        <f t="array" ref="G267">IFERROR(INDEX('Sản phẩm'!$F$4:$F$103,MATCH(B267,'Sản phẩm'!$D$4:$D$103,0)),0)</f>
        <v>0</v>
      </c>
      <c r="H267" s="67">
        <f t="shared" si="5"/>
        <v>0</v>
      </c>
      <c r="I267" s="46">
        <f t="shared" si="1"/>
        <v>0</v>
      </c>
      <c r="J267" s="46">
        <f t="array" ref="J267">IFERROR(INDEX('Sản phẩm'!$G$4:$G$103,MATCH(B267,'Sản phẩm'!$D$4:$D$103,0)),0)</f>
        <v>0</v>
      </c>
      <c r="K267" s="46">
        <f t="array" ref="K267">IFERROR(J267*INDEX('Mẻ sữa'!$N$4:$N$203,MATCH(D267,'Mẻ sữa'!$C$4:$C$203,0)),0)</f>
        <v>0</v>
      </c>
      <c r="L267" s="46">
        <f t="array" ref="L267">IFERROR(INDEX('Sản phẩm'!$I$4:$I$103,MATCH(B267,'Sản phẩm'!$D$4:$D$103,0)),0)</f>
        <v>0</v>
      </c>
      <c r="M267" s="72" t="str">
        <f t="array" ref="M267">IFERROR(INDEX('Sản phẩm'!$J$4:$J$103,MATCH(B267,'Sản phẩm'!$D$4:$D$103,0)),0)</f>
        <v/>
      </c>
      <c r="N267" s="46">
        <f>IF(B267="",0,(K267+L267+M267)*'Thiết lập'!$B$8)</f>
        <v>0</v>
      </c>
      <c r="O267" s="46">
        <f t="shared" si="2"/>
        <v>0</v>
      </c>
      <c r="P267" s="46">
        <f t="shared" si="3"/>
        <v>0</v>
      </c>
      <c r="Q267" s="46">
        <f t="shared" si="4"/>
        <v>0</v>
      </c>
      <c r="R267" s="71" t="str">
        <f t="array" ref="R267">IF(B267="","",INDEX('Bán nhanh'!$C$4:$C$103,INT((ROW()-4)/10)+1))</f>
        <v/>
      </c>
      <c r="S267" s="71" t="str">
        <f t="array" ref="S267">IF(B267="","",INDEX('Bán nhanh'!$P$4:$P$103,INT((ROW()-4)/10)+1))</f>
        <v/>
      </c>
      <c r="T267" s="58"/>
      <c r="U267" s="36"/>
      <c r="V267" s="36"/>
      <c r="W267" s="58"/>
      <c r="X267" s="36"/>
      <c r="Y267" s="36"/>
      <c r="Z267" s="36"/>
    </row>
    <row r="268" ht="15.75" customHeight="1">
      <c r="A268" s="70" t="str">
        <f t="array" ref="A268">IF(B268="","",INDEX('Bán nhanh'!$A$4:$A$103,INT((ROW()-4)/10)+1))</f>
        <v/>
      </c>
      <c r="B268" s="71" t="str">
        <f t="array" ref="B268">IF(OR(INDEX('Bán nhanh'!$D$3:$M$3,1,MOD(ROW()-4,10)+1)="",INDEX('Bán nhanh'!$D$4:$M$103,INT((ROW()-4)/10)+1,MOD(ROW()-4,10)+1)&lt;=0),"",INDEX('Bán nhanh'!$D$3:$M$3,1,MOD(ROW()-4,10)+1))</f>
        <v/>
      </c>
      <c r="C268" s="58" t="str">
        <f t="array" ref="C268">IFERROR(INDEX('Sản phẩm'!$A$4:$A$103,MATCH(B268,'Sản phẩm'!$D$4:$D$103,0)),"")</f>
        <v/>
      </c>
      <c r="D268" s="71" t="str">
        <f t="array" ref="D268">IF(B268="","",INDEX('Bán nhanh'!$B$4:$B$103,INT((ROW()-4)/10)+1))</f>
        <v/>
      </c>
      <c r="E268" s="58" t="str">
        <f t="array" ref="E268">IFERROR(INDEX('Mẻ sữa'!$B$4:$B$203,MATCH(D268,'Mẻ sữa'!$C$4:$C$203,0)),"")</f>
        <v/>
      </c>
      <c r="F268" s="66">
        <f t="array" ref="F268">IF(B268="",0,INDEX('Bán nhanh'!$D$4:$M$103,INT((ROW()-4)/10)+1,MOD(ROW()-4,10)+1))</f>
        <v>0</v>
      </c>
      <c r="G268" s="46">
        <f t="array" ref="G268">IFERROR(INDEX('Sản phẩm'!$F$4:$F$103,MATCH(B268,'Sản phẩm'!$D$4:$D$103,0)),0)</f>
        <v>0</v>
      </c>
      <c r="H268" s="67">
        <f t="shared" si="5"/>
        <v>0</v>
      </c>
      <c r="I268" s="46">
        <f t="shared" si="1"/>
        <v>0</v>
      </c>
      <c r="J268" s="46">
        <f t="array" ref="J268">IFERROR(INDEX('Sản phẩm'!$G$4:$G$103,MATCH(B268,'Sản phẩm'!$D$4:$D$103,0)),0)</f>
        <v>0</v>
      </c>
      <c r="K268" s="46">
        <f t="array" ref="K268">IFERROR(J268*INDEX('Mẻ sữa'!$N$4:$N$203,MATCH(D268,'Mẻ sữa'!$C$4:$C$203,0)),0)</f>
        <v>0</v>
      </c>
      <c r="L268" s="46">
        <f t="array" ref="L268">IFERROR(INDEX('Sản phẩm'!$I$4:$I$103,MATCH(B268,'Sản phẩm'!$D$4:$D$103,0)),0)</f>
        <v>0</v>
      </c>
      <c r="M268" s="72" t="str">
        <f t="array" ref="M268">IFERROR(INDEX('Sản phẩm'!$J$4:$J$103,MATCH(B268,'Sản phẩm'!$D$4:$D$103,0)),0)</f>
        <v/>
      </c>
      <c r="N268" s="46">
        <f>IF(B268="",0,(K268+L268+M268)*'Thiết lập'!$B$8)</f>
        <v>0</v>
      </c>
      <c r="O268" s="46">
        <f t="shared" si="2"/>
        <v>0</v>
      </c>
      <c r="P268" s="46">
        <f t="shared" si="3"/>
        <v>0</v>
      </c>
      <c r="Q268" s="46">
        <f t="shared" si="4"/>
        <v>0</v>
      </c>
      <c r="R268" s="71" t="str">
        <f t="array" ref="R268">IF(B268="","",INDEX('Bán nhanh'!$C$4:$C$103,INT((ROW()-4)/10)+1))</f>
        <v/>
      </c>
      <c r="S268" s="71" t="str">
        <f t="array" ref="S268">IF(B268="","",INDEX('Bán nhanh'!$P$4:$P$103,INT((ROW()-4)/10)+1))</f>
        <v/>
      </c>
      <c r="T268" s="58"/>
      <c r="U268" s="36"/>
      <c r="V268" s="36"/>
      <c r="W268" s="58"/>
      <c r="X268" s="36"/>
      <c r="Y268" s="36"/>
      <c r="Z268" s="36"/>
    </row>
    <row r="269" ht="15.75" customHeight="1">
      <c r="A269" s="70" t="str">
        <f t="array" ref="A269">IF(B269="","",INDEX('Bán nhanh'!$A$4:$A$103,INT((ROW()-4)/10)+1))</f>
        <v/>
      </c>
      <c r="B269" s="71" t="str">
        <f t="array" ref="B269">IF(OR(INDEX('Bán nhanh'!$D$3:$M$3,1,MOD(ROW()-4,10)+1)="",INDEX('Bán nhanh'!$D$4:$M$103,INT((ROW()-4)/10)+1,MOD(ROW()-4,10)+1)&lt;=0),"",INDEX('Bán nhanh'!$D$3:$M$3,1,MOD(ROW()-4,10)+1))</f>
        <v/>
      </c>
      <c r="C269" s="58" t="str">
        <f t="array" ref="C269">IFERROR(INDEX('Sản phẩm'!$A$4:$A$103,MATCH(B269,'Sản phẩm'!$D$4:$D$103,0)),"")</f>
        <v/>
      </c>
      <c r="D269" s="71" t="str">
        <f t="array" ref="D269">IF(B269="","",INDEX('Bán nhanh'!$B$4:$B$103,INT((ROW()-4)/10)+1))</f>
        <v/>
      </c>
      <c r="E269" s="58" t="str">
        <f t="array" ref="E269">IFERROR(INDEX('Mẻ sữa'!$B$4:$B$203,MATCH(D269,'Mẻ sữa'!$C$4:$C$203,0)),"")</f>
        <v/>
      </c>
      <c r="F269" s="66">
        <f t="array" ref="F269">IF(B269="",0,INDEX('Bán nhanh'!$D$4:$M$103,INT((ROW()-4)/10)+1,MOD(ROW()-4,10)+1))</f>
        <v>0</v>
      </c>
      <c r="G269" s="46">
        <f t="array" ref="G269">IFERROR(INDEX('Sản phẩm'!$F$4:$F$103,MATCH(B269,'Sản phẩm'!$D$4:$D$103,0)),0)</f>
        <v>0</v>
      </c>
      <c r="H269" s="67">
        <f t="shared" si="5"/>
        <v>0</v>
      </c>
      <c r="I269" s="46">
        <f t="shared" si="1"/>
        <v>0</v>
      </c>
      <c r="J269" s="46">
        <f t="array" ref="J269">IFERROR(INDEX('Sản phẩm'!$G$4:$G$103,MATCH(B269,'Sản phẩm'!$D$4:$D$103,0)),0)</f>
        <v>0</v>
      </c>
      <c r="K269" s="46">
        <f t="array" ref="K269">IFERROR(J269*INDEX('Mẻ sữa'!$N$4:$N$203,MATCH(D269,'Mẻ sữa'!$C$4:$C$203,0)),0)</f>
        <v>0</v>
      </c>
      <c r="L269" s="46">
        <f t="array" ref="L269">IFERROR(INDEX('Sản phẩm'!$I$4:$I$103,MATCH(B269,'Sản phẩm'!$D$4:$D$103,0)),0)</f>
        <v>0</v>
      </c>
      <c r="M269" s="72" t="str">
        <f t="array" ref="M269">IFERROR(INDEX('Sản phẩm'!$J$4:$J$103,MATCH(B269,'Sản phẩm'!$D$4:$D$103,0)),0)</f>
        <v/>
      </c>
      <c r="N269" s="46">
        <f>IF(B269="",0,(K269+L269+M269)*'Thiết lập'!$B$8)</f>
        <v>0</v>
      </c>
      <c r="O269" s="46">
        <f t="shared" si="2"/>
        <v>0</v>
      </c>
      <c r="P269" s="46">
        <f t="shared" si="3"/>
        <v>0</v>
      </c>
      <c r="Q269" s="46">
        <f t="shared" si="4"/>
        <v>0</v>
      </c>
      <c r="R269" s="71" t="str">
        <f t="array" ref="R269">IF(B269="","",INDEX('Bán nhanh'!$C$4:$C$103,INT((ROW()-4)/10)+1))</f>
        <v/>
      </c>
      <c r="S269" s="71" t="str">
        <f t="array" ref="S269">IF(B269="","",INDEX('Bán nhanh'!$P$4:$P$103,INT((ROW()-4)/10)+1))</f>
        <v/>
      </c>
      <c r="T269" s="58"/>
      <c r="U269" s="36"/>
      <c r="V269" s="36"/>
      <c r="W269" s="58"/>
      <c r="X269" s="36"/>
      <c r="Y269" s="36"/>
      <c r="Z269" s="36"/>
    </row>
    <row r="270" ht="15.75" customHeight="1">
      <c r="A270" s="70" t="str">
        <f t="array" ref="A270">IF(B270="","",INDEX('Bán nhanh'!$A$4:$A$103,INT((ROW()-4)/10)+1))</f>
        <v/>
      </c>
      <c r="B270" s="71" t="str">
        <f t="array" ref="B270">IF(OR(INDEX('Bán nhanh'!$D$3:$M$3,1,MOD(ROW()-4,10)+1)="",INDEX('Bán nhanh'!$D$4:$M$103,INT((ROW()-4)/10)+1,MOD(ROW()-4,10)+1)&lt;=0),"",INDEX('Bán nhanh'!$D$3:$M$3,1,MOD(ROW()-4,10)+1))</f>
        <v/>
      </c>
      <c r="C270" s="58" t="str">
        <f t="array" ref="C270">IFERROR(INDEX('Sản phẩm'!$A$4:$A$103,MATCH(B270,'Sản phẩm'!$D$4:$D$103,0)),"")</f>
        <v/>
      </c>
      <c r="D270" s="71" t="str">
        <f t="array" ref="D270">IF(B270="","",INDEX('Bán nhanh'!$B$4:$B$103,INT((ROW()-4)/10)+1))</f>
        <v/>
      </c>
      <c r="E270" s="58" t="str">
        <f t="array" ref="E270">IFERROR(INDEX('Mẻ sữa'!$B$4:$B$203,MATCH(D270,'Mẻ sữa'!$C$4:$C$203,0)),"")</f>
        <v/>
      </c>
      <c r="F270" s="66">
        <f t="array" ref="F270">IF(B270="",0,INDEX('Bán nhanh'!$D$4:$M$103,INT((ROW()-4)/10)+1,MOD(ROW()-4,10)+1))</f>
        <v>0</v>
      </c>
      <c r="G270" s="46">
        <f t="array" ref="G270">IFERROR(INDEX('Sản phẩm'!$F$4:$F$103,MATCH(B270,'Sản phẩm'!$D$4:$D$103,0)),0)</f>
        <v>0</v>
      </c>
      <c r="H270" s="67">
        <f t="shared" si="5"/>
        <v>0</v>
      </c>
      <c r="I270" s="46">
        <f t="shared" si="1"/>
        <v>0</v>
      </c>
      <c r="J270" s="46">
        <f t="array" ref="J270">IFERROR(INDEX('Sản phẩm'!$G$4:$G$103,MATCH(B270,'Sản phẩm'!$D$4:$D$103,0)),0)</f>
        <v>0</v>
      </c>
      <c r="K270" s="46">
        <f t="array" ref="K270">IFERROR(J270*INDEX('Mẻ sữa'!$N$4:$N$203,MATCH(D270,'Mẻ sữa'!$C$4:$C$203,0)),0)</f>
        <v>0</v>
      </c>
      <c r="L270" s="46">
        <f t="array" ref="L270">IFERROR(INDEX('Sản phẩm'!$I$4:$I$103,MATCH(B270,'Sản phẩm'!$D$4:$D$103,0)),0)</f>
        <v>0</v>
      </c>
      <c r="M270" s="72" t="str">
        <f t="array" ref="M270">IFERROR(INDEX('Sản phẩm'!$J$4:$J$103,MATCH(B270,'Sản phẩm'!$D$4:$D$103,0)),0)</f>
        <v/>
      </c>
      <c r="N270" s="46">
        <f>IF(B270="",0,(K270+L270+M270)*'Thiết lập'!$B$8)</f>
        <v>0</v>
      </c>
      <c r="O270" s="46">
        <f t="shared" si="2"/>
        <v>0</v>
      </c>
      <c r="P270" s="46">
        <f t="shared" si="3"/>
        <v>0</v>
      </c>
      <c r="Q270" s="46">
        <f t="shared" si="4"/>
        <v>0</v>
      </c>
      <c r="R270" s="71" t="str">
        <f t="array" ref="R270">IF(B270="","",INDEX('Bán nhanh'!$C$4:$C$103,INT((ROW()-4)/10)+1))</f>
        <v/>
      </c>
      <c r="S270" s="71" t="str">
        <f t="array" ref="S270">IF(B270="","",INDEX('Bán nhanh'!$P$4:$P$103,INT((ROW()-4)/10)+1))</f>
        <v/>
      </c>
      <c r="T270" s="58"/>
      <c r="U270" s="36"/>
      <c r="V270" s="36"/>
      <c r="W270" s="58"/>
      <c r="X270" s="36"/>
      <c r="Y270" s="36"/>
      <c r="Z270" s="36"/>
    </row>
    <row r="271" ht="15.75" customHeight="1">
      <c r="A271" s="70" t="str">
        <f t="array" ref="A271">IF(B271="","",INDEX('Bán nhanh'!$A$4:$A$103,INT((ROW()-4)/10)+1))</f>
        <v/>
      </c>
      <c r="B271" s="71" t="str">
        <f t="array" ref="B271">IF(OR(INDEX('Bán nhanh'!$D$3:$M$3,1,MOD(ROW()-4,10)+1)="",INDEX('Bán nhanh'!$D$4:$M$103,INT((ROW()-4)/10)+1,MOD(ROW()-4,10)+1)&lt;=0),"",INDEX('Bán nhanh'!$D$3:$M$3,1,MOD(ROW()-4,10)+1))</f>
        <v/>
      </c>
      <c r="C271" s="58" t="str">
        <f t="array" ref="C271">IFERROR(INDEX('Sản phẩm'!$A$4:$A$103,MATCH(B271,'Sản phẩm'!$D$4:$D$103,0)),"")</f>
        <v/>
      </c>
      <c r="D271" s="71" t="str">
        <f t="array" ref="D271">IF(B271="","",INDEX('Bán nhanh'!$B$4:$B$103,INT((ROW()-4)/10)+1))</f>
        <v/>
      </c>
      <c r="E271" s="58" t="str">
        <f t="array" ref="E271">IFERROR(INDEX('Mẻ sữa'!$B$4:$B$203,MATCH(D271,'Mẻ sữa'!$C$4:$C$203,0)),"")</f>
        <v/>
      </c>
      <c r="F271" s="66">
        <f t="array" ref="F271">IF(B271="",0,INDEX('Bán nhanh'!$D$4:$M$103,INT((ROW()-4)/10)+1,MOD(ROW()-4,10)+1))</f>
        <v>0</v>
      </c>
      <c r="G271" s="46">
        <f t="array" ref="G271">IFERROR(INDEX('Sản phẩm'!$F$4:$F$103,MATCH(B271,'Sản phẩm'!$D$4:$D$103,0)),0)</f>
        <v>0</v>
      </c>
      <c r="H271" s="67">
        <f t="shared" si="5"/>
        <v>0</v>
      </c>
      <c r="I271" s="46">
        <f t="shared" si="1"/>
        <v>0</v>
      </c>
      <c r="J271" s="46">
        <f t="array" ref="J271">IFERROR(INDEX('Sản phẩm'!$G$4:$G$103,MATCH(B271,'Sản phẩm'!$D$4:$D$103,0)),0)</f>
        <v>0</v>
      </c>
      <c r="K271" s="46">
        <f t="array" ref="K271">IFERROR(J271*INDEX('Mẻ sữa'!$N$4:$N$203,MATCH(D271,'Mẻ sữa'!$C$4:$C$203,0)),0)</f>
        <v>0</v>
      </c>
      <c r="L271" s="46">
        <f t="array" ref="L271">IFERROR(INDEX('Sản phẩm'!$I$4:$I$103,MATCH(B271,'Sản phẩm'!$D$4:$D$103,0)),0)</f>
        <v>0</v>
      </c>
      <c r="M271" s="72" t="str">
        <f t="array" ref="M271">IFERROR(INDEX('Sản phẩm'!$J$4:$J$103,MATCH(B271,'Sản phẩm'!$D$4:$D$103,0)),0)</f>
        <v/>
      </c>
      <c r="N271" s="46">
        <f>IF(B271="",0,(K271+L271+M271)*'Thiết lập'!$B$8)</f>
        <v>0</v>
      </c>
      <c r="O271" s="46">
        <f t="shared" si="2"/>
        <v>0</v>
      </c>
      <c r="P271" s="46">
        <f t="shared" si="3"/>
        <v>0</v>
      </c>
      <c r="Q271" s="46">
        <f t="shared" si="4"/>
        <v>0</v>
      </c>
      <c r="R271" s="71" t="str">
        <f t="array" ref="R271">IF(B271="","",INDEX('Bán nhanh'!$C$4:$C$103,INT((ROW()-4)/10)+1))</f>
        <v/>
      </c>
      <c r="S271" s="71" t="str">
        <f t="array" ref="S271">IF(B271="","",INDEX('Bán nhanh'!$P$4:$P$103,INT((ROW()-4)/10)+1))</f>
        <v/>
      </c>
      <c r="T271" s="58"/>
      <c r="U271" s="36"/>
      <c r="V271" s="36"/>
      <c r="W271" s="58"/>
      <c r="X271" s="36"/>
      <c r="Y271" s="36"/>
      <c r="Z271" s="36"/>
    </row>
    <row r="272" ht="15.75" customHeight="1">
      <c r="A272" s="70" t="str">
        <f t="array" ref="A272">IF(B272="","",INDEX('Bán nhanh'!$A$4:$A$103,INT((ROW()-4)/10)+1))</f>
        <v/>
      </c>
      <c r="B272" s="71" t="str">
        <f t="array" ref="B272">IF(OR(INDEX('Bán nhanh'!$D$3:$M$3,1,MOD(ROW()-4,10)+1)="",INDEX('Bán nhanh'!$D$4:$M$103,INT((ROW()-4)/10)+1,MOD(ROW()-4,10)+1)&lt;=0),"",INDEX('Bán nhanh'!$D$3:$M$3,1,MOD(ROW()-4,10)+1))</f>
        <v/>
      </c>
      <c r="C272" s="58" t="str">
        <f t="array" ref="C272">IFERROR(INDEX('Sản phẩm'!$A$4:$A$103,MATCH(B272,'Sản phẩm'!$D$4:$D$103,0)),"")</f>
        <v/>
      </c>
      <c r="D272" s="71" t="str">
        <f t="array" ref="D272">IF(B272="","",INDEX('Bán nhanh'!$B$4:$B$103,INT((ROW()-4)/10)+1))</f>
        <v/>
      </c>
      <c r="E272" s="58" t="str">
        <f t="array" ref="E272">IFERROR(INDEX('Mẻ sữa'!$B$4:$B$203,MATCH(D272,'Mẻ sữa'!$C$4:$C$203,0)),"")</f>
        <v/>
      </c>
      <c r="F272" s="66">
        <f t="array" ref="F272">IF(B272="",0,INDEX('Bán nhanh'!$D$4:$M$103,INT((ROW()-4)/10)+1,MOD(ROW()-4,10)+1))</f>
        <v>0</v>
      </c>
      <c r="G272" s="46">
        <f t="array" ref="G272">IFERROR(INDEX('Sản phẩm'!$F$4:$F$103,MATCH(B272,'Sản phẩm'!$D$4:$D$103,0)),0)</f>
        <v>0</v>
      </c>
      <c r="H272" s="67">
        <f t="shared" si="5"/>
        <v>0</v>
      </c>
      <c r="I272" s="46">
        <f t="shared" si="1"/>
        <v>0</v>
      </c>
      <c r="J272" s="46">
        <f t="array" ref="J272">IFERROR(INDEX('Sản phẩm'!$G$4:$G$103,MATCH(B272,'Sản phẩm'!$D$4:$D$103,0)),0)</f>
        <v>0</v>
      </c>
      <c r="K272" s="46">
        <f t="array" ref="K272">IFERROR(J272*INDEX('Mẻ sữa'!$N$4:$N$203,MATCH(D272,'Mẻ sữa'!$C$4:$C$203,0)),0)</f>
        <v>0</v>
      </c>
      <c r="L272" s="46">
        <f t="array" ref="L272">IFERROR(INDEX('Sản phẩm'!$I$4:$I$103,MATCH(B272,'Sản phẩm'!$D$4:$D$103,0)),0)</f>
        <v>0</v>
      </c>
      <c r="M272" s="72" t="str">
        <f t="array" ref="M272">IFERROR(INDEX('Sản phẩm'!$J$4:$J$103,MATCH(B272,'Sản phẩm'!$D$4:$D$103,0)),0)</f>
        <v/>
      </c>
      <c r="N272" s="46">
        <f>IF(B272="",0,(K272+L272+M272)*'Thiết lập'!$B$8)</f>
        <v>0</v>
      </c>
      <c r="O272" s="46">
        <f t="shared" si="2"/>
        <v>0</v>
      </c>
      <c r="P272" s="46">
        <f t="shared" si="3"/>
        <v>0</v>
      </c>
      <c r="Q272" s="46">
        <f t="shared" si="4"/>
        <v>0</v>
      </c>
      <c r="R272" s="71" t="str">
        <f t="array" ref="R272">IF(B272="","",INDEX('Bán nhanh'!$C$4:$C$103,INT((ROW()-4)/10)+1))</f>
        <v/>
      </c>
      <c r="S272" s="71" t="str">
        <f t="array" ref="S272">IF(B272="","",INDEX('Bán nhanh'!$P$4:$P$103,INT((ROW()-4)/10)+1))</f>
        <v/>
      </c>
      <c r="T272" s="58"/>
      <c r="U272" s="36"/>
      <c r="V272" s="36"/>
      <c r="W272" s="58"/>
      <c r="X272" s="36"/>
      <c r="Y272" s="36"/>
      <c r="Z272" s="36"/>
    </row>
    <row r="273" ht="15.75" customHeight="1">
      <c r="A273" s="70" t="str">
        <f t="array" ref="A273">IF(B273="","",INDEX('Bán nhanh'!$A$4:$A$103,INT((ROW()-4)/10)+1))</f>
        <v/>
      </c>
      <c r="B273" s="71" t="str">
        <f t="array" ref="B273">IF(OR(INDEX('Bán nhanh'!$D$3:$M$3,1,MOD(ROW()-4,10)+1)="",INDEX('Bán nhanh'!$D$4:$M$103,INT((ROW()-4)/10)+1,MOD(ROW()-4,10)+1)&lt;=0),"",INDEX('Bán nhanh'!$D$3:$M$3,1,MOD(ROW()-4,10)+1))</f>
        <v/>
      </c>
      <c r="C273" s="58" t="str">
        <f t="array" ref="C273">IFERROR(INDEX('Sản phẩm'!$A$4:$A$103,MATCH(B273,'Sản phẩm'!$D$4:$D$103,0)),"")</f>
        <v/>
      </c>
      <c r="D273" s="71" t="str">
        <f t="array" ref="D273">IF(B273="","",INDEX('Bán nhanh'!$B$4:$B$103,INT((ROW()-4)/10)+1))</f>
        <v/>
      </c>
      <c r="E273" s="58" t="str">
        <f t="array" ref="E273">IFERROR(INDEX('Mẻ sữa'!$B$4:$B$203,MATCH(D273,'Mẻ sữa'!$C$4:$C$203,0)),"")</f>
        <v/>
      </c>
      <c r="F273" s="66">
        <f t="array" ref="F273">IF(B273="",0,INDEX('Bán nhanh'!$D$4:$M$103,INT((ROW()-4)/10)+1,MOD(ROW()-4,10)+1))</f>
        <v>0</v>
      </c>
      <c r="G273" s="46">
        <f t="array" ref="G273">IFERROR(INDEX('Sản phẩm'!$F$4:$F$103,MATCH(B273,'Sản phẩm'!$D$4:$D$103,0)),0)</f>
        <v>0</v>
      </c>
      <c r="H273" s="67">
        <f t="shared" si="5"/>
        <v>0</v>
      </c>
      <c r="I273" s="46">
        <f t="shared" si="1"/>
        <v>0</v>
      </c>
      <c r="J273" s="46">
        <f t="array" ref="J273">IFERROR(INDEX('Sản phẩm'!$G$4:$G$103,MATCH(B273,'Sản phẩm'!$D$4:$D$103,0)),0)</f>
        <v>0</v>
      </c>
      <c r="K273" s="46">
        <f t="array" ref="K273">IFERROR(J273*INDEX('Mẻ sữa'!$N$4:$N$203,MATCH(D273,'Mẻ sữa'!$C$4:$C$203,0)),0)</f>
        <v>0</v>
      </c>
      <c r="L273" s="46">
        <f t="array" ref="L273">IFERROR(INDEX('Sản phẩm'!$I$4:$I$103,MATCH(B273,'Sản phẩm'!$D$4:$D$103,0)),0)</f>
        <v>0</v>
      </c>
      <c r="M273" s="72" t="str">
        <f t="array" ref="M273">IFERROR(INDEX('Sản phẩm'!$J$4:$J$103,MATCH(B273,'Sản phẩm'!$D$4:$D$103,0)),0)</f>
        <v/>
      </c>
      <c r="N273" s="46">
        <f>IF(B273="",0,(K273+L273+M273)*'Thiết lập'!$B$8)</f>
        <v>0</v>
      </c>
      <c r="O273" s="46">
        <f t="shared" si="2"/>
        <v>0</v>
      </c>
      <c r="P273" s="46">
        <f t="shared" si="3"/>
        <v>0</v>
      </c>
      <c r="Q273" s="46">
        <f t="shared" si="4"/>
        <v>0</v>
      </c>
      <c r="R273" s="71" t="str">
        <f t="array" ref="R273">IF(B273="","",INDEX('Bán nhanh'!$C$4:$C$103,INT((ROW()-4)/10)+1))</f>
        <v/>
      </c>
      <c r="S273" s="71" t="str">
        <f t="array" ref="S273">IF(B273="","",INDEX('Bán nhanh'!$P$4:$P$103,INT((ROW()-4)/10)+1))</f>
        <v/>
      </c>
      <c r="T273" s="58"/>
      <c r="U273" s="36"/>
      <c r="V273" s="36"/>
      <c r="W273" s="58"/>
      <c r="X273" s="36"/>
      <c r="Y273" s="36"/>
      <c r="Z273" s="36"/>
    </row>
    <row r="274" ht="15.75" customHeight="1">
      <c r="A274" s="70" t="str">
        <f t="array" ref="A274">IF(B274="","",INDEX('Bán nhanh'!$A$4:$A$103,INT((ROW()-4)/10)+1))</f>
        <v/>
      </c>
      <c r="B274" s="71" t="str">
        <f t="array" ref="B274">IF(OR(INDEX('Bán nhanh'!$D$3:$M$3,1,MOD(ROW()-4,10)+1)="",INDEX('Bán nhanh'!$D$4:$M$103,INT((ROW()-4)/10)+1,MOD(ROW()-4,10)+1)&lt;=0),"",INDEX('Bán nhanh'!$D$3:$M$3,1,MOD(ROW()-4,10)+1))</f>
        <v/>
      </c>
      <c r="C274" s="58" t="str">
        <f t="array" ref="C274">IFERROR(INDEX('Sản phẩm'!$A$4:$A$103,MATCH(B274,'Sản phẩm'!$D$4:$D$103,0)),"")</f>
        <v/>
      </c>
      <c r="D274" s="71" t="str">
        <f t="array" ref="D274">IF(B274="","",INDEX('Bán nhanh'!$B$4:$B$103,INT((ROW()-4)/10)+1))</f>
        <v/>
      </c>
      <c r="E274" s="58" t="str">
        <f t="array" ref="E274">IFERROR(INDEX('Mẻ sữa'!$B$4:$B$203,MATCH(D274,'Mẻ sữa'!$C$4:$C$203,0)),"")</f>
        <v/>
      </c>
      <c r="F274" s="66">
        <f t="array" ref="F274">IF(B274="",0,INDEX('Bán nhanh'!$D$4:$M$103,INT((ROW()-4)/10)+1,MOD(ROW()-4,10)+1))</f>
        <v>0</v>
      </c>
      <c r="G274" s="46">
        <f t="array" ref="G274">IFERROR(INDEX('Sản phẩm'!$F$4:$F$103,MATCH(B274,'Sản phẩm'!$D$4:$D$103,0)),0)</f>
        <v>0</v>
      </c>
      <c r="H274" s="67">
        <f t="shared" si="5"/>
        <v>0</v>
      </c>
      <c r="I274" s="46">
        <f t="shared" si="1"/>
        <v>0</v>
      </c>
      <c r="J274" s="46">
        <f t="array" ref="J274">IFERROR(INDEX('Sản phẩm'!$G$4:$G$103,MATCH(B274,'Sản phẩm'!$D$4:$D$103,0)),0)</f>
        <v>0</v>
      </c>
      <c r="K274" s="46">
        <f t="array" ref="K274">IFERROR(J274*INDEX('Mẻ sữa'!$N$4:$N$203,MATCH(D274,'Mẻ sữa'!$C$4:$C$203,0)),0)</f>
        <v>0</v>
      </c>
      <c r="L274" s="46">
        <f t="array" ref="L274">IFERROR(INDEX('Sản phẩm'!$I$4:$I$103,MATCH(B274,'Sản phẩm'!$D$4:$D$103,0)),0)</f>
        <v>0</v>
      </c>
      <c r="M274" s="72" t="str">
        <f t="array" ref="M274">IFERROR(INDEX('Sản phẩm'!$J$4:$J$103,MATCH(B274,'Sản phẩm'!$D$4:$D$103,0)),0)</f>
        <v/>
      </c>
      <c r="N274" s="46">
        <f>IF(B274="",0,(K274+L274+M274)*'Thiết lập'!$B$8)</f>
        <v>0</v>
      </c>
      <c r="O274" s="46">
        <f t="shared" si="2"/>
        <v>0</v>
      </c>
      <c r="P274" s="46">
        <f t="shared" si="3"/>
        <v>0</v>
      </c>
      <c r="Q274" s="46">
        <f t="shared" si="4"/>
        <v>0</v>
      </c>
      <c r="R274" s="71" t="str">
        <f t="array" ref="R274">IF(B274="","",INDEX('Bán nhanh'!$C$4:$C$103,INT((ROW()-4)/10)+1))</f>
        <v/>
      </c>
      <c r="S274" s="71" t="str">
        <f t="array" ref="S274">IF(B274="","",INDEX('Bán nhanh'!$P$4:$P$103,INT((ROW()-4)/10)+1))</f>
        <v/>
      </c>
      <c r="T274" s="58"/>
      <c r="U274" s="36"/>
      <c r="V274" s="36"/>
      <c r="W274" s="58"/>
      <c r="X274" s="36"/>
      <c r="Y274" s="36"/>
      <c r="Z274" s="36"/>
    </row>
    <row r="275" ht="15.75" customHeight="1">
      <c r="A275" s="70" t="str">
        <f t="array" ref="A275">IF(B275="","",INDEX('Bán nhanh'!$A$4:$A$103,INT((ROW()-4)/10)+1))</f>
        <v/>
      </c>
      <c r="B275" s="71" t="str">
        <f t="array" ref="B275">IF(OR(INDEX('Bán nhanh'!$D$3:$M$3,1,MOD(ROW()-4,10)+1)="",INDEX('Bán nhanh'!$D$4:$M$103,INT((ROW()-4)/10)+1,MOD(ROW()-4,10)+1)&lt;=0),"",INDEX('Bán nhanh'!$D$3:$M$3,1,MOD(ROW()-4,10)+1))</f>
        <v/>
      </c>
      <c r="C275" s="58" t="str">
        <f t="array" ref="C275">IFERROR(INDEX('Sản phẩm'!$A$4:$A$103,MATCH(B275,'Sản phẩm'!$D$4:$D$103,0)),"")</f>
        <v/>
      </c>
      <c r="D275" s="71" t="str">
        <f t="array" ref="D275">IF(B275="","",INDEX('Bán nhanh'!$B$4:$B$103,INT((ROW()-4)/10)+1))</f>
        <v/>
      </c>
      <c r="E275" s="58" t="str">
        <f t="array" ref="E275">IFERROR(INDEX('Mẻ sữa'!$B$4:$B$203,MATCH(D275,'Mẻ sữa'!$C$4:$C$203,0)),"")</f>
        <v/>
      </c>
      <c r="F275" s="66">
        <f t="array" ref="F275">IF(B275="",0,INDEX('Bán nhanh'!$D$4:$M$103,INT((ROW()-4)/10)+1,MOD(ROW()-4,10)+1))</f>
        <v>0</v>
      </c>
      <c r="G275" s="46">
        <f t="array" ref="G275">IFERROR(INDEX('Sản phẩm'!$F$4:$F$103,MATCH(B275,'Sản phẩm'!$D$4:$D$103,0)),0)</f>
        <v>0</v>
      </c>
      <c r="H275" s="67">
        <f t="shared" si="5"/>
        <v>0</v>
      </c>
      <c r="I275" s="46">
        <f t="shared" si="1"/>
        <v>0</v>
      </c>
      <c r="J275" s="46">
        <f t="array" ref="J275">IFERROR(INDEX('Sản phẩm'!$G$4:$G$103,MATCH(B275,'Sản phẩm'!$D$4:$D$103,0)),0)</f>
        <v>0</v>
      </c>
      <c r="K275" s="46">
        <f t="array" ref="K275">IFERROR(J275*INDEX('Mẻ sữa'!$N$4:$N$203,MATCH(D275,'Mẻ sữa'!$C$4:$C$203,0)),0)</f>
        <v>0</v>
      </c>
      <c r="L275" s="46">
        <f t="array" ref="L275">IFERROR(INDEX('Sản phẩm'!$I$4:$I$103,MATCH(B275,'Sản phẩm'!$D$4:$D$103,0)),0)</f>
        <v>0</v>
      </c>
      <c r="M275" s="72" t="str">
        <f t="array" ref="M275">IFERROR(INDEX('Sản phẩm'!$J$4:$J$103,MATCH(B275,'Sản phẩm'!$D$4:$D$103,0)),0)</f>
        <v/>
      </c>
      <c r="N275" s="46">
        <f>IF(B275="",0,(K275+L275+M275)*'Thiết lập'!$B$8)</f>
        <v>0</v>
      </c>
      <c r="O275" s="46">
        <f t="shared" si="2"/>
        <v>0</v>
      </c>
      <c r="P275" s="46">
        <f t="shared" si="3"/>
        <v>0</v>
      </c>
      <c r="Q275" s="46">
        <f t="shared" si="4"/>
        <v>0</v>
      </c>
      <c r="R275" s="71" t="str">
        <f t="array" ref="R275">IF(B275="","",INDEX('Bán nhanh'!$C$4:$C$103,INT((ROW()-4)/10)+1))</f>
        <v/>
      </c>
      <c r="S275" s="71" t="str">
        <f t="array" ref="S275">IF(B275="","",INDEX('Bán nhanh'!$P$4:$P$103,INT((ROW()-4)/10)+1))</f>
        <v/>
      </c>
      <c r="T275" s="58"/>
      <c r="U275" s="36"/>
      <c r="V275" s="36"/>
      <c r="W275" s="58"/>
      <c r="X275" s="36"/>
      <c r="Y275" s="36"/>
      <c r="Z275" s="36"/>
    </row>
    <row r="276" ht="15.75" customHeight="1">
      <c r="A276" s="70" t="str">
        <f t="array" ref="A276">IF(B276="","",INDEX('Bán nhanh'!$A$4:$A$103,INT((ROW()-4)/10)+1))</f>
        <v/>
      </c>
      <c r="B276" s="71" t="str">
        <f t="array" ref="B276">IF(OR(INDEX('Bán nhanh'!$D$3:$M$3,1,MOD(ROW()-4,10)+1)="",INDEX('Bán nhanh'!$D$4:$M$103,INT((ROW()-4)/10)+1,MOD(ROW()-4,10)+1)&lt;=0),"",INDEX('Bán nhanh'!$D$3:$M$3,1,MOD(ROW()-4,10)+1))</f>
        <v/>
      </c>
      <c r="C276" s="58" t="str">
        <f t="array" ref="C276">IFERROR(INDEX('Sản phẩm'!$A$4:$A$103,MATCH(B276,'Sản phẩm'!$D$4:$D$103,0)),"")</f>
        <v/>
      </c>
      <c r="D276" s="71" t="str">
        <f t="array" ref="D276">IF(B276="","",INDEX('Bán nhanh'!$B$4:$B$103,INT((ROW()-4)/10)+1))</f>
        <v/>
      </c>
      <c r="E276" s="58" t="str">
        <f t="array" ref="E276">IFERROR(INDEX('Mẻ sữa'!$B$4:$B$203,MATCH(D276,'Mẻ sữa'!$C$4:$C$203,0)),"")</f>
        <v/>
      </c>
      <c r="F276" s="66">
        <f t="array" ref="F276">IF(B276="",0,INDEX('Bán nhanh'!$D$4:$M$103,INT((ROW()-4)/10)+1,MOD(ROW()-4,10)+1))</f>
        <v>0</v>
      </c>
      <c r="G276" s="46">
        <f t="array" ref="G276">IFERROR(INDEX('Sản phẩm'!$F$4:$F$103,MATCH(B276,'Sản phẩm'!$D$4:$D$103,0)),0)</f>
        <v>0</v>
      </c>
      <c r="H276" s="67">
        <f t="shared" si="5"/>
        <v>0</v>
      </c>
      <c r="I276" s="46">
        <f t="shared" si="1"/>
        <v>0</v>
      </c>
      <c r="J276" s="46">
        <f t="array" ref="J276">IFERROR(INDEX('Sản phẩm'!$G$4:$G$103,MATCH(B276,'Sản phẩm'!$D$4:$D$103,0)),0)</f>
        <v>0</v>
      </c>
      <c r="K276" s="46">
        <f t="array" ref="K276">IFERROR(J276*INDEX('Mẻ sữa'!$N$4:$N$203,MATCH(D276,'Mẻ sữa'!$C$4:$C$203,0)),0)</f>
        <v>0</v>
      </c>
      <c r="L276" s="46">
        <f t="array" ref="L276">IFERROR(INDEX('Sản phẩm'!$I$4:$I$103,MATCH(B276,'Sản phẩm'!$D$4:$D$103,0)),0)</f>
        <v>0</v>
      </c>
      <c r="M276" s="72" t="str">
        <f t="array" ref="M276">IFERROR(INDEX('Sản phẩm'!$J$4:$J$103,MATCH(B276,'Sản phẩm'!$D$4:$D$103,0)),0)</f>
        <v/>
      </c>
      <c r="N276" s="46">
        <f>IF(B276="",0,(K276+L276+M276)*'Thiết lập'!$B$8)</f>
        <v>0</v>
      </c>
      <c r="O276" s="46">
        <f t="shared" si="2"/>
        <v>0</v>
      </c>
      <c r="P276" s="46">
        <f t="shared" si="3"/>
        <v>0</v>
      </c>
      <c r="Q276" s="46">
        <f t="shared" si="4"/>
        <v>0</v>
      </c>
      <c r="R276" s="71" t="str">
        <f t="array" ref="R276">IF(B276="","",INDEX('Bán nhanh'!$C$4:$C$103,INT((ROW()-4)/10)+1))</f>
        <v/>
      </c>
      <c r="S276" s="71" t="str">
        <f t="array" ref="S276">IF(B276="","",INDEX('Bán nhanh'!$P$4:$P$103,INT((ROW()-4)/10)+1))</f>
        <v/>
      </c>
      <c r="T276" s="58"/>
      <c r="U276" s="36"/>
      <c r="V276" s="36"/>
      <c r="W276" s="58"/>
      <c r="X276" s="36"/>
      <c r="Y276" s="36"/>
      <c r="Z276" s="36"/>
    </row>
    <row r="277" ht="15.75" customHeight="1">
      <c r="A277" s="70" t="str">
        <f t="array" ref="A277">IF(B277="","",INDEX('Bán nhanh'!$A$4:$A$103,INT((ROW()-4)/10)+1))</f>
        <v/>
      </c>
      <c r="B277" s="71" t="str">
        <f t="array" ref="B277">IF(OR(INDEX('Bán nhanh'!$D$3:$M$3,1,MOD(ROW()-4,10)+1)="",INDEX('Bán nhanh'!$D$4:$M$103,INT((ROW()-4)/10)+1,MOD(ROW()-4,10)+1)&lt;=0),"",INDEX('Bán nhanh'!$D$3:$M$3,1,MOD(ROW()-4,10)+1))</f>
        <v/>
      </c>
      <c r="C277" s="58" t="str">
        <f t="array" ref="C277">IFERROR(INDEX('Sản phẩm'!$A$4:$A$103,MATCH(B277,'Sản phẩm'!$D$4:$D$103,0)),"")</f>
        <v/>
      </c>
      <c r="D277" s="71" t="str">
        <f t="array" ref="D277">IF(B277="","",INDEX('Bán nhanh'!$B$4:$B$103,INT((ROW()-4)/10)+1))</f>
        <v/>
      </c>
      <c r="E277" s="58" t="str">
        <f t="array" ref="E277">IFERROR(INDEX('Mẻ sữa'!$B$4:$B$203,MATCH(D277,'Mẻ sữa'!$C$4:$C$203,0)),"")</f>
        <v/>
      </c>
      <c r="F277" s="66">
        <f t="array" ref="F277">IF(B277="",0,INDEX('Bán nhanh'!$D$4:$M$103,INT((ROW()-4)/10)+1,MOD(ROW()-4,10)+1))</f>
        <v>0</v>
      </c>
      <c r="G277" s="46">
        <f t="array" ref="G277">IFERROR(INDEX('Sản phẩm'!$F$4:$F$103,MATCH(B277,'Sản phẩm'!$D$4:$D$103,0)),0)</f>
        <v>0</v>
      </c>
      <c r="H277" s="67">
        <f t="shared" si="5"/>
        <v>0</v>
      </c>
      <c r="I277" s="46">
        <f t="shared" si="1"/>
        <v>0</v>
      </c>
      <c r="J277" s="46">
        <f t="array" ref="J277">IFERROR(INDEX('Sản phẩm'!$G$4:$G$103,MATCH(B277,'Sản phẩm'!$D$4:$D$103,0)),0)</f>
        <v>0</v>
      </c>
      <c r="K277" s="46">
        <f t="array" ref="K277">IFERROR(J277*INDEX('Mẻ sữa'!$N$4:$N$203,MATCH(D277,'Mẻ sữa'!$C$4:$C$203,0)),0)</f>
        <v>0</v>
      </c>
      <c r="L277" s="46">
        <f t="array" ref="L277">IFERROR(INDEX('Sản phẩm'!$I$4:$I$103,MATCH(B277,'Sản phẩm'!$D$4:$D$103,0)),0)</f>
        <v>0</v>
      </c>
      <c r="M277" s="72" t="str">
        <f t="array" ref="M277">IFERROR(INDEX('Sản phẩm'!$J$4:$J$103,MATCH(B277,'Sản phẩm'!$D$4:$D$103,0)),0)</f>
        <v/>
      </c>
      <c r="N277" s="46">
        <f>IF(B277="",0,(K277+L277+M277)*'Thiết lập'!$B$8)</f>
        <v>0</v>
      </c>
      <c r="O277" s="46">
        <f t="shared" si="2"/>
        <v>0</v>
      </c>
      <c r="P277" s="46">
        <f t="shared" si="3"/>
        <v>0</v>
      </c>
      <c r="Q277" s="46">
        <f t="shared" si="4"/>
        <v>0</v>
      </c>
      <c r="R277" s="71" t="str">
        <f t="array" ref="R277">IF(B277="","",INDEX('Bán nhanh'!$C$4:$C$103,INT((ROW()-4)/10)+1))</f>
        <v/>
      </c>
      <c r="S277" s="71" t="str">
        <f t="array" ref="S277">IF(B277="","",INDEX('Bán nhanh'!$P$4:$P$103,INT((ROW()-4)/10)+1))</f>
        <v/>
      </c>
      <c r="T277" s="58"/>
      <c r="U277" s="36"/>
      <c r="V277" s="36"/>
      <c r="W277" s="58"/>
      <c r="X277" s="36"/>
      <c r="Y277" s="36"/>
      <c r="Z277" s="36"/>
    </row>
    <row r="278" ht="15.75" customHeight="1">
      <c r="A278" s="70" t="str">
        <f t="array" ref="A278">IF(B278="","",INDEX('Bán nhanh'!$A$4:$A$103,INT((ROW()-4)/10)+1))</f>
        <v/>
      </c>
      <c r="B278" s="71" t="str">
        <f t="array" ref="B278">IF(OR(INDEX('Bán nhanh'!$D$3:$M$3,1,MOD(ROW()-4,10)+1)="",INDEX('Bán nhanh'!$D$4:$M$103,INT((ROW()-4)/10)+1,MOD(ROW()-4,10)+1)&lt;=0),"",INDEX('Bán nhanh'!$D$3:$M$3,1,MOD(ROW()-4,10)+1))</f>
        <v/>
      </c>
      <c r="C278" s="58" t="str">
        <f t="array" ref="C278">IFERROR(INDEX('Sản phẩm'!$A$4:$A$103,MATCH(B278,'Sản phẩm'!$D$4:$D$103,0)),"")</f>
        <v/>
      </c>
      <c r="D278" s="71" t="str">
        <f t="array" ref="D278">IF(B278="","",INDEX('Bán nhanh'!$B$4:$B$103,INT((ROW()-4)/10)+1))</f>
        <v/>
      </c>
      <c r="E278" s="58" t="str">
        <f t="array" ref="E278">IFERROR(INDEX('Mẻ sữa'!$B$4:$B$203,MATCH(D278,'Mẻ sữa'!$C$4:$C$203,0)),"")</f>
        <v/>
      </c>
      <c r="F278" s="66">
        <f t="array" ref="F278">IF(B278="",0,INDEX('Bán nhanh'!$D$4:$M$103,INT((ROW()-4)/10)+1,MOD(ROW()-4,10)+1))</f>
        <v>0</v>
      </c>
      <c r="G278" s="46">
        <f t="array" ref="G278">IFERROR(INDEX('Sản phẩm'!$F$4:$F$103,MATCH(B278,'Sản phẩm'!$D$4:$D$103,0)),0)</f>
        <v>0</v>
      </c>
      <c r="H278" s="67">
        <f t="shared" si="5"/>
        <v>0</v>
      </c>
      <c r="I278" s="46">
        <f t="shared" si="1"/>
        <v>0</v>
      </c>
      <c r="J278" s="46">
        <f t="array" ref="J278">IFERROR(INDEX('Sản phẩm'!$G$4:$G$103,MATCH(B278,'Sản phẩm'!$D$4:$D$103,0)),0)</f>
        <v>0</v>
      </c>
      <c r="K278" s="46">
        <f t="array" ref="K278">IFERROR(J278*INDEX('Mẻ sữa'!$N$4:$N$203,MATCH(D278,'Mẻ sữa'!$C$4:$C$203,0)),0)</f>
        <v>0</v>
      </c>
      <c r="L278" s="46">
        <f t="array" ref="L278">IFERROR(INDEX('Sản phẩm'!$I$4:$I$103,MATCH(B278,'Sản phẩm'!$D$4:$D$103,0)),0)</f>
        <v>0</v>
      </c>
      <c r="M278" s="72" t="str">
        <f t="array" ref="M278">IFERROR(INDEX('Sản phẩm'!$J$4:$J$103,MATCH(B278,'Sản phẩm'!$D$4:$D$103,0)),0)</f>
        <v/>
      </c>
      <c r="N278" s="46">
        <f>IF(B278="",0,(K278+L278+M278)*'Thiết lập'!$B$8)</f>
        <v>0</v>
      </c>
      <c r="O278" s="46">
        <f t="shared" si="2"/>
        <v>0</v>
      </c>
      <c r="P278" s="46">
        <f t="shared" si="3"/>
        <v>0</v>
      </c>
      <c r="Q278" s="46">
        <f t="shared" si="4"/>
        <v>0</v>
      </c>
      <c r="R278" s="71" t="str">
        <f t="array" ref="R278">IF(B278="","",INDEX('Bán nhanh'!$C$4:$C$103,INT((ROW()-4)/10)+1))</f>
        <v/>
      </c>
      <c r="S278" s="71" t="str">
        <f t="array" ref="S278">IF(B278="","",INDEX('Bán nhanh'!$P$4:$P$103,INT((ROW()-4)/10)+1))</f>
        <v/>
      </c>
      <c r="T278" s="58"/>
      <c r="U278" s="36"/>
      <c r="V278" s="36"/>
      <c r="W278" s="58"/>
      <c r="X278" s="36"/>
      <c r="Y278" s="36"/>
      <c r="Z278" s="36"/>
    </row>
    <row r="279" ht="15.75" customHeight="1">
      <c r="A279" s="70" t="str">
        <f t="array" ref="A279">IF(B279="","",INDEX('Bán nhanh'!$A$4:$A$103,INT((ROW()-4)/10)+1))</f>
        <v/>
      </c>
      <c r="B279" s="71" t="str">
        <f t="array" ref="B279">IF(OR(INDEX('Bán nhanh'!$D$3:$M$3,1,MOD(ROW()-4,10)+1)="",INDEX('Bán nhanh'!$D$4:$M$103,INT((ROW()-4)/10)+1,MOD(ROW()-4,10)+1)&lt;=0),"",INDEX('Bán nhanh'!$D$3:$M$3,1,MOD(ROW()-4,10)+1))</f>
        <v/>
      </c>
      <c r="C279" s="58" t="str">
        <f t="array" ref="C279">IFERROR(INDEX('Sản phẩm'!$A$4:$A$103,MATCH(B279,'Sản phẩm'!$D$4:$D$103,0)),"")</f>
        <v/>
      </c>
      <c r="D279" s="71" t="str">
        <f t="array" ref="D279">IF(B279="","",INDEX('Bán nhanh'!$B$4:$B$103,INT((ROW()-4)/10)+1))</f>
        <v/>
      </c>
      <c r="E279" s="58" t="str">
        <f t="array" ref="E279">IFERROR(INDEX('Mẻ sữa'!$B$4:$B$203,MATCH(D279,'Mẻ sữa'!$C$4:$C$203,0)),"")</f>
        <v/>
      </c>
      <c r="F279" s="66">
        <f t="array" ref="F279">IF(B279="",0,INDEX('Bán nhanh'!$D$4:$M$103,INT((ROW()-4)/10)+1,MOD(ROW()-4,10)+1))</f>
        <v>0</v>
      </c>
      <c r="G279" s="46">
        <f t="array" ref="G279">IFERROR(INDEX('Sản phẩm'!$F$4:$F$103,MATCH(B279,'Sản phẩm'!$D$4:$D$103,0)),0)</f>
        <v>0</v>
      </c>
      <c r="H279" s="67">
        <f t="shared" si="5"/>
        <v>0</v>
      </c>
      <c r="I279" s="46">
        <f t="shared" si="1"/>
        <v>0</v>
      </c>
      <c r="J279" s="46">
        <f t="array" ref="J279">IFERROR(INDEX('Sản phẩm'!$G$4:$G$103,MATCH(B279,'Sản phẩm'!$D$4:$D$103,0)),0)</f>
        <v>0</v>
      </c>
      <c r="K279" s="46">
        <f t="array" ref="K279">IFERROR(J279*INDEX('Mẻ sữa'!$N$4:$N$203,MATCH(D279,'Mẻ sữa'!$C$4:$C$203,0)),0)</f>
        <v>0</v>
      </c>
      <c r="L279" s="46">
        <f t="array" ref="L279">IFERROR(INDEX('Sản phẩm'!$I$4:$I$103,MATCH(B279,'Sản phẩm'!$D$4:$D$103,0)),0)</f>
        <v>0</v>
      </c>
      <c r="M279" s="72" t="str">
        <f t="array" ref="M279">IFERROR(INDEX('Sản phẩm'!$J$4:$J$103,MATCH(B279,'Sản phẩm'!$D$4:$D$103,0)),0)</f>
        <v/>
      </c>
      <c r="N279" s="46">
        <f>IF(B279="",0,(K279+L279+M279)*'Thiết lập'!$B$8)</f>
        <v>0</v>
      </c>
      <c r="O279" s="46">
        <f t="shared" si="2"/>
        <v>0</v>
      </c>
      <c r="P279" s="46">
        <f t="shared" si="3"/>
        <v>0</v>
      </c>
      <c r="Q279" s="46">
        <f t="shared" si="4"/>
        <v>0</v>
      </c>
      <c r="R279" s="71" t="str">
        <f t="array" ref="R279">IF(B279="","",INDEX('Bán nhanh'!$C$4:$C$103,INT((ROW()-4)/10)+1))</f>
        <v/>
      </c>
      <c r="S279" s="71" t="str">
        <f t="array" ref="S279">IF(B279="","",INDEX('Bán nhanh'!$P$4:$P$103,INT((ROW()-4)/10)+1))</f>
        <v/>
      </c>
      <c r="T279" s="58"/>
      <c r="U279" s="36"/>
      <c r="V279" s="36"/>
      <c r="W279" s="58"/>
      <c r="X279" s="36"/>
      <c r="Y279" s="36"/>
      <c r="Z279" s="36"/>
    </row>
    <row r="280" ht="15.75" customHeight="1">
      <c r="A280" s="70" t="str">
        <f t="array" ref="A280">IF(B280="","",INDEX('Bán nhanh'!$A$4:$A$103,INT((ROW()-4)/10)+1))</f>
        <v/>
      </c>
      <c r="B280" s="71" t="str">
        <f t="array" ref="B280">IF(OR(INDEX('Bán nhanh'!$D$3:$M$3,1,MOD(ROW()-4,10)+1)="",INDEX('Bán nhanh'!$D$4:$M$103,INT((ROW()-4)/10)+1,MOD(ROW()-4,10)+1)&lt;=0),"",INDEX('Bán nhanh'!$D$3:$M$3,1,MOD(ROW()-4,10)+1))</f>
        <v/>
      </c>
      <c r="C280" s="58" t="str">
        <f t="array" ref="C280">IFERROR(INDEX('Sản phẩm'!$A$4:$A$103,MATCH(B280,'Sản phẩm'!$D$4:$D$103,0)),"")</f>
        <v/>
      </c>
      <c r="D280" s="71" t="str">
        <f t="array" ref="D280">IF(B280="","",INDEX('Bán nhanh'!$B$4:$B$103,INT((ROW()-4)/10)+1))</f>
        <v/>
      </c>
      <c r="E280" s="58" t="str">
        <f t="array" ref="E280">IFERROR(INDEX('Mẻ sữa'!$B$4:$B$203,MATCH(D280,'Mẻ sữa'!$C$4:$C$203,0)),"")</f>
        <v/>
      </c>
      <c r="F280" s="66">
        <f t="array" ref="F280">IF(B280="",0,INDEX('Bán nhanh'!$D$4:$M$103,INT((ROW()-4)/10)+1,MOD(ROW()-4,10)+1))</f>
        <v>0</v>
      </c>
      <c r="G280" s="46">
        <f t="array" ref="G280">IFERROR(INDEX('Sản phẩm'!$F$4:$F$103,MATCH(B280,'Sản phẩm'!$D$4:$D$103,0)),0)</f>
        <v>0</v>
      </c>
      <c r="H280" s="67">
        <f t="shared" si="5"/>
        <v>0</v>
      </c>
      <c r="I280" s="46">
        <f t="shared" si="1"/>
        <v>0</v>
      </c>
      <c r="J280" s="46">
        <f t="array" ref="J280">IFERROR(INDEX('Sản phẩm'!$G$4:$G$103,MATCH(B280,'Sản phẩm'!$D$4:$D$103,0)),0)</f>
        <v>0</v>
      </c>
      <c r="K280" s="46">
        <f t="array" ref="K280">IFERROR(J280*INDEX('Mẻ sữa'!$N$4:$N$203,MATCH(D280,'Mẻ sữa'!$C$4:$C$203,0)),0)</f>
        <v>0</v>
      </c>
      <c r="L280" s="46">
        <f t="array" ref="L280">IFERROR(INDEX('Sản phẩm'!$I$4:$I$103,MATCH(B280,'Sản phẩm'!$D$4:$D$103,0)),0)</f>
        <v>0</v>
      </c>
      <c r="M280" s="72" t="str">
        <f t="array" ref="M280">IFERROR(INDEX('Sản phẩm'!$J$4:$J$103,MATCH(B280,'Sản phẩm'!$D$4:$D$103,0)),0)</f>
        <v/>
      </c>
      <c r="N280" s="46">
        <f>IF(B280="",0,(K280+L280+M280)*'Thiết lập'!$B$8)</f>
        <v>0</v>
      </c>
      <c r="O280" s="46">
        <f t="shared" si="2"/>
        <v>0</v>
      </c>
      <c r="P280" s="46">
        <f t="shared" si="3"/>
        <v>0</v>
      </c>
      <c r="Q280" s="46">
        <f t="shared" si="4"/>
        <v>0</v>
      </c>
      <c r="R280" s="71" t="str">
        <f t="array" ref="R280">IF(B280="","",INDEX('Bán nhanh'!$C$4:$C$103,INT((ROW()-4)/10)+1))</f>
        <v/>
      </c>
      <c r="S280" s="71" t="str">
        <f t="array" ref="S280">IF(B280="","",INDEX('Bán nhanh'!$P$4:$P$103,INT((ROW()-4)/10)+1))</f>
        <v/>
      </c>
      <c r="T280" s="58"/>
      <c r="U280" s="36"/>
      <c r="V280" s="36"/>
      <c r="W280" s="58"/>
      <c r="X280" s="36"/>
      <c r="Y280" s="36"/>
      <c r="Z280" s="36"/>
    </row>
    <row r="281" ht="15.75" customHeight="1">
      <c r="A281" s="70" t="str">
        <f t="array" ref="A281">IF(B281="","",INDEX('Bán nhanh'!$A$4:$A$103,INT((ROW()-4)/10)+1))</f>
        <v/>
      </c>
      <c r="B281" s="71" t="str">
        <f t="array" ref="B281">IF(OR(INDEX('Bán nhanh'!$D$3:$M$3,1,MOD(ROW()-4,10)+1)="",INDEX('Bán nhanh'!$D$4:$M$103,INT((ROW()-4)/10)+1,MOD(ROW()-4,10)+1)&lt;=0),"",INDEX('Bán nhanh'!$D$3:$M$3,1,MOD(ROW()-4,10)+1))</f>
        <v/>
      </c>
      <c r="C281" s="58" t="str">
        <f t="array" ref="C281">IFERROR(INDEX('Sản phẩm'!$A$4:$A$103,MATCH(B281,'Sản phẩm'!$D$4:$D$103,0)),"")</f>
        <v/>
      </c>
      <c r="D281" s="71" t="str">
        <f t="array" ref="D281">IF(B281="","",INDEX('Bán nhanh'!$B$4:$B$103,INT((ROW()-4)/10)+1))</f>
        <v/>
      </c>
      <c r="E281" s="58" t="str">
        <f t="array" ref="E281">IFERROR(INDEX('Mẻ sữa'!$B$4:$B$203,MATCH(D281,'Mẻ sữa'!$C$4:$C$203,0)),"")</f>
        <v/>
      </c>
      <c r="F281" s="66">
        <f t="array" ref="F281">IF(B281="",0,INDEX('Bán nhanh'!$D$4:$M$103,INT((ROW()-4)/10)+1,MOD(ROW()-4,10)+1))</f>
        <v>0</v>
      </c>
      <c r="G281" s="46">
        <f t="array" ref="G281">IFERROR(INDEX('Sản phẩm'!$F$4:$F$103,MATCH(B281,'Sản phẩm'!$D$4:$D$103,0)),0)</f>
        <v>0</v>
      </c>
      <c r="H281" s="67">
        <f t="shared" si="5"/>
        <v>0</v>
      </c>
      <c r="I281" s="46">
        <f t="shared" si="1"/>
        <v>0</v>
      </c>
      <c r="J281" s="46">
        <f t="array" ref="J281">IFERROR(INDEX('Sản phẩm'!$G$4:$G$103,MATCH(B281,'Sản phẩm'!$D$4:$D$103,0)),0)</f>
        <v>0</v>
      </c>
      <c r="K281" s="46">
        <f t="array" ref="K281">IFERROR(J281*INDEX('Mẻ sữa'!$N$4:$N$203,MATCH(D281,'Mẻ sữa'!$C$4:$C$203,0)),0)</f>
        <v>0</v>
      </c>
      <c r="L281" s="46">
        <f t="array" ref="L281">IFERROR(INDEX('Sản phẩm'!$I$4:$I$103,MATCH(B281,'Sản phẩm'!$D$4:$D$103,0)),0)</f>
        <v>0</v>
      </c>
      <c r="M281" s="72" t="str">
        <f t="array" ref="M281">IFERROR(INDEX('Sản phẩm'!$J$4:$J$103,MATCH(B281,'Sản phẩm'!$D$4:$D$103,0)),0)</f>
        <v/>
      </c>
      <c r="N281" s="46">
        <f>IF(B281="",0,(K281+L281+M281)*'Thiết lập'!$B$8)</f>
        <v>0</v>
      </c>
      <c r="O281" s="46">
        <f t="shared" si="2"/>
        <v>0</v>
      </c>
      <c r="P281" s="46">
        <f t="shared" si="3"/>
        <v>0</v>
      </c>
      <c r="Q281" s="46">
        <f t="shared" si="4"/>
        <v>0</v>
      </c>
      <c r="R281" s="71" t="str">
        <f t="array" ref="R281">IF(B281="","",INDEX('Bán nhanh'!$C$4:$C$103,INT((ROW()-4)/10)+1))</f>
        <v/>
      </c>
      <c r="S281" s="71" t="str">
        <f t="array" ref="S281">IF(B281="","",INDEX('Bán nhanh'!$P$4:$P$103,INT((ROW()-4)/10)+1))</f>
        <v/>
      </c>
      <c r="T281" s="58"/>
      <c r="U281" s="36"/>
      <c r="V281" s="36"/>
      <c r="W281" s="58"/>
      <c r="X281" s="36"/>
      <c r="Y281" s="36"/>
      <c r="Z281" s="36"/>
    </row>
    <row r="282" ht="15.75" customHeight="1">
      <c r="A282" s="70" t="str">
        <f t="array" ref="A282">IF(B282="","",INDEX('Bán nhanh'!$A$4:$A$103,INT((ROW()-4)/10)+1))</f>
        <v/>
      </c>
      <c r="B282" s="71" t="str">
        <f t="array" ref="B282">IF(OR(INDEX('Bán nhanh'!$D$3:$M$3,1,MOD(ROW()-4,10)+1)="",INDEX('Bán nhanh'!$D$4:$M$103,INT((ROW()-4)/10)+1,MOD(ROW()-4,10)+1)&lt;=0),"",INDEX('Bán nhanh'!$D$3:$M$3,1,MOD(ROW()-4,10)+1))</f>
        <v/>
      </c>
      <c r="C282" s="58" t="str">
        <f t="array" ref="C282">IFERROR(INDEX('Sản phẩm'!$A$4:$A$103,MATCH(B282,'Sản phẩm'!$D$4:$D$103,0)),"")</f>
        <v/>
      </c>
      <c r="D282" s="71" t="str">
        <f t="array" ref="D282">IF(B282="","",INDEX('Bán nhanh'!$B$4:$B$103,INT((ROW()-4)/10)+1))</f>
        <v/>
      </c>
      <c r="E282" s="58" t="str">
        <f t="array" ref="E282">IFERROR(INDEX('Mẻ sữa'!$B$4:$B$203,MATCH(D282,'Mẻ sữa'!$C$4:$C$203,0)),"")</f>
        <v/>
      </c>
      <c r="F282" s="66">
        <f t="array" ref="F282">IF(B282="",0,INDEX('Bán nhanh'!$D$4:$M$103,INT((ROW()-4)/10)+1,MOD(ROW()-4,10)+1))</f>
        <v>0</v>
      </c>
      <c r="G282" s="46">
        <f t="array" ref="G282">IFERROR(INDEX('Sản phẩm'!$F$4:$F$103,MATCH(B282,'Sản phẩm'!$D$4:$D$103,0)),0)</f>
        <v>0</v>
      </c>
      <c r="H282" s="67">
        <f t="shared" si="5"/>
        <v>0</v>
      </c>
      <c r="I282" s="46">
        <f t="shared" si="1"/>
        <v>0</v>
      </c>
      <c r="J282" s="46">
        <f t="array" ref="J282">IFERROR(INDEX('Sản phẩm'!$G$4:$G$103,MATCH(B282,'Sản phẩm'!$D$4:$D$103,0)),0)</f>
        <v>0</v>
      </c>
      <c r="K282" s="46">
        <f t="array" ref="K282">IFERROR(J282*INDEX('Mẻ sữa'!$N$4:$N$203,MATCH(D282,'Mẻ sữa'!$C$4:$C$203,0)),0)</f>
        <v>0</v>
      </c>
      <c r="L282" s="46">
        <f t="array" ref="L282">IFERROR(INDEX('Sản phẩm'!$I$4:$I$103,MATCH(B282,'Sản phẩm'!$D$4:$D$103,0)),0)</f>
        <v>0</v>
      </c>
      <c r="M282" s="72" t="str">
        <f t="array" ref="M282">IFERROR(INDEX('Sản phẩm'!$J$4:$J$103,MATCH(B282,'Sản phẩm'!$D$4:$D$103,0)),0)</f>
        <v/>
      </c>
      <c r="N282" s="46">
        <f>IF(B282="",0,(K282+L282+M282)*'Thiết lập'!$B$8)</f>
        <v>0</v>
      </c>
      <c r="O282" s="46">
        <f t="shared" si="2"/>
        <v>0</v>
      </c>
      <c r="P282" s="46">
        <f t="shared" si="3"/>
        <v>0</v>
      </c>
      <c r="Q282" s="46">
        <f t="shared" si="4"/>
        <v>0</v>
      </c>
      <c r="R282" s="71" t="str">
        <f t="array" ref="R282">IF(B282="","",INDEX('Bán nhanh'!$C$4:$C$103,INT((ROW()-4)/10)+1))</f>
        <v/>
      </c>
      <c r="S282" s="71" t="str">
        <f t="array" ref="S282">IF(B282="","",INDEX('Bán nhanh'!$P$4:$P$103,INT((ROW()-4)/10)+1))</f>
        <v/>
      </c>
      <c r="T282" s="58"/>
      <c r="U282" s="36"/>
      <c r="V282" s="36"/>
      <c r="W282" s="58"/>
      <c r="X282" s="36"/>
      <c r="Y282" s="36"/>
      <c r="Z282" s="36"/>
    </row>
    <row r="283" ht="15.75" customHeight="1">
      <c r="A283" s="70" t="str">
        <f t="array" ref="A283">IF(B283="","",INDEX('Bán nhanh'!$A$4:$A$103,INT((ROW()-4)/10)+1))</f>
        <v/>
      </c>
      <c r="B283" s="71" t="str">
        <f t="array" ref="B283">IF(OR(INDEX('Bán nhanh'!$D$3:$M$3,1,MOD(ROW()-4,10)+1)="",INDEX('Bán nhanh'!$D$4:$M$103,INT((ROW()-4)/10)+1,MOD(ROW()-4,10)+1)&lt;=0),"",INDEX('Bán nhanh'!$D$3:$M$3,1,MOD(ROW()-4,10)+1))</f>
        <v/>
      </c>
      <c r="C283" s="58" t="str">
        <f t="array" ref="C283">IFERROR(INDEX('Sản phẩm'!$A$4:$A$103,MATCH(B283,'Sản phẩm'!$D$4:$D$103,0)),"")</f>
        <v/>
      </c>
      <c r="D283" s="71" t="str">
        <f t="array" ref="D283">IF(B283="","",INDEX('Bán nhanh'!$B$4:$B$103,INT((ROW()-4)/10)+1))</f>
        <v/>
      </c>
      <c r="E283" s="58" t="str">
        <f t="array" ref="E283">IFERROR(INDEX('Mẻ sữa'!$B$4:$B$203,MATCH(D283,'Mẻ sữa'!$C$4:$C$203,0)),"")</f>
        <v/>
      </c>
      <c r="F283" s="66">
        <f t="array" ref="F283">IF(B283="",0,INDEX('Bán nhanh'!$D$4:$M$103,INT((ROW()-4)/10)+1,MOD(ROW()-4,10)+1))</f>
        <v>0</v>
      </c>
      <c r="G283" s="46">
        <f t="array" ref="G283">IFERROR(INDEX('Sản phẩm'!$F$4:$F$103,MATCH(B283,'Sản phẩm'!$D$4:$D$103,0)),0)</f>
        <v>0</v>
      </c>
      <c r="H283" s="67">
        <f t="shared" si="5"/>
        <v>0</v>
      </c>
      <c r="I283" s="46">
        <f t="shared" si="1"/>
        <v>0</v>
      </c>
      <c r="J283" s="46">
        <f t="array" ref="J283">IFERROR(INDEX('Sản phẩm'!$G$4:$G$103,MATCH(B283,'Sản phẩm'!$D$4:$D$103,0)),0)</f>
        <v>0</v>
      </c>
      <c r="K283" s="46">
        <f t="array" ref="K283">IFERROR(J283*INDEX('Mẻ sữa'!$N$4:$N$203,MATCH(D283,'Mẻ sữa'!$C$4:$C$203,0)),0)</f>
        <v>0</v>
      </c>
      <c r="L283" s="46">
        <f t="array" ref="L283">IFERROR(INDEX('Sản phẩm'!$I$4:$I$103,MATCH(B283,'Sản phẩm'!$D$4:$D$103,0)),0)</f>
        <v>0</v>
      </c>
      <c r="M283" s="72" t="str">
        <f t="array" ref="M283">IFERROR(INDEX('Sản phẩm'!$J$4:$J$103,MATCH(B283,'Sản phẩm'!$D$4:$D$103,0)),0)</f>
        <v/>
      </c>
      <c r="N283" s="46">
        <f>IF(B283="",0,(K283+L283+M283)*'Thiết lập'!$B$8)</f>
        <v>0</v>
      </c>
      <c r="O283" s="46">
        <f t="shared" si="2"/>
        <v>0</v>
      </c>
      <c r="P283" s="46">
        <f t="shared" si="3"/>
        <v>0</v>
      </c>
      <c r="Q283" s="46">
        <f t="shared" si="4"/>
        <v>0</v>
      </c>
      <c r="R283" s="71" t="str">
        <f t="array" ref="R283">IF(B283="","",INDEX('Bán nhanh'!$C$4:$C$103,INT((ROW()-4)/10)+1))</f>
        <v/>
      </c>
      <c r="S283" s="71" t="str">
        <f t="array" ref="S283">IF(B283="","",INDEX('Bán nhanh'!$P$4:$P$103,INT((ROW()-4)/10)+1))</f>
        <v/>
      </c>
      <c r="T283" s="58"/>
      <c r="U283" s="36"/>
      <c r="V283" s="36"/>
      <c r="W283" s="58"/>
      <c r="X283" s="36"/>
      <c r="Y283" s="36"/>
      <c r="Z283" s="36"/>
    </row>
    <row r="284" ht="15.75" customHeight="1">
      <c r="A284" s="70" t="str">
        <f t="array" ref="A284">IF(B284="","",INDEX('Bán nhanh'!$A$4:$A$103,INT((ROW()-4)/10)+1))</f>
        <v/>
      </c>
      <c r="B284" s="71" t="str">
        <f t="array" ref="B284">IF(OR(INDEX('Bán nhanh'!$D$3:$M$3,1,MOD(ROW()-4,10)+1)="",INDEX('Bán nhanh'!$D$4:$M$103,INT((ROW()-4)/10)+1,MOD(ROW()-4,10)+1)&lt;=0),"",INDEX('Bán nhanh'!$D$3:$M$3,1,MOD(ROW()-4,10)+1))</f>
        <v/>
      </c>
      <c r="C284" s="58" t="str">
        <f t="array" ref="C284">IFERROR(INDEX('Sản phẩm'!$A$4:$A$103,MATCH(B284,'Sản phẩm'!$D$4:$D$103,0)),"")</f>
        <v/>
      </c>
      <c r="D284" s="71" t="str">
        <f t="array" ref="D284">IF(B284="","",INDEX('Bán nhanh'!$B$4:$B$103,INT((ROW()-4)/10)+1))</f>
        <v/>
      </c>
      <c r="E284" s="58" t="str">
        <f t="array" ref="E284">IFERROR(INDEX('Mẻ sữa'!$B$4:$B$203,MATCH(D284,'Mẻ sữa'!$C$4:$C$203,0)),"")</f>
        <v/>
      </c>
      <c r="F284" s="66">
        <f t="array" ref="F284">IF(B284="",0,INDEX('Bán nhanh'!$D$4:$M$103,INT((ROW()-4)/10)+1,MOD(ROW()-4,10)+1))</f>
        <v>0</v>
      </c>
      <c r="G284" s="46">
        <f t="array" ref="G284">IFERROR(INDEX('Sản phẩm'!$F$4:$F$103,MATCH(B284,'Sản phẩm'!$D$4:$D$103,0)),0)</f>
        <v>0</v>
      </c>
      <c r="H284" s="67">
        <f t="shared" si="5"/>
        <v>0</v>
      </c>
      <c r="I284" s="46">
        <f t="shared" si="1"/>
        <v>0</v>
      </c>
      <c r="J284" s="46">
        <f t="array" ref="J284">IFERROR(INDEX('Sản phẩm'!$G$4:$G$103,MATCH(B284,'Sản phẩm'!$D$4:$D$103,0)),0)</f>
        <v>0</v>
      </c>
      <c r="K284" s="46">
        <f t="array" ref="K284">IFERROR(J284*INDEX('Mẻ sữa'!$N$4:$N$203,MATCH(D284,'Mẻ sữa'!$C$4:$C$203,0)),0)</f>
        <v>0</v>
      </c>
      <c r="L284" s="46">
        <f t="array" ref="L284">IFERROR(INDEX('Sản phẩm'!$I$4:$I$103,MATCH(B284,'Sản phẩm'!$D$4:$D$103,0)),0)</f>
        <v>0</v>
      </c>
      <c r="M284" s="72" t="str">
        <f t="array" ref="M284">IFERROR(INDEX('Sản phẩm'!$J$4:$J$103,MATCH(B284,'Sản phẩm'!$D$4:$D$103,0)),0)</f>
        <v/>
      </c>
      <c r="N284" s="46">
        <f>IF(B284="",0,(K284+L284+M284)*'Thiết lập'!$B$8)</f>
        <v>0</v>
      </c>
      <c r="O284" s="46">
        <f t="shared" si="2"/>
        <v>0</v>
      </c>
      <c r="P284" s="46">
        <f t="shared" si="3"/>
        <v>0</v>
      </c>
      <c r="Q284" s="46">
        <f t="shared" si="4"/>
        <v>0</v>
      </c>
      <c r="R284" s="71" t="str">
        <f t="array" ref="R284">IF(B284="","",INDEX('Bán nhanh'!$C$4:$C$103,INT((ROW()-4)/10)+1))</f>
        <v/>
      </c>
      <c r="S284" s="71" t="str">
        <f t="array" ref="S284">IF(B284="","",INDEX('Bán nhanh'!$P$4:$P$103,INT((ROW()-4)/10)+1))</f>
        <v/>
      </c>
      <c r="T284" s="58"/>
      <c r="U284" s="36"/>
      <c r="V284" s="36"/>
      <c r="W284" s="58"/>
      <c r="X284" s="36"/>
      <c r="Y284" s="36"/>
      <c r="Z284" s="36"/>
    </row>
    <row r="285" ht="15.75" customHeight="1">
      <c r="A285" s="70" t="str">
        <f t="array" ref="A285">IF(B285="","",INDEX('Bán nhanh'!$A$4:$A$103,INT((ROW()-4)/10)+1))</f>
        <v/>
      </c>
      <c r="B285" s="71" t="str">
        <f t="array" ref="B285">IF(OR(INDEX('Bán nhanh'!$D$3:$M$3,1,MOD(ROW()-4,10)+1)="",INDEX('Bán nhanh'!$D$4:$M$103,INT((ROW()-4)/10)+1,MOD(ROW()-4,10)+1)&lt;=0),"",INDEX('Bán nhanh'!$D$3:$M$3,1,MOD(ROW()-4,10)+1))</f>
        <v/>
      </c>
      <c r="C285" s="58" t="str">
        <f t="array" ref="C285">IFERROR(INDEX('Sản phẩm'!$A$4:$A$103,MATCH(B285,'Sản phẩm'!$D$4:$D$103,0)),"")</f>
        <v/>
      </c>
      <c r="D285" s="71" t="str">
        <f t="array" ref="D285">IF(B285="","",INDEX('Bán nhanh'!$B$4:$B$103,INT((ROW()-4)/10)+1))</f>
        <v/>
      </c>
      <c r="E285" s="58" t="str">
        <f t="array" ref="E285">IFERROR(INDEX('Mẻ sữa'!$B$4:$B$203,MATCH(D285,'Mẻ sữa'!$C$4:$C$203,0)),"")</f>
        <v/>
      </c>
      <c r="F285" s="66">
        <f t="array" ref="F285">IF(B285="",0,INDEX('Bán nhanh'!$D$4:$M$103,INT((ROW()-4)/10)+1,MOD(ROW()-4,10)+1))</f>
        <v>0</v>
      </c>
      <c r="G285" s="46">
        <f t="array" ref="G285">IFERROR(INDEX('Sản phẩm'!$F$4:$F$103,MATCH(B285,'Sản phẩm'!$D$4:$D$103,0)),0)</f>
        <v>0</v>
      </c>
      <c r="H285" s="67">
        <f t="shared" si="5"/>
        <v>0</v>
      </c>
      <c r="I285" s="46">
        <f t="shared" si="1"/>
        <v>0</v>
      </c>
      <c r="J285" s="46">
        <f t="array" ref="J285">IFERROR(INDEX('Sản phẩm'!$G$4:$G$103,MATCH(B285,'Sản phẩm'!$D$4:$D$103,0)),0)</f>
        <v>0</v>
      </c>
      <c r="K285" s="46">
        <f t="array" ref="K285">IFERROR(J285*INDEX('Mẻ sữa'!$N$4:$N$203,MATCH(D285,'Mẻ sữa'!$C$4:$C$203,0)),0)</f>
        <v>0</v>
      </c>
      <c r="L285" s="46">
        <f t="array" ref="L285">IFERROR(INDEX('Sản phẩm'!$I$4:$I$103,MATCH(B285,'Sản phẩm'!$D$4:$D$103,0)),0)</f>
        <v>0</v>
      </c>
      <c r="M285" s="72" t="str">
        <f t="array" ref="M285">IFERROR(INDEX('Sản phẩm'!$J$4:$J$103,MATCH(B285,'Sản phẩm'!$D$4:$D$103,0)),0)</f>
        <v/>
      </c>
      <c r="N285" s="46">
        <f>IF(B285="",0,(K285+L285+M285)*'Thiết lập'!$B$8)</f>
        <v>0</v>
      </c>
      <c r="O285" s="46">
        <f t="shared" si="2"/>
        <v>0</v>
      </c>
      <c r="P285" s="46">
        <f t="shared" si="3"/>
        <v>0</v>
      </c>
      <c r="Q285" s="46">
        <f t="shared" si="4"/>
        <v>0</v>
      </c>
      <c r="R285" s="71" t="str">
        <f t="array" ref="R285">IF(B285="","",INDEX('Bán nhanh'!$C$4:$C$103,INT((ROW()-4)/10)+1))</f>
        <v/>
      </c>
      <c r="S285" s="71" t="str">
        <f t="array" ref="S285">IF(B285="","",INDEX('Bán nhanh'!$P$4:$P$103,INT((ROW()-4)/10)+1))</f>
        <v/>
      </c>
      <c r="T285" s="58"/>
      <c r="U285" s="36"/>
      <c r="V285" s="36"/>
      <c r="W285" s="58"/>
      <c r="X285" s="36"/>
      <c r="Y285" s="36"/>
      <c r="Z285" s="36"/>
    </row>
    <row r="286" ht="15.75" customHeight="1">
      <c r="A286" s="70" t="str">
        <f t="array" ref="A286">IF(B286="","",INDEX('Bán nhanh'!$A$4:$A$103,INT((ROW()-4)/10)+1))</f>
        <v/>
      </c>
      <c r="B286" s="71" t="str">
        <f t="array" ref="B286">IF(OR(INDEX('Bán nhanh'!$D$3:$M$3,1,MOD(ROW()-4,10)+1)="",INDEX('Bán nhanh'!$D$4:$M$103,INT((ROW()-4)/10)+1,MOD(ROW()-4,10)+1)&lt;=0),"",INDEX('Bán nhanh'!$D$3:$M$3,1,MOD(ROW()-4,10)+1))</f>
        <v/>
      </c>
      <c r="C286" s="58" t="str">
        <f t="array" ref="C286">IFERROR(INDEX('Sản phẩm'!$A$4:$A$103,MATCH(B286,'Sản phẩm'!$D$4:$D$103,0)),"")</f>
        <v/>
      </c>
      <c r="D286" s="71" t="str">
        <f t="array" ref="D286">IF(B286="","",INDEX('Bán nhanh'!$B$4:$B$103,INT((ROW()-4)/10)+1))</f>
        <v/>
      </c>
      <c r="E286" s="58" t="str">
        <f t="array" ref="E286">IFERROR(INDEX('Mẻ sữa'!$B$4:$B$203,MATCH(D286,'Mẻ sữa'!$C$4:$C$203,0)),"")</f>
        <v/>
      </c>
      <c r="F286" s="66">
        <f t="array" ref="F286">IF(B286="",0,INDEX('Bán nhanh'!$D$4:$M$103,INT((ROW()-4)/10)+1,MOD(ROW()-4,10)+1))</f>
        <v>0</v>
      </c>
      <c r="G286" s="46">
        <f t="array" ref="G286">IFERROR(INDEX('Sản phẩm'!$F$4:$F$103,MATCH(B286,'Sản phẩm'!$D$4:$D$103,0)),0)</f>
        <v>0</v>
      </c>
      <c r="H286" s="67">
        <f t="shared" si="5"/>
        <v>0</v>
      </c>
      <c r="I286" s="46">
        <f t="shared" si="1"/>
        <v>0</v>
      </c>
      <c r="J286" s="46">
        <f t="array" ref="J286">IFERROR(INDEX('Sản phẩm'!$G$4:$G$103,MATCH(B286,'Sản phẩm'!$D$4:$D$103,0)),0)</f>
        <v>0</v>
      </c>
      <c r="K286" s="46">
        <f t="array" ref="K286">IFERROR(J286*INDEX('Mẻ sữa'!$N$4:$N$203,MATCH(D286,'Mẻ sữa'!$C$4:$C$203,0)),0)</f>
        <v>0</v>
      </c>
      <c r="L286" s="46">
        <f t="array" ref="L286">IFERROR(INDEX('Sản phẩm'!$I$4:$I$103,MATCH(B286,'Sản phẩm'!$D$4:$D$103,0)),0)</f>
        <v>0</v>
      </c>
      <c r="M286" s="72" t="str">
        <f t="array" ref="M286">IFERROR(INDEX('Sản phẩm'!$J$4:$J$103,MATCH(B286,'Sản phẩm'!$D$4:$D$103,0)),0)</f>
        <v/>
      </c>
      <c r="N286" s="46">
        <f>IF(B286="",0,(K286+L286+M286)*'Thiết lập'!$B$8)</f>
        <v>0</v>
      </c>
      <c r="O286" s="46">
        <f t="shared" si="2"/>
        <v>0</v>
      </c>
      <c r="P286" s="46">
        <f t="shared" si="3"/>
        <v>0</v>
      </c>
      <c r="Q286" s="46">
        <f t="shared" si="4"/>
        <v>0</v>
      </c>
      <c r="R286" s="71" t="str">
        <f t="array" ref="R286">IF(B286="","",INDEX('Bán nhanh'!$C$4:$C$103,INT((ROW()-4)/10)+1))</f>
        <v/>
      </c>
      <c r="S286" s="71" t="str">
        <f t="array" ref="S286">IF(B286="","",INDEX('Bán nhanh'!$P$4:$P$103,INT((ROW()-4)/10)+1))</f>
        <v/>
      </c>
      <c r="T286" s="58"/>
      <c r="U286" s="36"/>
      <c r="V286" s="36"/>
      <c r="W286" s="58"/>
      <c r="X286" s="36"/>
      <c r="Y286" s="36"/>
      <c r="Z286" s="36"/>
    </row>
    <row r="287" ht="15.75" customHeight="1">
      <c r="A287" s="70" t="str">
        <f t="array" ref="A287">IF(B287="","",INDEX('Bán nhanh'!$A$4:$A$103,INT((ROW()-4)/10)+1))</f>
        <v/>
      </c>
      <c r="B287" s="71" t="str">
        <f t="array" ref="B287">IF(OR(INDEX('Bán nhanh'!$D$3:$M$3,1,MOD(ROW()-4,10)+1)="",INDEX('Bán nhanh'!$D$4:$M$103,INT((ROW()-4)/10)+1,MOD(ROW()-4,10)+1)&lt;=0),"",INDEX('Bán nhanh'!$D$3:$M$3,1,MOD(ROW()-4,10)+1))</f>
        <v/>
      </c>
      <c r="C287" s="58" t="str">
        <f t="array" ref="C287">IFERROR(INDEX('Sản phẩm'!$A$4:$A$103,MATCH(B287,'Sản phẩm'!$D$4:$D$103,0)),"")</f>
        <v/>
      </c>
      <c r="D287" s="71" t="str">
        <f t="array" ref="D287">IF(B287="","",INDEX('Bán nhanh'!$B$4:$B$103,INT((ROW()-4)/10)+1))</f>
        <v/>
      </c>
      <c r="E287" s="58" t="str">
        <f t="array" ref="E287">IFERROR(INDEX('Mẻ sữa'!$B$4:$B$203,MATCH(D287,'Mẻ sữa'!$C$4:$C$203,0)),"")</f>
        <v/>
      </c>
      <c r="F287" s="66">
        <f t="array" ref="F287">IF(B287="",0,INDEX('Bán nhanh'!$D$4:$M$103,INT((ROW()-4)/10)+1,MOD(ROW()-4,10)+1))</f>
        <v>0</v>
      </c>
      <c r="G287" s="46">
        <f t="array" ref="G287">IFERROR(INDEX('Sản phẩm'!$F$4:$F$103,MATCH(B287,'Sản phẩm'!$D$4:$D$103,0)),0)</f>
        <v>0</v>
      </c>
      <c r="H287" s="67">
        <f t="shared" si="5"/>
        <v>0</v>
      </c>
      <c r="I287" s="46">
        <f t="shared" si="1"/>
        <v>0</v>
      </c>
      <c r="J287" s="46">
        <f t="array" ref="J287">IFERROR(INDEX('Sản phẩm'!$G$4:$G$103,MATCH(B287,'Sản phẩm'!$D$4:$D$103,0)),0)</f>
        <v>0</v>
      </c>
      <c r="K287" s="46">
        <f t="array" ref="K287">IFERROR(J287*INDEX('Mẻ sữa'!$N$4:$N$203,MATCH(D287,'Mẻ sữa'!$C$4:$C$203,0)),0)</f>
        <v>0</v>
      </c>
      <c r="L287" s="46">
        <f t="array" ref="L287">IFERROR(INDEX('Sản phẩm'!$I$4:$I$103,MATCH(B287,'Sản phẩm'!$D$4:$D$103,0)),0)</f>
        <v>0</v>
      </c>
      <c r="M287" s="72" t="str">
        <f t="array" ref="M287">IFERROR(INDEX('Sản phẩm'!$J$4:$J$103,MATCH(B287,'Sản phẩm'!$D$4:$D$103,0)),0)</f>
        <v/>
      </c>
      <c r="N287" s="46">
        <f>IF(B287="",0,(K287+L287+M287)*'Thiết lập'!$B$8)</f>
        <v>0</v>
      </c>
      <c r="O287" s="46">
        <f t="shared" si="2"/>
        <v>0</v>
      </c>
      <c r="P287" s="46">
        <f t="shared" si="3"/>
        <v>0</v>
      </c>
      <c r="Q287" s="46">
        <f t="shared" si="4"/>
        <v>0</v>
      </c>
      <c r="R287" s="71" t="str">
        <f t="array" ref="R287">IF(B287="","",INDEX('Bán nhanh'!$C$4:$C$103,INT((ROW()-4)/10)+1))</f>
        <v/>
      </c>
      <c r="S287" s="71" t="str">
        <f t="array" ref="S287">IF(B287="","",INDEX('Bán nhanh'!$P$4:$P$103,INT((ROW()-4)/10)+1))</f>
        <v/>
      </c>
      <c r="T287" s="58"/>
      <c r="U287" s="36"/>
      <c r="V287" s="36"/>
      <c r="W287" s="58"/>
      <c r="X287" s="36"/>
      <c r="Y287" s="36"/>
      <c r="Z287" s="36"/>
    </row>
    <row r="288" ht="15.75" customHeight="1">
      <c r="A288" s="70" t="str">
        <f t="array" ref="A288">IF(B288="","",INDEX('Bán nhanh'!$A$4:$A$103,INT((ROW()-4)/10)+1))</f>
        <v/>
      </c>
      <c r="B288" s="71" t="str">
        <f t="array" ref="B288">IF(OR(INDEX('Bán nhanh'!$D$3:$M$3,1,MOD(ROW()-4,10)+1)="",INDEX('Bán nhanh'!$D$4:$M$103,INT((ROW()-4)/10)+1,MOD(ROW()-4,10)+1)&lt;=0),"",INDEX('Bán nhanh'!$D$3:$M$3,1,MOD(ROW()-4,10)+1))</f>
        <v/>
      </c>
      <c r="C288" s="58" t="str">
        <f t="array" ref="C288">IFERROR(INDEX('Sản phẩm'!$A$4:$A$103,MATCH(B288,'Sản phẩm'!$D$4:$D$103,0)),"")</f>
        <v/>
      </c>
      <c r="D288" s="71" t="str">
        <f t="array" ref="D288">IF(B288="","",INDEX('Bán nhanh'!$B$4:$B$103,INT((ROW()-4)/10)+1))</f>
        <v/>
      </c>
      <c r="E288" s="58" t="str">
        <f t="array" ref="E288">IFERROR(INDEX('Mẻ sữa'!$B$4:$B$203,MATCH(D288,'Mẻ sữa'!$C$4:$C$203,0)),"")</f>
        <v/>
      </c>
      <c r="F288" s="66">
        <f t="array" ref="F288">IF(B288="",0,INDEX('Bán nhanh'!$D$4:$M$103,INT((ROW()-4)/10)+1,MOD(ROW()-4,10)+1))</f>
        <v>0</v>
      </c>
      <c r="G288" s="46">
        <f t="array" ref="G288">IFERROR(INDEX('Sản phẩm'!$F$4:$F$103,MATCH(B288,'Sản phẩm'!$D$4:$D$103,0)),0)</f>
        <v>0</v>
      </c>
      <c r="H288" s="67">
        <f t="shared" si="5"/>
        <v>0</v>
      </c>
      <c r="I288" s="46">
        <f t="shared" si="1"/>
        <v>0</v>
      </c>
      <c r="J288" s="46">
        <f t="array" ref="J288">IFERROR(INDEX('Sản phẩm'!$G$4:$G$103,MATCH(B288,'Sản phẩm'!$D$4:$D$103,0)),0)</f>
        <v>0</v>
      </c>
      <c r="K288" s="46">
        <f t="array" ref="K288">IFERROR(J288*INDEX('Mẻ sữa'!$N$4:$N$203,MATCH(D288,'Mẻ sữa'!$C$4:$C$203,0)),0)</f>
        <v>0</v>
      </c>
      <c r="L288" s="46">
        <f t="array" ref="L288">IFERROR(INDEX('Sản phẩm'!$I$4:$I$103,MATCH(B288,'Sản phẩm'!$D$4:$D$103,0)),0)</f>
        <v>0</v>
      </c>
      <c r="M288" s="72" t="str">
        <f t="array" ref="M288">IFERROR(INDEX('Sản phẩm'!$J$4:$J$103,MATCH(B288,'Sản phẩm'!$D$4:$D$103,0)),0)</f>
        <v/>
      </c>
      <c r="N288" s="46">
        <f>IF(B288="",0,(K288+L288+M288)*'Thiết lập'!$B$8)</f>
        <v>0</v>
      </c>
      <c r="O288" s="46">
        <f t="shared" si="2"/>
        <v>0</v>
      </c>
      <c r="P288" s="46">
        <f t="shared" si="3"/>
        <v>0</v>
      </c>
      <c r="Q288" s="46">
        <f t="shared" si="4"/>
        <v>0</v>
      </c>
      <c r="R288" s="71" t="str">
        <f t="array" ref="R288">IF(B288="","",INDEX('Bán nhanh'!$C$4:$C$103,INT((ROW()-4)/10)+1))</f>
        <v/>
      </c>
      <c r="S288" s="71" t="str">
        <f t="array" ref="S288">IF(B288="","",INDEX('Bán nhanh'!$P$4:$P$103,INT((ROW()-4)/10)+1))</f>
        <v/>
      </c>
      <c r="T288" s="58"/>
      <c r="U288" s="36"/>
      <c r="V288" s="36"/>
      <c r="W288" s="58"/>
      <c r="X288" s="36"/>
      <c r="Y288" s="36"/>
      <c r="Z288" s="36"/>
    </row>
    <row r="289" ht="15.75" customHeight="1">
      <c r="A289" s="70" t="str">
        <f t="array" ref="A289">IF(B289="","",INDEX('Bán nhanh'!$A$4:$A$103,INT((ROW()-4)/10)+1))</f>
        <v/>
      </c>
      <c r="B289" s="71" t="str">
        <f t="array" ref="B289">IF(OR(INDEX('Bán nhanh'!$D$3:$M$3,1,MOD(ROW()-4,10)+1)="",INDEX('Bán nhanh'!$D$4:$M$103,INT((ROW()-4)/10)+1,MOD(ROW()-4,10)+1)&lt;=0),"",INDEX('Bán nhanh'!$D$3:$M$3,1,MOD(ROW()-4,10)+1))</f>
        <v/>
      </c>
      <c r="C289" s="58" t="str">
        <f t="array" ref="C289">IFERROR(INDEX('Sản phẩm'!$A$4:$A$103,MATCH(B289,'Sản phẩm'!$D$4:$D$103,0)),"")</f>
        <v/>
      </c>
      <c r="D289" s="71" t="str">
        <f t="array" ref="D289">IF(B289="","",INDEX('Bán nhanh'!$B$4:$B$103,INT((ROW()-4)/10)+1))</f>
        <v/>
      </c>
      <c r="E289" s="58" t="str">
        <f t="array" ref="E289">IFERROR(INDEX('Mẻ sữa'!$B$4:$B$203,MATCH(D289,'Mẻ sữa'!$C$4:$C$203,0)),"")</f>
        <v/>
      </c>
      <c r="F289" s="66">
        <f t="array" ref="F289">IF(B289="",0,INDEX('Bán nhanh'!$D$4:$M$103,INT((ROW()-4)/10)+1,MOD(ROW()-4,10)+1))</f>
        <v>0</v>
      </c>
      <c r="G289" s="46">
        <f t="array" ref="G289">IFERROR(INDEX('Sản phẩm'!$F$4:$F$103,MATCH(B289,'Sản phẩm'!$D$4:$D$103,0)),0)</f>
        <v>0</v>
      </c>
      <c r="H289" s="67">
        <f t="shared" si="5"/>
        <v>0</v>
      </c>
      <c r="I289" s="46">
        <f t="shared" si="1"/>
        <v>0</v>
      </c>
      <c r="J289" s="46">
        <f t="array" ref="J289">IFERROR(INDEX('Sản phẩm'!$G$4:$G$103,MATCH(B289,'Sản phẩm'!$D$4:$D$103,0)),0)</f>
        <v>0</v>
      </c>
      <c r="K289" s="46">
        <f t="array" ref="K289">IFERROR(J289*INDEX('Mẻ sữa'!$N$4:$N$203,MATCH(D289,'Mẻ sữa'!$C$4:$C$203,0)),0)</f>
        <v>0</v>
      </c>
      <c r="L289" s="46">
        <f t="array" ref="L289">IFERROR(INDEX('Sản phẩm'!$I$4:$I$103,MATCH(B289,'Sản phẩm'!$D$4:$D$103,0)),0)</f>
        <v>0</v>
      </c>
      <c r="M289" s="72" t="str">
        <f t="array" ref="M289">IFERROR(INDEX('Sản phẩm'!$J$4:$J$103,MATCH(B289,'Sản phẩm'!$D$4:$D$103,0)),0)</f>
        <v/>
      </c>
      <c r="N289" s="46">
        <f>IF(B289="",0,(K289+L289+M289)*'Thiết lập'!$B$8)</f>
        <v>0</v>
      </c>
      <c r="O289" s="46">
        <f t="shared" si="2"/>
        <v>0</v>
      </c>
      <c r="P289" s="46">
        <f t="shared" si="3"/>
        <v>0</v>
      </c>
      <c r="Q289" s="46">
        <f t="shared" si="4"/>
        <v>0</v>
      </c>
      <c r="R289" s="71" t="str">
        <f t="array" ref="R289">IF(B289="","",INDEX('Bán nhanh'!$C$4:$C$103,INT((ROW()-4)/10)+1))</f>
        <v/>
      </c>
      <c r="S289" s="71" t="str">
        <f t="array" ref="S289">IF(B289="","",INDEX('Bán nhanh'!$P$4:$P$103,INT((ROW()-4)/10)+1))</f>
        <v/>
      </c>
      <c r="T289" s="58"/>
      <c r="U289" s="36"/>
      <c r="V289" s="36"/>
      <c r="W289" s="58"/>
      <c r="X289" s="36"/>
      <c r="Y289" s="36"/>
      <c r="Z289" s="36"/>
    </row>
    <row r="290" ht="15.75" customHeight="1">
      <c r="A290" s="70" t="str">
        <f t="array" ref="A290">IF(B290="","",INDEX('Bán nhanh'!$A$4:$A$103,INT((ROW()-4)/10)+1))</f>
        <v/>
      </c>
      <c r="B290" s="71" t="str">
        <f t="array" ref="B290">IF(OR(INDEX('Bán nhanh'!$D$3:$M$3,1,MOD(ROW()-4,10)+1)="",INDEX('Bán nhanh'!$D$4:$M$103,INT((ROW()-4)/10)+1,MOD(ROW()-4,10)+1)&lt;=0),"",INDEX('Bán nhanh'!$D$3:$M$3,1,MOD(ROW()-4,10)+1))</f>
        <v/>
      </c>
      <c r="C290" s="58" t="str">
        <f t="array" ref="C290">IFERROR(INDEX('Sản phẩm'!$A$4:$A$103,MATCH(B290,'Sản phẩm'!$D$4:$D$103,0)),"")</f>
        <v/>
      </c>
      <c r="D290" s="71" t="str">
        <f t="array" ref="D290">IF(B290="","",INDEX('Bán nhanh'!$B$4:$B$103,INT((ROW()-4)/10)+1))</f>
        <v/>
      </c>
      <c r="E290" s="58" t="str">
        <f t="array" ref="E290">IFERROR(INDEX('Mẻ sữa'!$B$4:$B$203,MATCH(D290,'Mẻ sữa'!$C$4:$C$203,0)),"")</f>
        <v/>
      </c>
      <c r="F290" s="66">
        <f t="array" ref="F290">IF(B290="",0,INDEX('Bán nhanh'!$D$4:$M$103,INT((ROW()-4)/10)+1,MOD(ROW()-4,10)+1))</f>
        <v>0</v>
      </c>
      <c r="G290" s="46">
        <f t="array" ref="G290">IFERROR(INDEX('Sản phẩm'!$F$4:$F$103,MATCH(B290,'Sản phẩm'!$D$4:$D$103,0)),0)</f>
        <v>0</v>
      </c>
      <c r="H290" s="67">
        <f t="shared" si="5"/>
        <v>0</v>
      </c>
      <c r="I290" s="46">
        <f t="shared" si="1"/>
        <v>0</v>
      </c>
      <c r="J290" s="46">
        <f t="array" ref="J290">IFERROR(INDEX('Sản phẩm'!$G$4:$G$103,MATCH(B290,'Sản phẩm'!$D$4:$D$103,0)),0)</f>
        <v>0</v>
      </c>
      <c r="K290" s="46">
        <f t="array" ref="K290">IFERROR(J290*INDEX('Mẻ sữa'!$N$4:$N$203,MATCH(D290,'Mẻ sữa'!$C$4:$C$203,0)),0)</f>
        <v>0</v>
      </c>
      <c r="L290" s="46">
        <f t="array" ref="L290">IFERROR(INDEX('Sản phẩm'!$I$4:$I$103,MATCH(B290,'Sản phẩm'!$D$4:$D$103,0)),0)</f>
        <v>0</v>
      </c>
      <c r="M290" s="72" t="str">
        <f t="array" ref="M290">IFERROR(INDEX('Sản phẩm'!$J$4:$J$103,MATCH(B290,'Sản phẩm'!$D$4:$D$103,0)),0)</f>
        <v/>
      </c>
      <c r="N290" s="46">
        <f>IF(B290="",0,(K290+L290+M290)*'Thiết lập'!$B$8)</f>
        <v>0</v>
      </c>
      <c r="O290" s="46">
        <f t="shared" si="2"/>
        <v>0</v>
      </c>
      <c r="P290" s="46">
        <f t="shared" si="3"/>
        <v>0</v>
      </c>
      <c r="Q290" s="46">
        <f t="shared" si="4"/>
        <v>0</v>
      </c>
      <c r="R290" s="71" t="str">
        <f t="array" ref="R290">IF(B290="","",INDEX('Bán nhanh'!$C$4:$C$103,INT((ROW()-4)/10)+1))</f>
        <v/>
      </c>
      <c r="S290" s="71" t="str">
        <f t="array" ref="S290">IF(B290="","",INDEX('Bán nhanh'!$P$4:$P$103,INT((ROW()-4)/10)+1))</f>
        <v/>
      </c>
      <c r="T290" s="58"/>
      <c r="U290" s="36"/>
      <c r="V290" s="36"/>
      <c r="W290" s="58"/>
      <c r="X290" s="36"/>
      <c r="Y290" s="36"/>
      <c r="Z290" s="36"/>
    </row>
    <row r="291" ht="15.75" customHeight="1">
      <c r="A291" s="70" t="str">
        <f t="array" ref="A291">IF(B291="","",INDEX('Bán nhanh'!$A$4:$A$103,INT((ROW()-4)/10)+1))</f>
        <v/>
      </c>
      <c r="B291" s="71" t="str">
        <f t="array" ref="B291">IF(OR(INDEX('Bán nhanh'!$D$3:$M$3,1,MOD(ROW()-4,10)+1)="",INDEX('Bán nhanh'!$D$4:$M$103,INT((ROW()-4)/10)+1,MOD(ROW()-4,10)+1)&lt;=0),"",INDEX('Bán nhanh'!$D$3:$M$3,1,MOD(ROW()-4,10)+1))</f>
        <v/>
      </c>
      <c r="C291" s="58" t="str">
        <f t="array" ref="C291">IFERROR(INDEX('Sản phẩm'!$A$4:$A$103,MATCH(B291,'Sản phẩm'!$D$4:$D$103,0)),"")</f>
        <v/>
      </c>
      <c r="D291" s="71" t="str">
        <f t="array" ref="D291">IF(B291="","",INDEX('Bán nhanh'!$B$4:$B$103,INT((ROW()-4)/10)+1))</f>
        <v/>
      </c>
      <c r="E291" s="58" t="str">
        <f t="array" ref="E291">IFERROR(INDEX('Mẻ sữa'!$B$4:$B$203,MATCH(D291,'Mẻ sữa'!$C$4:$C$203,0)),"")</f>
        <v/>
      </c>
      <c r="F291" s="66">
        <f t="array" ref="F291">IF(B291="",0,INDEX('Bán nhanh'!$D$4:$M$103,INT((ROW()-4)/10)+1,MOD(ROW()-4,10)+1))</f>
        <v>0</v>
      </c>
      <c r="G291" s="46">
        <f t="array" ref="G291">IFERROR(INDEX('Sản phẩm'!$F$4:$F$103,MATCH(B291,'Sản phẩm'!$D$4:$D$103,0)),0)</f>
        <v>0</v>
      </c>
      <c r="H291" s="67">
        <f t="shared" si="5"/>
        <v>0</v>
      </c>
      <c r="I291" s="46">
        <f t="shared" si="1"/>
        <v>0</v>
      </c>
      <c r="J291" s="46">
        <f t="array" ref="J291">IFERROR(INDEX('Sản phẩm'!$G$4:$G$103,MATCH(B291,'Sản phẩm'!$D$4:$D$103,0)),0)</f>
        <v>0</v>
      </c>
      <c r="K291" s="46">
        <f t="array" ref="K291">IFERROR(J291*INDEX('Mẻ sữa'!$N$4:$N$203,MATCH(D291,'Mẻ sữa'!$C$4:$C$203,0)),0)</f>
        <v>0</v>
      </c>
      <c r="L291" s="46">
        <f t="array" ref="L291">IFERROR(INDEX('Sản phẩm'!$I$4:$I$103,MATCH(B291,'Sản phẩm'!$D$4:$D$103,0)),0)</f>
        <v>0</v>
      </c>
      <c r="M291" s="72" t="str">
        <f t="array" ref="M291">IFERROR(INDEX('Sản phẩm'!$J$4:$J$103,MATCH(B291,'Sản phẩm'!$D$4:$D$103,0)),0)</f>
        <v/>
      </c>
      <c r="N291" s="46">
        <f>IF(B291="",0,(K291+L291+M291)*'Thiết lập'!$B$8)</f>
        <v>0</v>
      </c>
      <c r="O291" s="46">
        <f t="shared" si="2"/>
        <v>0</v>
      </c>
      <c r="P291" s="46">
        <f t="shared" si="3"/>
        <v>0</v>
      </c>
      <c r="Q291" s="46">
        <f t="shared" si="4"/>
        <v>0</v>
      </c>
      <c r="R291" s="71" t="str">
        <f t="array" ref="R291">IF(B291="","",INDEX('Bán nhanh'!$C$4:$C$103,INT((ROW()-4)/10)+1))</f>
        <v/>
      </c>
      <c r="S291" s="71" t="str">
        <f t="array" ref="S291">IF(B291="","",INDEX('Bán nhanh'!$P$4:$P$103,INT((ROW()-4)/10)+1))</f>
        <v/>
      </c>
      <c r="T291" s="58"/>
      <c r="U291" s="36"/>
      <c r="V291" s="36"/>
      <c r="W291" s="58"/>
      <c r="X291" s="36"/>
      <c r="Y291" s="36"/>
      <c r="Z291" s="36"/>
    </row>
    <row r="292" ht="15.75" customHeight="1">
      <c r="A292" s="70" t="str">
        <f t="array" ref="A292">IF(B292="","",INDEX('Bán nhanh'!$A$4:$A$103,INT((ROW()-4)/10)+1))</f>
        <v/>
      </c>
      <c r="B292" s="71" t="str">
        <f t="array" ref="B292">IF(OR(INDEX('Bán nhanh'!$D$3:$M$3,1,MOD(ROW()-4,10)+1)="",INDEX('Bán nhanh'!$D$4:$M$103,INT((ROW()-4)/10)+1,MOD(ROW()-4,10)+1)&lt;=0),"",INDEX('Bán nhanh'!$D$3:$M$3,1,MOD(ROW()-4,10)+1))</f>
        <v/>
      </c>
      <c r="C292" s="58" t="str">
        <f t="array" ref="C292">IFERROR(INDEX('Sản phẩm'!$A$4:$A$103,MATCH(B292,'Sản phẩm'!$D$4:$D$103,0)),"")</f>
        <v/>
      </c>
      <c r="D292" s="71" t="str">
        <f t="array" ref="D292">IF(B292="","",INDEX('Bán nhanh'!$B$4:$B$103,INT((ROW()-4)/10)+1))</f>
        <v/>
      </c>
      <c r="E292" s="58" t="str">
        <f t="array" ref="E292">IFERROR(INDEX('Mẻ sữa'!$B$4:$B$203,MATCH(D292,'Mẻ sữa'!$C$4:$C$203,0)),"")</f>
        <v/>
      </c>
      <c r="F292" s="66">
        <f t="array" ref="F292">IF(B292="",0,INDEX('Bán nhanh'!$D$4:$M$103,INT((ROW()-4)/10)+1,MOD(ROW()-4,10)+1))</f>
        <v>0</v>
      </c>
      <c r="G292" s="46">
        <f t="array" ref="G292">IFERROR(INDEX('Sản phẩm'!$F$4:$F$103,MATCH(B292,'Sản phẩm'!$D$4:$D$103,0)),0)</f>
        <v>0</v>
      </c>
      <c r="H292" s="67">
        <f t="shared" si="5"/>
        <v>0</v>
      </c>
      <c r="I292" s="46">
        <f t="shared" si="1"/>
        <v>0</v>
      </c>
      <c r="J292" s="46">
        <f t="array" ref="J292">IFERROR(INDEX('Sản phẩm'!$G$4:$G$103,MATCH(B292,'Sản phẩm'!$D$4:$D$103,0)),0)</f>
        <v>0</v>
      </c>
      <c r="K292" s="46">
        <f t="array" ref="K292">IFERROR(J292*INDEX('Mẻ sữa'!$N$4:$N$203,MATCH(D292,'Mẻ sữa'!$C$4:$C$203,0)),0)</f>
        <v>0</v>
      </c>
      <c r="L292" s="46">
        <f t="array" ref="L292">IFERROR(INDEX('Sản phẩm'!$I$4:$I$103,MATCH(B292,'Sản phẩm'!$D$4:$D$103,0)),0)</f>
        <v>0</v>
      </c>
      <c r="M292" s="72" t="str">
        <f t="array" ref="M292">IFERROR(INDEX('Sản phẩm'!$J$4:$J$103,MATCH(B292,'Sản phẩm'!$D$4:$D$103,0)),0)</f>
        <v/>
      </c>
      <c r="N292" s="46">
        <f>IF(B292="",0,(K292+L292+M292)*'Thiết lập'!$B$8)</f>
        <v>0</v>
      </c>
      <c r="O292" s="46">
        <f t="shared" si="2"/>
        <v>0</v>
      </c>
      <c r="P292" s="46">
        <f t="shared" si="3"/>
        <v>0</v>
      </c>
      <c r="Q292" s="46">
        <f t="shared" si="4"/>
        <v>0</v>
      </c>
      <c r="R292" s="71" t="str">
        <f t="array" ref="R292">IF(B292="","",INDEX('Bán nhanh'!$C$4:$C$103,INT((ROW()-4)/10)+1))</f>
        <v/>
      </c>
      <c r="S292" s="71" t="str">
        <f t="array" ref="S292">IF(B292="","",INDEX('Bán nhanh'!$P$4:$P$103,INT((ROW()-4)/10)+1))</f>
        <v/>
      </c>
      <c r="T292" s="58"/>
      <c r="U292" s="36"/>
      <c r="V292" s="36"/>
      <c r="W292" s="58"/>
      <c r="X292" s="36"/>
      <c r="Y292" s="36"/>
      <c r="Z292" s="36"/>
    </row>
    <row r="293" ht="15.75" customHeight="1">
      <c r="A293" s="70" t="str">
        <f t="array" ref="A293">IF(B293="","",INDEX('Bán nhanh'!$A$4:$A$103,INT((ROW()-4)/10)+1))</f>
        <v/>
      </c>
      <c r="B293" s="71" t="str">
        <f t="array" ref="B293">IF(OR(INDEX('Bán nhanh'!$D$3:$M$3,1,MOD(ROW()-4,10)+1)="",INDEX('Bán nhanh'!$D$4:$M$103,INT((ROW()-4)/10)+1,MOD(ROW()-4,10)+1)&lt;=0),"",INDEX('Bán nhanh'!$D$3:$M$3,1,MOD(ROW()-4,10)+1))</f>
        <v/>
      </c>
      <c r="C293" s="58" t="str">
        <f t="array" ref="C293">IFERROR(INDEX('Sản phẩm'!$A$4:$A$103,MATCH(B293,'Sản phẩm'!$D$4:$D$103,0)),"")</f>
        <v/>
      </c>
      <c r="D293" s="71" t="str">
        <f t="array" ref="D293">IF(B293="","",INDEX('Bán nhanh'!$B$4:$B$103,INT((ROW()-4)/10)+1))</f>
        <v/>
      </c>
      <c r="E293" s="58" t="str">
        <f t="array" ref="E293">IFERROR(INDEX('Mẻ sữa'!$B$4:$B$203,MATCH(D293,'Mẻ sữa'!$C$4:$C$203,0)),"")</f>
        <v/>
      </c>
      <c r="F293" s="66">
        <f t="array" ref="F293">IF(B293="",0,INDEX('Bán nhanh'!$D$4:$M$103,INT((ROW()-4)/10)+1,MOD(ROW()-4,10)+1))</f>
        <v>0</v>
      </c>
      <c r="G293" s="46">
        <f t="array" ref="G293">IFERROR(INDEX('Sản phẩm'!$F$4:$F$103,MATCH(B293,'Sản phẩm'!$D$4:$D$103,0)),0)</f>
        <v>0</v>
      </c>
      <c r="H293" s="67">
        <f t="shared" si="5"/>
        <v>0</v>
      </c>
      <c r="I293" s="46">
        <f t="shared" si="1"/>
        <v>0</v>
      </c>
      <c r="J293" s="46">
        <f t="array" ref="J293">IFERROR(INDEX('Sản phẩm'!$G$4:$G$103,MATCH(B293,'Sản phẩm'!$D$4:$D$103,0)),0)</f>
        <v>0</v>
      </c>
      <c r="K293" s="46">
        <f t="array" ref="K293">IFERROR(J293*INDEX('Mẻ sữa'!$N$4:$N$203,MATCH(D293,'Mẻ sữa'!$C$4:$C$203,0)),0)</f>
        <v>0</v>
      </c>
      <c r="L293" s="46">
        <f t="array" ref="L293">IFERROR(INDEX('Sản phẩm'!$I$4:$I$103,MATCH(B293,'Sản phẩm'!$D$4:$D$103,0)),0)</f>
        <v>0</v>
      </c>
      <c r="M293" s="72" t="str">
        <f t="array" ref="M293">IFERROR(INDEX('Sản phẩm'!$J$4:$J$103,MATCH(B293,'Sản phẩm'!$D$4:$D$103,0)),0)</f>
        <v/>
      </c>
      <c r="N293" s="46">
        <f>IF(B293="",0,(K293+L293+M293)*'Thiết lập'!$B$8)</f>
        <v>0</v>
      </c>
      <c r="O293" s="46">
        <f t="shared" si="2"/>
        <v>0</v>
      </c>
      <c r="P293" s="46">
        <f t="shared" si="3"/>
        <v>0</v>
      </c>
      <c r="Q293" s="46">
        <f t="shared" si="4"/>
        <v>0</v>
      </c>
      <c r="R293" s="71" t="str">
        <f t="array" ref="R293">IF(B293="","",INDEX('Bán nhanh'!$C$4:$C$103,INT((ROW()-4)/10)+1))</f>
        <v/>
      </c>
      <c r="S293" s="71" t="str">
        <f t="array" ref="S293">IF(B293="","",INDEX('Bán nhanh'!$P$4:$P$103,INT((ROW()-4)/10)+1))</f>
        <v/>
      </c>
      <c r="T293" s="58"/>
      <c r="U293" s="36"/>
      <c r="V293" s="36"/>
      <c r="W293" s="58"/>
      <c r="X293" s="36"/>
      <c r="Y293" s="36"/>
      <c r="Z293" s="36"/>
    </row>
    <row r="294" ht="15.75" customHeight="1">
      <c r="A294" s="70" t="str">
        <f t="array" ref="A294">IF(B294="","",INDEX('Bán nhanh'!$A$4:$A$103,INT((ROW()-4)/10)+1))</f>
        <v/>
      </c>
      <c r="B294" s="71" t="str">
        <f t="array" ref="B294">IF(OR(INDEX('Bán nhanh'!$D$3:$M$3,1,MOD(ROW()-4,10)+1)="",INDEX('Bán nhanh'!$D$4:$M$103,INT((ROW()-4)/10)+1,MOD(ROW()-4,10)+1)&lt;=0),"",INDEX('Bán nhanh'!$D$3:$M$3,1,MOD(ROW()-4,10)+1))</f>
        <v/>
      </c>
      <c r="C294" s="58" t="str">
        <f t="array" ref="C294">IFERROR(INDEX('Sản phẩm'!$A$4:$A$103,MATCH(B294,'Sản phẩm'!$D$4:$D$103,0)),"")</f>
        <v/>
      </c>
      <c r="D294" s="71" t="str">
        <f t="array" ref="D294">IF(B294="","",INDEX('Bán nhanh'!$B$4:$B$103,INT((ROW()-4)/10)+1))</f>
        <v/>
      </c>
      <c r="E294" s="58" t="str">
        <f t="array" ref="E294">IFERROR(INDEX('Mẻ sữa'!$B$4:$B$203,MATCH(D294,'Mẻ sữa'!$C$4:$C$203,0)),"")</f>
        <v/>
      </c>
      <c r="F294" s="66">
        <f t="array" ref="F294">IF(B294="",0,INDEX('Bán nhanh'!$D$4:$M$103,INT((ROW()-4)/10)+1,MOD(ROW()-4,10)+1))</f>
        <v>0</v>
      </c>
      <c r="G294" s="46">
        <f t="array" ref="G294">IFERROR(INDEX('Sản phẩm'!$F$4:$F$103,MATCH(B294,'Sản phẩm'!$D$4:$D$103,0)),0)</f>
        <v>0</v>
      </c>
      <c r="H294" s="67">
        <f t="shared" si="5"/>
        <v>0</v>
      </c>
      <c r="I294" s="46">
        <f t="shared" si="1"/>
        <v>0</v>
      </c>
      <c r="J294" s="46">
        <f t="array" ref="J294">IFERROR(INDEX('Sản phẩm'!$G$4:$G$103,MATCH(B294,'Sản phẩm'!$D$4:$D$103,0)),0)</f>
        <v>0</v>
      </c>
      <c r="K294" s="46">
        <f t="array" ref="K294">IFERROR(J294*INDEX('Mẻ sữa'!$N$4:$N$203,MATCH(D294,'Mẻ sữa'!$C$4:$C$203,0)),0)</f>
        <v>0</v>
      </c>
      <c r="L294" s="46">
        <f t="array" ref="L294">IFERROR(INDEX('Sản phẩm'!$I$4:$I$103,MATCH(B294,'Sản phẩm'!$D$4:$D$103,0)),0)</f>
        <v>0</v>
      </c>
      <c r="M294" s="72" t="str">
        <f t="array" ref="M294">IFERROR(INDEX('Sản phẩm'!$J$4:$J$103,MATCH(B294,'Sản phẩm'!$D$4:$D$103,0)),0)</f>
        <v/>
      </c>
      <c r="N294" s="46">
        <f>IF(B294="",0,(K294+L294+M294)*'Thiết lập'!$B$8)</f>
        <v>0</v>
      </c>
      <c r="O294" s="46">
        <f t="shared" si="2"/>
        <v>0</v>
      </c>
      <c r="P294" s="46">
        <f t="shared" si="3"/>
        <v>0</v>
      </c>
      <c r="Q294" s="46">
        <f t="shared" si="4"/>
        <v>0</v>
      </c>
      <c r="R294" s="71" t="str">
        <f t="array" ref="R294">IF(B294="","",INDEX('Bán nhanh'!$C$4:$C$103,INT((ROW()-4)/10)+1))</f>
        <v/>
      </c>
      <c r="S294" s="71" t="str">
        <f t="array" ref="S294">IF(B294="","",INDEX('Bán nhanh'!$P$4:$P$103,INT((ROW()-4)/10)+1))</f>
        <v/>
      </c>
      <c r="T294" s="58"/>
      <c r="U294" s="36"/>
      <c r="V294" s="36"/>
      <c r="W294" s="58"/>
      <c r="X294" s="36"/>
      <c r="Y294" s="36"/>
      <c r="Z294" s="36"/>
    </row>
    <row r="295" ht="15.75" customHeight="1">
      <c r="A295" s="70" t="str">
        <f t="array" ref="A295">IF(B295="","",INDEX('Bán nhanh'!$A$4:$A$103,INT((ROW()-4)/10)+1))</f>
        <v/>
      </c>
      <c r="B295" s="71" t="str">
        <f t="array" ref="B295">IF(OR(INDEX('Bán nhanh'!$D$3:$M$3,1,MOD(ROW()-4,10)+1)="",INDEX('Bán nhanh'!$D$4:$M$103,INT((ROW()-4)/10)+1,MOD(ROW()-4,10)+1)&lt;=0),"",INDEX('Bán nhanh'!$D$3:$M$3,1,MOD(ROW()-4,10)+1))</f>
        <v/>
      </c>
      <c r="C295" s="58" t="str">
        <f t="array" ref="C295">IFERROR(INDEX('Sản phẩm'!$A$4:$A$103,MATCH(B295,'Sản phẩm'!$D$4:$D$103,0)),"")</f>
        <v/>
      </c>
      <c r="D295" s="71" t="str">
        <f t="array" ref="D295">IF(B295="","",INDEX('Bán nhanh'!$B$4:$B$103,INT((ROW()-4)/10)+1))</f>
        <v/>
      </c>
      <c r="E295" s="58" t="str">
        <f t="array" ref="E295">IFERROR(INDEX('Mẻ sữa'!$B$4:$B$203,MATCH(D295,'Mẻ sữa'!$C$4:$C$203,0)),"")</f>
        <v/>
      </c>
      <c r="F295" s="66">
        <f t="array" ref="F295">IF(B295="",0,INDEX('Bán nhanh'!$D$4:$M$103,INT((ROW()-4)/10)+1,MOD(ROW()-4,10)+1))</f>
        <v>0</v>
      </c>
      <c r="G295" s="46">
        <f t="array" ref="G295">IFERROR(INDEX('Sản phẩm'!$F$4:$F$103,MATCH(B295,'Sản phẩm'!$D$4:$D$103,0)),0)</f>
        <v>0</v>
      </c>
      <c r="H295" s="67">
        <f t="shared" si="5"/>
        <v>0</v>
      </c>
      <c r="I295" s="46">
        <f t="shared" si="1"/>
        <v>0</v>
      </c>
      <c r="J295" s="46">
        <f t="array" ref="J295">IFERROR(INDEX('Sản phẩm'!$G$4:$G$103,MATCH(B295,'Sản phẩm'!$D$4:$D$103,0)),0)</f>
        <v>0</v>
      </c>
      <c r="K295" s="46">
        <f t="array" ref="K295">IFERROR(J295*INDEX('Mẻ sữa'!$N$4:$N$203,MATCH(D295,'Mẻ sữa'!$C$4:$C$203,0)),0)</f>
        <v>0</v>
      </c>
      <c r="L295" s="46">
        <f t="array" ref="L295">IFERROR(INDEX('Sản phẩm'!$I$4:$I$103,MATCH(B295,'Sản phẩm'!$D$4:$D$103,0)),0)</f>
        <v>0</v>
      </c>
      <c r="M295" s="72" t="str">
        <f t="array" ref="M295">IFERROR(INDEX('Sản phẩm'!$J$4:$J$103,MATCH(B295,'Sản phẩm'!$D$4:$D$103,0)),0)</f>
        <v/>
      </c>
      <c r="N295" s="46">
        <f>IF(B295="",0,(K295+L295+M295)*'Thiết lập'!$B$8)</f>
        <v>0</v>
      </c>
      <c r="O295" s="46">
        <f t="shared" si="2"/>
        <v>0</v>
      </c>
      <c r="P295" s="46">
        <f t="shared" si="3"/>
        <v>0</v>
      </c>
      <c r="Q295" s="46">
        <f t="shared" si="4"/>
        <v>0</v>
      </c>
      <c r="R295" s="71" t="str">
        <f t="array" ref="R295">IF(B295="","",INDEX('Bán nhanh'!$C$4:$C$103,INT((ROW()-4)/10)+1))</f>
        <v/>
      </c>
      <c r="S295" s="71" t="str">
        <f t="array" ref="S295">IF(B295="","",INDEX('Bán nhanh'!$P$4:$P$103,INT((ROW()-4)/10)+1))</f>
        <v/>
      </c>
      <c r="T295" s="58"/>
      <c r="U295" s="36"/>
      <c r="V295" s="36"/>
      <c r="W295" s="58"/>
      <c r="X295" s="36"/>
      <c r="Y295" s="36"/>
      <c r="Z295" s="36"/>
    </row>
    <row r="296" ht="15.75" customHeight="1">
      <c r="A296" s="70" t="str">
        <f t="array" ref="A296">IF(B296="","",INDEX('Bán nhanh'!$A$4:$A$103,INT((ROW()-4)/10)+1))</f>
        <v/>
      </c>
      <c r="B296" s="71" t="str">
        <f t="array" ref="B296">IF(OR(INDEX('Bán nhanh'!$D$3:$M$3,1,MOD(ROW()-4,10)+1)="",INDEX('Bán nhanh'!$D$4:$M$103,INT((ROW()-4)/10)+1,MOD(ROW()-4,10)+1)&lt;=0),"",INDEX('Bán nhanh'!$D$3:$M$3,1,MOD(ROW()-4,10)+1))</f>
        <v/>
      </c>
      <c r="C296" s="58" t="str">
        <f t="array" ref="C296">IFERROR(INDEX('Sản phẩm'!$A$4:$A$103,MATCH(B296,'Sản phẩm'!$D$4:$D$103,0)),"")</f>
        <v/>
      </c>
      <c r="D296" s="71" t="str">
        <f t="array" ref="D296">IF(B296="","",INDEX('Bán nhanh'!$B$4:$B$103,INT((ROW()-4)/10)+1))</f>
        <v/>
      </c>
      <c r="E296" s="58" t="str">
        <f t="array" ref="E296">IFERROR(INDEX('Mẻ sữa'!$B$4:$B$203,MATCH(D296,'Mẻ sữa'!$C$4:$C$203,0)),"")</f>
        <v/>
      </c>
      <c r="F296" s="66">
        <f t="array" ref="F296">IF(B296="",0,INDEX('Bán nhanh'!$D$4:$M$103,INT((ROW()-4)/10)+1,MOD(ROW()-4,10)+1))</f>
        <v>0</v>
      </c>
      <c r="G296" s="46">
        <f t="array" ref="G296">IFERROR(INDEX('Sản phẩm'!$F$4:$F$103,MATCH(B296,'Sản phẩm'!$D$4:$D$103,0)),0)</f>
        <v>0</v>
      </c>
      <c r="H296" s="67">
        <f t="shared" si="5"/>
        <v>0</v>
      </c>
      <c r="I296" s="46">
        <f t="shared" si="1"/>
        <v>0</v>
      </c>
      <c r="J296" s="46">
        <f t="array" ref="J296">IFERROR(INDEX('Sản phẩm'!$G$4:$G$103,MATCH(B296,'Sản phẩm'!$D$4:$D$103,0)),0)</f>
        <v>0</v>
      </c>
      <c r="K296" s="46">
        <f t="array" ref="K296">IFERROR(J296*INDEX('Mẻ sữa'!$N$4:$N$203,MATCH(D296,'Mẻ sữa'!$C$4:$C$203,0)),0)</f>
        <v>0</v>
      </c>
      <c r="L296" s="46">
        <f t="array" ref="L296">IFERROR(INDEX('Sản phẩm'!$I$4:$I$103,MATCH(B296,'Sản phẩm'!$D$4:$D$103,0)),0)</f>
        <v>0</v>
      </c>
      <c r="M296" s="72" t="str">
        <f t="array" ref="M296">IFERROR(INDEX('Sản phẩm'!$J$4:$J$103,MATCH(B296,'Sản phẩm'!$D$4:$D$103,0)),0)</f>
        <v/>
      </c>
      <c r="N296" s="46">
        <f>IF(B296="",0,(K296+L296+M296)*'Thiết lập'!$B$8)</f>
        <v>0</v>
      </c>
      <c r="O296" s="46">
        <f t="shared" si="2"/>
        <v>0</v>
      </c>
      <c r="P296" s="46">
        <f t="shared" si="3"/>
        <v>0</v>
      </c>
      <c r="Q296" s="46">
        <f t="shared" si="4"/>
        <v>0</v>
      </c>
      <c r="R296" s="71" t="str">
        <f t="array" ref="R296">IF(B296="","",INDEX('Bán nhanh'!$C$4:$C$103,INT((ROW()-4)/10)+1))</f>
        <v/>
      </c>
      <c r="S296" s="71" t="str">
        <f t="array" ref="S296">IF(B296="","",INDEX('Bán nhanh'!$P$4:$P$103,INT((ROW()-4)/10)+1))</f>
        <v/>
      </c>
      <c r="T296" s="58"/>
      <c r="U296" s="36"/>
      <c r="V296" s="36"/>
      <c r="W296" s="58"/>
      <c r="X296" s="36"/>
      <c r="Y296" s="36"/>
      <c r="Z296" s="36"/>
    </row>
    <row r="297" ht="15.75" customHeight="1">
      <c r="A297" s="70" t="str">
        <f t="array" ref="A297">IF(B297="","",INDEX('Bán nhanh'!$A$4:$A$103,INT((ROW()-4)/10)+1))</f>
        <v/>
      </c>
      <c r="B297" s="71" t="str">
        <f t="array" ref="B297">IF(OR(INDEX('Bán nhanh'!$D$3:$M$3,1,MOD(ROW()-4,10)+1)="",INDEX('Bán nhanh'!$D$4:$M$103,INT((ROW()-4)/10)+1,MOD(ROW()-4,10)+1)&lt;=0),"",INDEX('Bán nhanh'!$D$3:$M$3,1,MOD(ROW()-4,10)+1))</f>
        <v/>
      </c>
      <c r="C297" s="58" t="str">
        <f t="array" ref="C297">IFERROR(INDEX('Sản phẩm'!$A$4:$A$103,MATCH(B297,'Sản phẩm'!$D$4:$D$103,0)),"")</f>
        <v/>
      </c>
      <c r="D297" s="71" t="str">
        <f t="array" ref="D297">IF(B297="","",INDEX('Bán nhanh'!$B$4:$B$103,INT((ROW()-4)/10)+1))</f>
        <v/>
      </c>
      <c r="E297" s="58" t="str">
        <f t="array" ref="E297">IFERROR(INDEX('Mẻ sữa'!$B$4:$B$203,MATCH(D297,'Mẻ sữa'!$C$4:$C$203,0)),"")</f>
        <v/>
      </c>
      <c r="F297" s="66">
        <f t="array" ref="F297">IF(B297="",0,INDEX('Bán nhanh'!$D$4:$M$103,INT((ROW()-4)/10)+1,MOD(ROW()-4,10)+1))</f>
        <v>0</v>
      </c>
      <c r="G297" s="46">
        <f t="array" ref="G297">IFERROR(INDEX('Sản phẩm'!$F$4:$F$103,MATCH(B297,'Sản phẩm'!$D$4:$D$103,0)),0)</f>
        <v>0</v>
      </c>
      <c r="H297" s="67">
        <f t="shared" si="5"/>
        <v>0</v>
      </c>
      <c r="I297" s="46">
        <f t="shared" si="1"/>
        <v>0</v>
      </c>
      <c r="J297" s="46">
        <f t="array" ref="J297">IFERROR(INDEX('Sản phẩm'!$G$4:$G$103,MATCH(B297,'Sản phẩm'!$D$4:$D$103,0)),0)</f>
        <v>0</v>
      </c>
      <c r="K297" s="46">
        <f t="array" ref="K297">IFERROR(J297*INDEX('Mẻ sữa'!$N$4:$N$203,MATCH(D297,'Mẻ sữa'!$C$4:$C$203,0)),0)</f>
        <v>0</v>
      </c>
      <c r="L297" s="46">
        <f t="array" ref="L297">IFERROR(INDEX('Sản phẩm'!$I$4:$I$103,MATCH(B297,'Sản phẩm'!$D$4:$D$103,0)),0)</f>
        <v>0</v>
      </c>
      <c r="M297" s="72" t="str">
        <f t="array" ref="M297">IFERROR(INDEX('Sản phẩm'!$J$4:$J$103,MATCH(B297,'Sản phẩm'!$D$4:$D$103,0)),0)</f>
        <v/>
      </c>
      <c r="N297" s="46">
        <f>IF(B297="",0,(K297+L297+M297)*'Thiết lập'!$B$8)</f>
        <v>0</v>
      </c>
      <c r="O297" s="46">
        <f t="shared" si="2"/>
        <v>0</v>
      </c>
      <c r="P297" s="46">
        <f t="shared" si="3"/>
        <v>0</v>
      </c>
      <c r="Q297" s="46">
        <f t="shared" si="4"/>
        <v>0</v>
      </c>
      <c r="R297" s="71" t="str">
        <f t="array" ref="R297">IF(B297="","",INDEX('Bán nhanh'!$C$4:$C$103,INT((ROW()-4)/10)+1))</f>
        <v/>
      </c>
      <c r="S297" s="71" t="str">
        <f t="array" ref="S297">IF(B297="","",INDEX('Bán nhanh'!$P$4:$P$103,INT((ROW()-4)/10)+1))</f>
        <v/>
      </c>
      <c r="T297" s="58"/>
      <c r="U297" s="36"/>
      <c r="V297" s="36"/>
      <c r="W297" s="58"/>
      <c r="X297" s="36"/>
      <c r="Y297" s="36"/>
      <c r="Z297" s="36"/>
    </row>
    <row r="298" ht="15.75" customHeight="1">
      <c r="A298" s="70" t="str">
        <f t="array" ref="A298">IF(B298="","",INDEX('Bán nhanh'!$A$4:$A$103,INT((ROW()-4)/10)+1))</f>
        <v/>
      </c>
      <c r="B298" s="71" t="str">
        <f t="array" ref="B298">IF(OR(INDEX('Bán nhanh'!$D$3:$M$3,1,MOD(ROW()-4,10)+1)="",INDEX('Bán nhanh'!$D$4:$M$103,INT((ROW()-4)/10)+1,MOD(ROW()-4,10)+1)&lt;=0),"",INDEX('Bán nhanh'!$D$3:$M$3,1,MOD(ROW()-4,10)+1))</f>
        <v/>
      </c>
      <c r="C298" s="58" t="str">
        <f t="array" ref="C298">IFERROR(INDEX('Sản phẩm'!$A$4:$A$103,MATCH(B298,'Sản phẩm'!$D$4:$D$103,0)),"")</f>
        <v/>
      </c>
      <c r="D298" s="71" t="str">
        <f t="array" ref="D298">IF(B298="","",INDEX('Bán nhanh'!$B$4:$B$103,INT((ROW()-4)/10)+1))</f>
        <v/>
      </c>
      <c r="E298" s="58" t="str">
        <f t="array" ref="E298">IFERROR(INDEX('Mẻ sữa'!$B$4:$B$203,MATCH(D298,'Mẻ sữa'!$C$4:$C$203,0)),"")</f>
        <v/>
      </c>
      <c r="F298" s="66">
        <f t="array" ref="F298">IF(B298="",0,INDEX('Bán nhanh'!$D$4:$M$103,INT((ROW()-4)/10)+1,MOD(ROW()-4,10)+1))</f>
        <v>0</v>
      </c>
      <c r="G298" s="46">
        <f t="array" ref="G298">IFERROR(INDEX('Sản phẩm'!$F$4:$F$103,MATCH(B298,'Sản phẩm'!$D$4:$D$103,0)),0)</f>
        <v>0</v>
      </c>
      <c r="H298" s="67">
        <f t="shared" si="5"/>
        <v>0</v>
      </c>
      <c r="I298" s="46">
        <f t="shared" si="1"/>
        <v>0</v>
      </c>
      <c r="J298" s="46">
        <f t="array" ref="J298">IFERROR(INDEX('Sản phẩm'!$G$4:$G$103,MATCH(B298,'Sản phẩm'!$D$4:$D$103,0)),0)</f>
        <v>0</v>
      </c>
      <c r="K298" s="46">
        <f t="array" ref="K298">IFERROR(J298*INDEX('Mẻ sữa'!$N$4:$N$203,MATCH(D298,'Mẻ sữa'!$C$4:$C$203,0)),0)</f>
        <v>0</v>
      </c>
      <c r="L298" s="46">
        <f t="array" ref="L298">IFERROR(INDEX('Sản phẩm'!$I$4:$I$103,MATCH(B298,'Sản phẩm'!$D$4:$D$103,0)),0)</f>
        <v>0</v>
      </c>
      <c r="M298" s="72" t="str">
        <f t="array" ref="M298">IFERROR(INDEX('Sản phẩm'!$J$4:$J$103,MATCH(B298,'Sản phẩm'!$D$4:$D$103,0)),0)</f>
        <v/>
      </c>
      <c r="N298" s="46">
        <f>IF(B298="",0,(K298+L298+M298)*'Thiết lập'!$B$8)</f>
        <v>0</v>
      </c>
      <c r="O298" s="46">
        <f t="shared" si="2"/>
        <v>0</v>
      </c>
      <c r="P298" s="46">
        <f t="shared" si="3"/>
        <v>0</v>
      </c>
      <c r="Q298" s="46">
        <f t="shared" si="4"/>
        <v>0</v>
      </c>
      <c r="R298" s="71" t="str">
        <f t="array" ref="R298">IF(B298="","",INDEX('Bán nhanh'!$C$4:$C$103,INT((ROW()-4)/10)+1))</f>
        <v/>
      </c>
      <c r="S298" s="71" t="str">
        <f t="array" ref="S298">IF(B298="","",INDEX('Bán nhanh'!$P$4:$P$103,INT((ROW()-4)/10)+1))</f>
        <v/>
      </c>
      <c r="T298" s="58"/>
      <c r="U298" s="36"/>
      <c r="V298" s="36"/>
      <c r="W298" s="58"/>
      <c r="X298" s="36"/>
      <c r="Y298" s="36"/>
      <c r="Z298" s="36"/>
    </row>
    <row r="299" ht="15.75" customHeight="1">
      <c r="A299" s="70" t="str">
        <f t="array" ref="A299">IF(B299="","",INDEX('Bán nhanh'!$A$4:$A$103,INT((ROW()-4)/10)+1))</f>
        <v/>
      </c>
      <c r="B299" s="71" t="str">
        <f t="array" ref="B299">IF(OR(INDEX('Bán nhanh'!$D$3:$M$3,1,MOD(ROW()-4,10)+1)="",INDEX('Bán nhanh'!$D$4:$M$103,INT((ROW()-4)/10)+1,MOD(ROW()-4,10)+1)&lt;=0),"",INDEX('Bán nhanh'!$D$3:$M$3,1,MOD(ROW()-4,10)+1))</f>
        <v/>
      </c>
      <c r="C299" s="58" t="str">
        <f t="array" ref="C299">IFERROR(INDEX('Sản phẩm'!$A$4:$A$103,MATCH(B299,'Sản phẩm'!$D$4:$D$103,0)),"")</f>
        <v/>
      </c>
      <c r="D299" s="71" t="str">
        <f t="array" ref="D299">IF(B299="","",INDEX('Bán nhanh'!$B$4:$B$103,INT((ROW()-4)/10)+1))</f>
        <v/>
      </c>
      <c r="E299" s="58" t="str">
        <f t="array" ref="E299">IFERROR(INDEX('Mẻ sữa'!$B$4:$B$203,MATCH(D299,'Mẻ sữa'!$C$4:$C$203,0)),"")</f>
        <v/>
      </c>
      <c r="F299" s="66">
        <f t="array" ref="F299">IF(B299="",0,INDEX('Bán nhanh'!$D$4:$M$103,INT((ROW()-4)/10)+1,MOD(ROW()-4,10)+1))</f>
        <v>0</v>
      </c>
      <c r="G299" s="46">
        <f t="array" ref="G299">IFERROR(INDEX('Sản phẩm'!$F$4:$F$103,MATCH(B299,'Sản phẩm'!$D$4:$D$103,0)),0)</f>
        <v>0</v>
      </c>
      <c r="H299" s="67">
        <f t="shared" si="5"/>
        <v>0</v>
      </c>
      <c r="I299" s="46">
        <f t="shared" si="1"/>
        <v>0</v>
      </c>
      <c r="J299" s="46">
        <f t="array" ref="J299">IFERROR(INDEX('Sản phẩm'!$G$4:$G$103,MATCH(B299,'Sản phẩm'!$D$4:$D$103,0)),0)</f>
        <v>0</v>
      </c>
      <c r="K299" s="46">
        <f t="array" ref="K299">IFERROR(J299*INDEX('Mẻ sữa'!$N$4:$N$203,MATCH(D299,'Mẻ sữa'!$C$4:$C$203,0)),0)</f>
        <v>0</v>
      </c>
      <c r="L299" s="46">
        <f t="array" ref="L299">IFERROR(INDEX('Sản phẩm'!$I$4:$I$103,MATCH(B299,'Sản phẩm'!$D$4:$D$103,0)),0)</f>
        <v>0</v>
      </c>
      <c r="M299" s="72" t="str">
        <f t="array" ref="M299">IFERROR(INDEX('Sản phẩm'!$J$4:$J$103,MATCH(B299,'Sản phẩm'!$D$4:$D$103,0)),0)</f>
        <v/>
      </c>
      <c r="N299" s="46">
        <f>IF(B299="",0,(K299+L299+M299)*'Thiết lập'!$B$8)</f>
        <v>0</v>
      </c>
      <c r="O299" s="46">
        <f t="shared" si="2"/>
        <v>0</v>
      </c>
      <c r="P299" s="46">
        <f t="shared" si="3"/>
        <v>0</v>
      </c>
      <c r="Q299" s="46">
        <f t="shared" si="4"/>
        <v>0</v>
      </c>
      <c r="R299" s="71" t="str">
        <f t="array" ref="R299">IF(B299="","",INDEX('Bán nhanh'!$C$4:$C$103,INT((ROW()-4)/10)+1))</f>
        <v/>
      </c>
      <c r="S299" s="71" t="str">
        <f t="array" ref="S299">IF(B299="","",INDEX('Bán nhanh'!$P$4:$P$103,INT((ROW()-4)/10)+1))</f>
        <v/>
      </c>
      <c r="T299" s="58"/>
      <c r="U299" s="36"/>
      <c r="V299" s="36"/>
      <c r="W299" s="58"/>
      <c r="X299" s="36"/>
      <c r="Y299" s="36"/>
      <c r="Z299" s="36"/>
    </row>
    <row r="300" ht="15.75" customHeight="1">
      <c r="A300" s="70" t="str">
        <f t="array" ref="A300">IF(B300="","",INDEX('Bán nhanh'!$A$4:$A$103,INT((ROW()-4)/10)+1))</f>
        <v/>
      </c>
      <c r="B300" s="71" t="str">
        <f t="array" ref="B300">IF(OR(INDEX('Bán nhanh'!$D$3:$M$3,1,MOD(ROW()-4,10)+1)="",INDEX('Bán nhanh'!$D$4:$M$103,INT((ROW()-4)/10)+1,MOD(ROW()-4,10)+1)&lt;=0),"",INDEX('Bán nhanh'!$D$3:$M$3,1,MOD(ROW()-4,10)+1))</f>
        <v/>
      </c>
      <c r="C300" s="58" t="str">
        <f t="array" ref="C300">IFERROR(INDEX('Sản phẩm'!$A$4:$A$103,MATCH(B300,'Sản phẩm'!$D$4:$D$103,0)),"")</f>
        <v/>
      </c>
      <c r="D300" s="71" t="str">
        <f t="array" ref="D300">IF(B300="","",INDEX('Bán nhanh'!$B$4:$B$103,INT((ROW()-4)/10)+1))</f>
        <v/>
      </c>
      <c r="E300" s="58" t="str">
        <f t="array" ref="E300">IFERROR(INDEX('Mẻ sữa'!$B$4:$B$203,MATCH(D300,'Mẻ sữa'!$C$4:$C$203,0)),"")</f>
        <v/>
      </c>
      <c r="F300" s="66">
        <f t="array" ref="F300">IF(B300="",0,INDEX('Bán nhanh'!$D$4:$M$103,INT((ROW()-4)/10)+1,MOD(ROW()-4,10)+1))</f>
        <v>0</v>
      </c>
      <c r="G300" s="46">
        <f t="array" ref="G300">IFERROR(INDEX('Sản phẩm'!$F$4:$F$103,MATCH(B300,'Sản phẩm'!$D$4:$D$103,0)),0)</f>
        <v>0</v>
      </c>
      <c r="H300" s="67">
        <f t="shared" si="5"/>
        <v>0</v>
      </c>
      <c r="I300" s="46">
        <f t="shared" si="1"/>
        <v>0</v>
      </c>
      <c r="J300" s="46">
        <f t="array" ref="J300">IFERROR(INDEX('Sản phẩm'!$G$4:$G$103,MATCH(B300,'Sản phẩm'!$D$4:$D$103,0)),0)</f>
        <v>0</v>
      </c>
      <c r="K300" s="46">
        <f t="array" ref="K300">IFERROR(J300*INDEX('Mẻ sữa'!$N$4:$N$203,MATCH(D300,'Mẻ sữa'!$C$4:$C$203,0)),0)</f>
        <v>0</v>
      </c>
      <c r="L300" s="46">
        <f t="array" ref="L300">IFERROR(INDEX('Sản phẩm'!$I$4:$I$103,MATCH(B300,'Sản phẩm'!$D$4:$D$103,0)),0)</f>
        <v>0</v>
      </c>
      <c r="M300" s="72" t="str">
        <f t="array" ref="M300">IFERROR(INDEX('Sản phẩm'!$J$4:$J$103,MATCH(B300,'Sản phẩm'!$D$4:$D$103,0)),0)</f>
        <v/>
      </c>
      <c r="N300" s="46">
        <f>IF(B300="",0,(K300+L300+M300)*'Thiết lập'!$B$8)</f>
        <v>0</v>
      </c>
      <c r="O300" s="46">
        <f t="shared" si="2"/>
        <v>0</v>
      </c>
      <c r="P300" s="46">
        <f t="shared" si="3"/>
        <v>0</v>
      </c>
      <c r="Q300" s="46">
        <f t="shared" si="4"/>
        <v>0</v>
      </c>
      <c r="R300" s="71" t="str">
        <f t="array" ref="R300">IF(B300="","",INDEX('Bán nhanh'!$C$4:$C$103,INT((ROW()-4)/10)+1))</f>
        <v/>
      </c>
      <c r="S300" s="71" t="str">
        <f t="array" ref="S300">IF(B300="","",INDEX('Bán nhanh'!$P$4:$P$103,INT((ROW()-4)/10)+1))</f>
        <v/>
      </c>
      <c r="T300" s="58"/>
      <c r="U300" s="36"/>
      <c r="V300" s="36"/>
      <c r="W300" s="58"/>
      <c r="X300" s="36"/>
      <c r="Y300" s="36"/>
      <c r="Z300" s="36"/>
    </row>
    <row r="301" ht="15.75" customHeight="1">
      <c r="A301" s="70" t="str">
        <f t="array" ref="A301">IF(B301="","",INDEX('Bán nhanh'!$A$4:$A$103,INT((ROW()-4)/10)+1))</f>
        <v/>
      </c>
      <c r="B301" s="71" t="str">
        <f t="array" ref="B301">IF(OR(INDEX('Bán nhanh'!$D$3:$M$3,1,MOD(ROW()-4,10)+1)="",INDEX('Bán nhanh'!$D$4:$M$103,INT((ROW()-4)/10)+1,MOD(ROW()-4,10)+1)&lt;=0),"",INDEX('Bán nhanh'!$D$3:$M$3,1,MOD(ROW()-4,10)+1))</f>
        <v/>
      </c>
      <c r="C301" s="58" t="str">
        <f t="array" ref="C301">IFERROR(INDEX('Sản phẩm'!$A$4:$A$103,MATCH(B301,'Sản phẩm'!$D$4:$D$103,0)),"")</f>
        <v/>
      </c>
      <c r="D301" s="71" t="str">
        <f t="array" ref="D301">IF(B301="","",INDEX('Bán nhanh'!$B$4:$B$103,INT((ROW()-4)/10)+1))</f>
        <v/>
      </c>
      <c r="E301" s="58" t="str">
        <f t="array" ref="E301">IFERROR(INDEX('Mẻ sữa'!$B$4:$B$203,MATCH(D301,'Mẻ sữa'!$C$4:$C$203,0)),"")</f>
        <v/>
      </c>
      <c r="F301" s="66">
        <f t="array" ref="F301">IF(B301="",0,INDEX('Bán nhanh'!$D$4:$M$103,INT((ROW()-4)/10)+1,MOD(ROW()-4,10)+1))</f>
        <v>0</v>
      </c>
      <c r="G301" s="46">
        <f t="array" ref="G301">IFERROR(INDEX('Sản phẩm'!$F$4:$F$103,MATCH(B301,'Sản phẩm'!$D$4:$D$103,0)),0)</f>
        <v>0</v>
      </c>
      <c r="H301" s="67">
        <f t="shared" si="5"/>
        <v>0</v>
      </c>
      <c r="I301" s="46">
        <f t="shared" si="1"/>
        <v>0</v>
      </c>
      <c r="J301" s="46">
        <f t="array" ref="J301">IFERROR(INDEX('Sản phẩm'!$G$4:$G$103,MATCH(B301,'Sản phẩm'!$D$4:$D$103,0)),0)</f>
        <v>0</v>
      </c>
      <c r="K301" s="46">
        <f t="array" ref="K301">IFERROR(J301*INDEX('Mẻ sữa'!$N$4:$N$203,MATCH(D301,'Mẻ sữa'!$C$4:$C$203,0)),0)</f>
        <v>0</v>
      </c>
      <c r="L301" s="46">
        <f t="array" ref="L301">IFERROR(INDEX('Sản phẩm'!$I$4:$I$103,MATCH(B301,'Sản phẩm'!$D$4:$D$103,0)),0)</f>
        <v>0</v>
      </c>
      <c r="M301" s="72" t="str">
        <f t="array" ref="M301">IFERROR(INDEX('Sản phẩm'!$J$4:$J$103,MATCH(B301,'Sản phẩm'!$D$4:$D$103,0)),0)</f>
        <v/>
      </c>
      <c r="N301" s="46">
        <f>IF(B301="",0,(K301+L301+M301)*'Thiết lập'!$B$8)</f>
        <v>0</v>
      </c>
      <c r="O301" s="46">
        <f t="shared" si="2"/>
        <v>0</v>
      </c>
      <c r="P301" s="46">
        <f t="shared" si="3"/>
        <v>0</v>
      </c>
      <c r="Q301" s="46">
        <f t="shared" si="4"/>
        <v>0</v>
      </c>
      <c r="R301" s="71" t="str">
        <f t="array" ref="R301">IF(B301="","",INDEX('Bán nhanh'!$C$4:$C$103,INT((ROW()-4)/10)+1))</f>
        <v/>
      </c>
      <c r="S301" s="71" t="str">
        <f t="array" ref="S301">IF(B301="","",INDEX('Bán nhanh'!$P$4:$P$103,INT((ROW()-4)/10)+1))</f>
        <v/>
      </c>
      <c r="T301" s="58"/>
      <c r="U301" s="36"/>
      <c r="V301" s="36"/>
      <c r="W301" s="58"/>
      <c r="X301" s="36"/>
      <c r="Y301" s="36"/>
      <c r="Z301" s="36"/>
    </row>
    <row r="302" ht="15.75" customHeight="1">
      <c r="A302" s="70" t="str">
        <f t="array" ref="A302">IF(B302="","",INDEX('Bán nhanh'!$A$4:$A$103,INT((ROW()-4)/10)+1))</f>
        <v/>
      </c>
      <c r="B302" s="71" t="str">
        <f t="array" ref="B302">IF(OR(INDEX('Bán nhanh'!$D$3:$M$3,1,MOD(ROW()-4,10)+1)="",INDEX('Bán nhanh'!$D$4:$M$103,INT((ROW()-4)/10)+1,MOD(ROW()-4,10)+1)&lt;=0),"",INDEX('Bán nhanh'!$D$3:$M$3,1,MOD(ROW()-4,10)+1))</f>
        <v/>
      </c>
      <c r="C302" s="58" t="str">
        <f t="array" ref="C302">IFERROR(INDEX('Sản phẩm'!$A$4:$A$103,MATCH(B302,'Sản phẩm'!$D$4:$D$103,0)),"")</f>
        <v/>
      </c>
      <c r="D302" s="71" t="str">
        <f t="array" ref="D302">IF(B302="","",INDEX('Bán nhanh'!$B$4:$B$103,INT((ROW()-4)/10)+1))</f>
        <v/>
      </c>
      <c r="E302" s="58" t="str">
        <f t="array" ref="E302">IFERROR(INDEX('Mẻ sữa'!$B$4:$B$203,MATCH(D302,'Mẻ sữa'!$C$4:$C$203,0)),"")</f>
        <v/>
      </c>
      <c r="F302" s="66">
        <f t="array" ref="F302">IF(B302="",0,INDEX('Bán nhanh'!$D$4:$M$103,INT((ROW()-4)/10)+1,MOD(ROW()-4,10)+1))</f>
        <v>0</v>
      </c>
      <c r="G302" s="46">
        <f t="array" ref="G302">IFERROR(INDEX('Sản phẩm'!$F$4:$F$103,MATCH(B302,'Sản phẩm'!$D$4:$D$103,0)),0)</f>
        <v>0</v>
      </c>
      <c r="H302" s="67">
        <f t="shared" si="5"/>
        <v>0</v>
      </c>
      <c r="I302" s="46">
        <f t="shared" si="1"/>
        <v>0</v>
      </c>
      <c r="J302" s="46">
        <f t="array" ref="J302">IFERROR(INDEX('Sản phẩm'!$G$4:$G$103,MATCH(B302,'Sản phẩm'!$D$4:$D$103,0)),0)</f>
        <v>0</v>
      </c>
      <c r="K302" s="46">
        <f t="array" ref="K302">IFERROR(J302*INDEX('Mẻ sữa'!$N$4:$N$203,MATCH(D302,'Mẻ sữa'!$C$4:$C$203,0)),0)</f>
        <v>0</v>
      </c>
      <c r="L302" s="46">
        <f t="array" ref="L302">IFERROR(INDEX('Sản phẩm'!$I$4:$I$103,MATCH(B302,'Sản phẩm'!$D$4:$D$103,0)),0)</f>
        <v>0</v>
      </c>
      <c r="M302" s="72" t="str">
        <f t="array" ref="M302">IFERROR(INDEX('Sản phẩm'!$J$4:$J$103,MATCH(B302,'Sản phẩm'!$D$4:$D$103,0)),0)</f>
        <v/>
      </c>
      <c r="N302" s="46">
        <f>IF(B302="",0,(K302+L302+M302)*'Thiết lập'!$B$8)</f>
        <v>0</v>
      </c>
      <c r="O302" s="46">
        <f t="shared" si="2"/>
        <v>0</v>
      </c>
      <c r="P302" s="46">
        <f t="shared" si="3"/>
        <v>0</v>
      </c>
      <c r="Q302" s="46">
        <f t="shared" si="4"/>
        <v>0</v>
      </c>
      <c r="R302" s="71" t="str">
        <f t="array" ref="R302">IF(B302="","",INDEX('Bán nhanh'!$C$4:$C$103,INT((ROW()-4)/10)+1))</f>
        <v/>
      </c>
      <c r="S302" s="71" t="str">
        <f t="array" ref="S302">IF(B302="","",INDEX('Bán nhanh'!$P$4:$P$103,INT((ROW()-4)/10)+1))</f>
        <v/>
      </c>
      <c r="T302" s="58"/>
      <c r="U302" s="36"/>
      <c r="V302" s="36"/>
      <c r="W302" s="58"/>
      <c r="X302" s="36"/>
      <c r="Y302" s="36"/>
      <c r="Z302" s="36"/>
    </row>
    <row r="303" ht="15.75" customHeight="1">
      <c r="A303" s="70" t="str">
        <f t="array" ref="A303">IF(B303="","",INDEX('Bán nhanh'!$A$4:$A$103,INT((ROW()-4)/10)+1))</f>
        <v/>
      </c>
      <c r="B303" s="71" t="str">
        <f t="array" ref="B303">IF(OR(INDEX('Bán nhanh'!$D$3:$M$3,1,MOD(ROW()-4,10)+1)="",INDEX('Bán nhanh'!$D$4:$M$103,INT((ROW()-4)/10)+1,MOD(ROW()-4,10)+1)&lt;=0),"",INDEX('Bán nhanh'!$D$3:$M$3,1,MOD(ROW()-4,10)+1))</f>
        <v/>
      </c>
      <c r="C303" s="58" t="str">
        <f t="array" ref="C303">IFERROR(INDEX('Sản phẩm'!$A$4:$A$103,MATCH(B303,'Sản phẩm'!$D$4:$D$103,0)),"")</f>
        <v/>
      </c>
      <c r="D303" s="71" t="str">
        <f t="array" ref="D303">IF(B303="","",INDEX('Bán nhanh'!$B$4:$B$103,INT((ROW()-4)/10)+1))</f>
        <v/>
      </c>
      <c r="E303" s="58" t="str">
        <f t="array" ref="E303">IFERROR(INDEX('Mẻ sữa'!$B$4:$B$203,MATCH(D303,'Mẻ sữa'!$C$4:$C$203,0)),"")</f>
        <v/>
      </c>
      <c r="F303" s="66">
        <f t="array" ref="F303">IF(B303="",0,INDEX('Bán nhanh'!$D$4:$M$103,INT((ROW()-4)/10)+1,MOD(ROW()-4,10)+1))</f>
        <v>0</v>
      </c>
      <c r="G303" s="46">
        <f t="array" ref="G303">IFERROR(INDEX('Sản phẩm'!$F$4:$F$103,MATCH(B303,'Sản phẩm'!$D$4:$D$103,0)),0)</f>
        <v>0</v>
      </c>
      <c r="H303" s="67">
        <f t="shared" si="5"/>
        <v>0</v>
      </c>
      <c r="I303" s="46">
        <f t="shared" si="1"/>
        <v>0</v>
      </c>
      <c r="J303" s="46">
        <f t="array" ref="J303">IFERROR(INDEX('Sản phẩm'!$G$4:$G$103,MATCH(B303,'Sản phẩm'!$D$4:$D$103,0)),0)</f>
        <v>0</v>
      </c>
      <c r="K303" s="46">
        <f t="array" ref="K303">IFERROR(J303*INDEX('Mẻ sữa'!$N$4:$N$203,MATCH(D303,'Mẻ sữa'!$C$4:$C$203,0)),0)</f>
        <v>0</v>
      </c>
      <c r="L303" s="46">
        <f t="array" ref="L303">IFERROR(INDEX('Sản phẩm'!$I$4:$I$103,MATCH(B303,'Sản phẩm'!$D$4:$D$103,0)),0)</f>
        <v>0</v>
      </c>
      <c r="M303" s="72" t="str">
        <f t="array" ref="M303">IFERROR(INDEX('Sản phẩm'!$J$4:$J$103,MATCH(B303,'Sản phẩm'!$D$4:$D$103,0)),0)</f>
        <v/>
      </c>
      <c r="N303" s="46">
        <f>IF(B303="",0,(K303+L303+M303)*'Thiết lập'!$B$8)</f>
        <v>0</v>
      </c>
      <c r="O303" s="46">
        <f t="shared" si="2"/>
        <v>0</v>
      </c>
      <c r="P303" s="46">
        <f t="shared" si="3"/>
        <v>0</v>
      </c>
      <c r="Q303" s="46">
        <f t="shared" si="4"/>
        <v>0</v>
      </c>
      <c r="R303" s="71" t="str">
        <f t="array" ref="R303">IF(B303="","",INDEX('Bán nhanh'!$C$4:$C$103,INT((ROW()-4)/10)+1))</f>
        <v/>
      </c>
      <c r="S303" s="71" t="str">
        <f t="array" ref="S303">IF(B303="","",INDEX('Bán nhanh'!$P$4:$P$103,INT((ROW()-4)/10)+1))</f>
        <v/>
      </c>
      <c r="T303" s="58"/>
      <c r="U303" s="36"/>
      <c r="V303" s="36"/>
      <c r="W303" s="58"/>
      <c r="X303" s="36"/>
      <c r="Y303" s="36"/>
      <c r="Z303" s="36"/>
    </row>
    <row r="304" ht="15.75" customHeight="1">
      <c r="A304" s="70" t="str">
        <f t="array" ref="A304">IF(B304="","",INDEX('Bán nhanh'!$A$4:$A$103,INT((ROW()-4)/10)+1))</f>
        <v/>
      </c>
      <c r="B304" s="71" t="str">
        <f t="array" ref="B304">IF(OR(INDEX('Bán nhanh'!$D$3:$M$3,1,MOD(ROW()-4,10)+1)="",INDEX('Bán nhanh'!$D$4:$M$103,INT((ROW()-4)/10)+1,MOD(ROW()-4,10)+1)&lt;=0),"",INDEX('Bán nhanh'!$D$3:$M$3,1,MOD(ROW()-4,10)+1))</f>
        <v/>
      </c>
      <c r="C304" s="58" t="str">
        <f t="array" ref="C304">IFERROR(INDEX('Sản phẩm'!$A$4:$A$103,MATCH(B304,'Sản phẩm'!$D$4:$D$103,0)),"")</f>
        <v/>
      </c>
      <c r="D304" s="71" t="str">
        <f t="array" ref="D304">IF(B304="","",INDEX('Bán nhanh'!$B$4:$B$103,INT((ROW()-4)/10)+1))</f>
        <v/>
      </c>
      <c r="E304" s="58" t="str">
        <f t="array" ref="E304">IFERROR(INDEX('Mẻ sữa'!$B$4:$B$203,MATCH(D304,'Mẻ sữa'!$C$4:$C$203,0)),"")</f>
        <v/>
      </c>
      <c r="F304" s="66">
        <f t="array" ref="F304">IF(B304="",0,INDEX('Bán nhanh'!$D$4:$M$103,INT((ROW()-4)/10)+1,MOD(ROW()-4,10)+1))</f>
        <v>0</v>
      </c>
      <c r="G304" s="46">
        <f t="array" ref="G304">IFERROR(INDEX('Sản phẩm'!$F$4:$F$103,MATCH(B304,'Sản phẩm'!$D$4:$D$103,0)),0)</f>
        <v>0</v>
      </c>
      <c r="H304" s="67">
        <f t="shared" si="5"/>
        <v>0</v>
      </c>
      <c r="I304" s="46">
        <f t="shared" si="1"/>
        <v>0</v>
      </c>
      <c r="J304" s="46">
        <f t="array" ref="J304">IFERROR(INDEX('Sản phẩm'!$G$4:$G$103,MATCH(B304,'Sản phẩm'!$D$4:$D$103,0)),0)</f>
        <v>0</v>
      </c>
      <c r="K304" s="46">
        <f t="array" ref="K304">IFERROR(J304*INDEX('Mẻ sữa'!$N$4:$N$203,MATCH(D304,'Mẻ sữa'!$C$4:$C$203,0)),0)</f>
        <v>0</v>
      </c>
      <c r="L304" s="46">
        <f t="array" ref="L304">IFERROR(INDEX('Sản phẩm'!$I$4:$I$103,MATCH(B304,'Sản phẩm'!$D$4:$D$103,0)),0)</f>
        <v>0</v>
      </c>
      <c r="M304" s="72" t="str">
        <f t="array" ref="M304">IFERROR(INDEX('Sản phẩm'!$J$4:$J$103,MATCH(B304,'Sản phẩm'!$D$4:$D$103,0)),0)</f>
        <v/>
      </c>
      <c r="N304" s="46">
        <f>IF(B304="",0,(K304+L304+M304)*'Thiết lập'!$B$8)</f>
        <v>0</v>
      </c>
      <c r="O304" s="46">
        <f t="shared" si="2"/>
        <v>0</v>
      </c>
      <c r="P304" s="46">
        <f t="shared" si="3"/>
        <v>0</v>
      </c>
      <c r="Q304" s="46">
        <f t="shared" si="4"/>
        <v>0</v>
      </c>
      <c r="R304" s="71" t="str">
        <f t="array" ref="R304">IF(B304="","",INDEX('Bán nhanh'!$C$4:$C$103,INT((ROW()-4)/10)+1))</f>
        <v/>
      </c>
      <c r="S304" s="71" t="str">
        <f t="array" ref="S304">IF(B304="","",INDEX('Bán nhanh'!$P$4:$P$103,INT((ROW()-4)/10)+1))</f>
        <v/>
      </c>
      <c r="T304" s="58"/>
      <c r="U304" s="36"/>
      <c r="V304" s="36"/>
      <c r="W304" s="58"/>
      <c r="X304" s="36"/>
      <c r="Y304" s="36"/>
      <c r="Z304" s="36"/>
    </row>
    <row r="305" ht="15.75" customHeight="1">
      <c r="A305" s="70" t="str">
        <f t="array" ref="A305">IF(B305="","",INDEX('Bán nhanh'!$A$4:$A$103,INT((ROW()-4)/10)+1))</f>
        <v/>
      </c>
      <c r="B305" s="71" t="str">
        <f t="array" ref="B305">IF(OR(INDEX('Bán nhanh'!$D$3:$M$3,1,MOD(ROW()-4,10)+1)="",INDEX('Bán nhanh'!$D$4:$M$103,INT((ROW()-4)/10)+1,MOD(ROW()-4,10)+1)&lt;=0),"",INDEX('Bán nhanh'!$D$3:$M$3,1,MOD(ROW()-4,10)+1))</f>
        <v/>
      </c>
      <c r="C305" s="58" t="str">
        <f t="array" ref="C305">IFERROR(INDEX('Sản phẩm'!$A$4:$A$103,MATCH(B305,'Sản phẩm'!$D$4:$D$103,0)),"")</f>
        <v/>
      </c>
      <c r="D305" s="71" t="str">
        <f t="array" ref="D305">IF(B305="","",INDEX('Bán nhanh'!$B$4:$B$103,INT((ROW()-4)/10)+1))</f>
        <v/>
      </c>
      <c r="E305" s="58" t="str">
        <f t="array" ref="E305">IFERROR(INDEX('Mẻ sữa'!$B$4:$B$203,MATCH(D305,'Mẻ sữa'!$C$4:$C$203,0)),"")</f>
        <v/>
      </c>
      <c r="F305" s="66">
        <f t="array" ref="F305">IF(B305="",0,INDEX('Bán nhanh'!$D$4:$M$103,INT((ROW()-4)/10)+1,MOD(ROW()-4,10)+1))</f>
        <v>0</v>
      </c>
      <c r="G305" s="46">
        <f t="array" ref="G305">IFERROR(INDEX('Sản phẩm'!$F$4:$F$103,MATCH(B305,'Sản phẩm'!$D$4:$D$103,0)),0)</f>
        <v>0</v>
      </c>
      <c r="H305" s="67">
        <f t="shared" si="5"/>
        <v>0</v>
      </c>
      <c r="I305" s="46">
        <f t="shared" si="1"/>
        <v>0</v>
      </c>
      <c r="J305" s="46">
        <f t="array" ref="J305">IFERROR(INDEX('Sản phẩm'!$G$4:$G$103,MATCH(B305,'Sản phẩm'!$D$4:$D$103,0)),0)</f>
        <v>0</v>
      </c>
      <c r="K305" s="46">
        <f t="array" ref="K305">IFERROR(J305*INDEX('Mẻ sữa'!$N$4:$N$203,MATCH(D305,'Mẻ sữa'!$C$4:$C$203,0)),0)</f>
        <v>0</v>
      </c>
      <c r="L305" s="46">
        <f t="array" ref="L305">IFERROR(INDEX('Sản phẩm'!$I$4:$I$103,MATCH(B305,'Sản phẩm'!$D$4:$D$103,0)),0)</f>
        <v>0</v>
      </c>
      <c r="M305" s="72" t="str">
        <f t="array" ref="M305">IFERROR(INDEX('Sản phẩm'!$J$4:$J$103,MATCH(B305,'Sản phẩm'!$D$4:$D$103,0)),0)</f>
        <v/>
      </c>
      <c r="N305" s="46">
        <f>IF(B305="",0,(K305+L305+M305)*'Thiết lập'!$B$8)</f>
        <v>0</v>
      </c>
      <c r="O305" s="46">
        <f t="shared" si="2"/>
        <v>0</v>
      </c>
      <c r="P305" s="46">
        <f t="shared" si="3"/>
        <v>0</v>
      </c>
      <c r="Q305" s="46">
        <f t="shared" si="4"/>
        <v>0</v>
      </c>
      <c r="R305" s="71" t="str">
        <f t="array" ref="R305">IF(B305="","",INDEX('Bán nhanh'!$C$4:$C$103,INT((ROW()-4)/10)+1))</f>
        <v/>
      </c>
      <c r="S305" s="71" t="str">
        <f t="array" ref="S305">IF(B305="","",INDEX('Bán nhanh'!$P$4:$P$103,INT((ROW()-4)/10)+1))</f>
        <v/>
      </c>
      <c r="T305" s="58"/>
      <c r="U305" s="36"/>
      <c r="V305" s="36"/>
      <c r="W305" s="58"/>
      <c r="X305" s="36"/>
      <c r="Y305" s="36"/>
      <c r="Z305" s="36"/>
    </row>
    <row r="306" ht="15.75" customHeight="1">
      <c r="A306" s="70" t="str">
        <f t="array" ref="A306">IF(B306="","",INDEX('Bán nhanh'!$A$4:$A$103,INT((ROW()-4)/10)+1))</f>
        <v/>
      </c>
      <c r="B306" s="71" t="str">
        <f t="array" ref="B306">IF(OR(INDEX('Bán nhanh'!$D$3:$M$3,1,MOD(ROW()-4,10)+1)="",INDEX('Bán nhanh'!$D$4:$M$103,INT((ROW()-4)/10)+1,MOD(ROW()-4,10)+1)&lt;=0),"",INDEX('Bán nhanh'!$D$3:$M$3,1,MOD(ROW()-4,10)+1))</f>
        <v/>
      </c>
      <c r="C306" s="58" t="str">
        <f t="array" ref="C306">IFERROR(INDEX('Sản phẩm'!$A$4:$A$103,MATCH(B306,'Sản phẩm'!$D$4:$D$103,0)),"")</f>
        <v/>
      </c>
      <c r="D306" s="71" t="str">
        <f t="array" ref="D306">IF(B306="","",INDEX('Bán nhanh'!$B$4:$B$103,INT((ROW()-4)/10)+1))</f>
        <v/>
      </c>
      <c r="E306" s="58" t="str">
        <f t="array" ref="E306">IFERROR(INDEX('Mẻ sữa'!$B$4:$B$203,MATCH(D306,'Mẻ sữa'!$C$4:$C$203,0)),"")</f>
        <v/>
      </c>
      <c r="F306" s="66">
        <f t="array" ref="F306">IF(B306="",0,INDEX('Bán nhanh'!$D$4:$M$103,INT((ROW()-4)/10)+1,MOD(ROW()-4,10)+1))</f>
        <v>0</v>
      </c>
      <c r="G306" s="46">
        <f t="array" ref="G306">IFERROR(INDEX('Sản phẩm'!$F$4:$F$103,MATCH(B306,'Sản phẩm'!$D$4:$D$103,0)),0)</f>
        <v>0</v>
      </c>
      <c r="H306" s="67">
        <f t="shared" si="5"/>
        <v>0</v>
      </c>
      <c r="I306" s="46">
        <f t="shared" si="1"/>
        <v>0</v>
      </c>
      <c r="J306" s="46">
        <f t="array" ref="J306">IFERROR(INDEX('Sản phẩm'!$G$4:$G$103,MATCH(B306,'Sản phẩm'!$D$4:$D$103,0)),0)</f>
        <v>0</v>
      </c>
      <c r="K306" s="46">
        <f t="array" ref="K306">IFERROR(J306*INDEX('Mẻ sữa'!$N$4:$N$203,MATCH(D306,'Mẻ sữa'!$C$4:$C$203,0)),0)</f>
        <v>0</v>
      </c>
      <c r="L306" s="46">
        <f t="array" ref="L306">IFERROR(INDEX('Sản phẩm'!$I$4:$I$103,MATCH(B306,'Sản phẩm'!$D$4:$D$103,0)),0)</f>
        <v>0</v>
      </c>
      <c r="M306" s="72" t="str">
        <f t="array" ref="M306">IFERROR(INDEX('Sản phẩm'!$J$4:$J$103,MATCH(B306,'Sản phẩm'!$D$4:$D$103,0)),0)</f>
        <v/>
      </c>
      <c r="N306" s="46">
        <f>IF(B306="",0,(K306+L306+M306)*'Thiết lập'!$B$8)</f>
        <v>0</v>
      </c>
      <c r="O306" s="46">
        <f t="shared" si="2"/>
        <v>0</v>
      </c>
      <c r="P306" s="46">
        <f t="shared" si="3"/>
        <v>0</v>
      </c>
      <c r="Q306" s="46">
        <f t="shared" si="4"/>
        <v>0</v>
      </c>
      <c r="R306" s="71" t="str">
        <f t="array" ref="R306">IF(B306="","",INDEX('Bán nhanh'!$C$4:$C$103,INT((ROW()-4)/10)+1))</f>
        <v/>
      </c>
      <c r="S306" s="71" t="str">
        <f t="array" ref="S306">IF(B306="","",INDEX('Bán nhanh'!$P$4:$P$103,INT((ROW()-4)/10)+1))</f>
        <v/>
      </c>
      <c r="T306" s="58"/>
      <c r="U306" s="36"/>
      <c r="V306" s="36"/>
      <c r="W306" s="58"/>
      <c r="X306" s="36"/>
      <c r="Y306" s="36"/>
      <c r="Z306" s="36"/>
    </row>
    <row r="307" ht="15.75" customHeight="1">
      <c r="A307" s="70" t="str">
        <f t="array" ref="A307">IF(B307="","",INDEX('Bán nhanh'!$A$4:$A$103,INT((ROW()-4)/10)+1))</f>
        <v/>
      </c>
      <c r="B307" s="71" t="str">
        <f t="array" ref="B307">IF(OR(INDEX('Bán nhanh'!$D$3:$M$3,1,MOD(ROW()-4,10)+1)="",INDEX('Bán nhanh'!$D$4:$M$103,INT((ROW()-4)/10)+1,MOD(ROW()-4,10)+1)&lt;=0),"",INDEX('Bán nhanh'!$D$3:$M$3,1,MOD(ROW()-4,10)+1))</f>
        <v/>
      </c>
      <c r="C307" s="58" t="str">
        <f t="array" ref="C307">IFERROR(INDEX('Sản phẩm'!$A$4:$A$103,MATCH(B307,'Sản phẩm'!$D$4:$D$103,0)),"")</f>
        <v/>
      </c>
      <c r="D307" s="71" t="str">
        <f t="array" ref="D307">IF(B307="","",INDEX('Bán nhanh'!$B$4:$B$103,INT((ROW()-4)/10)+1))</f>
        <v/>
      </c>
      <c r="E307" s="58" t="str">
        <f t="array" ref="E307">IFERROR(INDEX('Mẻ sữa'!$B$4:$B$203,MATCH(D307,'Mẻ sữa'!$C$4:$C$203,0)),"")</f>
        <v/>
      </c>
      <c r="F307" s="66">
        <f t="array" ref="F307">IF(B307="",0,INDEX('Bán nhanh'!$D$4:$M$103,INT((ROW()-4)/10)+1,MOD(ROW()-4,10)+1))</f>
        <v>0</v>
      </c>
      <c r="G307" s="46">
        <f t="array" ref="G307">IFERROR(INDEX('Sản phẩm'!$F$4:$F$103,MATCH(B307,'Sản phẩm'!$D$4:$D$103,0)),0)</f>
        <v>0</v>
      </c>
      <c r="H307" s="67">
        <f t="shared" si="5"/>
        <v>0</v>
      </c>
      <c r="I307" s="46">
        <f t="shared" si="1"/>
        <v>0</v>
      </c>
      <c r="J307" s="46">
        <f t="array" ref="J307">IFERROR(INDEX('Sản phẩm'!$G$4:$G$103,MATCH(B307,'Sản phẩm'!$D$4:$D$103,0)),0)</f>
        <v>0</v>
      </c>
      <c r="K307" s="46">
        <f t="array" ref="K307">IFERROR(J307*INDEX('Mẻ sữa'!$N$4:$N$203,MATCH(D307,'Mẻ sữa'!$C$4:$C$203,0)),0)</f>
        <v>0</v>
      </c>
      <c r="L307" s="46">
        <f t="array" ref="L307">IFERROR(INDEX('Sản phẩm'!$I$4:$I$103,MATCH(B307,'Sản phẩm'!$D$4:$D$103,0)),0)</f>
        <v>0</v>
      </c>
      <c r="M307" s="72" t="str">
        <f t="array" ref="M307">IFERROR(INDEX('Sản phẩm'!$J$4:$J$103,MATCH(B307,'Sản phẩm'!$D$4:$D$103,0)),0)</f>
        <v/>
      </c>
      <c r="N307" s="46">
        <f>IF(B307="",0,(K307+L307+M307)*'Thiết lập'!$B$8)</f>
        <v>0</v>
      </c>
      <c r="O307" s="46">
        <f t="shared" si="2"/>
        <v>0</v>
      </c>
      <c r="P307" s="46">
        <f t="shared" si="3"/>
        <v>0</v>
      </c>
      <c r="Q307" s="46">
        <f t="shared" si="4"/>
        <v>0</v>
      </c>
      <c r="R307" s="71" t="str">
        <f t="array" ref="R307">IF(B307="","",INDEX('Bán nhanh'!$C$4:$C$103,INT((ROW()-4)/10)+1))</f>
        <v/>
      </c>
      <c r="S307" s="71" t="str">
        <f t="array" ref="S307">IF(B307="","",INDEX('Bán nhanh'!$P$4:$P$103,INT((ROW()-4)/10)+1))</f>
        <v/>
      </c>
      <c r="T307" s="58"/>
      <c r="U307" s="36"/>
      <c r="V307" s="36"/>
      <c r="W307" s="58"/>
      <c r="X307" s="36"/>
      <c r="Y307" s="36"/>
      <c r="Z307" s="36"/>
    </row>
    <row r="308" ht="15.75" customHeight="1">
      <c r="A308" s="70" t="str">
        <f t="array" ref="A308">IF(B308="","",INDEX('Bán nhanh'!$A$4:$A$103,INT((ROW()-4)/10)+1))</f>
        <v/>
      </c>
      <c r="B308" s="71" t="str">
        <f t="array" ref="B308">IF(OR(INDEX('Bán nhanh'!$D$3:$M$3,1,MOD(ROW()-4,10)+1)="",INDEX('Bán nhanh'!$D$4:$M$103,INT((ROW()-4)/10)+1,MOD(ROW()-4,10)+1)&lt;=0),"",INDEX('Bán nhanh'!$D$3:$M$3,1,MOD(ROW()-4,10)+1))</f>
        <v/>
      </c>
      <c r="C308" s="58" t="str">
        <f t="array" ref="C308">IFERROR(INDEX('Sản phẩm'!$A$4:$A$103,MATCH(B308,'Sản phẩm'!$D$4:$D$103,0)),"")</f>
        <v/>
      </c>
      <c r="D308" s="71" t="str">
        <f t="array" ref="D308">IF(B308="","",INDEX('Bán nhanh'!$B$4:$B$103,INT((ROW()-4)/10)+1))</f>
        <v/>
      </c>
      <c r="E308" s="58" t="str">
        <f t="array" ref="E308">IFERROR(INDEX('Mẻ sữa'!$B$4:$B$203,MATCH(D308,'Mẻ sữa'!$C$4:$C$203,0)),"")</f>
        <v/>
      </c>
      <c r="F308" s="66">
        <f t="array" ref="F308">IF(B308="",0,INDEX('Bán nhanh'!$D$4:$M$103,INT((ROW()-4)/10)+1,MOD(ROW()-4,10)+1))</f>
        <v>0</v>
      </c>
      <c r="G308" s="46">
        <f t="array" ref="G308">IFERROR(INDEX('Sản phẩm'!$F$4:$F$103,MATCH(B308,'Sản phẩm'!$D$4:$D$103,0)),0)</f>
        <v>0</v>
      </c>
      <c r="H308" s="67">
        <f t="shared" si="5"/>
        <v>0</v>
      </c>
      <c r="I308" s="46">
        <f t="shared" si="1"/>
        <v>0</v>
      </c>
      <c r="J308" s="46">
        <f t="array" ref="J308">IFERROR(INDEX('Sản phẩm'!$G$4:$G$103,MATCH(B308,'Sản phẩm'!$D$4:$D$103,0)),0)</f>
        <v>0</v>
      </c>
      <c r="K308" s="46">
        <f t="array" ref="K308">IFERROR(J308*INDEX('Mẻ sữa'!$N$4:$N$203,MATCH(D308,'Mẻ sữa'!$C$4:$C$203,0)),0)</f>
        <v>0</v>
      </c>
      <c r="L308" s="46">
        <f t="array" ref="L308">IFERROR(INDEX('Sản phẩm'!$I$4:$I$103,MATCH(B308,'Sản phẩm'!$D$4:$D$103,0)),0)</f>
        <v>0</v>
      </c>
      <c r="M308" s="72" t="str">
        <f t="array" ref="M308">IFERROR(INDEX('Sản phẩm'!$J$4:$J$103,MATCH(B308,'Sản phẩm'!$D$4:$D$103,0)),0)</f>
        <v/>
      </c>
      <c r="N308" s="46">
        <f>IF(B308="",0,(K308+L308+M308)*'Thiết lập'!$B$8)</f>
        <v>0</v>
      </c>
      <c r="O308" s="46">
        <f t="shared" si="2"/>
        <v>0</v>
      </c>
      <c r="P308" s="46">
        <f t="shared" si="3"/>
        <v>0</v>
      </c>
      <c r="Q308" s="46">
        <f t="shared" si="4"/>
        <v>0</v>
      </c>
      <c r="R308" s="71" t="str">
        <f t="array" ref="R308">IF(B308="","",INDEX('Bán nhanh'!$C$4:$C$103,INT((ROW()-4)/10)+1))</f>
        <v/>
      </c>
      <c r="S308" s="71" t="str">
        <f t="array" ref="S308">IF(B308="","",INDEX('Bán nhanh'!$P$4:$P$103,INT((ROW()-4)/10)+1))</f>
        <v/>
      </c>
      <c r="T308" s="58"/>
      <c r="U308" s="36"/>
      <c r="V308" s="36"/>
      <c r="W308" s="58"/>
      <c r="X308" s="36"/>
      <c r="Y308" s="36"/>
      <c r="Z308" s="36"/>
    </row>
    <row r="309" ht="15.75" customHeight="1">
      <c r="A309" s="70" t="str">
        <f t="array" ref="A309">IF(B309="","",INDEX('Bán nhanh'!$A$4:$A$103,INT((ROW()-4)/10)+1))</f>
        <v/>
      </c>
      <c r="B309" s="71" t="str">
        <f t="array" ref="B309">IF(OR(INDEX('Bán nhanh'!$D$3:$M$3,1,MOD(ROW()-4,10)+1)="",INDEX('Bán nhanh'!$D$4:$M$103,INT((ROW()-4)/10)+1,MOD(ROW()-4,10)+1)&lt;=0),"",INDEX('Bán nhanh'!$D$3:$M$3,1,MOD(ROW()-4,10)+1))</f>
        <v/>
      </c>
      <c r="C309" s="58" t="str">
        <f t="array" ref="C309">IFERROR(INDEX('Sản phẩm'!$A$4:$A$103,MATCH(B309,'Sản phẩm'!$D$4:$D$103,0)),"")</f>
        <v/>
      </c>
      <c r="D309" s="71" t="str">
        <f t="array" ref="D309">IF(B309="","",INDEX('Bán nhanh'!$B$4:$B$103,INT((ROW()-4)/10)+1))</f>
        <v/>
      </c>
      <c r="E309" s="58" t="str">
        <f t="array" ref="E309">IFERROR(INDEX('Mẻ sữa'!$B$4:$B$203,MATCH(D309,'Mẻ sữa'!$C$4:$C$203,0)),"")</f>
        <v/>
      </c>
      <c r="F309" s="66">
        <f t="array" ref="F309">IF(B309="",0,INDEX('Bán nhanh'!$D$4:$M$103,INT((ROW()-4)/10)+1,MOD(ROW()-4,10)+1))</f>
        <v>0</v>
      </c>
      <c r="G309" s="46">
        <f t="array" ref="G309">IFERROR(INDEX('Sản phẩm'!$F$4:$F$103,MATCH(B309,'Sản phẩm'!$D$4:$D$103,0)),0)</f>
        <v>0</v>
      </c>
      <c r="H309" s="67">
        <f t="shared" si="5"/>
        <v>0</v>
      </c>
      <c r="I309" s="46">
        <f t="shared" si="1"/>
        <v>0</v>
      </c>
      <c r="J309" s="46">
        <f t="array" ref="J309">IFERROR(INDEX('Sản phẩm'!$G$4:$G$103,MATCH(B309,'Sản phẩm'!$D$4:$D$103,0)),0)</f>
        <v>0</v>
      </c>
      <c r="K309" s="46">
        <f t="array" ref="K309">IFERROR(J309*INDEX('Mẻ sữa'!$N$4:$N$203,MATCH(D309,'Mẻ sữa'!$C$4:$C$203,0)),0)</f>
        <v>0</v>
      </c>
      <c r="L309" s="46">
        <f t="array" ref="L309">IFERROR(INDEX('Sản phẩm'!$I$4:$I$103,MATCH(B309,'Sản phẩm'!$D$4:$D$103,0)),0)</f>
        <v>0</v>
      </c>
      <c r="M309" s="72" t="str">
        <f t="array" ref="M309">IFERROR(INDEX('Sản phẩm'!$J$4:$J$103,MATCH(B309,'Sản phẩm'!$D$4:$D$103,0)),0)</f>
        <v/>
      </c>
      <c r="N309" s="46">
        <f>IF(B309="",0,(K309+L309+M309)*'Thiết lập'!$B$8)</f>
        <v>0</v>
      </c>
      <c r="O309" s="46">
        <f t="shared" si="2"/>
        <v>0</v>
      </c>
      <c r="P309" s="46">
        <f t="shared" si="3"/>
        <v>0</v>
      </c>
      <c r="Q309" s="46">
        <f t="shared" si="4"/>
        <v>0</v>
      </c>
      <c r="R309" s="71" t="str">
        <f t="array" ref="R309">IF(B309="","",INDEX('Bán nhanh'!$C$4:$C$103,INT((ROW()-4)/10)+1))</f>
        <v/>
      </c>
      <c r="S309" s="71" t="str">
        <f t="array" ref="S309">IF(B309="","",INDEX('Bán nhanh'!$P$4:$P$103,INT((ROW()-4)/10)+1))</f>
        <v/>
      </c>
      <c r="T309" s="58"/>
      <c r="U309" s="36"/>
      <c r="V309" s="36"/>
      <c r="W309" s="58"/>
      <c r="X309" s="36"/>
      <c r="Y309" s="36"/>
      <c r="Z309" s="36"/>
    </row>
    <row r="310" ht="15.75" customHeight="1">
      <c r="A310" s="70" t="str">
        <f t="array" ref="A310">IF(B310="","",INDEX('Bán nhanh'!$A$4:$A$103,INT((ROW()-4)/10)+1))</f>
        <v/>
      </c>
      <c r="B310" s="71" t="str">
        <f t="array" ref="B310">IF(OR(INDEX('Bán nhanh'!$D$3:$M$3,1,MOD(ROW()-4,10)+1)="",INDEX('Bán nhanh'!$D$4:$M$103,INT((ROW()-4)/10)+1,MOD(ROW()-4,10)+1)&lt;=0),"",INDEX('Bán nhanh'!$D$3:$M$3,1,MOD(ROW()-4,10)+1))</f>
        <v/>
      </c>
      <c r="C310" s="58" t="str">
        <f t="array" ref="C310">IFERROR(INDEX('Sản phẩm'!$A$4:$A$103,MATCH(B310,'Sản phẩm'!$D$4:$D$103,0)),"")</f>
        <v/>
      </c>
      <c r="D310" s="71" t="str">
        <f t="array" ref="D310">IF(B310="","",INDEX('Bán nhanh'!$B$4:$B$103,INT((ROW()-4)/10)+1))</f>
        <v/>
      </c>
      <c r="E310" s="58" t="str">
        <f t="array" ref="E310">IFERROR(INDEX('Mẻ sữa'!$B$4:$B$203,MATCH(D310,'Mẻ sữa'!$C$4:$C$203,0)),"")</f>
        <v/>
      </c>
      <c r="F310" s="66">
        <f t="array" ref="F310">IF(B310="",0,INDEX('Bán nhanh'!$D$4:$M$103,INT((ROW()-4)/10)+1,MOD(ROW()-4,10)+1))</f>
        <v>0</v>
      </c>
      <c r="G310" s="46">
        <f t="array" ref="G310">IFERROR(INDEX('Sản phẩm'!$F$4:$F$103,MATCH(B310,'Sản phẩm'!$D$4:$D$103,0)),0)</f>
        <v>0</v>
      </c>
      <c r="H310" s="67">
        <f t="shared" si="5"/>
        <v>0</v>
      </c>
      <c r="I310" s="46">
        <f t="shared" si="1"/>
        <v>0</v>
      </c>
      <c r="J310" s="46">
        <f t="array" ref="J310">IFERROR(INDEX('Sản phẩm'!$G$4:$G$103,MATCH(B310,'Sản phẩm'!$D$4:$D$103,0)),0)</f>
        <v>0</v>
      </c>
      <c r="K310" s="46">
        <f t="array" ref="K310">IFERROR(J310*INDEX('Mẻ sữa'!$N$4:$N$203,MATCH(D310,'Mẻ sữa'!$C$4:$C$203,0)),0)</f>
        <v>0</v>
      </c>
      <c r="L310" s="46">
        <f t="array" ref="L310">IFERROR(INDEX('Sản phẩm'!$I$4:$I$103,MATCH(B310,'Sản phẩm'!$D$4:$D$103,0)),0)</f>
        <v>0</v>
      </c>
      <c r="M310" s="72" t="str">
        <f t="array" ref="M310">IFERROR(INDEX('Sản phẩm'!$J$4:$J$103,MATCH(B310,'Sản phẩm'!$D$4:$D$103,0)),0)</f>
        <v/>
      </c>
      <c r="N310" s="46">
        <f>IF(B310="",0,(K310+L310+M310)*'Thiết lập'!$B$8)</f>
        <v>0</v>
      </c>
      <c r="O310" s="46">
        <f t="shared" si="2"/>
        <v>0</v>
      </c>
      <c r="P310" s="46">
        <f t="shared" si="3"/>
        <v>0</v>
      </c>
      <c r="Q310" s="46">
        <f t="shared" si="4"/>
        <v>0</v>
      </c>
      <c r="R310" s="71" t="str">
        <f t="array" ref="R310">IF(B310="","",INDEX('Bán nhanh'!$C$4:$C$103,INT((ROW()-4)/10)+1))</f>
        <v/>
      </c>
      <c r="S310" s="71" t="str">
        <f t="array" ref="S310">IF(B310="","",INDEX('Bán nhanh'!$P$4:$P$103,INT((ROW()-4)/10)+1))</f>
        <v/>
      </c>
      <c r="T310" s="58"/>
      <c r="U310" s="36"/>
      <c r="V310" s="36"/>
      <c r="W310" s="58"/>
      <c r="X310" s="36"/>
      <c r="Y310" s="36"/>
      <c r="Z310" s="36"/>
    </row>
    <row r="311" ht="15.75" customHeight="1">
      <c r="A311" s="70" t="str">
        <f t="array" ref="A311">IF(B311="","",INDEX('Bán nhanh'!$A$4:$A$103,INT((ROW()-4)/10)+1))</f>
        <v/>
      </c>
      <c r="B311" s="71" t="str">
        <f t="array" ref="B311">IF(OR(INDEX('Bán nhanh'!$D$3:$M$3,1,MOD(ROW()-4,10)+1)="",INDEX('Bán nhanh'!$D$4:$M$103,INT((ROW()-4)/10)+1,MOD(ROW()-4,10)+1)&lt;=0),"",INDEX('Bán nhanh'!$D$3:$M$3,1,MOD(ROW()-4,10)+1))</f>
        <v/>
      </c>
      <c r="C311" s="58" t="str">
        <f t="array" ref="C311">IFERROR(INDEX('Sản phẩm'!$A$4:$A$103,MATCH(B311,'Sản phẩm'!$D$4:$D$103,0)),"")</f>
        <v/>
      </c>
      <c r="D311" s="71" t="str">
        <f t="array" ref="D311">IF(B311="","",INDEX('Bán nhanh'!$B$4:$B$103,INT((ROW()-4)/10)+1))</f>
        <v/>
      </c>
      <c r="E311" s="58" t="str">
        <f t="array" ref="E311">IFERROR(INDEX('Mẻ sữa'!$B$4:$B$203,MATCH(D311,'Mẻ sữa'!$C$4:$C$203,0)),"")</f>
        <v/>
      </c>
      <c r="F311" s="66">
        <f t="array" ref="F311">IF(B311="",0,INDEX('Bán nhanh'!$D$4:$M$103,INT((ROW()-4)/10)+1,MOD(ROW()-4,10)+1))</f>
        <v>0</v>
      </c>
      <c r="G311" s="46">
        <f t="array" ref="G311">IFERROR(INDEX('Sản phẩm'!$F$4:$F$103,MATCH(B311,'Sản phẩm'!$D$4:$D$103,0)),0)</f>
        <v>0</v>
      </c>
      <c r="H311" s="67">
        <f t="shared" si="5"/>
        <v>0</v>
      </c>
      <c r="I311" s="46">
        <f t="shared" si="1"/>
        <v>0</v>
      </c>
      <c r="J311" s="46">
        <f t="array" ref="J311">IFERROR(INDEX('Sản phẩm'!$G$4:$G$103,MATCH(B311,'Sản phẩm'!$D$4:$D$103,0)),0)</f>
        <v>0</v>
      </c>
      <c r="K311" s="46">
        <f t="array" ref="K311">IFERROR(J311*INDEX('Mẻ sữa'!$N$4:$N$203,MATCH(D311,'Mẻ sữa'!$C$4:$C$203,0)),0)</f>
        <v>0</v>
      </c>
      <c r="L311" s="46">
        <f t="array" ref="L311">IFERROR(INDEX('Sản phẩm'!$I$4:$I$103,MATCH(B311,'Sản phẩm'!$D$4:$D$103,0)),0)</f>
        <v>0</v>
      </c>
      <c r="M311" s="72" t="str">
        <f t="array" ref="M311">IFERROR(INDEX('Sản phẩm'!$J$4:$J$103,MATCH(B311,'Sản phẩm'!$D$4:$D$103,0)),0)</f>
        <v/>
      </c>
      <c r="N311" s="46">
        <f>IF(B311="",0,(K311+L311+M311)*'Thiết lập'!$B$8)</f>
        <v>0</v>
      </c>
      <c r="O311" s="46">
        <f t="shared" si="2"/>
        <v>0</v>
      </c>
      <c r="P311" s="46">
        <f t="shared" si="3"/>
        <v>0</v>
      </c>
      <c r="Q311" s="46">
        <f t="shared" si="4"/>
        <v>0</v>
      </c>
      <c r="R311" s="71" t="str">
        <f t="array" ref="R311">IF(B311="","",INDEX('Bán nhanh'!$C$4:$C$103,INT((ROW()-4)/10)+1))</f>
        <v/>
      </c>
      <c r="S311" s="71" t="str">
        <f t="array" ref="S311">IF(B311="","",INDEX('Bán nhanh'!$P$4:$P$103,INT((ROW()-4)/10)+1))</f>
        <v/>
      </c>
      <c r="T311" s="58"/>
      <c r="U311" s="36"/>
      <c r="V311" s="36"/>
      <c r="W311" s="58"/>
      <c r="X311" s="36"/>
      <c r="Y311" s="36"/>
      <c r="Z311" s="36"/>
    </row>
    <row r="312" ht="15.75" customHeight="1">
      <c r="A312" s="70" t="str">
        <f t="array" ref="A312">IF(B312="","",INDEX('Bán nhanh'!$A$4:$A$103,INT((ROW()-4)/10)+1))</f>
        <v/>
      </c>
      <c r="B312" s="71" t="str">
        <f t="array" ref="B312">IF(OR(INDEX('Bán nhanh'!$D$3:$M$3,1,MOD(ROW()-4,10)+1)="",INDEX('Bán nhanh'!$D$4:$M$103,INT((ROW()-4)/10)+1,MOD(ROW()-4,10)+1)&lt;=0),"",INDEX('Bán nhanh'!$D$3:$M$3,1,MOD(ROW()-4,10)+1))</f>
        <v/>
      </c>
      <c r="C312" s="58" t="str">
        <f t="array" ref="C312">IFERROR(INDEX('Sản phẩm'!$A$4:$A$103,MATCH(B312,'Sản phẩm'!$D$4:$D$103,0)),"")</f>
        <v/>
      </c>
      <c r="D312" s="71" t="str">
        <f t="array" ref="D312">IF(B312="","",INDEX('Bán nhanh'!$B$4:$B$103,INT((ROW()-4)/10)+1))</f>
        <v/>
      </c>
      <c r="E312" s="58" t="str">
        <f t="array" ref="E312">IFERROR(INDEX('Mẻ sữa'!$B$4:$B$203,MATCH(D312,'Mẻ sữa'!$C$4:$C$203,0)),"")</f>
        <v/>
      </c>
      <c r="F312" s="66">
        <f t="array" ref="F312">IF(B312="",0,INDEX('Bán nhanh'!$D$4:$M$103,INT((ROW()-4)/10)+1,MOD(ROW()-4,10)+1))</f>
        <v>0</v>
      </c>
      <c r="G312" s="46">
        <f t="array" ref="G312">IFERROR(INDEX('Sản phẩm'!$F$4:$F$103,MATCH(B312,'Sản phẩm'!$D$4:$D$103,0)),0)</f>
        <v>0</v>
      </c>
      <c r="H312" s="67">
        <f t="shared" si="5"/>
        <v>0</v>
      </c>
      <c r="I312" s="46">
        <f t="shared" si="1"/>
        <v>0</v>
      </c>
      <c r="J312" s="46">
        <f t="array" ref="J312">IFERROR(INDEX('Sản phẩm'!$G$4:$G$103,MATCH(B312,'Sản phẩm'!$D$4:$D$103,0)),0)</f>
        <v>0</v>
      </c>
      <c r="K312" s="46">
        <f t="array" ref="K312">IFERROR(J312*INDEX('Mẻ sữa'!$N$4:$N$203,MATCH(D312,'Mẻ sữa'!$C$4:$C$203,0)),0)</f>
        <v>0</v>
      </c>
      <c r="L312" s="46">
        <f t="array" ref="L312">IFERROR(INDEX('Sản phẩm'!$I$4:$I$103,MATCH(B312,'Sản phẩm'!$D$4:$D$103,0)),0)</f>
        <v>0</v>
      </c>
      <c r="M312" s="72" t="str">
        <f t="array" ref="M312">IFERROR(INDEX('Sản phẩm'!$J$4:$J$103,MATCH(B312,'Sản phẩm'!$D$4:$D$103,0)),0)</f>
        <v/>
      </c>
      <c r="N312" s="46">
        <f>IF(B312="",0,(K312+L312+M312)*'Thiết lập'!$B$8)</f>
        <v>0</v>
      </c>
      <c r="O312" s="46">
        <f t="shared" si="2"/>
        <v>0</v>
      </c>
      <c r="P312" s="46">
        <f t="shared" si="3"/>
        <v>0</v>
      </c>
      <c r="Q312" s="46">
        <f t="shared" si="4"/>
        <v>0</v>
      </c>
      <c r="R312" s="71" t="str">
        <f t="array" ref="R312">IF(B312="","",INDEX('Bán nhanh'!$C$4:$C$103,INT((ROW()-4)/10)+1))</f>
        <v/>
      </c>
      <c r="S312" s="71" t="str">
        <f t="array" ref="S312">IF(B312="","",INDEX('Bán nhanh'!$P$4:$P$103,INT((ROW()-4)/10)+1))</f>
        <v/>
      </c>
      <c r="T312" s="58"/>
      <c r="U312" s="36"/>
      <c r="V312" s="36"/>
      <c r="W312" s="58"/>
      <c r="X312" s="36"/>
      <c r="Y312" s="36"/>
      <c r="Z312" s="36"/>
    </row>
    <row r="313" ht="15.75" customHeight="1">
      <c r="A313" s="70" t="str">
        <f t="array" ref="A313">IF(B313="","",INDEX('Bán nhanh'!$A$4:$A$103,INT((ROW()-4)/10)+1))</f>
        <v/>
      </c>
      <c r="B313" s="71" t="str">
        <f t="array" ref="B313">IF(OR(INDEX('Bán nhanh'!$D$3:$M$3,1,MOD(ROW()-4,10)+1)="",INDEX('Bán nhanh'!$D$4:$M$103,INT((ROW()-4)/10)+1,MOD(ROW()-4,10)+1)&lt;=0),"",INDEX('Bán nhanh'!$D$3:$M$3,1,MOD(ROW()-4,10)+1))</f>
        <v/>
      </c>
      <c r="C313" s="58" t="str">
        <f t="array" ref="C313">IFERROR(INDEX('Sản phẩm'!$A$4:$A$103,MATCH(B313,'Sản phẩm'!$D$4:$D$103,0)),"")</f>
        <v/>
      </c>
      <c r="D313" s="71" t="str">
        <f t="array" ref="D313">IF(B313="","",INDEX('Bán nhanh'!$B$4:$B$103,INT((ROW()-4)/10)+1))</f>
        <v/>
      </c>
      <c r="E313" s="58" t="str">
        <f t="array" ref="E313">IFERROR(INDEX('Mẻ sữa'!$B$4:$B$203,MATCH(D313,'Mẻ sữa'!$C$4:$C$203,0)),"")</f>
        <v/>
      </c>
      <c r="F313" s="66">
        <f t="array" ref="F313">IF(B313="",0,INDEX('Bán nhanh'!$D$4:$M$103,INT((ROW()-4)/10)+1,MOD(ROW()-4,10)+1))</f>
        <v>0</v>
      </c>
      <c r="G313" s="46">
        <f t="array" ref="G313">IFERROR(INDEX('Sản phẩm'!$F$4:$F$103,MATCH(B313,'Sản phẩm'!$D$4:$D$103,0)),0)</f>
        <v>0</v>
      </c>
      <c r="H313" s="67">
        <f t="shared" si="5"/>
        <v>0</v>
      </c>
      <c r="I313" s="46">
        <f t="shared" si="1"/>
        <v>0</v>
      </c>
      <c r="J313" s="46">
        <f t="array" ref="J313">IFERROR(INDEX('Sản phẩm'!$G$4:$G$103,MATCH(B313,'Sản phẩm'!$D$4:$D$103,0)),0)</f>
        <v>0</v>
      </c>
      <c r="K313" s="46">
        <f t="array" ref="K313">IFERROR(J313*INDEX('Mẻ sữa'!$N$4:$N$203,MATCH(D313,'Mẻ sữa'!$C$4:$C$203,0)),0)</f>
        <v>0</v>
      </c>
      <c r="L313" s="46">
        <f t="array" ref="L313">IFERROR(INDEX('Sản phẩm'!$I$4:$I$103,MATCH(B313,'Sản phẩm'!$D$4:$D$103,0)),0)</f>
        <v>0</v>
      </c>
      <c r="M313" s="72" t="str">
        <f t="array" ref="M313">IFERROR(INDEX('Sản phẩm'!$J$4:$J$103,MATCH(B313,'Sản phẩm'!$D$4:$D$103,0)),0)</f>
        <v/>
      </c>
      <c r="N313" s="46">
        <f>IF(B313="",0,(K313+L313+M313)*'Thiết lập'!$B$8)</f>
        <v>0</v>
      </c>
      <c r="O313" s="46">
        <f t="shared" si="2"/>
        <v>0</v>
      </c>
      <c r="P313" s="46">
        <f t="shared" si="3"/>
        <v>0</v>
      </c>
      <c r="Q313" s="46">
        <f t="shared" si="4"/>
        <v>0</v>
      </c>
      <c r="R313" s="71" t="str">
        <f t="array" ref="R313">IF(B313="","",INDEX('Bán nhanh'!$C$4:$C$103,INT((ROW()-4)/10)+1))</f>
        <v/>
      </c>
      <c r="S313" s="71" t="str">
        <f t="array" ref="S313">IF(B313="","",INDEX('Bán nhanh'!$P$4:$P$103,INT((ROW()-4)/10)+1))</f>
        <v/>
      </c>
      <c r="T313" s="58"/>
      <c r="U313" s="36"/>
      <c r="V313" s="36"/>
      <c r="W313" s="58"/>
      <c r="X313" s="36"/>
      <c r="Y313" s="36"/>
      <c r="Z313" s="36"/>
    </row>
    <row r="314" ht="15.75" customHeight="1">
      <c r="A314" s="70" t="str">
        <f t="array" ref="A314">IF(B314="","",INDEX('Bán nhanh'!$A$4:$A$103,INT((ROW()-4)/10)+1))</f>
        <v/>
      </c>
      <c r="B314" s="71" t="str">
        <f t="array" ref="B314">IF(OR(INDEX('Bán nhanh'!$D$3:$M$3,1,MOD(ROW()-4,10)+1)="",INDEX('Bán nhanh'!$D$4:$M$103,INT((ROW()-4)/10)+1,MOD(ROW()-4,10)+1)&lt;=0),"",INDEX('Bán nhanh'!$D$3:$M$3,1,MOD(ROW()-4,10)+1))</f>
        <v/>
      </c>
      <c r="C314" s="58" t="str">
        <f t="array" ref="C314">IFERROR(INDEX('Sản phẩm'!$A$4:$A$103,MATCH(B314,'Sản phẩm'!$D$4:$D$103,0)),"")</f>
        <v/>
      </c>
      <c r="D314" s="71" t="str">
        <f t="array" ref="D314">IF(B314="","",INDEX('Bán nhanh'!$B$4:$B$103,INT((ROW()-4)/10)+1))</f>
        <v/>
      </c>
      <c r="E314" s="58" t="str">
        <f t="array" ref="E314">IFERROR(INDEX('Mẻ sữa'!$B$4:$B$203,MATCH(D314,'Mẻ sữa'!$C$4:$C$203,0)),"")</f>
        <v/>
      </c>
      <c r="F314" s="66">
        <f t="array" ref="F314">IF(B314="",0,INDEX('Bán nhanh'!$D$4:$M$103,INT((ROW()-4)/10)+1,MOD(ROW()-4,10)+1))</f>
        <v>0</v>
      </c>
      <c r="G314" s="46">
        <f t="array" ref="G314">IFERROR(INDEX('Sản phẩm'!$F$4:$F$103,MATCH(B314,'Sản phẩm'!$D$4:$D$103,0)),0)</f>
        <v>0</v>
      </c>
      <c r="H314" s="67">
        <f t="shared" si="5"/>
        <v>0</v>
      </c>
      <c r="I314" s="46">
        <f t="shared" si="1"/>
        <v>0</v>
      </c>
      <c r="J314" s="46">
        <f t="array" ref="J314">IFERROR(INDEX('Sản phẩm'!$G$4:$G$103,MATCH(B314,'Sản phẩm'!$D$4:$D$103,0)),0)</f>
        <v>0</v>
      </c>
      <c r="K314" s="46">
        <f t="array" ref="K314">IFERROR(J314*INDEX('Mẻ sữa'!$N$4:$N$203,MATCH(D314,'Mẻ sữa'!$C$4:$C$203,0)),0)</f>
        <v>0</v>
      </c>
      <c r="L314" s="46">
        <f t="array" ref="L314">IFERROR(INDEX('Sản phẩm'!$I$4:$I$103,MATCH(B314,'Sản phẩm'!$D$4:$D$103,0)),0)</f>
        <v>0</v>
      </c>
      <c r="M314" s="72" t="str">
        <f t="array" ref="M314">IFERROR(INDEX('Sản phẩm'!$J$4:$J$103,MATCH(B314,'Sản phẩm'!$D$4:$D$103,0)),0)</f>
        <v/>
      </c>
      <c r="N314" s="46">
        <f>IF(B314="",0,(K314+L314+M314)*'Thiết lập'!$B$8)</f>
        <v>0</v>
      </c>
      <c r="O314" s="46">
        <f t="shared" si="2"/>
        <v>0</v>
      </c>
      <c r="P314" s="46">
        <f t="shared" si="3"/>
        <v>0</v>
      </c>
      <c r="Q314" s="46">
        <f t="shared" si="4"/>
        <v>0</v>
      </c>
      <c r="R314" s="71" t="str">
        <f t="array" ref="R314">IF(B314="","",INDEX('Bán nhanh'!$C$4:$C$103,INT((ROW()-4)/10)+1))</f>
        <v/>
      </c>
      <c r="S314" s="71" t="str">
        <f t="array" ref="S314">IF(B314="","",INDEX('Bán nhanh'!$P$4:$P$103,INT((ROW()-4)/10)+1))</f>
        <v/>
      </c>
      <c r="T314" s="58"/>
      <c r="U314" s="36"/>
      <c r="V314" s="36"/>
      <c r="W314" s="58"/>
      <c r="X314" s="36"/>
      <c r="Y314" s="36"/>
      <c r="Z314" s="36"/>
    </row>
    <row r="315" ht="15.75" customHeight="1">
      <c r="A315" s="70" t="str">
        <f t="array" ref="A315">IF(B315="","",INDEX('Bán nhanh'!$A$4:$A$103,INT((ROW()-4)/10)+1))</f>
        <v/>
      </c>
      <c r="B315" s="71" t="str">
        <f t="array" ref="B315">IF(OR(INDEX('Bán nhanh'!$D$3:$M$3,1,MOD(ROW()-4,10)+1)="",INDEX('Bán nhanh'!$D$4:$M$103,INT((ROW()-4)/10)+1,MOD(ROW()-4,10)+1)&lt;=0),"",INDEX('Bán nhanh'!$D$3:$M$3,1,MOD(ROW()-4,10)+1))</f>
        <v/>
      </c>
      <c r="C315" s="58" t="str">
        <f t="array" ref="C315">IFERROR(INDEX('Sản phẩm'!$A$4:$A$103,MATCH(B315,'Sản phẩm'!$D$4:$D$103,0)),"")</f>
        <v/>
      </c>
      <c r="D315" s="71" t="str">
        <f t="array" ref="D315">IF(B315="","",INDEX('Bán nhanh'!$B$4:$B$103,INT((ROW()-4)/10)+1))</f>
        <v/>
      </c>
      <c r="E315" s="58" t="str">
        <f t="array" ref="E315">IFERROR(INDEX('Mẻ sữa'!$B$4:$B$203,MATCH(D315,'Mẻ sữa'!$C$4:$C$203,0)),"")</f>
        <v/>
      </c>
      <c r="F315" s="66">
        <f t="array" ref="F315">IF(B315="",0,INDEX('Bán nhanh'!$D$4:$M$103,INT((ROW()-4)/10)+1,MOD(ROW()-4,10)+1))</f>
        <v>0</v>
      </c>
      <c r="G315" s="46">
        <f t="array" ref="G315">IFERROR(INDEX('Sản phẩm'!$F$4:$F$103,MATCH(B315,'Sản phẩm'!$D$4:$D$103,0)),0)</f>
        <v>0</v>
      </c>
      <c r="H315" s="67">
        <f t="shared" si="5"/>
        <v>0</v>
      </c>
      <c r="I315" s="46">
        <f t="shared" si="1"/>
        <v>0</v>
      </c>
      <c r="J315" s="46">
        <f t="array" ref="J315">IFERROR(INDEX('Sản phẩm'!$G$4:$G$103,MATCH(B315,'Sản phẩm'!$D$4:$D$103,0)),0)</f>
        <v>0</v>
      </c>
      <c r="K315" s="46">
        <f t="array" ref="K315">IFERROR(J315*INDEX('Mẻ sữa'!$N$4:$N$203,MATCH(D315,'Mẻ sữa'!$C$4:$C$203,0)),0)</f>
        <v>0</v>
      </c>
      <c r="L315" s="46">
        <f t="array" ref="L315">IFERROR(INDEX('Sản phẩm'!$I$4:$I$103,MATCH(B315,'Sản phẩm'!$D$4:$D$103,0)),0)</f>
        <v>0</v>
      </c>
      <c r="M315" s="72" t="str">
        <f t="array" ref="M315">IFERROR(INDEX('Sản phẩm'!$J$4:$J$103,MATCH(B315,'Sản phẩm'!$D$4:$D$103,0)),0)</f>
        <v/>
      </c>
      <c r="N315" s="46">
        <f>IF(B315="",0,(K315+L315+M315)*'Thiết lập'!$B$8)</f>
        <v>0</v>
      </c>
      <c r="O315" s="46">
        <f t="shared" si="2"/>
        <v>0</v>
      </c>
      <c r="P315" s="46">
        <f t="shared" si="3"/>
        <v>0</v>
      </c>
      <c r="Q315" s="46">
        <f t="shared" si="4"/>
        <v>0</v>
      </c>
      <c r="R315" s="71" t="str">
        <f t="array" ref="R315">IF(B315="","",INDEX('Bán nhanh'!$C$4:$C$103,INT((ROW()-4)/10)+1))</f>
        <v/>
      </c>
      <c r="S315" s="71" t="str">
        <f t="array" ref="S315">IF(B315="","",INDEX('Bán nhanh'!$P$4:$P$103,INT((ROW()-4)/10)+1))</f>
        <v/>
      </c>
      <c r="T315" s="58"/>
      <c r="U315" s="36"/>
      <c r="V315" s="36"/>
      <c r="W315" s="58"/>
      <c r="X315" s="36"/>
      <c r="Y315" s="36"/>
      <c r="Z315" s="36"/>
    </row>
    <row r="316" ht="15.75" customHeight="1">
      <c r="A316" s="70" t="str">
        <f t="array" ref="A316">IF(B316="","",INDEX('Bán nhanh'!$A$4:$A$103,INT((ROW()-4)/10)+1))</f>
        <v/>
      </c>
      <c r="B316" s="71" t="str">
        <f t="array" ref="B316">IF(OR(INDEX('Bán nhanh'!$D$3:$M$3,1,MOD(ROW()-4,10)+1)="",INDEX('Bán nhanh'!$D$4:$M$103,INT((ROW()-4)/10)+1,MOD(ROW()-4,10)+1)&lt;=0),"",INDEX('Bán nhanh'!$D$3:$M$3,1,MOD(ROW()-4,10)+1))</f>
        <v/>
      </c>
      <c r="C316" s="58" t="str">
        <f t="array" ref="C316">IFERROR(INDEX('Sản phẩm'!$A$4:$A$103,MATCH(B316,'Sản phẩm'!$D$4:$D$103,0)),"")</f>
        <v/>
      </c>
      <c r="D316" s="71" t="str">
        <f t="array" ref="D316">IF(B316="","",INDEX('Bán nhanh'!$B$4:$B$103,INT((ROW()-4)/10)+1))</f>
        <v/>
      </c>
      <c r="E316" s="58" t="str">
        <f t="array" ref="E316">IFERROR(INDEX('Mẻ sữa'!$B$4:$B$203,MATCH(D316,'Mẻ sữa'!$C$4:$C$203,0)),"")</f>
        <v/>
      </c>
      <c r="F316" s="66">
        <f t="array" ref="F316">IF(B316="",0,INDEX('Bán nhanh'!$D$4:$M$103,INT((ROW()-4)/10)+1,MOD(ROW()-4,10)+1))</f>
        <v>0</v>
      </c>
      <c r="G316" s="46">
        <f t="array" ref="G316">IFERROR(INDEX('Sản phẩm'!$F$4:$F$103,MATCH(B316,'Sản phẩm'!$D$4:$D$103,0)),0)</f>
        <v>0</v>
      </c>
      <c r="H316" s="67">
        <f t="shared" si="5"/>
        <v>0</v>
      </c>
      <c r="I316" s="46">
        <f t="shared" si="1"/>
        <v>0</v>
      </c>
      <c r="J316" s="46">
        <f t="array" ref="J316">IFERROR(INDEX('Sản phẩm'!$G$4:$G$103,MATCH(B316,'Sản phẩm'!$D$4:$D$103,0)),0)</f>
        <v>0</v>
      </c>
      <c r="K316" s="46">
        <f t="array" ref="K316">IFERROR(J316*INDEX('Mẻ sữa'!$N$4:$N$203,MATCH(D316,'Mẻ sữa'!$C$4:$C$203,0)),0)</f>
        <v>0</v>
      </c>
      <c r="L316" s="46">
        <f t="array" ref="L316">IFERROR(INDEX('Sản phẩm'!$I$4:$I$103,MATCH(B316,'Sản phẩm'!$D$4:$D$103,0)),0)</f>
        <v>0</v>
      </c>
      <c r="M316" s="72" t="str">
        <f t="array" ref="M316">IFERROR(INDEX('Sản phẩm'!$J$4:$J$103,MATCH(B316,'Sản phẩm'!$D$4:$D$103,0)),0)</f>
        <v/>
      </c>
      <c r="N316" s="46">
        <f>IF(B316="",0,(K316+L316+M316)*'Thiết lập'!$B$8)</f>
        <v>0</v>
      </c>
      <c r="O316" s="46">
        <f t="shared" si="2"/>
        <v>0</v>
      </c>
      <c r="P316" s="46">
        <f t="shared" si="3"/>
        <v>0</v>
      </c>
      <c r="Q316" s="46">
        <f t="shared" si="4"/>
        <v>0</v>
      </c>
      <c r="R316" s="71" t="str">
        <f t="array" ref="R316">IF(B316="","",INDEX('Bán nhanh'!$C$4:$C$103,INT((ROW()-4)/10)+1))</f>
        <v/>
      </c>
      <c r="S316" s="71" t="str">
        <f t="array" ref="S316">IF(B316="","",INDEX('Bán nhanh'!$P$4:$P$103,INT((ROW()-4)/10)+1))</f>
        <v/>
      </c>
      <c r="T316" s="58"/>
      <c r="U316" s="36"/>
      <c r="V316" s="36"/>
      <c r="W316" s="58"/>
      <c r="X316" s="36"/>
      <c r="Y316" s="36"/>
      <c r="Z316" s="36"/>
    </row>
    <row r="317" ht="15.75" customHeight="1">
      <c r="A317" s="70" t="str">
        <f t="array" ref="A317">IF(B317="","",INDEX('Bán nhanh'!$A$4:$A$103,INT((ROW()-4)/10)+1))</f>
        <v/>
      </c>
      <c r="B317" s="71" t="str">
        <f t="array" ref="B317">IF(OR(INDEX('Bán nhanh'!$D$3:$M$3,1,MOD(ROW()-4,10)+1)="",INDEX('Bán nhanh'!$D$4:$M$103,INT((ROW()-4)/10)+1,MOD(ROW()-4,10)+1)&lt;=0),"",INDEX('Bán nhanh'!$D$3:$M$3,1,MOD(ROW()-4,10)+1))</f>
        <v/>
      </c>
      <c r="C317" s="58" t="str">
        <f t="array" ref="C317">IFERROR(INDEX('Sản phẩm'!$A$4:$A$103,MATCH(B317,'Sản phẩm'!$D$4:$D$103,0)),"")</f>
        <v/>
      </c>
      <c r="D317" s="71" t="str">
        <f t="array" ref="D317">IF(B317="","",INDEX('Bán nhanh'!$B$4:$B$103,INT((ROW()-4)/10)+1))</f>
        <v/>
      </c>
      <c r="E317" s="58" t="str">
        <f t="array" ref="E317">IFERROR(INDEX('Mẻ sữa'!$B$4:$B$203,MATCH(D317,'Mẻ sữa'!$C$4:$C$203,0)),"")</f>
        <v/>
      </c>
      <c r="F317" s="66">
        <f t="array" ref="F317">IF(B317="",0,INDEX('Bán nhanh'!$D$4:$M$103,INT((ROW()-4)/10)+1,MOD(ROW()-4,10)+1))</f>
        <v>0</v>
      </c>
      <c r="G317" s="46">
        <f t="array" ref="G317">IFERROR(INDEX('Sản phẩm'!$F$4:$F$103,MATCH(B317,'Sản phẩm'!$D$4:$D$103,0)),0)</f>
        <v>0</v>
      </c>
      <c r="H317" s="67">
        <f t="shared" si="5"/>
        <v>0</v>
      </c>
      <c r="I317" s="46">
        <f t="shared" si="1"/>
        <v>0</v>
      </c>
      <c r="J317" s="46">
        <f t="array" ref="J317">IFERROR(INDEX('Sản phẩm'!$G$4:$G$103,MATCH(B317,'Sản phẩm'!$D$4:$D$103,0)),0)</f>
        <v>0</v>
      </c>
      <c r="K317" s="46">
        <f t="array" ref="K317">IFERROR(J317*INDEX('Mẻ sữa'!$N$4:$N$203,MATCH(D317,'Mẻ sữa'!$C$4:$C$203,0)),0)</f>
        <v>0</v>
      </c>
      <c r="L317" s="46">
        <f t="array" ref="L317">IFERROR(INDEX('Sản phẩm'!$I$4:$I$103,MATCH(B317,'Sản phẩm'!$D$4:$D$103,0)),0)</f>
        <v>0</v>
      </c>
      <c r="M317" s="72" t="str">
        <f t="array" ref="M317">IFERROR(INDEX('Sản phẩm'!$J$4:$J$103,MATCH(B317,'Sản phẩm'!$D$4:$D$103,0)),0)</f>
        <v/>
      </c>
      <c r="N317" s="46">
        <f>IF(B317="",0,(K317+L317+M317)*'Thiết lập'!$B$8)</f>
        <v>0</v>
      </c>
      <c r="O317" s="46">
        <f t="shared" si="2"/>
        <v>0</v>
      </c>
      <c r="P317" s="46">
        <f t="shared" si="3"/>
        <v>0</v>
      </c>
      <c r="Q317" s="46">
        <f t="shared" si="4"/>
        <v>0</v>
      </c>
      <c r="R317" s="71" t="str">
        <f t="array" ref="R317">IF(B317="","",INDEX('Bán nhanh'!$C$4:$C$103,INT((ROW()-4)/10)+1))</f>
        <v/>
      </c>
      <c r="S317" s="71" t="str">
        <f t="array" ref="S317">IF(B317="","",INDEX('Bán nhanh'!$P$4:$P$103,INT((ROW()-4)/10)+1))</f>
        <v/>
      </c>
      <c r="T317" s="58"/>
      <c r="U317" s="36"/>
      <c r="V317" s="36"/>
      <c r="W317" s="58"/>
      <c r="X317" s="36"/>
      <c r="Y317" s="36"/>
      <c r="Z317" s="36"/>
    </row>
    <row r="318" ht="15.75" customHeight="1">
      <c r="A318" s="70" t="str">
        <f t="array" ref="A318">IF(B318="","",INDEX('Bán nhanh'!$A$4:$A$103,INT((ROW()-4)/10)+1))</f>
        <v/>
      </c>
      <c r="B318" s="71" t="str">
        <f t="array" ref="B318">IF(OR(INDEX('Bán nhanh'!$D$3:$M$3,1,MOD(ROW()-4,10)+1)="",INDEX('Bán nhanh'!$D$4:$M$103,INT((ROW()-4)/10)+1,MOD(ROW()-4,10)+1)&lt;=0),"",INDEX('Bán nhanh'!$D$3:$M$3,1,MOD(ROW()-4,10)+1))</f>
        <v/>
      </c>
      <c r="C318" s="58" t="str">
        <f t="array" ref="C318">IFERROR(INDEX('Sản phẩm'!$A$4:$A$103,MATCH(B318,'Sản phẩm'!$D$4:$D$103,0)),"")</f>
        <v/>
      </c>
      <c r="D318" s="71" t="str">
        <f t="array" ref="D318">IF(B318="","",INDEX('Bán nhanh'!$B$4:$B$103,INT((ROW()-4)/10)+1))</f>
        <v/>
      </c>
      <c r="E318" s="58" t="str">
        <f t="array" ref="E318">IFERROR(INDEX('Mẻ sữa'!$B$4:$B$203,MATCH(D318,'Mẻ sữa'!$C$4:$C$203,0)),"")</f>
        <v/>
      </c>
      <c r="F318" s="66">
        <f t="array" ref="F318">IF(B318="",0,INDEX('Bán nhanh'!$D$4:$M$103,INT((ROW()-4)/10)+1,MOD(ROW()-4,10)+1))</f>
        <v>0</v>
      </c>
      <c r="G318" s="46">
        <f t="array" ref="G318">IFERROR(INDEX('Sản phẩm'!$F$4:$F$103,MATCH(B318,'Sản phẩm'!$D$4:$D$103,0)),0)</f>
        <v>0</v>
      </c>
      <c r="H318" s="67">
        <f t="shared" si="5"/>
        <v>0</v>
      </c>
      <c r="I318" s="46">
        <f t="shared" si="1"/>
        <v>0</v>
      </c>
      <c r="J318" s="46">
        <f t="array" ref="J318">IFERROR(INDEX('Sản phẩm'!$G$4:$G$103,MATCH(B318,'Sản phẩm'!$D$4:$D$103,0)),0)</f>
        <v>0</v>
      </c>
      <c r="K318" s="46">
        <f t="array" ref="K318">IFERROR(J318*INDEX('Mẻ sữa'!$N$4:$N$203,MATCH(D318,'Mẻ sữa'!$C$4:$C$203,0)),0)</f>
        <v>0</v>
      </c>
      <c r="L318" s="46">
        <f t="array" ref="L318">IFERROR(INDEX('Sản phẩm'!$I$4:$I$103,MATCH(B318,'Sản phẩm'!$D$4:$D$103,0)),0)</f>
        <v>0</v>
      </c>
      <c r="M318" s="72" t="str">
        <f t="array" ref="M318">IFERROR(INDEX('Sản phẩm'!$J$4:$J$103,MATCH(B318,'Sản phẩm'!$D$4:$D$103,0)),0)</f>
        <v/>
      </c>
      <c r="N318" s="46">
        <f>IF(B318="",0,(K318+L318+M318)*'Thiết lập'!$B$8)</f>
        <v>0</v>
      </c>
      <c r="O318" s="46">
        <f t="shared" si="2"/>
        <v>0</v>
      </c>
      <c r="P318" s="46">
        <f t="shared" si="3"/>
        <v>0</v>
      </c>
      <c r="Q318" s="46">
        <f t="shared" si="4"/>
        <v>0</v>
      </c>
      <c r="R318" s="71" t="str">
        <f t="array" ref="R318">IF(B318="","",INDEX('Bán nhanh'!$C$4:$C$103,INT((ROW()-4)/10)+1))</f>
        <v/>
      </c>
      <c r="S318" s="71" t="str">
        <f t="array" ref="S318">IF(B318="","",INDEX('Bán nhanh'!$P$4:$P$103,INT((ROW()-4)/10)+1))</f>
        <v/>
      </c>
      <c r="T318" s="58"/>
      <c r="U318" s="36"/>
      <c r="V318" s="36"/>
      <c r="W318" s="58"/>
      <c r="X318" s="36"/>
      <c r="Y318" s="36"/>
      <c r="Z318" s="36"/>
    </row>
    <row r="319" ht="15.75" customHeight="1">
      <c r="A319" s="70" t="str">
        <f t="array" ref="A319">IF(B319="","",INDEX('Bán nhanh'!$A$4:$A$103,INT((ROW()-4)/10)+1))</f>
        <v/>
      </c>
      <c r="B319" s="71" t="str">
        <f t="array" ref="B319">IF(OR(INDEX('Bán nhanh'!$D$3:$M$3,1,MOD(ROW()-4,10)+1)="",INDEX('Bán nhanh'!$D$4:$M$103,INT((ROW()-4)/10)+1,MOD(ROW()-4,10)+1)&lt;=0),"",INDEX('Bán nhanh'!$D$3:$M$3,1,MOD(ROW()-4,10)+1))</f>
        <v/>
      </c>
      <c r="C319" s="58" t="str">
        <f t="array" ref="C319">IFERROR(INDEX('Sản phẩm'!$A$4:$A$103,MATCH(B319,'Sản phẩm'!$D$4:$D$103,0)),"")</f>
        <v/>
      </c>
      <c r="D319" s="71" t="str">
        <f t="array" ref="D319">IF(B319="","",INDEX('Bán nhanh'!$B$4:$B$103,INT((ROW()-4)/10)+1))</f>
        <v/>
      </c>
      <c r="E319" s="58" t="str">
        <f t="array" ref="E319">IFERROR(INDEX('Mẻ sữa'!$B$4:$B$203,MATCH(D319,'Mẻ sữa'!$C$4:$C$203,0)),"")</f>
        <v/>
      </c>
      <c r="F319" s="66">
        <f t="array" ref="F319">IF(B319="",0,INDEX('Bán nhanh'!$D$4:$M$103,INT((ROW()-4)/10)+1,MOD(ROW()-4,10)+1))</f>
        <v>0</v>
      </c>
      <c r="G319" s="46">
        <f t="array" ref="G319">IFERROR(INDEX('Sản phẩm'!$F$4:$F$103,MATCH(B319,'Sản phẩm'!$D$4:$D$103,0)),0)</f>
        <v>0</v>
      </c>
      <c r="H319" s="67">
        <f t="shared" si="5"/>
        <v>0</v>
      </c>
      <c r="I319" s="46">
        <f t="shared" si="1"/>
        <v>0</v>
      </c>
      <c r="J319" s="46">
        <f t="array" ref="J319">IFERROR(INDEX('Sản phẩm'!$G$4:$G$103,MATCH(B319,'Sản phẩm'!$D$4:$D$103,0)),0)</f>
        <v>0</v>
      </c>
      <c r="K319" s="46">
        <f t="array" ref="K319">IFERROR(J319*INDEX('Mẻ sữa'!$N$4:$N$203,MATCH(D319,'Mẻ sữa'!$C$4:$C$203,0)),0)</f>
        <v>0</v>
      </c>
      <c r="L319" s="46">
        <f t="array" ref="L319">IFERROR(INDEX('Sản phẩm'!$I$4:$I$103,MATCH(B319,'Sản phẩm'!$D$4:$D$103,0)),0)</f>
        <v>0</v>
      </c>
      <c r="M319" s="72" t="str">
        <f t="array" ref="M319">IFERROR(INDEX('Sản phẩm'!$J$4:$J$103,MATCH(B319,'Sản phẩm'!$D$4:$D$103,0)),0)</f>
        <v/>
      </c>
      <c r="N319" s="46">
        <f>IF(B319="",0,(K319+L319+M319)*'Thiết lập'!$B$8)</f>
        <v>0</v>
      </c>
      <c r="O319" s="46">
        <f t="shared" si="2"/>
        <v>0</v>
      </c>
      <c r="P319" s="46">
        <f t="shared" si="3"/>
        <v>0</v>
      </c>
      <c r="Q319" s="46">
        <f t="shared" si="4"/>
        <v>0</v>
      </c>
      <c r="R319" s="71" t="str">
        <f t="array" ref="R319">IF(B319="","",INDEX('Bán nhanh'!$C$4:$C$103,INT((ROW()-4)/10)+1))</f>
        <v/>
      </c>
      <c r="S319" s="71" t="str">
        <f t="array" ref="S319">IF(B319="","",INDEX('Bán nhanh'!$P$4:$P$103,INT((ROW()-4)/10)+1))</f>
        <v/>
      </c>
      <c r="T319" s="58"/>
      <c r="U319" s="36"/>
      <c r="V319" s="36"/>
      <c r="W319" s="58"/>
      <c r="X319" s="36"/>
      <c r="Y319" s="36"/>
      <c r="Z319" s="36"/>
    </row>
    <row r="320" ht="15.75" customHeight="1">
      <c r="A320" s="70" t="str">
        <f t="array" ref="A320">IF(B320="","",INDEX('Bán nhanh'!$A$4:$A$103,INT((ROW()-4)/10)+1))</f>
        <v/>
      </c>
      <c r="B320" s="71" t="str">
        <f t="array" ref="B320">IF(OR(INDEX('Bán nhanh'!$D$3:$M$3,1,MOD(ROW()-4,10)+1)="",INDEX('Bán nhanh'!$D$4:$M$103,INT((ROW()-4)/10)+1,MOD(ROW()-4,10)+1)&lt;=0),"",INDEX('Bán nhanh'!$D$3:$M$3,1,MOD(ROW()-4,10)+1))</f>
        <v/>
      </c>
      <c r="C320" s="58" t="str">
        <f t="array" ref="C320">IFERROR(INDEX('Sản phẩm'!$A$4:$A$103,MATCH(B320,'Sản phẩm'!$D$4:$D$103,0)),"")</f>
        <v/>
      </c>
      <c r="D320" s="71" t="str">
        <f t="array" ref="D320">IF(B320="","",INDEX('Bán nhanh'!$B$4:$B$103,INT((ROW()-4)/10)+1))</f>
        <v/>
      </c>
      <c r="E320" s="58" t="str">
        <f t="array" ref="E320">IFERROR(INDEX('Mẻ sữa'!$B$4:$B$203,MATCH(D320,'Mẻ sữa'!$C$4:$C$203,0)),"")</f>
        <v/>
      </c>
      <c r="F320" s="66">
        <f t="array" ref="F320">IF(B320="",0,INDEX('Bán nhanh'!$D$4:$M$103,INT((ROW()-4)/10)+1,MOD(ROW()-4,10)+1))</f>
        <v>0</v>
      </c>
      <c r="G320" s="46">
        <f t="array" ref="G320">IFERROR(INDEX('Sản phẩm'!$F$4:$F$103,MATCH(B320,'Sản phẩm'!$D$4:$D$103,0)),0)</f>
        <v>0</v>
      </c>
      <c r="H320" s="67">
        <f t="shared" si="5"/>
        <v>0</v>
      </c>
      <c r="I320" s="46">
        <f t="shared" si="1"/>
        <v>0</v>
      </c>
      <c r="J320" s="46">
        <f t="array" ref="J320">IFERROR(INDEX('Sản phẩm'!$G$4:$G$103,MATCH(B320,'Sản phẩm'!$D$4:$D$103,0)),0)</f>
        <v>0</v>
      </c>
      <c r="K320" s="46">
        <f t="array" ref="K320">IFERROR(J320*INDEX('Mẻ sữa'!$N$4:$N$203,MATCH(D320,'Mẻ sữa'!$C$4:$C$203,0)),0)</f>
        <v>0</v>
      </c>
      <c r="L320" s="46">
        <f t="array" ref="L320">IFERROR(INDEX('Sản phẩm'!$I$4:$I$103,MATCH(B320,'Sản phẩm'!$D$4:$D$103,0)),0)</f>
        <v>0</v>
      </c>
      <c r="M320" s="72" t="str">
        <f t="array" ref="M320">IFERROR(INDEX('Sản phẩm'!$J$4:$J$103,MATCH(B320,'Sản phẩm'!$D$4:$D$103,0)),0)</f>
        <v/>
      </c>
      <c r="N320" s="46">
        <f>IF(B320="",0,(K320+L320+M320)*'Thiết lập'!$B$8)</f>
        <v>0</v>
      </c>
      <c r="O320" s="46">
        <f t="shared" si="2"/>
        <v>0</v>
      </c>
      <c r="P320" s="46">
        <f t="shared" si="3"/>
        <v>0</v>
      </c>
      <c r="Q320" s="46">
        <f t="shared" si="4"/>
        <v>0</v>
      </c>
      <c r="R320" s="71" t="str">
        <f t="array" ref="R320">IF(B320="","",INDEX('Bán nhanh'!$C$4:$C$103,INT((ROW()-4)/10)+1))</f>
        <v/>
      </c>
      <c r="S320" s="71" t="str">
        <f t="array" ref="S320">IF(B320="","",INDEX('Bán nhanh'!$P$4:$P$103,INT((ROW()-4)/10)+1))</f>
        <v/>
      </c>
      <c r="T320" s="58"/>
      <c r="U320" s="36"/>
      <c r="V320" s="36"/>
      <c r="W320" s="58"/>
      <c r="X320" s="36"/>
      <c r="Y320" s="36"/>
      <c r="Z320" s="36"/>
    </row>
    <row r="321" ht="15.75" customHeight="1">
      <c r="A321" s="70" t="str">
        <f t="array" ref="A321">IF(B321="","",INDEX('Bán nhanh'!$A$4:$A$103,INT((ROW()-4)/10)+1))</f>
        <v/>
      </c>
      <c r="B321" s="71" t="str">
        <f t="array" ref="B321">IF(OR(INDEX('Bán nhanh'!$D$3:$M$3,1,MOD(ROW()-4,10)+1)="",INDEX('Bán nhanh'!$D$4:$M$103,INT((ROW()-4)/10)+1,MOD(ROW()-4,10)+1)&lt;=0),"",INDEX('Bán nhanh'!$D$3:$M$3,1,MOD(ROW()-4,10)+1))</f>
        <v/>
      </c>
      <c r="C321" s="58" t="str">
        <f t="array" ref="C321">IFERROR(INDEX('Sản phẩm'!$A$4:$A$103,MATCH(B321,'Sản phẩm'!$D$4:$D$103,0)),"")</f>
        <v/>
      </c>
      <c r="D321" s="71" t="str">
        <f t="array" ref="D321">IF(B321="","",INDEX('Bán nhanh'!$B$4:$B$103,INT((ROW()-4)/10)+1))</f>
        <v/>
      </c>
      <c r="E321" s="58" t="str">
        <f t="array" ref="E321">IFERROR(INDEX('Mẻ sữa'!$B$4:$B$203,MATCH(D321,'Mẻ sữa'!$C$4:$C$203,0)),"")</f>
        <v/>
      </c>
      <c r="F321" s="66">
        <f t="array" ref="F321">IF(B321="",0,INDEX('Bán nhanh'!$D$4:$M$103,INT((ROW()-4)/10)+1,MOD(ROW()-4,10)+1))</f>
        <v>0</v>
      </c>
      <c r="G321" s="46">
        <f t="array" ref="G321">IFERROR(INDEX('Sản phẩm'!$F$4:$F$103,MATCH(B321,'Sản phẩm'!$D$4:$D$103,0)),0)</f>
        <v>0</v>
      </c>
      <c r="H321" s="67">
        <f t="shared" si="5"/>
        <v>0</v>
      </c>
      <c r="I321" s="46">
        <f t="shared" si="1"/>
        <v>0</v>
      </c>
      <c r="J321" s="46">
        <f t="array" ref="J321">IFERROR(INDEX('Sản phẩm'!$G$4:$G$103,MATCH(B321,'Sản phẩm'!$D$4:$D$103,0)),0)</f>
        <v>0</v>
      </c>
      <c r="K321" s="46">
        <f t="array" ref="K321">IFERROR(J321*INDEX('Mẻ sữa'!$N$4:$N$203,MATCH(D321,'Mẻ sữa'!$C$4:$C$203,0)),0)</f>
        <v>0</v>
      </c>
      <c r="L321" s="46">
        <f t="array" ref="L321">IFERROR(INDEX('Sản phẩm'!$I$4:$I$103,MATCH(B321,'Sản phẩm'!$D$4:$D$103,0)),0)</f>
        <v>0</v>
      </c>
      <c r="M321" s="72" t="str">
        <f t="array" ref="M321">IFERROR(INDEX('Sản phẩm'!$J$4:$J$103,MATCH(B321,'Sản phẩm'!$D$4:$D$103,0)),0)</f>
        <v/>
      </c>
      <c r="N321" s="46">
        <f>IF(B321="",0,(K321+L321+M321)*'Thiết lập'!$B$8)</f>
        <v>0</v>
      </c>
      <c r="O321" s="46">
        <f t="shared" si="2"/>
        <v>0</v>
      </c>
      <c r="P321" s="46">
        <f t="shared" si="3"/>
        <v>0</v>
      </c>
      <c r="Q321" s="46">
        <f t="shared" si="4"/>
        <v>0</v>
      </c>
      <c r="R321" s="71" t="str">
        <f t="array" ref="R321">IF(B321="","",INDEX('Bán nhanh'!$C$4:$C$103,INT((ROW()-4)/10)+1))</f>
        <v/>
      </c>
      <c r="S321" s="71" t="str">
        <f t="array" ref="S321">IF(B321="","",INDEX('Bán nhanh'!$P$4:$P$103,INT((ROW()-4)/10)+1))</f>
        <v/>
      </c>
      <c r="T321" s="58"/>
      <c r="U321" s="36"/>
      <c r="V321" s="36"/>
      <c r="W321" s="58"/>
      <c r="X321" s="36"/>
      <c r="Y321" s="36"/>
      <c r="Z321" s="36"/>
    </row>
    <row r="322" ht="15.75" customHeight="1">
      <c r="A322" s="70" t="str">
        <f t="array" ref="A322">IF(B322="","",INDEX('Bán nhanh'!$A$4:$A$103,INT((ROW()-4)/10)+1))</f>
        <v/>
      </c>
      <c r="B322" s="71" t="str">
        <f t="array" ref="B322">IF(OR(INDEX('Bán nhanh'!$D$3:$M$3,1,MOD(ROW()-4,10)+1)="",INDEX('Bán nhanh'!$D$4:$M$103,INT((ROW()-4)/10)+1,MOD(ROW()-4,10)+1)&lt;=0),"",INDEX('Bán nhanh'!$D$3:$M$3,1,MOD(ROW()-4,10)+1))</f>
        <v/>
      </c>
      <c r="C322" s="58" t="str">
        <f t="array" ref="C322">IFERROR(INDEX('Sản phẩm'!$A$4:$A$103,MATCH(B322,'Sản phẩm'!$D$4:$D$103,0)),"")</f>
        <v/>
      </c>
      <c r="D322" s="71" t="str">
        <f t="array" ref="D322">IF(B322="","",INDEX('Bán nhanh'!$B$4:$B$103,INT((ROW()-4)/10)+1))</f>
        <v/>
      </c>
      <c r="E322" s="58" t="str">
        <f t="array" ref="E322">IFERROR(INDEX('Mẻ sữa'!$B$4:$B$203,MATCH(D322,'Mẻ sữa'!$C$4:$C$203,0)),"")</f>
        <v/>
      </c>
      <c r="F322" s="66">
        <f t="array" ref="F322">IF(B322="",0,INDEX('Bán nhanh'!$D$4:$M$103,INT((ROW()-4)/10)+1,MOD(ROW()-4,10)+1))</f>
        <v>0</v>
      </c>
      <c r="G322" s="46">
        <f t="array" ref="G322">IFERROR(INDEX('Sản phẩm'!$F$4:$F$103,MATCH(B322,'Sản phẩm'!$D$4:$D$103,0)),0)</f>
        <v>0</v>
      </c>
      <c r="H322" s="67">
        <f t="shared" si="5"/>
        <v>0</v>
      </c>
      <c r="I322" s="46">
        <f t="shared" si="1"/>
        <v>0</v>
      </c>
      <c r="J322" s="46">
        <f t="array" ref="J322">IFERROR(INDEX('Sản phẩm'!$G$4:$G$103,MATCH(B322,'Sản phẩm'!$D$4:$D$103,0)),0)</f>
        <v>0</v>
      </c>
      <c r="K322" s="46">
        <f t="array" ref="K322">IFERROR(J322*INDEX('Mẻ sữa'!$N$4:$N$203,MATCH(D322,'Mẻ sữa'!$C$4:$C$203,0)),0)</f>
        <v>0</v>
      </c>
      <c r="L322" s="46">
        <f t="array" ref="L322">IFERROR(INDEX('Sản phẩm'!$I$4:$I$103,MATCH(B322,'Sản phẩm'!$D$4:$D$103,0)),0)</f>
        <v>0</v>
      </c>
      <c r="M322" s="72" t="str">
        <f t="array" ref="M322">IFERROR(INDEX('Sản phẩm'!$J$4:$J$103,MATCH(B322,'Sản phẩm'!$D$4:$D$103,0)),0)</f>
        <v/>
      </c>
      <c r="N322" s="46">
        <f>IF(B322="",0,(K322+L322+M322)*'Thiết lập'!$B$8)</f>
        <v>0</v>
      </c>
      <c r="O322" s="46">
        <f t="shared" si="2"/>
        <v>0</v>
      </c>
      <c r="P322" s="46">
        <f t="shared" si="3"/>
        <v>0</v>
      </c>
      <c r="Q322" s="46">
        <f t="shared" si="4"/>
        <v>0</v>
      </c>
      <c r="R322" s="71" t="str">
        <f t="array" ref="R322">IF(B322="","",INDEX('Bán nhanh'!$C$4:$C$103,INT((ROW()-4)/10)+1))</f>
        <v/>
      </c>
      <c r="S322" s="71" t="str">
        <f t="array" ref="S322">IF(B322="","",INDEX('Bán nhanh'!$P$4:$P$103,INT((ROW()-4)/10)+1))</f>
        <v/>
      </c>
      <c r="T322" s="58"/>
      <c r="U322" s="36"/>
      <c r="V322" s="36"/>
      <c r="W322" s="58"/>
      <c r="X322" s="36"/>
      <c r="Y322" s="36"/>
      <c r="Z322" s="36"/>
    </row>
    <row r="323" ht="15.75" customHeight="1">
      <c r="A323" s="70" t="str">
        <f t="array" ref="A323">IF(B323="","",INDEX('Bán nhanh'!$A$4:$A$103,INT((ROW()-4)/10)+1))</f>
        <v/>
      </c>
      <c r="B323" s="71" t="str">
        <f t="array" ref="B323">IF(OR(INDEX('Bán nhanh'!$D$3:$M$3,1,MOD(ROW()-4,10)+1)="",INDEX('Bán nhanh'!$D$4:$M$103,INT((ROW()-4)/10)+1,MOD(ROW()-4,10)+1)&lt;=0),"",INDEX('Bán nhanh'!$D$3:$M$3,1,MOD(ROW()-4,10)+1))</f>
        <v/>
      </c>
      <c r="C323" s="58" t="str">
        <f t="array" ref="C323">IFERROR(INDEX('Sản phẩm'!$A$4:$A$103,MATCH(B323,'Sản phẩm'!$D$4:$D$103,0)),"")</f>
        <v/>
      </c>
      <c r="D323" s="71" t="str">
        <f t="array" ref="D323">IF(B323="","",INDEX('Bán nhanh'!$B$4:$B$103,INT((ROW()-4)/10)+1))</f>
        <v/>
      </c>
      <c r="E323" s="58" t="str">
        <f t="array" ref="E323">IFERROR(INDEX('Mẻ sữa'!$B$4:$B$203,MATCH(D323,'Mẻ sữa'!$C$4:$C$203,0)),"")</f>
        <v/>
      </c>
      <c r="F323" s="66">
        <f t="array" ref="F323">IF(B323="",0,INDEX('Bán nhanh'!$D$4:$M$103,INT((ROW()-4)/10)+1,MOD(ROW()-4,10)+1))</f>
        <v>0</v>
      </c>
      <c r="G323" s="46">
        <f t="array" ref="G323">IFERROR(INDEX('Sản phẩm'!$F$4:$F$103,MATCH(B323,'Sản phẩm'!$D$4:$D$103,0)),0)</f>
        <v>0</v>
      </c>
      <c r="H323" s="67">
        <f t="shared" si="5"/>
        <v>0</v>
      </c>
      <c r="I323" s="46">
        <f t="shared" si="1"/>
        <v>0</v>
      </c>
      <c r="J323" s="46">
        <f t="array" ref="J323">IFERROR(INDEX('Sản phẩm'!$G$4:$G$103,MATCH(B323,'Sản phẩm'!$D$4:$D$103,0)),0)</f>
        <v>0</v>
      </c>
      <c r="K323" s="46">
        <f t="array" ref="K323">IFERROR(J323*INDEX('Mẻ sữa'!$N$4:$N$203,MATCH(D323,'Mẻ sữa'!$C$4:$C$203,0)),0)</f>
        <v>0</v>
      </c>
      <c r="L323" s="46">
        <f t="array" ref="L323">IFERROR(INDEX('Sản phẩm'!$I$4:$I$103,MATCH(B323,'Sản phẩm'!$D$4:$D$103,0)),0)</f>
        <v>0</v>
      </c>
      <c r="M323" s="72" t="str">
        <f t="array" ref="M323">IFERROR(INDEX('Sản phẩm'!$J$4:$J$103,MATCH(B323,'Sản phẩm'!$D$4:$D$103,0)),0)</f>
        <v/>
      </c>
      <c r="N323" s="46">
        <f>IF(B323="",0,(K323+L323+M323)*'Thiết lập'!$B$8)</f>
        <v>0</v>
      </c>
      <c r="O323" s="46">
        <f t="shared" si="2"/>
        <v>0</v>
      </c>
      <c r="P323" s="46">
        <f t="shared" si="3"/>
        <v>0</v>
      </c>
      <c r="Q323" s="46">
        <f t="shared" si="4"/>
        <v>0</v>
      </c>
      <c r="R323" s="71" t="str">
        <f t="array" ref="R323">IF(B323="","",INDEX('Bán nhanh'!$C$4:$C$103,INT((ROW()-4)/10)+1))</f>
        <v/>
      </c>
      <c r="S323" s="71" t="str">
        <f t="array" ref="S323">IF(B323="","",INDEX('Bán nhanh'!$P$4:$P$103,INT((ROW()-4)/10)+1))</f>
        <v/>
      </c>
      <c r="T323" s="58"/>
      <c r="U323" s="36"/>
      <c r="V323" s="36"/>
      <c r="W323" s="58"/>
      <c r="X323" s="36"/>
      <c r="Y323" s="36"/>
      <c r="Z323" s="36"/>
    </row>
    <row r="324" ht="15.75" customHeight="1">
      <c r="A324" s="70" t="str">
        <f t="array" ref="A324">IF(B324="","",INDEX('Bán nhanh'!$A$4:$A$103,INT((ROW()-4)/10)+1))</f>
        <v/>
      </c>
      <c r="B324" s="71" t="str">
        <f t="array" ref="B324">IF(OR(INDEX('Bán nhanh'!$D$3:$M$3,1,MOD(ROW()-4,10)+1)="",INDEX('Bán nhanh'!$D$4:$M$103,INT((ROW()-4)/10)+1,MOD(ROW()-4,10)+1)&lt;=0),"",INDEX('Bán nhanh'!$D$3:$M$3,1,MOD(ROW()-4,10)+1))</f>
        <v/>
      </c>
      <c r="C324" s="58" t="str">
        <f t="array" ref="C324">IFERROR(INDEX('Sản phẩm'!$A$4:$A$103,MATCH(B324,'Sản phẩm'!$D$4:$D$103,0)),"")</f>
        <v/>
      </c>
      <c r="D324" s="71" t="str">
        <f t="array" ref="D324">IF(B324="","",INDEX('Bán nhanh'!$B$4:$B$103,INT((ROW()-4)/10)+1))</f>
        <v/>
      </c>
      <c r="E324" s="58" t="str">
        <f t="array" ref="E324">IFERROR(INDEX('Mẻ sữa'!$B$4:$B$203,MATCH(D324,'Mẻ sữa'!$C$4:$C$203,0)),"")</f>
        <v/>
      </c>
      <c r="F324" s="66">
        <f t="array" ref="F324">IF(B324="",0,INDEX('Bán nhanh'!$D$4:$M$103,INT((ROW()-4)/10)+1,MOD(ROW()-4,10)+1))</f>
        <v>0</v>
      </c>
      <c r="G324" s="46">
        <f t="array" ref="G324">IFERROR(INDEX('Sản phẩm'!$F$4:$F$103,MATCH(B324,'Sản phẩm'!$D$4:$D$103,0)),0)</f>
        <v>0</v>
      </c>
      <c r="H324" s="67">
        <f t="shared" si="5"/>
        <v>0</v>
      </c>
      <c r="I324" s="46">
        <f t="shared" si="1"/>
        <v>0</v>
      </c>
      <c r="J324" s="46">
        <f t="array" ref="J324">IFERROR(INDEX('Sản phẩm'!$G$4:$G$103,MATCH(B324,'Sản phẩm'!$D$4:$D$103,0)),0)</f>
        <v>0</v>
      </c>
      <c r="K324" s="46">
        <f t="array" ref="K324">IFERROR(J324*INDEX('Mẻ sữa'!$N$4:$N$203,MATCH(D324,'Mẻ sữa'!$C$4:$C$203,0)),0)</f>
        <v>0</v>
      </c>
      <c r="L324" s="46">
        <f t="array" ref="L324">IFERROR(INDEX('Sản phẩm'!$I$4:$I$103,MATCH(B324,'Sản phẩm'!$D$4:$D$103,0)),0)</f>
        <v>0</v>
      </c>
      <c r="M324" s="72" t="str">
        <f t="array" ref="M324">IFERROR(INDEX('Sản phẩm'!$J$4:$J$103,MATCH(B324,'Sản phẩm'!$D$4:$D$103,0)),0)</f>
        <v/>
      </c>
      <c r="N324" s="46">
        <f>IF(B324="",0,(K324+L324+M324)*'Thiết lập'!$B$8)</f>
        <v>0</v>
      </c>
      <c r="O324" s="46">
        <f t="shared" si="2"/>
        <v>0</v>
      </c>
      <c r="P324" s="46">
        <f t="shared" si="3"/>
        <v>0</v>
      </c>
      <c r="Q324" s="46">
        <f t="shared" si="4"/>
        <v>0</v>
      </c>
      <c r="R324" s="71" t="str">
        <f t="array" ref="R324">IF(B324="","",INDEX('Bán nhanh'!$C$4:$C$103,INT((ROW()-4)/10)+1))</f>
        <v/>
      </c>
      <c r="S324" s="71" t="str">
        <f t="array" ref="S324">IF(B324="","",INDEX('Bán nhanh'!$P$4:$P$103,INT((ROW()-4)/10)+1))</f>
        <v/>
      </c>
      <c r="T324" s="58"/>
      <c r="U324" s="36"/>
      <c r="V324" s="36"/>
      <c r="W324" s="58"/>
      <c r="X324" s="36"/>
      <c r="Y324" s="36"/>
      <c r="Z324" s="36"/>
    </row>
    <row r="325" ht="15.75" customHeight="1">
      <c r="A325" s="70" t="str">
        <f t="array" ref="A325">IF(B325="","",INDEX('Bán nhanh'!$A$4:$A$103,INT((ROW()-4)/10)+1))</f>
        <v/>
      </c>
      <c r="B325" s="71" t="str">
        <f t="array" ref="B325">IF(OR(INDEX('Bán nhanh'!$D$3:$M$3,1,MOD(ROW()-4,10)+1)="",INDEX('Bán nhanh'!$D$4:$M$103,INT((ROW()-4)/10)+1,MOD(ROW()-4,10)+1)&lt;=0),"",INDEX('Bán nhanh'!$D$3:$M$3,1,MOD(ROW()-4,10)+1))</f>
        <v/>
      </c>
      <c r="C325" s="58" t="str">
        <f t="array" ref="C325">IFERROR(INDEX('Sản phẩm'!$A$4:$A$103,MATCH(B325,'Sản phẩm'!$D$4:$D$103,0)),"")</f>
        <v/>
      </c>
      <c r="D325" s="71" t="str">
        <f t="array" ref="D325">IF(B325="","",INDEX('Bán nhanh'!$B$4:$B$103,INT((ROW()-4)/10)+1))</f>
        <v/>
      </c>
      <c r="E325" s="58" t="str">
        <f t="array" ref="E325">IFERROR(INDEX('Mẻ sữa'!$B$4:$B$203,MATCH(D325,'Mẻ sữa'!$C$4:$C$203,0)),"")</f>
        <v/>
      </c>
      <c r="F325" s="66">
        <f t="array" ref="F325">IF(B325="",0,INDEX('Bán nhanh'!$D$4:$M$103,INT((ROW()-4)/10)+1,MOD(ROW()-4,10)+1))</f>
        <v>0</v>
      </c>
      <c r="G325" s="46">
        <f t="array" ref="G325">IFERROR(INDEX('Sản phẩm'!$F$4:$F$103,MATCH(B325,'Sản phẩm'!$D$4:$D$103,0)),0)</f>
        <v>0</v>
      </c>
      <c r="H325" s="67">
        <f t="shared" si="5"/>
        <v>0</v>
      </c>
      <c r="I325" s="46">
        <f t="shared" si="1"/>
        <v>0</v>
      </c>
      <c r="J325" s="46">
        <f t="array" ref="J325">IFERROR(INDEX('Sản phẩm'!$G$4:$G$103,MATCH(B325,'Sản phẩm'!$D$4:$D$103,0)),0)</f>
        <v>0</v>
      </c>
      <c r="K325" s="46">
        <f t="array" ref="K325">IFERROR(J325*INDEX('Mẻ sữa'!$N$4:$N$203,MATCH(D325,'Mẻ sữa'!$C$4:$C$203,0)),0)</f>
        <v>0</v>
      </c>
      <c r="L325" s="46">
        <f t="array" ref="L325">IFERROR(INDEX('Sản phẩm'!$I$4:$I$103,MATCH(B325,'Sản phẩm'!$D$4:$D$103,0)),0)</f>
        <v>0</v>
      </c>
      <c r="M325" s="72" t="str">
        <f t="array" ref="M325">IFERROR(INDEX('Sản phẩm'!$J$4:$J$103,MATCH(B325,'Sản phẩm'!$D$4:$D$103,0)),0)</f>
        <v/>
      </c>
      <c r="N325" s="46">
        <f>IF(B325="",0,(K325+L325+M325)*'Thiết lập'!$B$8)</f>
        <v>0</v>
      </c>
      <c r="O325" s="46">
        <f t="shared" si="2"/>
        <v>0</v>
      </c>
      <c r="P325" s="46">
        <f t="shared" si="3"/>
        <v>0</v>
      </c>
      <c r="Q325" s="46">
        <f t="shared" si="4"/>
        <v>0</v>
      </c>
      <c r="R325" s="71" t="str">
        <f t="array" ref="R325">IF(B325="","",INDEX('Bán nhanh'!$C$4:$C$103,INT((ROW()-4)/10)+1))</f>
        <v/>
      </c>
      <c r="S325" s="71" t="str">
        <f t="array" ref="S325">IF(B325="","",INDEX('Bán nhanh'!$P$4:$P$103,INT((ROW()-4)/10)+1))</f>
        <v/>
      </c>
      <c r="T325" s="58"/>
      <c r="U325" s="36"/>
      <c r="V325" s="36"/>
      <c r="W325" s="58"/>
      <c r="X325" s="36"/>
      <c r="Y325" s="36"/>
      <c r="Z325" s="36"/>
    </row>
    <row r="326" ht="15.75" customHeight="1">
      <c r="A326" s="70" t="str">
        <f t="array" ref="A326">IF(B326="","",INDEX('Bán nhanh'!$A$4:$A$103,INT((ROW()-4)/10)+1))</f>
        <v/>
      </c>
      <c r="B326" s="71" t="str">
        <f t="array" ref="B326">IF(OR(INDEX('Bán nhanh'!$D$3:$M$3,1,MOD(ROW()-4,10)+1)="",INDEX('Bán nhanh'!$D$4:$M$103,INT((ROW()-4)/10)+1,MOD(ROW()-4,10)+1)&lt;=0),"",INDEX('Bán nhanh'!$D$3:$M$3,1,MOD(ROW()-4,10)+1))</f>
        <v/>
      </c>
      <c r="C326" s="58" t="str">
        <f t="array" ref="C326">IFERROR(INDEX('Sản phẩm'!$A$4:$A$103,MATCH(B326,'Sản phẩm'!$D$4:$D$103,0)),"")</f>
        <v/>
      </c>
      <c r="D326" s="71" t="str">
        <f t="array" ref="D326">IF(B326="","",INDEX('Bán nhanh'!$B$4:$B$103,INT((ROW()-4)/10)+1))</f>
        <v/>
      </c>
      <c r="E326" s="58" t="str">
        <f t="array" ref="E326">IFERROR(INDEX('Mẻ sữa'!$B$4:$B$203,MATCH(D326,'Mẻ sữa'!$C$4:$C$203,0)),"")</f>
        <v/>
      </c>
      <c r="F326" s="66">
        <f t="array" ref="F326">IF(B326="",0,INDEX('Bán nhanh'!$D$4:$M$103,INT((ROW()-4)/10)+1,MOD(ROW()-4,10)+1))</f>
        <v>0</v>
      </c>
      <c r="G326" s="46">
        <f t="array" ref="G326">IFERROR(INDEX('Sản phẩm'!$F$4:$F$103,MATCH(B326,'Sản phẩm'!$D$4:$D$103,0)),0)</f>
        <v>0</v>
      </c>
      <c r="H326" s="67">
        <f t="shared" si="5"/>
        <v>0</v>
      </c>
      <c r="I326" s="46">
        <f t="shared" si="1"/>
        <v>0</v>
      </c>
      <c r="J326" s="46">
        <f t="array" ref="J326">IFERROR(INDEX('Sản phẩm'!$G$4:$G$103,MATCH(B326,'Sản phẩm'!$D$4:$D$103,0)),0)</f>
        <v>0</v>
      </c>
      <c r="K326" s="46">
        <f t="array" ref="K326">IFERROR(J326*INDEX('Mẻ sữa'!$N$4:$N$203,MATCH(D326,'Mẻ sữa'!$C$4:$C$203,0)),0)</f>
        <v>0</v>
      </c>
      <c r="L326" s="46">
        <f t="array" ref="L326">IFERROR(INDEX('Sản phẩm'!$I$4:$I$103,MATCH(B326,'Sản phẩm'!$D$4:$D$103,0)),0)</f>
        <v>0</v>
      </c>
      <c r="M326" s="72" t="str">
        <f t="array" ref="M326">IFERROR(INDEX('Sản phẩm'!$J$4:$J$103,MATCH(B326,'Sản phẩm'!$D$4:$D$103,0)),0)</f>
        <v/>
      </c>
      <c r="N326" s="46">
        <f>IF(B326="",0,(K326+L326+M326)*'Thiết lập'!$B$8)</f>
        <v>0</v>
      </c>
      <c r="O326" s="46">
        <f t="shared" si="2"/>
        <v>0</v>
      </c>
      <c r="P326" s="46">
        <f t="shared" si="3"/>
        <v>0</v>
      </c>
      <c r="Q326" s="46">
        <f t="shared" si="4"/>
        <v>0</v>
      </c>
      <c r="R326" s="71" t="str">
        <f t="array" ref="R326">IF(B326="","",INDEX('Bán nhanh'!$C$4:$C$103,INT((ROW()-4)/10)+1))</f>
        <v/>
      </c>
      <c r="S326" s="71" t="str">
        <f t="array" ref="S326">IF(B326="","",INDEX('Bán nhanh'!$P$4:$P$103,INT((ROW()-4)/10)+1))</f>
        <v/>
      </c>
      <c r="T326" s="58"/>
      <c r="U326" s="36"/>
      <c r="V326" s="36"/>
      <c r="W326" s="58"/>
      <c r="X326" s="36"/>
      <c r="Y326" s="36"/>
      <c r="Z326" s="36"/>
    </row>
    <row r="327" ht="15.75" customHeight="1">
      <c r="A327" s="70" t="str">
        <f t="array" ref="A327">IF(B327="","",INDEX('Bán nhanh'!$A$4:$A$103,INT((ROW()-4)/10)+1))</f>
        <v/>
      </c>
      <c r="B327" s="71" t="str">
        <f t="array" ref="B327">IF(OR(INDEX('Bán nhanh'!$D$3:$M$3,1,MOD(ROW()-4,10)+1)="",INDEX('Bán nhanh'!$D$4:$M$103,INT((ROW()-4)/10)+1,MOD(ROW()-4,10)+1)&lt;=0),"",INDEX('Bán nhanh'!$D$3:$M$3,1,MOD(ROW()-4,10)+1))</f>
        <v/>
      </c>
      <c r="C327" s="58" t="str">
        <f t="array" ref="C327">IFERROR(INDEX('Sản phẩm'!$A$4:$A$103,MATCH(B327,'Sản phẩm'!$D$4:$D$103,0)),"")</f>
        <v/>
      </c>
      <c r="D327" s="71" t="str">
        <f t="array" ref="D327">IF(B327="","",INDEX('Bán nhanh'!$B$4:$B$103,INT((ROW()-4)/10)+1))</f>
        <v/>
      </c>
      <c r="E327" s="58" t="str">
        <f t="array" ref="E327">IFERROR(INDEX('Mẻ sữa'!$B$4:$B$203,MATCH(D327,'Mẻ sữa'!$C$4:$C$203,0)),"")</f>
        <v/>
      </c>
      <c r="F327" s="66">
        <f t="array" ref="F327">IF(B327="",0,INDEX('Bán nhanh'!$D$4:$M$103,INT((ROW()-4)/10)+1,MOD(ROW()-4,10)+1))</f>
        <v>0</v>
      </c>
      <c r="G327" s="46">
        <f t="array" ref="G327">IFERROR(INDEX('Sản phẩm'!$F$4:$F$103,MATCH(B327,'Sản phẩm'!$D$4:$D$103,0)),0)</f>
        <v>0</v>
      </c>
      <c r="H327" s="67">
        <f t="shared" si="5"/>
        <v>0</v>
      </c>
      <c r="I327" s="46">
        <f t="shared" si="1"/>
        <v>0</v>
      </c>
      <c r="J327" s="46">
        <f t="array" ref="J327">IFERROR(INDEX('Sản phẩm'!$G$4:$G$103,MATCH(B327,'Sản phẩm'!$D$4:$D$103,0)),0)</f>
        <v>0</v>
      </c>
      <c r="K327" s="46">
        <f t="array" ref="K327">IFERROR(J327*INDEX('Mẻ sữa'!$N$4:$N$203,MATCH(D327,'Mẻ sữa'!$C$4:$C$203,0)),0)</f>
        <v>0</v>
      </c>
      <c r="L327" s="46">
        <f t="array" ref="L327">IFERROR(INDEX('Sản phẩm'!$I$4:$I$103,MATCH(B327,'Sản phẩm'!$D$4:$D$103,0)),0)</f>
        <v>0</v>
      </c>
      <c r="M327" s="72" t="str">
        <f t="array" ref="M327">IFERROR(INDEX('Sản phẩm'!$J$4:$J$103,MATCH(B327,'Sản phẩm'!$D$4:$D$103,0)),0)</f>
        <v/>
      </c>
      <c r="N327" s="46">
        <f>IF(B327="",0,(K327+L327+M327)*'Thiết lập'!$B$8)</f>
        <v>0</v>
      </c>
      <c r="O327" s="46">
        <f t="shared" si="2"/>
        <v>0</v>
      </c>
      <c r="P327" s="46">
        <f t="shared" si="3"/>
        <v>0</v>
      </c>
      <c r="Q327" s="46">
        <f t="shared" si="4"/>
        <v>0</v>
      </c>
      <c r="R327" s="71" t="str">
        <f t="array" ref="R327">IF(B327="","",INDEX('Bán nhanh'!$C$4:$C$103,INT((ROW()-4)/10)+1))</f>
        <v/>
      </c>
      <c r="S327" s="71" t="str">
        <f t="array" ref="S327">IF(B327="","",INDEX('Bán nhanh'!$P$4:$P$103,INT((ROW()-4)/10)+1))</f>
        <v/>
      </c>
      <c r="T327" s="58"/>
      <c r="U327" s="36"/>
      <c r="V327" s="36"/>
      <c r="W327" s="58"/>
      <c r="X327" s="36"/>
      <c r="Y327" s="36"/>
      <c r="Z327" s="36"/>
    </row>
    <row r="328" ht="15.75" customHeight="1">
      <c r="A328" s="70" t="str">
        <f t="array" ref="A328">IF(B328="","",INDEX('Bán nhanh'!$A$4:$A$103,INT((ROW()-4)/10)+1))</f>
        <v/>
      </c>
      <c r="B328" s="71" t="str">
        <f t="array" ref="B328">IF(OR(INDEX('Bán nhanh'!$D$3:$M$3,1,MOD(ROW()-4,10)+1)="",INDEX('Bán nhanh'!$D$4:$M$103,INT((ROW()-4)/10)+1,MOD(ROW()-4,10)+1)&lt;=0),"",INDEX('Bán nhanh'!$D$3:$M$3,1,MOD(ROW()-4,10)+1))</f>
        <v/>
      </c>
      <c r="C328" s="58" t="str">
        <f t="array" ref="C328">IFERROR(INDEX('Sản phẩm'!$A$4:$A$103,MATCH(B328,'Sản phẩm'!$D$4:$D$103,0)),"")</f>
        <v/>
      </c>
      <c r="D328" s="71" t="str">
        <f t="array" ref="D328">IF(B328="","",INDEX('Bán nhanh'!$B$4:$B$103,INT((ROW()-4)/10)+1))</f>
        <v/>
      </c>
      <c r="E328" s="58" t="str">
        <f t="array" ref="E328">IFERROR(INDEX('Mẻ sữa'!$B$4:$B$203,MATCH(D328,'Mẻ sữa'!$C$4:$C$203,0)),"")</f>
        <v/>
      </c>
      <c r="F328" s="66">
        <f t="array" ref="F328">IF(B328="",0,INDEX('Bán nhanh'!$D$4:$M$103,INT((ROW()-4)/10)+1,MOD(ROW()-4,10)+1))</f>
        <v>0</v>
      </c>
      <c r="G328" s="46">
        <f t="array" ref="G328">IFERROR(INDEX('Sản phẩm'!$F$4:$F$103,MATCH(B328,'Sản phẩm'!$D$4:$D$103,0)),0)</f>
        <v>0</v>
      </c>
      <c r="H328" s="67">
        <f t="shared" si="5"/>
        <v>0</v>
      </c>
      <c r="I328" s="46">
        <f t="shared" si="1"/>
        <v>0</v>
      </c>
      <c r="J328" s="46">
        <f t="array" ref="J328">IFERROR(INDEX('Sản phẩm'!$G$4:$G$103,MATCH(B328,'Sản phẩm'!$D$4:$D$103,0)),0)</f>
        <v>0</v>
      </c>
      <c r="K328" s="46">
        <f t="array" ref="K328">IFERROR(J328*INDEX('Mẻ sữa'!$N$4:$N$203,MATCH(D328,'Mẻ sữa'!$C$4:$C$203,0)),0)</f>
        <v>0</v>
      </c>
      <c r="L328" s="46">
        <f t="array" ref="L328">IFERROR(INDEX('Sản phẩm'!$I$4:$I$103,MATCH(B328,'Sản phẩm'!$D$4:$D$103,0)),0)</f>
        <v>0</v>
      </c>
      <c r="M328" s="72" t="str">
        <f t="array" ref="M328">IFERROR(INDEX('Sản phẩm'!$J$4:$J$103,MATCH(B328,'Sản phẩm'!$D$4:$D$103,0)),0)</f>
        <v/>
      </c>
      <c r="N328" s="46">
        <f>IF(B328="",0,(K328+L328+M328)*'Thiết lập'!$B$8)</f>
        <v>0</v>
      </c>
      <c r="O328" s="46">
        <f t="shared" si="2"/>
        <v>0</v>
      </c>
      <c r="P328" s="46">
        <f t="shared" si="3"/>
        <v>0</v>
      </c>
      <c r="Q328" s="46">
        <f t="shared" si="4"/>
        <v>0</v>
      </c>
      <c r="R328" s="71" t="str">
        <f t="array" ref="R328">IF(B328="","",INDEX('Bán nhanh'!$C$4:$C$103,INT((ROW()-4)/10)+1))</f>
        <v/>
      </c>
      <c r="S328" s="71" t="str">
        <f t="array" ref="S328">IF(B328="","",INDEX('Bán nhanh'!$P$4:$P$103,INT((ROW()-4)/10)+1))</f>
        <v/>
      </c>
      <c r="T328" s="58"/>
      <c r="U328" s="36"/>
      <c r="V328" s="36"/>
      <c r="W328" s="58"/>
      <c r="X328" s="36"/>
      <c r="Y328" s="36"/>
      <c r="Z328" s="36"/>
    </row>
    <row r="329" ht="15.75" customHeight="1">
      <c r="A329" s="70" t="str">
        <f t="array" ref="A329">IF(B329="","",INDEX('Bán nhanh'!$A$4:$A$103,INT((ROW()-4)/10)+1))</f>
        <v/>
      </c>
      <c r="B329" s="71" t="str">
        <f t="array" ref="B329">IF(OR(INDEX('Bán nhanh'!$D$3:$M$3,1,MOD(ROW()-4,10)+1)="",INDEX('Bán nhanh'!$D$4:$M$103,INT((ROW()-4)/10)+1,MOD(ROW()-4,10)+1)&lt;=0),"",INDEX('Bán nhanh'!$D$3:$M$3,1,MOD(ROW()-4,10)+1))</f>
        <v/>
      </c>
      <c r="C329" s="58" t="str">
        <f t="array" ref="C329">IFERROR(INDEX('Sản phẩm'!$A$4:$A$103,MATCH(B329,'Sản phẩm'!$D$4:$D$103,0)),"")</f>
        <v/>
      </c>
      <c r="D329" s="71" t="str">
        <f t="array" ref="D329">IF(B329="","",INDEX('Bán nhanh'!$B$4:$B$103,INT((ROW()-4)/10)+1))</f>
        <v/>
      </c>
      <c r="E329" s="58" t="str">
        <f t="array" ref="E329">IFERROR(INDEX('Mẻ sữa'!$B$4:$B$203,MATCH(D329,'Mẻ sữa'!$C$4:$C$203,0)),"")</f>
        <v/>
      </c>
      <c r="F329" s="66">
        <f t="array" ref="F329">IF(B329="",0,INDEX('Bán nhanh'!$D$4:$M$103,INT((ROW()-4)/10)+1,MOD(ROW()-4,10)+1))</f>
        <v>0</v>
      </c>
      <c r="G329" s="46">
        <f t="array" ref="G329">IFERROR(INDEX('Sản phẩm'!$F$4:$F$103,MATCH(B329,'Sản phẩm'!$D$4:$D$103,0)),0)</f>
        <v>0</v>
      </c>
      <c r="H329" s="67">
        <f t="shared" si="5"/>
        <v>0</v>
      </c>
      <c r="I329" s="46">
        <f t="shared" si="1"/>
        <v>0</v>
      </c>
      <c r="J329" s="46">
        <f t="array" ref="J329">IFERROR(INDEX('Sản phẩm'!$G$4:$G$103,MATCH(B329,'Sản phẩm'!$D$4:$D$103,0)),0)</f>
        <v>0</v>
      </c>
      <c r="K329" s="46">
        <f t="array" ref="K329">IFERROR(J329*INDEX('Mẻ sữa'!$N$4:$N$203,MATCH(D329,'Mẻ sữa'!$C$4:$C$203,0)),0)</f>
        <v>0</v>
      </c>
      <c r="L329" s="46">
        <f t="array" ref="L329">IFERROR(INDEX('Sản phẩm'!$I$4:$I$103,MATCH(B329,'Sản phẩm'!$D$4:$D$103,0)),0)</f>
        <v>0</v>
      </c>
      <c r="M329" s="72" t="str">
        <f t="array" ref="M329">IFERROR(INDEX('Sản phẩm'!$J$4:$J$103,MATCH(B329,'Sản phẩm'!$D$4:$D$103,0)),0)</f>
        <v/>
      </c>
      <c r="N329" s="46">
        <f>IF(B329="",0,(K329+L329+M329)*'Thiết lập'!$B$8)</f>
        <v>0</v>
      </c>
      <c r="O329" s="46">
        <f t="shared" si="2"/>
        <v>0</v>
      </c>
      <c r="P329" s="46">
        <f t="shared" si="3"/>
        <v>0</v>
      </c>
      <c r="Q329" s="46">
        <f t="shared" si="4"/>
        <v>0</v>
      </c>
      <c r="R329" s="71" t="str">
        <f t="array" ref="R329">IF(B329="","",INDEX('Bán nhanh'!$C$4:$C$103,INT((ROW()-4)/10)+1))</f>
        <v/>
      </c>
      <c r="S329" s="71" t="str">
        <f t="array" ref="S329">IF(B329="","",INDEX('Bán nhanh'!$P$4:$P$103,INT((ROW()-4)/10)+1))</f>
        <v/>
      </c>
      <c r="T329" s="58"/>
      <c r="U329" s="36"/>
      <c r="V329" s="36"/>
      <c r="W329" s="58"/>
      <c r="X329" s="36"/>
      <c r="Y329" s="36"/>
      <c r="Z329" s="36"/>
    </row>
    <row r="330" ht="15.75" customHeight="1">
      <c r="A330" s="70" t="str">
        <f t="array" ref="A330">IF(B330="","",INDEX('Bán nhanh'!$A$4:$A$103,INT((ROW()-4)/10)+1))</f>
        <v/>
      </c>
      <c r="B330" s="71" t="str">
        <f t="array" ref="B330">IF(OR(INDEX('Bán nhanh'!$D$3:$M$3,1,MOD(ROW()-4,10)+1)="",INDEX('Bán nhanh'!$D$4:$M$103,INT((ROW()-4)/10)+1,MOD(ROW()-4,10)+1)&lt;=0),"",INDEX('Bán nhanh'!$D$3:$M$3,1,MOD(ROW()-4,10)+1))</f>
        <v/>
      </c>
      <c r="C330" s="58" t="str">
        <f t="array" ref="C330">IFERROR(INDEX('Sản phẩm'!$A$4:$A$103,MATCH(B330,'Sản phẩm'!$D$4:$D$103,0)),"")</f>
        <v/>
      </c>
      <c r="D330" s="71" t="str">
        <f t="array" ref="D330">IF(B330="","",INDEX('Bán nhanh'!$B$4:$B$103,INT((ROW()-4)/10)+1))</f>
        <v/>
      </c>
      <c r="E330" s="58" t="str">
        <f t="array" ref="E330">IFERROR(INDEX('Mẻ sữa'!$B$4:$B$203,MATCH(D330,'Mẻ sữa'!$C$4:$C$203,0)),"")</f>
        <v/>
      </c>
      <c r="F330" s="66">
        <f t="array" ref="F330">IF(B330="",0,INDEX('Bán nhanh'!$D$4:$M$103,INT((ROW()-4)/10)+1,MOD(ROW()-4,10)+1))</f>
        <v>0</v>
      </c>
      <c r="G330" s="46">
        <f t="array" ref="G330">IFERROR(INDEX('Sản phẩm'!$F$4:$F$103,MATCH(B330,'Sản phẩm'!$D$4:$D$103,0)),0)</f>
        <v>0</v>
      </c>
      <c r="H330" s="67">
        <f t="shared" si="5"/>
        <v>0</v>
      </c>
      <c r="I330" s="46">
        <f t="shared" si="1"/>
        <v>0</v>
      </c>
      <c r="J330" s="46">
        <f t="array" ref="J330">IFERROR(INDEX('Sản phẩm'!$G$4:$G$103,MATCH(B330,'Sản phẩm'!$D$4:$D$103,0)),0)</f>
        <v>0</v>
      </c>
      <c r="K330" s="46">
        <f t="array" ref="K330">IFERROR(J330*INDEX('Mẻ sữa'!$N$4:$N$203,MATCH(D330,'Mẻ sữa'!$C$4:$C$203,0)),0)</f>
        <v>0</v>
      </c>
      <c r="L330" s="46">
        <f t="array" ref="L330">IFERROR(INDEX('Sản phẩm'!$I$4:$I$103,MATCH(B330,'Sản phẩm'!$D$4:$D$103,0)),0)</f>
        <v>0</v>
      </c>
      <c r="M330" s="72" t="str">
        <f t="array" ref="M330">IFERROR(INDEX('Sản phẩm'!$J$4:$J$103,MATCH(B330,'Sản phẩm'!$D$4:$D$103,0)),0)</f>
        <v/>
      </c>
      <c r="N330" s="46">
        <f>IF(B330="",0,(K330+L330+M330)*'Thiết lập'!$B$8)</f>
        <v>0</v>
      </c>
      <c r="O330" s="46">
        <f t="shared" si="2"/>
        <v>0</v>
      </c>
      <c r="P330" s="46">
        <f t="shared" si="3"/>
        <v>0</v>
      </c>
      <c r="Q330" s="46">
        <f t="shared" si="4"/>
        <v>0</v>
      </c>
      <c r="R330" s="71" t="str">
        <f t="array" ref="R330">IF(B330="","",INDEX('Bán nhanh'!$C$4:$C$103,INT((ROW()-4)/10)+1))</f>
        <v/>
      </c>
      <c r="S330" s="71" t="str">
        <f t="array" ref="S330">IF(B330="","",INDEX('Bán nhanh'!$P$4:$P$103,INT((ROW()-4)/10)+1))</f>
        <v/>
      </c>
      <c r="T330" s="58"/>
      <c r="U330" s="36"/>
      <c r="V330" s="36"/>
      <c r="W330" s="58"/>
      <c r="X330" s="36"/>
      <c r="Y330" s="36"/>
      <c r="Z330" s="36"/>
    </row>
    <row r="331" ht="15.75" customHeight="1">
      <c r="A331" s="70" t="str">
        <f t="array" ref="A331">IF(B331="","",INDEX('Bán nhanh'!$A$4:$A$103,INT((ROW()-4)/10)+1))</f>
        <v/>
      </c>
      <c r="B331" s="71" t="str">
        <f t="array" ref="B331">IF(OR(INDEX('Bán nhanh'!$D$3:$M$3,1,MOD(ROW()-4,10)+1)="",INDEX('Bán nhanh'!$D$4:$M$103,INT((ROW()-4)/10)+1,MOD(ROW()-4,10)+1)&lt;=0),"",INDEX('Bán nhanh'!$D$3:$M$3,1,MOD(ROW()-4,10)+1))</f>
        <v/>
      </c>
      <c r="C331" s="58" t="str">
        <f t="array" ref="C331">IFERROR(INDEX('Sản phẩm'!$A$4:$A$103,MATCH(B331,'Sản phẩm'!$D$4:$D$103,0)),"")</f>
        <v/>
      </c>
      <c r="D331" s="71" t="str">
        <f t="array" ref="D331">IF(B331="","",INDEX('Bán nhanh'!$B$4:$B$103,INT((ROW()-4)/10)+1))</f>
        <v/>
      </c>
      <c r="E331" s="58" t="str">
        <f t="array" ref="E331">IFERROR(INDEX('Mẻ sữa'!$B$4:$B$203,MATCH(D331,'Mẻ sữa'!$C$4:$C$203,0)),"")</f>
        <v/>
      </c>
      <c r="F331" s="66">
        <f t="array" ref="F331">IF(B331="",0,INDEX('Bán nhanh'!$D$4:$M$103,INT((ROW()-4)/10)+1,MOD(ROW()-4,10)+1))</f>
        <v>0</v>
      </c>
      <c r="G331" s="46">
        <f t="array" ref="G331">IFERROR(INDEX('Sản phẩm'!$F$4:$F$103,MATCH(B331,'Sản phẩm'!$D$4:$D$103,0)),0)</f>
        <v>0</v>
      </c>
      <c r="H331" s="67">
        <f t="shared" si="5"/>
        <v>0</v>
      </c>
      <c r="I331" s="46">
        <f t="shared" si="1"/>
        <v>0</v>
      </c>
      <c r="J331" s="46">
        <f t="array" ref="J331">IFERROR(INDEX('Sản phẩm'!$G$4:$G$103,MATCH(B331,'Sản phẩm'!$D$4:$D$103,0)),0)</f>
        <v>0</v>
      </c>
      <c r="K331" s="46">
        <f t="array" ref="K331">IFERROR(J331*INDEX('Mẻ sữa'!$N$4:$N$203,MATCH(D331,'Mẻ sữa'!$C$4:$C$203,0)),0)</f>
        <v>0</v>
      </c>
      <c r="L331" s="46">
        <f t="array" ref="L331">IFERROR(INDEX('Sản phẩm'!$I$4:$I$103,MATCH(B331,'Sản phẩm'!$D$4:$D$103,0)),0)</f>
        <v>0</v>
      </c>
      <c r="M331" s="72" t="str">
        <f t="array" ref="M331">IFERROR(INDEX('Sản phẩm'!$J$4:$J$103,MATCH(B331,'Sản phẩm'!$D$4:$D$103,0)),0)</f>
        <v/>
      </c>
      <c r="N331" s="46">
        <f>IF(B331="",0,(K331+L331+M331)*'Thiết lập'!$B$8)</f>
        <v>0</v>
      </c>
      <c r="O331" s="46">
        <f t="shared" si="2"/>
        <v>0</v>
      </c>
      <c r="P331" s="46">
        <f t="shared" si="3"/>
        <v>0</v>
      </c>
      <c r="Q331" s="46">
        <f t="shared" si="4"/>
        <v>0</v>
      </c>
      <c r="R331" s="71" t="str">
        <f t="array" ref="R331">IF(B331="","",INDEX('Bán nhanh'!$C$4:$C$103,INT((ROW()-4)/10)+1))</f>
        <v/>
      </c>
      <c r="S331" s="71" t="str">
        <f t="array" ref="S331">IF(B331="","",INDEX('Bán nhanh'!$P$4:$P$103,INT((ROW()-4)/10)+1))</f>
        <v/>
      </c>
      <c r="T331" s="58"/>
      <c r="U331" s="36"/>
      <c r="V331" s="36"/>
      <c r="W331" s="58"/>
      <c r="X331" s="36"/>
      <c r="Y331" s="36"/>
      <c r="Z331" s="36"/>
    </row>
    <row r="332" ht="15.75" customHeight="1">
      <c r="A332" s="70" t="str">
        <f t="array" ref="A332">IF(B332="","",INDEX('Bán nhanh'!$A$4:$A$103,INT((ROW()-4)/10)+1))</f>
        <v/>
      </c>
      <c r="B332" s="71" t="str">
        <f t="array" ref="B332">IF(OR(INDEX('Bán nhanh'!$D$3:$M$3,1,MOD(ROW()-4,10)+1)="",INDEX('Bán nhanh'!$D$4:$M$103,INT((ROW()-4)/10)+1,MOD(ROW()-4,10)+1)&lt;=0),"",INDEX('Bán nhanh'!$D$3:$M$3,1,MOD(ROW()-4,10)+1))</f>
        <v/>
      </c>
      <c r="C332" s="58" t="str">
        <f t="array" ref="C332">IFERROR(INDEX('Sản phẩm'!$A$4:$A$103,MATCH(B332,'Sản phẩm'!$D$4:$D$103,0)),"")</f>
        <v/>
      </c>
      <c r="D332" s="71" t="str">
        <f t="array" ref="D332">IF(B332="","",INDEX('Bán nhanh'!$B$4:$B$103,INT((ROW()-4)/10)+1))</f>
        <v/>
      </c>
      <c r="E332" s="58" t="str">
        <f t="array" ref="E332">IFERROR(INDEX('Mẻ sữa'!$B$4:$B$203,MATCH(D332,'Mẻ sữa'!$C$4:$C$203,0)),"")</f>
        <v/>
      </c>
      <c r="F332" s="66">
        <f t="array" ref="F332">IF(B332="",0,INDEX('Bán nhanh'!$D$4:$M$103,INT((ROW()-4)/10)+1,MOD(ROW()-4,10)+1))</f>
        <v>0</v>
      </c>
      <c r="G332" s="46">
        <f t="array" ref="G332">IFERROR(INDEX('Sản phẩm'!$F$4:$F$103,MATCH(B332,'Sản phẩm'!$D$4:$D$103,0)),0)</f>
        <v>0</v>
      </c>
      <c r="H332" s="67">
        <f t="shared" si="5"/>
        <v>0</v>
      </c>
      <c r="I332" s="46">
        <f t="shared" si="1"/>
        <v>0</v>
      </c>
      <c r="J332" s="46">
        <f t="array" ref="J332">IFERROR(INDEX('Sản phẩm'!$G$4:$G$103,MATCH(B332,'Sản phẩm'!$D$4:$D$103,0)),0)</f>
        <v>0</v>
      </c>
      <c r="K332" s="46">
        <f t="array" ref="K332">IFERROR(J332*INDEX('Mẻ sữa'!$N$4:$N$203,MATCH(D332,'Mẻ sữa'!$C$4:$C$203,0)),0)</f>
        <v>0</v>
      </c>
      <c r="L332" s="46">
        <f t="array" ref="L332">IFERROR(INDEX('Sản phẩm'!$I$4:$I$103,MATCH(B332,'Sản phẩm'!$D$4:$D$103,0)),0)</f>
        <v>0</v>
      </c>
      <c r="M332" s="72" t="str">
        <f t="array" ref="M332">IFERROR(INDEX('Sản phẩm'!$J$4:$J$103,MATCH(B332,'Sản phẩm'!$D$4:$D$103,0)),0)</f>
        <v/>
      </c>
      <c r="N332" s="46">
        <f>IF(B332="",0,(K332+L332+M332)*'Thiết lập'!$B$8)</f>
        <v>0</v>
      </c>
      <c r="O332" s="46">
        <f t="shared" si="2"/>
        <v>0</v>
      </c>
      <c r="P332" s="46">
        <f t="shared" si="3"/>
        <v>0</v>
      </c>
      <c r="Q332" s="46">
        <f t="shared" si="4"/>
        <v>0</v>
      </c>
      <c r="R332" s="71" t="str">
        <f t="array" ref="R332">IF(B332="","",INDEX('Bán nhanh'!$C$4:$C$103,INT((ROW()-4)/10)+1))</f>
        <v/>
      </c>
      <c r="S332" s="71" t="str">
        <f t="array" ref="S332">IF(B332="","",INDEX('Bán nhanh'!$P$4:$P$103,INT((ROW()-4)/10)+1))</f>
        <v/>
      </c>
      <c r="T332" s="58"/>
      <c r="U332" s="36"/>
      <c r="V332" s="36"/>
      <c r="W332" s="58"/>
      <c r="X332" s="36"/>
      <c r="Y332" s="36"/>
      <c r="Z332" s="36"/>
    </row>
    <row r="333" ht="15.75" customHeight="1">
      <c r="A333" s="70" t="str">
        <f t="array" ref="A333">IF(B333="","",INDEX('Bán nhanh'!$A$4:$A$103,INT((ROW()-4)/10)+1))</f>
        <v/>
      </c>
      <c r="B333" s="71" t="str">
        <f t="array" ref="B333">IF(OR(INDEX('Bán nhanh'!$D$3:$M$3,1,MOD(ROW()-4,10)+1)="",INDEX('Bán nhanh'!$D$4:$M$103,INT((ROW()-4)/10)+1,MOD(ROW()-4,10)+1)&lt;=0),"",INDEX('Bán nhanh'!$D$3:$M$3,1,MOD(ROW()-4,10)+1))</f>
        <v/>
      </c>
      <c r="C333" s="58" t="str">
        <f t="array" ref="C333">IFERROR(INDEX('Sản phẩm'!$A$4:$A$103,MATCH(B333,'Sản phẩm'!$D$4:$D$103,0)),"")</f>
        <v/>
      </c>
      <c r="D333" s="71" t="str">
        <f t="array" ref="D333">IF(B333="","",INDEX('Bán nhanh'!$B$4:$B$103,INT((ROW()-4)/10)+1))</f>
        <v/>
      </c>
      <c r="E333" s="58" t="str">
        <f t="array" ref="E333">IFERROR(INDEX('Mẻ sữa'!$B$4:$B$203,MATCH(D333,'Mẻ sữa'!$C$4:$C$203,0)),"")</f>
        <v/>
      </c>
      <c r="F333" s="66">
        <f t="array" ref="F333">IF(B333="",0,INDEX('Bán nhanh'!$D$4:$M$103,INT((ROW()-4)/10)+1,MOD(ROW()-4,10)+1))</f>
        <v>0</v>
      </c>
      <c r="G333" s="46">
        <f t="array" ref="G333">IFERROR(INDEX('Sản phẩm'!$F$4:$F$103,MATCH(B333,'Sản phẩm'!$D$4:$D$103,0)),0)</f>
        <v>0</v>
      </c>
      <c r="H333" s="67">
        <f t="shared" si="5"/>
        <v>0</v>
      </c>
      <c r="I333" s="46">
        <f t="shared" si="1"/>
        <v>0</v>
      </c>
      <c r="J333" s="46">
        <f t="array" ref="J333">IFERROR(INDEX('Sản phẩm'!$G$4:$G$103,MATCH(B333,'Sản phẩm'!$D$4:$D$103,0)),0)</f>
        <v>0</v>
      </c>
      <c r="K333" s="46">
        <f t="array" ref="K333">IFERROR(J333*INDEX('Mẻ sữa'!$N$4:$N$203,MATCH(D333,'Mẻ sữa'!$C$4:$C$203,0)),0)</f>
        <v>0</v>
      </c>
      <c r="L333" s="46">
        <f t="array" ref="L333">IFERROR(INDEX('Sản phẩm'!$I$4:$I$103,MATCH(B333,'Sản phẩm'!$D$4:$D$103,0)),0)</f>
        <v>0</v>
      </c>
      <c r="M333" s="72" t="str">
        <f t="array" ref="M333">IFERROR(INDEX('Sản phẩm'!$J$4:$J$103,MATCH(B333,'Sản phẩm'!$D$4:$D$103,0)),0)</f>
        <v/>
      </c>
      <c r="N333" s="46">
        <f>IF(B333="",0,(K333+L333+M333)*'Thiết lập'!$B$8)</f>
        <v>0</v>
      </c>
      <c r="O333" s="46">
        <f t="shared" si="2"/>
        <v>0</v>
      </c>
      <c r="P333" s="46">
        <f t="shared" si="3"/>
        <v>0</v>
      </c>
      <c r="Q333" s="46">
        <f t="shared" si="4"/>
        <v>0</v>
      </c>
      <c r="R333" s="71" t="str">
        <f t="array" ref="R333">IF(B333="","",INDEX('Bán nhanh'!$C$4:$C$103,INT((ROW()-4)/10)+1))</f>
        <v/>
      </c>
      <c r="S333" s="71" t="str">
        <f t="array" ref="S333">IF(B333="","",INDEX('Bán nhanh'!$P$4:$P$103,INT((ROW()-4)/10)+1))</f>
        <v/>
      </c>
      <c r="T333" s="58"/>
      <c r="U333" s="36"/>
      <c r="V333" s="36"/>
      <c r="W333" s="58"/>
      <c r="X333" s="36"/>
      <c r="Y333" s="36"/>
      <c r="Z333" s="36"/>
    </row>
    <row r="334" ht="15.75" customHeight="1">
      <c r="A334" s="70" t="str">
        <f t="array" ref="A334">IF(B334="","",INDEX('Bán nhanh'!$A$4:$A$103,INT((ROW()-4)/10)+1))</f>
        <v/>
      </c>
      <c r="B334" s="71" t="str">
        <f t="array" ref="B334">IF(OR(INDEX('Bán nhanh'!$D$3:$M$3,1,MOD(ROW()-4,10)+1)="",INDEX('Bán nhanh'!$D$4:$M$103,INT((ROW()-4)/10)+1,MOD(ROW()-4,10)+1)&lt;=0),"",INDEX('Bán nhanh'!$D$3:$M$3,1,MOD(ROW()-4,10)+1))</f>
        <v/>
      </c>
      <c r="C334" s="58" t="str">
        <f t="array" ref="C334">IFERROR(INDEX('Sản phẩm'!$A$4:$A$103,MATCH(B334,'Sản phẩm'!$D$4:$D$103,0)),"")</f>
        <v/>
      </c>
      <c r="D334" s="71" t="str">
        <f t="array" ref="D334">IF(B334="","",INDEX('Bán nhanh'!$B$4:$B$103,INT((ROW()-4)/10)+1))</f>
        <v/>
      </c>
      <c r="E334" s="58" t="str">
        <f t="array" ref="E334">IFERROR(INDEX('Mẻ sữa'!$B$4:$B$203,MATCH(D334,'Mẻ sữa'!$C$4:$C$203,0)),"")</f>
        <v/>
      </c>
      <c r="F334" s="66">
        <f t="array" ref="F334">IF(B334="",0,INDEX('Bán nhanh'!$D$4:$M$103,INT((ROW()-4)/10)+1,MOD(ROW()-4,10)+1))</f>
        <v>0</v>
      </c>
      <c r="G334" s="46">
        <f t="array" ref="G334">IFERROR(INDEX('Sản phẩm'!$F$4:$F$103,MATCH(B334,'Sản phẩm'!$D$4:$D$103,0)),0)</f>
        <v>0</v>
      </c>
      <c r="H334" s="67">
        <f t="shared" si="5"/>
        <v>0</v>
      </c>
      <c r="I334" s="46">
        <f t="shared" si="1"/>
        <v>0</v>
      </c>
      <c r="J334" s="46">
        <f t="array" ref="J334">IFERROR(INDEX('Sản phẩm'!$G$4:$G$103,MATCH(B334,'Sản phẩm'!$D$4:$D$103,0)),0)</f>
        <v>0</v>
      </c>
      <c r="K334" s="46">
        <f t="array" ref="K334">IFERROR(J334*INDEX('Mẻ sữa'!$N$4:$N$203,MATCH(D334,'Mẻ sữa'!$C$4:$C$203,0)),0)</f>
        <v>0</v>
      </c>
      <c r="L334" s="46">
        <f t="array" ref="L334">IFERROR(INDEX('Sản phẩm'!$I$4:$I$103,MATCH(B334,'Sản phẩm'!$D$4:$D$103,0)),0)</f>
        <v>0</v>
      </c>
      <c r="M334" s="72" t="str">
        <f t="array" ref="M334">IFERROR(INDEX('Sản phẩm'!$J$4:$J$103,MATCH(B334,'Sản phẩm'!$D$4:$D$103,0)),0)</f>
        <v/>
      </c>
      <c r="N334" s="46">
        <f>IF(B334="",0,(K334+L334+M334)*'Thiết lập'!$B$8)</f>
        <v>0</v>
      </c>
      <c r="O334" s="46">
        <f t="shared" si="2"/>
        <v>0</v>
      </c>
      <c r="P334" s="46">
        <f t="shared" si="3"/>
        <v>0</v>
      </c>
      <c r="Q334" s="46">
        <f t="shared" si="4"/>
        <v>0</v>
      </c>
      <c r="R334" s="71" t="str">
        <f t="array" ref="R334">IF(B334="","",INDEX('Bán nhanh'!$C$4:$C$103,INT((ROW()-4)/10)+1))</f>
        <v/>
      </c>
      <c r="S334" s="71" t="str">
        <f t="array" ref="S334">IF(B334="","",INDEX('Bán nhanh'!$P$4:$P$103,INT((ROW()-4)/10)+1))</f>
        <v/>
      </c>
      <c r="T334" s="58"/>
      <c r="U334" s="36"/>
      <c r="V334" s="36"/>
      <c r="W334" s="58"/>
      <c r="X334" s="36"/>
      <c r="Y334" s="36"/>
      <c r="Z334" s="36"/>
    </row>
    <row r="335" ht="15.75" customHeight="1">
      <c r="A335" s="70" t="str">
        <f t="array" ref="A335">IF(B335="","",INDEX('Bán nhanh'!$A$4:$A$103,INT((ROW()-4)/10)+1))</f>
        <v/>
      </c>
      <c r="B335" s="71" t="str">
        <f t="array" ref="B335">IF(OR(INDEX('Bán nhanh'!$D$3:$M$3,1,MOD(ROW()-4,10)+1)="",INDEX('Bán nhanh'!$D$4:$M$103,INT((ROW()-4)/10)+1,MOD(ROW()-4,10)+1)&lt;=0),"",INDEX('Bán nhanh'!$D$3:$M$3,1,MOD(ROW()-4,10)+1))</f>
        <v/>
      </c>
      <c r="C335" s="58" t="str">
        <f t="array" ref="C335">IFERROR(INDEX('Sản phẩm'!$A$4:$A$103,MATCH(B335,'Sản phẩm'!$D$4:$D$103,0)),"")</f>
        <v/>
      </c>
      <c r="D335" s="71" t="str">
        <f t="array" ref="D335">IF(B335="","",INDEX('Bán nhanh'!$B$4:$B$103,INT((ROW()-4)/10)+1))</f>
        <v/>
      </c>
      <c r="E335" s="58" t="str">
        <f t="array" ref="E335">IFERROR(INDEX('Mẻ sữa'!$B$4:$B$203,MATCH(D335,'Mẻ sữa'!$C$4:$C$203,0)),"")</f>
        <v/>
      </c>
      <c r="F335" s="66">
        <f t="array" ref="F335">IF(B335="",0,INDEX('Bán nhanh'!$D$4:$M$103,INT((ROW()-4)/10)+1,MOD(ROW()-4,10)+1))</f>
        <v>0</v>
      </c>
      <c r="G335" s="46">
        <f t="array" ref="G335">IFERROR(INDEX('Sản phẩm'!$F$4:$F$103,MATCH(B335,'Sản phẩm'!$D$4:$D$103,0)),0)</f>
        <v>0</v>
      </c>
      <c r="H335" s="67">
        <f t="shared" si="5"/>
        <v>0</v>
      </c>
      <c r="I335" s="46">
        <f t="shared" si="1"/>
        <v>0</v>
      </c>
      <c r="J335" s="46">
        <f t="array" ref="J335">IFERROR(INDEX('Sản phẩm'!$G$4:$G$103,MATCH(B335,'Sản phẩm'!$D$4:$D$103,0)),0)</f>
        <v>0</v>
      </c>
      <c r="K335" s="46">
        <f t="array" ref="K335">IFERROR(J335*INDEX('Mẻ sữa'!$N$4:$N$203,MATCH(D335,'Mẻ sữa'!$C$4:$C$203,0)),0)</f>
        <v>0</v>
      </c>
      <c r="L335" s="46">
        <f t="array" ref="L335">IFERROR(INDEX('Sản phẩm'!$I$4:$I$103,MATCH(B335,'Sản phẩm'!$D$4:$D$103,0)),0)</f>
        <v>0</v>
      </c>
      <c r="M335" s="72" t="str">
        <f t="array" ref="M335">IFERROR(INDEX('Sản phẩm'!$J$4:$J$103,MATCH(B335,'Sản phẩm'!$D$4:$D$103,0)),0)</f>
        <v/>
      </c>
      <c r="N335" s="46">
        <f>IF(B335="",0,(K335+L335+M335)*'Thiết lập'!$B$8)</f>
        <v>0</v>
      </c>
      <c r="O335" s="46">
        <f t="shared" si="2"/>
        <v>0</v>
      </c>
      <c r="P335" s="46">
        <f t="shared" si="3"/>
        <v>0</v>
      </c>
      <c r="Q335" s="46">
        <f t="shared" si="4"/>
        <v>0</v>
      </c>
      <c r="R335" s="71" t="str">
        <f t="array" ref="R335">IF(B335="","",INDEX('Bán nhanh'!$C$4:$C$103,INT((ROW()-4)/10)+1))</f>
        <v/>
      </c>
      <c r="S335" s="71" t="str">
        <f t="array" ref="S335">IF(B335="","",INDEX('Bán nhanh'!$P$4:$P$103,INT((ROW()-4)/10)+1))</f>
        <v/>
      </c>
      <c r="T335" s="58"/>
      <c r="U335" s="36"/>
      <c r="V335" s="36"/>
      <c r="W335" s="58"/>
      <c r="X335" s="36"/>
      <c r="Y335" s="36"/>
      <c r="Z335" s="36"/>
    </row>
    <row r="336" ht="15.75" customHeight="1">
      <c r="A336" s="70" t="str">
        <f t="array" ref="A336">IF(B336="","",INDEX('Bán nhanh'!$A$4:$A$103,INT((ROW()-4)/10)+1))</f>
        <v/>
      </c>
      <c r="B336" s="71" t="str">
        <f t="array" ref="B336">IF(OR(INDEX('Bán nhanh'!$D$3:$M$3,1,MOD(ROW()-4,10)+1)="",INDEX('Bán nhanh'!$D$4:$M$103,INT((ROW()-4)/10)+1,MOD(ROW()-4,10)+1)&lt;=0),"",INDEX('Bán nhanh'!$D$3:$M$3,1,MOD(ROW()-4,10)+1))</f>
        <v/>
      </c>
      <c r="C336" s="58" t="str">
        <f t="array" ref="C336">IFERROR(INDEX('Sản phẩm'!$A$4:$A$103,MATCH(B336,'Sản phẩm'!$D$4:$D$103,0)),"")</f>
        <v/>
      </c>
      <c r="D336" s="71" t="str">
        <f t="array" ref="D336">IF(B336="","",INDEX('Bán nhanh'!$B$4:$B$103,INT((ROW()-4)/10)+1))</f>
        <v/>
      </c>
      <c r="E336" s="58" t="str">
        <f t="array" ref="E336">IFERROR(INDEX('Mẻ sữa'!$B$4:$B$203,MATCH(D336,'Mẻ sữa'!$C$4:$C$203,0)),"")</f>
        <v/>
      </c>
      <c r="F336" s="66">
        <f t="array" ref="F336">IF(B336="",0,INDEX('Bán nhanh'!$D$4:$M$103,INT((ROW()-4)/10)+1,MOD(ROW()-4,10)+1))</f>
        <v>0</v>
      </c>
      <c r="G336" s="46">
        <f t="array" ref="G336">IFERROR(INDEX('Sản phẩm'!$F$4:$F$103,MATCH(B336,'Sản phẩm'!$D$4:$D$103,0)),0)</f>
        <v>0</v>
      </c>
      <c r="H336" s="67">
        <f t="shared" si="5"/>
        <v>0</v>
      </c>
      <c r="I336" s="46">
        <f t="shared" si="1"/>
        <v>0</v>
      </c>
      <c r="J336" s="46">
        <f t="array" ref="J336">IFERROR(INDEX('Sản phẩm'!$G$4:$G$103,MATCH(B336,'Sản phẩm'!$D$4:$D$103,0)),0)</f>
        <v>0</v>
      </c>
      <c r="K336" s="46">
        <f t="array" ref="K336">IFERROR(J336*INDEX('Mẻ sữa'!$N$4:$N$203,MATCH(D336,'Mẻ sữa'!$C$4:$C$203,0)),0)</f>
        <v>0</v>
      </c>
      <c r="L336" s="46">
        <f t="array" ref="L336">IFERROR(INDEX('Sản phẩm'!$I$4:$I$103,MATCH(B336,'Sản phẩm'!$D$4:$D$103,0)),0)</f>
        <v>0</v>
      </c>
      <c r="M336" s="72" t="str">
        <f t="array" ref="M336">IFERROR(INDEX('Sản phẩm'!$J$4:$J$103,MATCH(B336,'Sản phẩm'!$D$4:$D$103,0)),0)</f>
        <v/>
      </c>
      <c r="N336" s="46">
        <f>IF(B336="",0,(K336+L336+M336)*'Thiết lập'!$B$8)</f>
        <v>0</v>
      </c>
      <c r="O336" s="46">
        <f t="shared" si="2"/>
        <v>0</v>
      </c>
      <c r="P336" s="46">
        <f t="shared" si="3"/>
        <v>0</v>
      </c>
      <c r="Q336" s="46">
        <f t="shared" si="4"/>
        <v>0</v>
      </c>
      <c r="R336" s="71" t="str">
        <f t="array" ref="R336">IF(B336="","",INDEX('Bán nhanh'!$C$4:$C$103,INT((ROW()-4)/10)+1))</f>
        <v/>
      </c>
      <c r="S336" s="71" t="str">
        <f t="array" ref="S336">IF(B336="","",INDEX('Bán nhanh'!$P$4:$P$103,INT((ROW()-4)/10)+1))</f>
        <v/>
      </c>
      <c r="T336" s="58"/>
      <c r="U336" s="36"/>
      <c r="V336" s="36"/>
      <c r="W336" s="58"/>
      <c r="X336" s="36"/>
      <c r="Y336" s="36"/>
      <c r="Z336" s="36"/>
    </row>
    <row r="337" ht="15.75" customHeight="1">
      <c r="A337" s="70" t="str">
        <f t="array" ref="A337">IF(B337="","",INDEX('Bán nhanh'!$A$4:$A$103,INT((ROW()-4)/10)+1))</f>
        <v/>
      </c>
      <c r="B337" s="71" t="str">
        <f t="array" ref="B337">IF(OR(INDEX('Bán nhanh'!$D$3:$M$3,1,MOD(ROW()-4,10)+1)="",INDEX('Bán nhanh'!$D$4:$M$103,INT((ROW()-4)/10)+1,MOD(ROW()-4,10)+1)&lt;=0),"",INDEX('Bán nhanh'!$D$3:$M$3,1,MOD(ROW()-4,10)+1))</f>
        <v/>
      </c>
      <c r="C337" s="58" t="str">
        <f t="array" ref="C337">IFERROR(INDEX('Sản phẩm'!$A$4:$A$103,MATCH(B337,'Sản phẩm'!$D$4:$D$103,0)),"")</f>
        <v/>
      </c>
      <c r="D337" s="71" t="str">
        <f t="array" ref="D337">IF(B337="","",INDEX('Bán nhanh'!$B$4:$B$103,INT((ROW()-4)/10)+1))</f>
        <v/>
      </c>
      <c r="E337" s="58" t="str">
        <f t="array" ref="E337">IFERROR(INDEX('Mẻ sữa'!$B$4:$B$203,MATCH(D337,'Mẻ sữa'!$C$4:$C$203,0)),"")</f>
        <v/>
      </c>
      <c r="F337" s="66">
        <f t="array" ref="F337">IF(B337="",0,INDEX('Bán nhanh'!$D$4:$M$103,INT((ROW()-4)/10)+1,MOD(ROW()-4,10)+1))</f>
        <v>0</v>
      </c>
      <c r="G337" s="46">
        <f t="array" ref="G337">IFERROR(INDEX('Sản phẩm'!$F$4:$F$103,MATCH(B337,'Sản phẩm'!$D$4:$D$103,0)),0)</f>
        <v>0</v>
      </c>
      <c r="H337" s="67">
        <f t="shared" si="5"/>
        <v>0</v>
      </c>
      <c r="I337" s="46">
        <f t="shared" si="1"/>
        <v>0</v>
      </c>
      <c r="J337" s="46">
        <f t="array" ref="J337">IFERROR(INDEX('Sản phẩm'!$G$4:$G$103,MATCH(B337,'Sản phẩm'!$D$4:$D$103,0)),0)</f>
        <v>0</v>
      </c>
      <c r="K337" s="46">
        <f t="array" ref="K337">IFERROR(J337*INDEX('Mẻ sữa'!$N$4:$N$203,MATCH(D337,'Mẻ sữa'!$C$4:$C$203,0)),0)</f>
        <v>0</v>
      </c>
      <c r="L337" s="46">
        <f t="array" ref="L337">IFERROR(INDEX('Sản phẩm'!$I$4:$I$103,MATCH(B337,'Sản phẩm'!$D$4:$D$103,0)),0)</f>
        <v>0</v>
      </c>
      <c r="M337" s="72" t="str">
        <f t="array" ref="M337">IFERROR(INDEX('Sản phẩm'!$J$4:$J$103,MATCH(B337,'Sản phẩm'!$D$4:$D$103,0)),0)</f>
        <v/>
      </c>
      <c r="N337" s="46">
        <f>IF(B337="",0,(K337+L337+M337)*'Thiết lập'!$B$8)</f>
        <v>0</v>
      </c>
      <c r="O337" s="46">
        <f t="shared" si="2"/>
        <v>0</v>
      </c>
      <c r="P337" s="46">
        <f t="shared" si="3"/>
        <v>0</v>
      </c>
      <c r="Q337" s="46">
        <f t="shared" si="4"/>
        <v>0</v>
      </c>
      <c r="R337" s="71" t="str">
        <f t="array" ref="R337">IF(B337="","",INDEX('Bán nhanh'!$C$4:$C$103,INT((ROW()-4)/10)+1))</f>
        <v/>
      </c>
      <c r="S337" s="71" t="str">
        <f t="array" ref="S337">IF(B337="","",INDEX('Bán nhanh'!$P$4:$P$103,INT((ROW()-4)/10)+1))</f>
        <v/>
      </c>
      <c r="T337" s="58"/>
      <c r="U337" s="36"/>
      <c r="V337" s="36"/>
      <c r="W337" s="58"/>
      <c r="X337" s="36"/>
      <c r="Y337" s="36"/>
      <c r="Z337" s="36"/>
    </row>
    <row r="338" ht="15.75" customHeight="1">
      <c r="A338" s="70" t="str">
        <f t="array" ref="A338">IF(B338="","",INDEX('Bán nhanh'!$A$4:$A$103,INT((ROW()-4)/10)+1))</f>
        <v/>
      </c>
      <c r="B338" s="71" t="str">
        <f t="array" ref="B338">IF(OR(INDEX('Bán nhanh'!$D$3:$M$3,1,MOD(ROW()-4,10)+1)="",INDEX('Bán nhanh'!$D$4:$M$103,INT((ROW()-4)/10)+1,MOD(ROW()-4,10)+1)&lt;=0),"",INDEX('Bán nhanh'!$D$3:$M$3,1,MOD(ROW()-4,10)+1))</f>
        <v/>
      </c>
      <c r="C338" s="58" t="str">
        <f t="array" ref="C338">IFERROR(INDEX('Sản phẩm'!$A$4:$A$103,MATCH(B338,'Sản phẩm'!$D$4:$D$103,0)),"")</f>
        <v/>
      </c>
      <c r="D338" s="71" t="str">
        <f t="array" ref="D338">IF(B338="","",INDEX('Bán nhanh'!$B$4:$B$103,INT((ROW()-4)/10)+1))</f>
        <v/>
      </c>
      <c r="E338" s="58" t="str">
        <f t="array" ref="E338">IFERROR(INDEX('Mẻ sữa'!$B$4:$B$203,MATCH(D338,'Mẻ sữa'!$C$4:$C$203,0)),"")</f>
        <v/>
      </c>
      <c r="F338" s="66">
        <f t="array" ref="F338">IF(B338="",0,INDEX('Bán nhanh'!$D$4:$M$103,INT((ROW()-4)/10)+1,MOD(ROW()-4,10)+1))</f>
        <v>0</v>
      </c>
      <c r="G338" s="46">
        <f t="array" ref="G338">IFERROR(INDEX('Sản phẩm'!$F$4:$F$103,MATCH(B338,'Sản phẩm'!$D$4:$D$103,0)),0)</f>
        <v>0</v>
      </c>
      <c r="H338" s="67">
        <f t="shared" si="5"/>
        <v>0</v>
      </c>
      <c r="I338" s="46">
        <f t="shared" si="1"/>
        <v>0</v>
      </c>
      <c r="J338" s="46">
        <f t="array" ref="J338">IFERROR(INDEX('Sản phẩm'!$G$4:$G$103,MATCH(B338,'Sản phẩm'!$D$4:$D$103,0)),0)</f>
        <v>0</v>
      </c>
      <c r="K338" s="46">
        <f t="array" ref="K338">IFERROR(J338*INDEX('Mẻ sữa'!$N$4:$N$203,MATCH(D338,'Mẻ sữa'!$C$4:$C$203,0)),0)</f>
        <v>0</v>
      </c>
      <c r="L338" s="46">
        <f t="array" ref="L338">IFERROR(INDEX('Sản phẩm'!$I$4:$I$103,MATCH(B338,'Sản phẩm'!$D$4:$D$103,0)),0)</f>
        <v>0</v>
      </c>
      <c r="M338" s="72" t="str">
        <f t="array" ref="M338">IFERROR(INDEX('Sản phẩm'!$J$4:$J$103,MATCH(B338,'Sản phẩm'!$D$4:$D$103,0)),0)</f>
        <v/>
      </c>
      <c r="N338" s="46">
        <f>IF(B338="",0,(K338+L338+M338)*'Thiết lập'!$B$8)</f>
        <v>0</v>
      </c>
      <c r="O338" s="46">
        <f t="shared" si="2"/>
        <v>0</v>
      </c>
      <c r="P338" s="46">
        <f t="shared" si="3"/>
        <v>0</v>
      </c>
      <c r="Q338" s="46">
        <f t="shared" si="4"/>
        <v>0</v>
      </c>
      <c r="R338" s="71" t="str">
        <f t="array" ref="R338">IF(B338="","",INDEX('Bán nhanh'!$C$4:$C$103,INT((ROW()-4)/10)+1))</f>
        <v/>
      </c>
      <c r="S338" s="71" t="str">
        <f t="array" ref="S338">IF(B338="","",INDEX('Bán nhanh'!$P$4:$P$103,INT((ROW()-4)/10)+1))</f>
        <v/>
      </c>
      <c r="T338" s="58"/>
      <c r="U338" s="36"/>
      <c r="V338" s="36"/>
      <c r="W338" s="58"/>
      <c r="X338" s="36"/>
      <c r="Y338" s="36"/>
      <c r="Z338" s="36"/>
    </row>
    <row r="339" ht="15.75" customHeight="1">
      <c r="A339" s="70" t="str">
        <f t="array" ref="A339">IF(B339="","",INDEX('Bán nhanh'!$A$4:$A$103,INT((ROW()-4)/10)+1))</f>
        <v/>
      </c>
      <c r="B339" s="71" t="str">
        <f t="array" ref="B339">IF(OR(INDEX('Bán nhanh'!$D$3:$M$3,1,MOD(ROW()-4,10)+1)="",INDEX('Bán nhanh'!$D$4:$M$103,INT((ROW()-4)/10)+1,MOD(ROW()-4,10)+1)&lt;=0),"",INDEX('Bán nhanh'!$D$3:$M$3,1,MOD(ROW()-4,10)+1))</f>
        <v/>
      </c>
      <c r="C339" s="58" t="str">
        <f t="array" ref="C339">IFERROR(INDEX('Sản phẩm'!$A$4:$A$103,MATCH(B339,'Sản phẩm'!$D$4:$D$103,0)),"")</f>
        <v/>
      </c>
      <c r="D339" s="71" t="str">
        <f t="array" ref="D339">IF(B339="","",INDEX('Bán nhanh'!$B$4:$B$103,INT((ROW()-4)/10)+1))</f>
        <v/>
      </c>
      <c r="E339" s="58" t="str">
        <f t="array" ref="E339">IFERROR(INDEX('Mẻ sữa'!$B$4:$B$203,MATCH(D339,'Mẻ sữa'!$C$4:$C$203,0)),"")</f>
        <v/>
      </c>
      <c r="F339" s="66">
        <f t="array" ref="F339">IF(B339="",0,INDEX('Bán nhanh'!$D$4:$M$103,INT((ROW()-4)/10)+1,MOD(ROW()-4,10)+1))</f>
        <v>0</v>
      </c>
      <c r="G339" s="46">
        <f t="array" ref="G339">IFERROR(INDEX('Sản phẩm'!$F$4:$F$103,MATCH(B339,'Sản phẩm'!$D$4:$D$103,0)),0)</f>
        <v>0</v>
      </c>
      <c r="H339" s="67">
        <f t="shared" si="5"/>
        <v>0</v>
      </c>
      <c r="I339" s="46">
        <f t="shared" si="1"/>
        <v>0</v>
      </c>
      <c r="J339" s="46">
        <f t="array" ref="J339">IFERROR(INDEX('Sản phẩm'!$G$4:$G$103,MATCH(B339,'Sản phẩm'!$D$4:$D$103,0)),0)</f>
        <v>0</v>
      </c>
      <c r="K339" s="46">
        <f t="array" ref="K339">IFERROR(J339*INDEX('Mẻ sữa'!$N$4:$N$203,MATCH(D339,'Mẻ sữa'!$C$4:$C$203,0)),0)</f>
        <v>0</v>
      </c>
      <c r="L339" s="46">
        <f t="array" ref="L339">IFERROR(INDEX('Sản phẩm'!$I$4:$I$103,MATCH(B339,'Sản phẩm'!$D$4:$D$103,0)),0)</f>
        <v>0</v>
      </c>
      <c r="M339" s="72" t="str">
        <f t="array" ref="M339">IFERROR(INDEX('Sản phẩm'!$J$4:$J$103,MATCH(B339,'Sản phẩm'!$D$4:$D$103,0)),0)</f>
        <v/>
      </c>
      <c r="N339" s="46">
        <f>IF(B339="",0,(K339+L339+M339)*'Thiết lập'!$B$8)</f>
        <v>0</v>
      </c>
      <c r="O339" s="46">
        <f t="shared" si="2"/>
        <v>0</v>
      </c>
      <c r="P339" s="46">
        <f t="shared" si="3"/>
        <v>0</v>
      </c>
      <c r="Q339" s="46">
        <f t="shared" si="4"/>
        <v>0</v>
      </c>
      <c r="R339" s="71" t="str">
        <f t="array" ref="R339">IF(B339="","",INDEX('Bán nhanh'!$C$4:$C$103,INT((ROW()-4)/10)+1))</f>
        <v/>
      </c>
      <c r="S339" s="71" t="str">
        <f t="array" ref="S339">IF(B339="","",INDEX('Bán nhanh'!$P$4:$P$103,INT((ROW()-4)/10)+1))</f>
        <v/>
      </c>
      <c r="T339" s="58"/>
      <c r="U339" s="36"/>
      <c r="V339" s="36"/>
      <c r="W339" s="58"/>
      <c r="X339" s="36"/>
      <c r="Y339" s="36"/>
      <c r="Z339" s="36"/>
    </row>
    <row r="340" ht="15.75" customHeight="1">
      <c r="A340" s="70" t="str">
        <f t="array" ref="A340">IF(B340="","",INDEX('Bán nhanh'!$A$4:$A$103,INT((ROW()-4)/10)+1))</f>
        <v/>
      </c>
      <c r="B340" s="71" t="str">
        <f t="array" ref="B340">IF(OR(INDEX('Bán nhanh'!$D$3:$M$3,1,MOD(ROW()-4,10)+1)="",INDEX('Bán nhanh'!$D$4:$M$103,INT((ROW()-4)/10)+1,MOD(ROW()-4,10)+1)&lt;=0),"",INDEX('Bán nhanh'!$D$3:$M$3,1,MOD(ROW()-4,10)+1))</f>
        <v/>
      </c>
      <c r="C340" s="58" t="str">
        <f t="array" ref="C340">IFERROR(INDEX('Sản phẩm'!$A$4:$A$103,MATCH(B340,'Sản phẩm'!$D$4:$D$103,0)),"")</f>
        <v/>
      </c>
      <c r="D340" s="71" t="str">
        <f t="array" ref="D340">IF(B340="","",INDEX('Bán nhanh'!$B$4:$B$103,INT((ROW()-4)/10)+1))</f>
        <v/>
      </c>
      <c r="E340" s="58" t="str">
        <f t="array" ref="E340">IFERROR(INDEX('Mẻ sữa'!$B$4:$B$203,MATCH(D340,'Mẻ sữa'!$C$4:$C$203,0)),"")</f>
        <v/>
      </c>
      <c r="F340" s="66">
        <f t="array" ref="F340">IF(B340="",0,INDEX('Bán nhanh'!$D$4:$M$103,INT((ROW()-4)/10)+1,MOD(ROW()-4,10)+1))</f>
        <v>0</v>
      </c>
      <c r="G340" s="46">
        <f t="array" ref="G340">IFERROR(INDEX('Sản phẩm'!$F$4:$F$103,MATCH(B340,'Sản phẩm'!$D$4:$D$103,0)),0)</f>
        <v>0</v>
      </c>
      <c r="H340" s="67">
        <f t="shared" si="5"/>
        <v>0</v>
      </c>
      <c r="I340" s="46">
        <f t="shared" si="1"/>
        <v>0</v>
      </c>
      <c r="J340" s="46">
        <f t="array" ref="J340">IFERROR(INDEX('Sản phẩm'!$G$4:$G$103,MATCH(B340,'Sản phẩm'!$D$4:$D$103,0)),0)</f>
        <v>0</v>
      </c>
      <c r="K340" s="46">
        <f t="array" ref="K340">IFERROR(J340*INDEX('Mẻ sữa'!$N$4:$N$203,MATCH(D340,'Mẻ sữa'!$C$4:$C$203,0)),0)</f>
        <v>0</v>
      </c>
      <c r="L340" s="46">
        <f t="array" ref="L340">IFERROR(INDEX('Sản phẩm'!$I$4:$I$103,MATCH(B340,'Sản phẩm'!$D$4:$D$103,0)),0)</f>
        <v>0</v>
      </c>
      <c r="M340" s="72" t="str">
        <f t="array" ref="M340">IFERROR(INDEX('Sản phẩm'!$J$4:$J$103,MATCH(B340,'Sản phẩm'!$D$4:$D$103,0)),0)</f>
        <v/>
      </c>
      <c r="N340" s="46">
        <f>IF(B340="",0,(K340+L340+M340)*'Thiết lập'!$B$8)</f>
        <v>0</v>
      </c>
      <c r="O340" s="46">
        <f t="shared" si="2"/>
        <v>0</v>
      </c>
      <c r="P340" s="46">
        <f t="shared" si="3"/>
        <v>0</v>
      </c>
      <c r="Q340" s="46">
        <f t="shared" si="4"/>
        <v>0</v>
      </c>
      <c r="R340" s="71" t="str">
        <f t="array" ref="R340">IF(B340="","",INDEX('Bán nhanh'!$C$4:$C$103,INT((ROW()-4)/10)+1))</f>
        <v/>
      </c>
      <c r="S340" s="71" t="str">
        <f t="array" ref="S340">IF(B340="","",INDEX('Bán nhanh'!$P$4:$P$103,INT((ROW()-4)/10)+1))</f>
        <v/>
      </c>
      <c r="T340" s="58"/>
      <c r="U340" s="36"/>
      <c r="V340" s="36"/>
      <c r="W340" s="58"/>
      <c r="X340" s="36"/>
      <c r="Y340" s="36"/>
      <c r="Z340" s="36"/>
    </row>
    <row r="341" ht="15.75" customHeight="1">
      <c r="A341" s="70" t="str">
        <f t="array" ref="A341">IF(B341="","",INDEX('Bán nhanh'!$A$4:$A$103,INT((ROW()-4)/10)+1))</f>
        <v/>
      </c>
      <c r="B341" s="71" t="str">
        <f t="array" ref="B341">IF(OR(INDEX('Bán nhanh'!$D$3:$M$3,1,MOD(ROW()-4,10)+1)="",INDEX('Bán nhanh'!$D$4:$M$103,INT((ROW()-4)/10)+1,MOD(ROW()-4,10)+1)&lt;=0),"",INDEX('Bán nhanh'!$D$3:$M$3,1,MOD(ROW()-4,10)+1))</f>
        <v/>
      </c>
      <c r="C341" s="58" t="str">
        <f t="array" ref="C341">IFERROR(INDEX('Sản phẩm'!$A$4:$A$103,MATCH(B341,'Sản phẩm'!$D$4:$D$103,0)),"")</f>
        <v/>
      </c>
      <c r="D341" s="71" t="str">
        <f t="array" ref="D341">IF(B341="","",INDEX('Bán nhanh'!$B$4:$B$103,INT((ROW()-4)/10)+1))</f>
        <v/>
      </c>
      <c r="E341" s="58" t="str">
        <f t="array" ref="E341">IFERROR(INDEX('Mẻ sữa'!$B$4:$B$203,MATCH(D341,'Mẻ sữa'!$C$4:$C$203,0)),"")</f>
        <v/>
      </c>
      <c r="F341" s="66">
        <f t="array" ref="F341">IF(B341="",0,INDEX('Bán nhanh'!$D$4:$M$103,INT((ROW()-4)/10)+1,MOD(ROW()-4,10)+1))</f>
        <v>0</v>
      </c>
      <c r="G341" s="46">
        <f t="array" ref="G341">IFERROR(INDEX('Sản phẩm'!$F$4:$F$103,MATCH(B341,'Sản phẩm'!$D$4:$D$103,0)),0)</f>
        <v>0</v>
      </c>
      <c r="H341" s="67">
        <f t="shared" si="5"/>
        <v>0</v>
      </c>
      <c r="I341" s="46">
        <f t="shared" si="1"/>
        <v>0</v>
      </c>
      <c r="J341" s="46">
        <f t="array" ref="J341">IFERROR(INDEX('Sản phẩm'!$G$4:$G$103,MATCH(B341,'Sản phẩm'!$D$4:$D$103,0)),0)</f>
        <v>0</v>
      </c>
      <c r="K341" s="46">
        <f t="array" ref="K341">IFERROR(J341*INDEX('Mẻ sữa'!$N$4:$N$203,MATCH(D341,'Mẻ sữa'!$C$4:$C$203,0)),0)</f>
        <v>0</v>
      </c>
      <c r="L341" s="46">
        <f t="array" ref="L341">IFERROR(INDEX('Sản phẩm'!$I$4:$I$103,MATCH(B341,'Sản phẩm'!$D$4:$D$103,0)),0)</f>
        <v>0</v>
      </c>
      <c r="M341" s="72" t="str">
        <f t="array" ref="M341">IFERROR(INDEX('Sản phẩm'!$J$4:$J$103,MATCH(B341,'Sản phẩm'!$D$4:$D$103,0)),0)</f>
        <v/>
      </c>
      <c r="N341" s="46">
        <f>IF(B341="",0,(K341+L341+M341)*'Thiết lập'!$B$8)</f>
        <v>0</v>
      </c>
      <c r="O341" s="46">
        <f t="shared" si="2"/>
        <v>0</v>
      </c>
      <c r="P341" s="46">
        <f t="shared" si="3"/>
        <v>0</v>
      </c>
      <c r="Q341" s="46">
        <f t="shared" si="4"/>
        <v>0</v>
      </c>
      <c r="R341" s="71" t="str">
        <f t="array" ref="R341">IF(B341="","",INDEX('Bán nhanh'!$C$4:$C$103,INT((ROW()-4)/10)+1))</f>
        <v/>
      </c>
      <c r="S341" s="71" t="str">
        <f t="array" ref="S341">IF(B341="","",INDEX('Bán nhanh'!$P$4:$P$103,INT((ROW()-4)/10)+1))</f>
        <v/>
      </c>
      <c r="T341" s="58"/>
      <c r="U341" s="36"/>
      <c r="V341" s="36"/>
      <c r="W341" s="58"/>
      <c r="X341" s="36"/>
      <c r="Y341" s="36"/>
      <c r="Z341" s="36"/>
    </row>
    <row r="342" ht="15.75" customHeight="1">
      <c r="A342" s="70" t="str">
        <f t="array" ref="A342">IF(B342="","",INDEX('Bán nhanh'!$A$4:$A$103,INT((ROW()-4)/10)+1))</f>
        <v/>
      </c>
      <c r="B342" s="71" t="str">
        <f t="array" ref="B342">IF(OR(INDEX('Bán nhanh'!$D$3:$M$3,1,MOD(ROW()-4,10)+1)="",INDEX('Bán nhanh'!$D$4:$M$103,INT((ROW()-4)/10)+1,MOD(ROW()-4,10)+1)&lt;=0),"",INDEX('Bán nhanh'!$D$3:$M$3,1,MOD(ROW()-4,10)+1))</f>
        <v/>
      </c>
      <c r="C342" s="58" t="str">
        <f t="array" ref="C342">IFERROR(INDEX('Sản phẩm'!$A$4:$A$103,MATCH(B342,'Sản phẩm'!$D$4:$D$103,0)),"")</f>
        <v/>
      </c>
      <c r="D342" s="71" t="str">
        <f t="array" ref="D342">IF(B342="","",INDEX('Bán nhanh'!$B$4:$B$103,INT((ROW()-4)/10)+1))</f>
        <v/>
      </c>
      <c r="E342" s="58" t="str">
        <f t="array" ref="E342">IFERROR(INDEX('Mẻ sữa'!$B$4:$B$203,MATCH(D342,'Mẻ sữa'!$C$4:$C$203,0)),"")</f>
        <v/>
      </c>
      <c r="F342" s="66">
        <f t="array" ref="F342">IF(B342="",0,INDEX('Bán nhanh'!$D$4:$M$103,INT((ROW()-4)/10)+1,MOD(ROW()-4,10)+1))</f>
        <v>0</v>
      </c>
      <c r="G342" s="46">
        <f t="array" ref="G342">IFERROR(INDEX('Sản phẩm'!$F$4:$F$103,MATCH(B342,'Sản phẩm'!$D$4:$D$103,0)),0)</f>
        <v>0</v>
      </c>
      <c r="H342" s="67">
        <f t="shared" si="5"/>
        <v>0</v>
      </c>
      <c r="I342" s="46">
        <f t="shared" si="1"/>
        <v>0</v>
      </c>
      <c r="J342" s="46">
        <f t="array" ref="J342">IFERROR(INDEX('Sản phẩm'!$G$4:$G$103,MATCH(B342,'Sản phẩm'!$D$4:$D$103,0)),0)</f>
        <v>0</v>
      </c>
      <c r="K342" s="46">
        <f t="array" ref="K342">IFERROR(J342*INDEX('Mẻ sữa'!$N$4:$N$203,MATCH(D342,'Mẻ sữa'!$C$4:$C$203,0)),0)</f>
        <v>0</v>
      </c>
      <c r="L342" s="46">
        <f t="array" ref="L342">IFERROR(INDEX('Sản phẩm'!$I$4:$I$103,MATCH(B342,'Sản phẩm'!$D$4:$D$103,0)),0)</f>
        <v>0</v>
      </c>
      <c r="M342" s="72" t="str">
        <f t="array" ref="M342">IFERROR(INDEX('Sản phẩm'!$J$4:$J$103,MATCH(B342,'Sản phẩm'!$D$4:$D$103,0)),0)</f>
        <v/>
      </c>
      <c r="N342" s="46">
        <f>IF(B342="",0,(K342+L342+M342)*'Thiết lập'!$B$8)</f>
        <v>0</v>
      </c>
      <c r="O342" s="46">
        <f t="shared" si="2"/>
        <v>0</v>
      </c>
      <c r="P342" s="46">
        <f t="shared" si="3"/>
        <v>0</v>
      </c>
      <c r="Q342" s="46">
        <f t="shared" si="4"/>
        <v>0</v>
      </c>
      <c r="R342" s="71" t="str">
        <f t="array" ref="R342">IF(B342="","",INDEX('Bán nhanh'!$C$4:$C$103,INT((ROW()-4)/10)+1))</f>
        <v/>
      </c>
      <c r="S342" s="71" t="str">
        <f t="array" ref="S342">IF(B342="","",INDEX('Bán nhanh'!$P$4:$P$103,INT((ROW()-4)/10)+1))</f>
        <v/>
      </c>
      <c r="T342" s="58"/>
      <c r="U342" s="36"/>
      <c r="V342" s="36"/>
      <c r="W342" s="58"/>
      <c r="X342" s="36"/>
      <c r="Y342" s="36"/>
      <c r="Z342" s="36"/>
    </row>
    <row r="343" ht="15.75" customHeight="1">
      <c r="A343" s="70" t="str">
        <f t="array" ref="A343">IF(B343="","",INDEX('Bán nhanh'!$A$4:$A$103,INT((ROW()-4)/10)+1))</f>
        <v/>
      </c>
      <c r="B343" s="71" t="str">
        <f t="array" ref="B343">IF(OR(INDEX('Bán nhanh'!$D$3:$M$3,1,MOD(ROW()-4,10)+1)="",INDEX('Bán nhanh'!$D$4:$M$103,INT((ROW()-4)/10)+1,MOD(ROW()-4,10)+1)&lt;=0),"",INDEX('Bán nhanh'!$D$3:$M$3,1,MOD(ROW()-4,10)+1))</f>
        <v/>
      </c>
      <c r="C343" s="58" t="str">
        <f t="array" ref="C343">IFERROR(INDEX('Sản phẩm'!$A$4:$A$103,MATCH(B343,'Sản phẩm'!$D$4:$D$103,0)),"")</f>
        <v/>
      </c>
      <c r="D343" s="71" t="str">
        <f t="array" ref="D343">IF(B343="","",INDEX('Bán nhanh'!$B$4:$B$103,INT((ROW()-4)/10)+1))</f>
        <v/>
      </c>
      <c r="E343" s="58" t="str">
        <f t="array" ref="E343">IFERROR(INDEX('Mẻ sữa'!$B$4:$B$203,MATCH(D343,'Mẻ sữa'!$C$4:$C$203,0)),"")</f>
        <v/>
      </c>
      <c r="F343" s="66">
        <f t="array" ref="F343">IF(B343="",0,INDEX('Bán nhanh'!$D$4:$M$103,INT((ROW()-4)/10)+1,MOD(ROW()-4,10)+1))</f>
        <v>0</v>
      </c>
      <c r="G343" s="46">
        <f t="array" ref="G343">IFERROR(INDEX('Sản phẩm'!$F$4:$F$103,MATCH(B343,'Sản phẩm'!$D$4:$D$103,0)),0)</f>
        <v>0</v>
      </c>
      <c r="H343" s="67">
        <f t="shared" si="5"/>
        <v>0</v>
      </c>
      <c r="I343" s="46">
        <f t="shared" si="1"/>
        <v>0</v>
      </c>
      <c r="J343" s="46">
        <f t="array" ref="J343">IFERROR(INDEX('Sản phẩm'!$G$4:$G$103,MATCH(B343,'Sản phẩm'!$D$4:$D$103,0)),0)</f>
        <v>0</v>
      </c>
      <c r="K343" s="46">
        <f t="array" ref="K343">IFERROR(J343*INDEX('Mẻ sữa'!$N$4:$N$203,MATCH(D343,'Mẻ sữa'!$C$4:$C$203,0)),0)</f>
        <v>0</v>
      </c>
      <c r="L343" s="46">
        <f t="array" ref="L343">IFERROR(INDEX('Sản phẩm'!$I$4:$I$103,MATCH(B343,'Sản phẩm'!$D$4:$D$103,0)),0)</f>
        <v>0</v>
      </c>
      <c r="M343" s="72" t="str">
        <f t="array" ref="M343">IFERROR(INDEX('Sản phẩm'!$J$4:$J$103,MATCH(B343,'Sản phẩm'!$D$4:$D$103,0)),0)</f>
        <v/>
      </c>
      <c r="N343" s="46">
        <f>IF(B343="",0,(K343+L343+M343)*'Thiết lập'!$B$8)</f>
        <v>0</v>
      </c>
      <c r="O343" s="46">
        <f t="shared" si="2"/>
        <v>0</v>
      </c>
      <c r="P343" s="46">
        <f t="shared" si="3"/>
        <v>0</v>
      </c>
      <c r="Q343" s="46">
        <f t="shared" si="4"/>
        <v>0</v>
      </c>
      <c r="R343" s="71" t="str">
        <f t="array" ref="R343">IF(B343="","",INDEX('Bán nhanh'!$C$4:$C$103,INT((ROW()-4)/10)+1))</f>
        <v/>
      </c>
      <c r="S343" s="71" t="str">
        <f t="array" ref="S343">IF(B343="","",INDEX('Bán nhanh'!$P$4:$P$103,INT((ROW()-4)/10)+1))</f>
        <v/>
      </c>
      <c r="T343" s="58"/>
      <c r="U343" s="36"/>
      <c r="V343" s="36"/>
      <c r="W343" s="58"/>
      <c r="X343" s="36"/>
      <c r="Y343" s="36"/>
      <c r="Z343" s="36"/>
    </row>
    <row r="344" ht="15.75" customHeight="1">
      <c r="A344" s="70" t="str">
        <f t="array" ref="A344">IF(B344="","",INDEX('Bán nhanh'!$A$4:$A$103,INT((ROW()-4)/10)+1))</f>
        <v/>
      </c>
      <c r="B344" s="71" t="str">
        <f t="array" ref="B344">IF(OR(INDEX('Bán nhanh'!$D$3:$M$3,1,MOD(ROW()-4,10)+1)="",INDEX('Bán nhanh'!$D$4:$M$103,INT((ROW()-4)/10)+1,MOD(ROW()-4,10)+1)&lt;=0),"",INDEX('Bán nhanh'!$D$3:$M$3,1,MOD(ROW()-4,10)+1))</f>
        <v/>
      </c>
      <c r="C344" s="58" t="str">
        <f t="array" ref="C344">IFERROR(INDEX('Sản phẩm'!$A$4:$A$103,MATCH(B344,'Sản phẩm'!$D$4:$D$103,0)),"")</f>
        <v/>
      </c>
      <c r="D344" s="71" t="str">
        <f t="array" ref="D344">IF(B344="","",INDEX('Bán nhanh'!$B$4:$B$103,INT((ROW()-4)/10)+1))</f>
        <v/>
      </c>
      <c r="E344" s="58" t="str">
        <f t="array" ref="E344">IFERROR(INDEX('Mẻ sữa'!$B$4:$B$203,MATCH(D344,'Mẻ sữa'!$C$4:$C$203,0)),"")</f>
        <v/>
      </c>
      <c r="F344" s="66">
        <f t="array" ref="F344">IF(B344="",0,INDEX('Bán nhanh'!$D$4:$M$103,INT((ROW()-4)/10)+1,MOD(ROW()-4,10)+1))</f>
        <v>0</v>
      </c>
      <c r="G344" s="46">
        <f t="array" ref="G344">IFERROR(INDEX('Sản phẩm'!$F$4:$F$103,MATCH(B344,'Sản phẩm'!$D$4:$D$103,0)),0)</f>
        <v>0</v>
      </c>
      <c r="H344" s="67">
        <f t="shared" si="5"/>
        <v>0</v>
      </c>
      <c r="I344" s="46">
        <f t="shared" si="1"/>
        <v>0</v>
      </c>
      <c r="J344" s="46">
        <f t="array" ref="J344">IFERROR(INDEX('Sản phẩm'!$G$4:$G$103,MATCH(B344,'Sản phẩm'!$D$4:$D$103,0)),0)</f>
        <v>0</v>
      </c>
      <c r="K344" s="46">
        <f t="array" ref="K344">IFERROR(J344*INDEX('Mẻ sữa'!$N$4:$N$203,MATCH(D344,'Mẻ sữa'!$C$4:$C$203,0)),0)</f>
        <v>0</v>
      </c>
      <c r="L344" s="46">
        <f t="array" ref="L344">IFERROR(INDEX('Sản phẩm'!$I$4:$I$103,MATCH(B344,'Sản phẩm'!$D$4:$D$103,0)),0)</f>
        <v>0</v>
      </c>
      <c r="M344" s="72" t="str">
        <f t="array" ref="M344">IFERROR(INDEX('Sản phẩm'!$J$4:$J$103,MATCH(B344,'Sản phẩm'!$D$4:$D$103,0)),0)</f>
        <v/>
      </c>
      <c r="N344" s="46">
        <f>IF(B344="",0,(K344+L344+M344)*'Thiết lập'!$B$8)</f>
        <v>0</v>
      </c>
      <c r="O344" s="46">
        <f t="shared" si="2"/>
        <v>0</v>
      </c>
      <c r="P344" s="46">
        <f t="shared" si="3"/>
        <v>0</v>
      </c>
      <c r="Q344" s="46">
        <f t="shared" si="4"/>
        <v>0</v>
      </c>
      <c r="R344" s="71" t="str">
        <f t="array" ref="R344">IF(B344="","",INDEX('Bán nhanh'!$C$4:$C$103,INT((ROW()-4)/10)+1))</f>
        <v/>
      </c>
      <c r="S344" s="71" t="str">
        <f t="array" ref="S344">IF(B344="","",INDEX('Bán nhanh'!$P$4:$P$103,INT((ROW()-4)/10)+1))</f>
        <v/>
      </c>
      <c r="T344" s="58"/>
      <c r="U344" s="36"/>
      <c r="V344" s="36"/>
      <c r="W344" s="58"/>
      <c r="X344" s="36"/>
      <c r="Y344" s="36"/>
      <c r="Z344" s="36"/>
    </row>
    <row r="345" ht="15.75" customHeight="1">
      <c r="A345" s="70" t="str">
        <f t="array" ref="A345">IF(B345="","",INDEX('Bán nhanh'!$A$4:$A$103,INT((ROW()-4)/10)+1))</f>
        <v/>
      </c>
      <c r="B345" s="71" t="str">
        <f t="array" ref="B345">IF(OR(INDEX('Bán nhanh'!$D$3:$M$3,1,MOD(ROW()-4,10)+1)="",INDEX('Bán nhanh'!$D$4:$M$103,INT((ROW()-4)/10)+1,MOD(ROW()-4,10)+1)&lt;=0),"",INDEX('Bán nhanh'!$D$3:$M$3,1,MOD(ROW()-4,10)+1))</f>
        <v/>
      </c>
      <c r="C345" s="58" t="str">
        <f t="array" ref="C345">IFERROR(INDEX('Sản phẩm'!$A$4:$A$103,MATCH(B345,'Sản phẩm'!$D$4:$D$103,0)),"")</f>
        <v/>
      </c>
      <c r="D345" s="71" t="str">
        <f t="array" ref="D345">IF(B345="","",INDEX('Bán nhanh'!$B$4:$B$103,INT((ROW()-4)/10)+1))</f>
        <v/>
      </c>
      <c r="E345" s="58" t="str">
        <f t="array" ref="E345">IFERROR(INDEX('Mẻ sữa'!$B$4:$B$203,MATCH(D345,'Mẻ sữa'!$C$4:$C$203,0)),"")</f>
        <v/>
      </c>
      <c r="F345" s="66">
        <f t="array" ref="F345">IF(B345="",0,INDEX('Bán nhanh'!$D$4:$M$103,INT((ROW()-4)/10)+1,MOD(ROW()-4,10)+1))</f>
        <v>0</v>
      </c>
      <c r="G345" s="46">
        <f t="array" ref="G345">IFERROR(INDEX('Sản phẩm'!$F$4:$F$103,MATCH(B345,'Sản phẩm'!$D$4:$D$103,0)),0)</f>
        <v>0</v>
      </c>
      <c r="H345" s="67">
        <f t="shared" si="5"/>
        <v>0</v>
      </c>
      <c r="I345" s="46">
        <f t="shared" si="1"/>
        <v>0</v>
      </c>
      <c r="J345" s="46">
        <f t="array" ref="J345">IFERROR(INDEX('Sản phẩm'!$G$4:$G$103,MATCH(B345,'Sản phẩm'!$D$4:$D$103,0)),0)</f>
        <v>0</v>
      </c>
      <c r="K345" s="46">
        <f t="array" ref="K345">IFERROR(J345*INDEX('Mẻ sữa'!$N$4:$N$203,MATCH(D345,'Mẻ sữa'!$C$4:$C$203,0)),0)</f>
        <v>0</v>
      </c>
      <c r="L345" s="46">
        <f t="array" ref="L345">IFERROR(INDEX('Sản phẩm'!$I$4:$I$103,MATCH(B345,'Sản phẩm'!$D$4:$D$103,0)),0)</f>
        <v>0</v>
      </c>
      <c r="M345" s="72" t="str">
        <f t="array" ref="M345">IFERROR(INDEX('Sản phẩm'!$J$4:$J$103,MATCH(B345,'Sản phẩm'!$D$4:$D$103,0)),0)</f>
        <v/>
      </c>
      <c r="N345" s="46">
        <f>IF(B345="",0,(K345+L345+M345)*'Thiết lập'!$B$8)</f>
        <v>0</v>
      </c>
      <c r="O345" s="46">
        <f t="shared" si="2"/>
        <v>0</v>
      </c>
      <c r="P345" s="46">
        <f t="shared" si="3"/>
        <v>0</v>
      </c>
      <c r="Q345" s="46">
        <f t="shared" si="4"/>
        <v>0</v>
      </c>
      <c r="R345" s="71" t="str">
        <f t="array" ref="R345">IF(B345="","",INDEX('Bán nhanh'!$C$4:$C$103,INT((ROW()-4)/10)+1))</f>
        <v/>
      </c>
      <c r="S345" s="71" t="str">
        <f t="array" ref="S345">IF(B345="","",INDEX('Bán nhanh'!$P$4:$P$103,INT((ROW()-4)/10)+1))</f>
        <v/>
      </c>
      <c r="T345" s="58"/>
      <c r="U345" s="36"/>
      <c r="V345" s="36"/>
      <c r="W345" s="58"/>
      <c r="X345" s="36"/>
      <c r="Y345" s="36"/>
      <c r="Z345" s="36"/>
    </row>
    <row r="346" ht="15.75" customHeight="1">
      <c r="A346" s="70" t="str">
        <f t="array" ref="A346">IF(B346="","",INDEX('Bán nhanh'!$A$4:$A$103,INT((ROW()-4)/10)+1))</f>
        <v/>
      </c>
      <c r="B346" s="71" t="str">
        <f t="array" ref="B346">IF(OR(INDEX('Bán nhanh'!$D$3:$M$3,1,MOD(ROW()-4,10)+1)="",INDEX('Bán nhanh'!$D$4:$M$103,INT((ROW()-4)/10)+1,MOD(ROW()-4,10)+1)&lt;=0),"",INDEX('Bán nhanh'!$D$3:$M$3,1,MOD(ROW()-4,10)+1))</f>
        <v/>
      </c>
      <c r="C346" s="58" t="str">
        <f t="array" ref="C346">IFERROR(INDEX('Sản phẩm'!$A$4:$A$103,MATCH(B346,'Sản phẩm'!$D$4:$D$103,0)),"")</f>
        <v/>
      </c>
      <c r="D346" s="71" t="str">
        <f t="array" ref="D346">IF(B346="","",INDEX('Bán nhanh'!$B$4:$B$103,INT((ROW()-4)/10)+1))</f>
        <v/>
      </c>
      <c r="E346" s="58" t="str">
        <f t="array" ref="E346">IFERROR(INDEX('Mẻ sữa'!$B$4:$B$203,MATCH(D346,'Mẻ sữa'!$C$4:$C$203,0)),"")</f>
        <v/>
      </c>
      <c r="F346" s="66">
        <f t="array" ref="F346">IF(B346="",0,INDEX('Bán nhanh'!$D$4:$M$103,INT((ROW()-4)/10)+1,MOD(ROW()-4,10)+1))</f>
        <v>0</v>
      </c>
      <c r="G346" s="46">
        <f t="array" ref="G346">IFERROR(INDEX('Sản phẩm'!$F$4:$F$103,MATCH(B346,'Sản phẩm'!$D$4:$D$103,0)),0)</f>
        <v>0</v>
      </c>
      <c r="H346" s="67">
        <f t="shared" si="5"/>
        <v>0</v>
      </c>
      <c r="I346" s="46">
        <f t="shared" si="1"/>
        <v>0</v>
      </c>
      <c r="J346" s="46">
        <f t="array" ref="J346">IFERROR(INDEX('Sản phẩm'!$G$4:$G$103,MATCH(B346,'Sản phẩm'!$D$4:$D$103,0)),0)</f>
        <v>0</v>
      </c>
      <c r="K346" s="46">
        <f t="array" ref="K346">IFERROR(J346*INDEX('Mẻ sữa'!$N$4:$N$203,MATCH(D346,'Mẻ sữa'!$C$4:$C$203,0)),0)</f>
        <v>0</v>
      </c>
      <c r="L346" s="46">
        <f t="array" ref="L346">IFERROR(INDEX('Sản phẩm'!$I$4:$I$103,MATCH(B346,'Sản phẩm'!$D$4:$D$103,0)),0)</f>
        <v>0</v>
      </c>
      <c r="M346" s="72" t="str">
        <f t="array" ref="M346">IFERROR(INDEX('Sản phẩm'!$J$4:$J$103,MATCH(B346,'Sản phẩm'!$D$4:$D$103,0)),0)</f>
        <v/>
      </c>
      <c r="N346" s="46">
        <f>IF(B346="",0,(K346+L346+M346)*'Thiết lập'!$B$8)</f>
        <v>0</v>
      </c>
      <c r="O346" s="46">
        <f t="shared" si="2"/>
        <v>0</v>
      </c>
      <c r="P346" s="46">
        <f t="shared" si="3"/>
        <v>0</v>
      </c>
      <c r="Q346" s="46">
        <f t="shared" si="4"/>
        <v>0</v>
      </c>
      <c r="R346" s="71" t="str">
        <f t="array" ref="R346">IF(B346="","",INDEX('Bán nhanh'!$C$4:$C$103,INT((ROW()-4)/10)+1))</f>
        <v/>
      </c>
      <c r="S346" s="71" t="str">
        <f t="array" ref="S346">IF(B346="","",INDEX('Bán nhanh'!$P$4:$P$103,INT((ROW()-4)/10)+1))</f>
        <v/>
      </c>
      <c r="T346" s="58"/>
      <c r="U346" s="36"/>
      <c r="V346" s="36"/>
      <c r="W346" s="58"/>
      <c r="X346" s="36"/>
      <c r="Y346" s="36"/>
      <c r="Z346" s="36"/>
    </row>
    <row r="347" ht="15.75" customHeight="1">
      <c r="A347" s="70" t="str">
        <f t="array" ref="A347">IF(B347="","",INDEX('Bán nhanh'!$A$4:$A$103,INT((ROW()-4)/10)+1))</f>
        <v/>
      </c>
      <c r="B347" s="71" t="str">
        <f t="array" ref="B347">IF(OR(INDEX('Bán nhanh'!$D$3:$M$3,1,MOD(ROW()-4,10)+1)="",INDEX('Bán nhanh'!$D$4:$M$103,INT((ROW()-4)/10)+1,MOD(ROW()-4,10)+1)&lt;=0),"",INDEX('Bán nhanh'!$D$3:$M$3,1,MOD(ROW()-4,10)+1))</f>
        <v/>
      </c>
      <c r="C347" s="58" t="str">
        <f t="array" ref="C347">IFERROR(INDEX('Sản phẩm'!$A$4:$A$103,MATCH(B347,'Sản phẩm'!$D$4:$D$103,0)),"")</f>
        <v/>
      </c>
      <c r="D347" s="71" t="str">
        <f t="array" ref="D347">IF(B347="","",INDEX('Bán nhanh'!$B$4:$B$103,INT((ROW()-4)/10)+1))</f>
        <v/>
      </c>
      <c r="E347" s="58" t="str">
        <f t="array" ref="E347">IFERROR(INDEX('Mẻ sữa'!$B$4:$B$203,MATCH(D347,'Mẻ sữa'!$C$4:$C$203,0)),"")</f>
        <v/>
      </c>
      <c r="F347" s="66">
        <f t="array" ref="F347">IF(B347="",0,INDEX('Bán nhanh'!$D$4:$M$103,INT((ROW()-4)/10)+1,MOD(ROW()-4,10)+1))</f>
        <v>0</v>
      </c>
      <c r="G347" s="46">
        <f t="array" ref="G347">IFERROR(INDEX('Sản phẩm'!$F$4:$F$103,MATCH(B347,'Sản phẩm'!$D$4:$D$103,0)),0)</f>
        <v>0</v>
      </c>
      <c r="H347" s="67">
        <f t="shared" si="5"/>
        <v>0</v>
      </c>
      <c r="I347" s="46">
        <f t="shared" si="1"/>
        <v>0</v>
      </c>
      <c r="J347" s="46">
        <f t="array" ref="J347">IFERROR(INDEX('Sản phẩm'!$G$4:$G$103,MATCH(B347,'Sản phẩm'!$D$4:$D$103,0)),0)</f>
        <v>0</v>
      </c>
      <c r="K347" s="46">
        <f t="array" ref="K347">IFERROR(J347*INDEX('Mẻ sữa'!$N$4:$N$203,MATCH(D347,'Mẻ sữa'!$C$4:$C$203,0)),0)</f>
        <v>0</v>
      </c>
      <c r="L347" s="46">
        <f t="array" ref="L347">IFERROR(INDEX('Sản phẩm'!$I$4:$I$103,MATCH(B347,'Sản phẩm'!$D$4:$D$103,0)),0)</f>
        <v>0</v>
      </c>
      <c r="M347" s="72" t="str">
        <f t="array" ref="M347">IFERROR(INDEX('Sản phẩm'!$J$4:$J$103,MATCH(B347,'Sản phẩm'!$D$4:$D$103,0)),0)</f>
        <v/>
      </c>
      <c r="N347" s="46">
        <f>IF(B347="",0,(K347+L347+M347)*'Thiết lập'!$B$8)</f>
        <v>0</v>
      </c>
      <c r="O347" s="46">
        <f t="shared" si="2"/>
        <v>0</v>
      </c>
      <c r="P347" s="46">
        <f t="shared" si="3"/>
        <v>0</v>
      </c>
      <c r="Q347" s="46">
        <f t="shared" si="4"/>
        <v>0</v>
      </c>
      <c r="R347" s="71" t="str">
        <f t="array" ref="R347">IF(B347="","",INDEX('Bán nhanh'!$C$4:$C$103,INT((ROW()-4)/10)+1))</f>
        <v/>
      </c>
      <c r="S347" s="71" t="str">
        <f t="array" ref="S347">IF(B347="","",INDEX('Bán nhanh'!$P$4:$P$103,INT((ROW()-4)/10)+1))</f>
        <v/>
      </c>
      <c r="T347" s="58"/>
      <c r="U347" s="36"/>
      <c r="V347" s="36"/>
      <c r="W347" s="58"/>
      <c r="X347" s="36"/>
      <c r="Y347" s="36"/>
      <c r="Z347" s="36"/>
    </row>
    <row r="348" ht="15.75" customHeight="1">
      <c r="A348" s="70" t="str">
        <f t="array" ref="A348">IF(B348="","",INDEX('Bán nhanh'!$A$4:$A$103,INT((ROW()-4)/10)+1))</f>
        <v/>
      </c>
      <c r="B348" s="71" t="str">
        <f t="array" ref="B348">IF(OR(INDEX('Bán nhanh'!$D$3:$M$3,1,MOD(ROW()-4,10)+1)="",INDEX('Bán nhanh'!$D$4:$M$103,INT((ROW()-4)/10)+1,MOD(ROW()-4,10)+1)&lt;=0),"",INDEX('Bán nhanh'!$D$3:$M$3,1,MOD(ROW()-4,10)+1))</f>
        <v/>
      </c>
      <c r="C348" s="58" t="str">
        <f t="array" ref="C348">IFERROR(INDEX('Sản phẩm'!$A$4:$A$103,MATCH(B348,'Sản phẩm'!$D$4:$D$103,0)),"")</f>
        <v/>
      </c>
      <c r="D348" s="71" t="str">
        <f t="array" ref="D348">IF(B348="","",INDEX('Bán nhanh'!$B$4:$B$103,INT((ROW()-4)/10)+1))</f>
        <v/>
      </c>
      <c r="E348" s="58" t="str">
        <f t="array" ref="E348">IFERROR(INDEX('Mẻ sữa'!$B$4:$B$203,MATCH(D348,'Mẻ sữa'!$C$4:$C$203,0)),"")</f>
        <v/>
      </c>
      <c r="F348" s="66">
        <f t="array" ref="F348">IF(B348="",0,INDEX('Bán nhanh'!$D$4:$M$103,INT((ROW()-4)/10)+1,MOD(ROW()-4,10)+1))</f>
        <v>0</v>
      </c>
      <c r="G348" s="46">
        <f t="array" ref="G348">IFERROR(INDEX('Sản phẩm'!$F$4:$F$103,MATCH(B348,'Sản phẩm'!$D$4:$D$103,0)),0)</f>
        <v>0</v>
      </c>
      <c r="H348" s="67">
        <f t="shared" si="5"/>
        <v>0</v>
      </c>
      <c r="I348" s="46">
        <f t="shared" si="1"/>
        <v>0</v>
      </c>
      <c r="J348" s="46">
        <f t="array" ref="J348">IFERROR(INDEX('Sản phẩm'!$G$4:$G$103,MATCH(B348,'Sản phẩm'!$D$4:$D$103,0)),0)</f>
        <v>0</v>
      </c>
      <c r="K348" s="46">
        <f t="array" ref="K348">IFERROR(J348*INDEX('Mẻ sữa'!$N$4:$N$203,MATCH(D348,'Mẻ sữa'!$C$4:$C$203,0)),0)</f>
        <v>0</v>
      </c>
      <c r="L348" s="46">
        <f t="array" ref="L348">IFERROR(INDEX('Sản phẩm'!$I$4:$I$103,MATCH(B348,'Sản phẩm'!$D$4:$D$103,0)),0)</f>
        <v>0</v>
      </c>
      <c r="M348" s="72" t="str">
        <f t="array" ref="M348">IFERROR(INDEX('Sản phẩm'!$J$4:$J$103,MATCH(B348,'Sản phẩm'!$D$4:$D$103,0)),0)</f>
        <v/>
      </c>
      <c r="N348" s="46">
        <f>IF(B348="",0,(K348+L348+M348)*'Thiết lập'!$B$8)</f>
        <v>0</v>
      </c>
      <c r="O348" s="46">
        <f t="shared" si="2"/>
        <v>0</v>
      </c>
      <c r="P348" s="46">
        <f t="shared" si="3"/>
        <v>0</v>
      </c>
      <c r="Q348" s="46">
        <f t="shared" si="4"/>
        <v>0</v>
      </c>
      <c r="R348" s="71" t="str">
        <f t="array" ref="R348">IF(B348="","",INDEX('Bán nhanh'!$C$4:$C$103,INT((ROW()-4)/10)+1))</f>
        <v/>
      </c>
      <c r="S348" s="71" t="str">
        <f t="array" ref="S348">IF(B348="","",INDEX('Bán nhanh'!$P$4:$P$103,INT((ROW()-4)/10)+1))</f>
        <v/>
      </c>
      <c r="T348" s="58"/>
      <c r="U348" s="36"/>
      <c r="V348" s="36"/>
      <c r="W348" s="58"/>
      <c r="X348" s="36"/>
      <c r="Y348" s="36"/>
      <c r="Z348" s="36"/>
    </row>
    <row r="349" ht="15.75" customHeight="1">
      <c r="A349" s="70" t="str">
        <f t="array" ref="A349">IF(B349="","",INDEX('Bán nhanh'!$A$4:$A$103,INT((ROW()-4)/10)+1))</f>
        <v/>
      </c>
      <c r="B349" s="71" t="str">
        <f t="array" ref="B349">IF(OR(INDEX('Bán nhanh'!$D$3:$M$3,1,MOD(ROW()-4,10)+1)="",INDEX('Bán nhanh'!$D$4:$M$103,INT((ROW()-4)/10)+1,MOD(ROW()-4,10)+1)&lt;=0),"",INDEX('Bán nhanh'!$D$3:$M$3,1,MOD(ROW()-4,10)+1))</f>
        <v/>
      </c>
      <c r="C349" s="58" t="str">
        <f t="array" ref="C349">IFERROR(INDEX('Sản phẩm'!$A$4:$A$103,MATCH(B349,'Sản phẩm'!$D$4:$D$103,0)),"")</f>
        <v/>
      </c>
      <c r="D349" s="71" t="str">
        <f t="array" ref="D349">IF(B349="","",INDEX('Bán nhanh'!$B$4:$B$103,INT((ROW()-4)/10)+1))</f>
        <v/>
      </c>
      <c r="E349" s="58" t="str">
        <f t="array" ref="E349">IFERROR(INDEX('Mẻ sữa'!$B$4:$B$203,MATCH(D349,'Mẻ sữa'!$C$4:$C$203,0)),"")</f>
        <v/>
      </c>
      <c r="F349" s="66">
        <f t="array" ref="F349">IF(B349="",0,INDEX('Bán nhanh'!$D$4:$M$103,INT((ROW()-4)/10)+1,MOD(ROW()-4,10)+1))</f>
        <v>0</v>
      </c>
      <c r="G349" s="46">
        <f t="array" ref="G349">IFERROR(INDEX('Sản phẩm'!$F$4:$F$103,MATCH(B349,'Sản phẩm'!$D$4:$D$103,0)),0)</f>
        <v>0</v>
      </c>
      <c r="H349" s="67">
        <f t="shared" si="5"/>
        <v>0</v>
      </c>
      <c r="I349" s="46">
        <f t="shared" si="1"/>
        <v>0</v>
      </c>
      <c r="J349" s="46">
        <f t="array" ref="J349">IFERROR(INDEX('Sản phẩm'!$G$4:$G$103,MATCH(B349,'Sản phẩm'!$D$4:$D$103,0)),0)</f>
        <v>0</v>
      </c>
      <c r="K349" s="46">
        <f t="array" ref="K349">IFERROR(J349*INDEX('Mẻ sữa'!$N$4:$N$203,MATCH(D349,'Mẻ sữa'!$C$4:$C$203,0)),0)</f>
        <v>0</v>
      </c>
      <c r="L349" s="46">
        <f t="array" ref="L349">IFERROR(INDEX('Sản phẩm'!$I$4:$I$103,MATCH(B349,'Sản phẩm'!$D$4:$D$103,0)),0)</f>
        <v>0</v>
      </c>
      <c r="M349" s="72" t="str">
        <f t="array" ref="M349">IFERROR(INDEX('Sản phẩm'!$J$4:$J$103,MATCH(B349,'Sản phẩm'!$D$4:$D$103,0)),0)</f>
        <v/>
      </c>
      <c r="N349" s="46">
        <f>IF(B349="",0,(K349+L349+M349)*'Thiết lập'!$B$8)</f>
        <v>0</v>
      </c>
      <c r="O349" s="46">
        <f t="shared" si="2"/>
        <v>0</v>
      </c>
      <c r="P349" s="46">
        <f t="shared" si="3"/>
        <v>0</v>
      </c>
      <c r="Q349" s="46">
        <f t="shared" si="4"/>
        <v>0</v>
      </c>
      <c r="R349" s="71" t="str">
        <f t="array" ref="R349">IF(B349="","",INDEX('Bán nhanh'!$C$4:$C$103,INT((ROW()-4)/10)+1))</f>
        <v/>
      </c>
      <c r="S349" s="71" t="str">
        <f t="array" ref="S349">IF(B349="","",INDEX('Bán nhanh'!$P$4:$P$103,INT((ROW()-4)/10)+1))</f>
        <v/>
      </c>
      <c r="T349" s="58"/>
      <c r="U349" s="36"/>
      <c r="V349" s="36"/>
      <c r="W349" s="58"/>
      <c r="X349" s="36"/>
      <c r="Y349" s="36"/>
      <c r="Z349" s="36"/>
    </row>
    <row r="350" ht="15.75" customHeight="1">
      <c r="A350" s="70" t="str">
        <f t="array" ref="A350">IF(B350="","",INDEX('Bán nhanh'!$A$4:$A$103,INT((ROW()-4)/10)+1))</f>
        <v/>
      </c>
      <c r="B350" s="71" t="str">
        <f t="array" ref="B350">IF(OR(INDEX('Bán nhanh'!$D$3:$M$3,1,MOD(ROW()-4,10)+1)="",INDEX('Bán nhanh'!$D$4:$M$103,INT((ROW()-4)/10)+1,MOD(ROW()-4,10)+1)&lt;=0),"",INDEX('Bán nhanh'!$D$3:$M$3,1,MOD(ROW()-4,10)+1))</f>
        <v/>
      </c>
      <c r="C350" s="58" t="str">
        <f t="array" ref="C350">IFERROR(INDEX('Sản phẩm'!$A$4:$A$103,MATCH(B350,'Sản phẩm'!$D$4:$D$103,0)),"")</f>
        <v/>
      </c>
      <c r="D350" s="71" t="str">
        <f t="array" ref="D350">IF(B350="","",INDEX('Bán nhanh'!$B$4:$B$103,INT((ROW()-4)/10)+1))</f>
        <v/>
      </c>
      <c r="E350" s="58" t="str">
        <f t="array" ref="E350">IFERROR(INDEX('Mẻ sữa'!$B$4:$B$203,MATCH(D350,'Mẻ sữa'!$C$4:$C$203,0)),"")</f>
        <v/>
      </c>
      <c r="F350" s="66">
        <f t="array" ref="F350">IF(B350="",0,INDEX('Bán nhanh'!$D$4:$M$103,INT((ROW()-4)/10)+1,MOD(ROW()-4,10)+1))</f>
        <v>0</v>
      </c>
      <c r="G350" s="46">
        <f t="array" ref="G350">IFERROR(INDEX('Sản phẩm'!$F$4:$F$103,MATCH(B350,'Sản phẩm'!$D$4:$D$103,0)),0)</f>
        <v>0</v>
      </c>
      <c r="H350" s="67">
        <f t="shared" si="5"/>
        <v>0</v>
      </c>
      <c r="I350" s="46">
        <f t="shared" si="1"/>
        <v>0</v>
      </c>
      <c r="J350" s="46">
        <f t="array" ref="J350">IFERROR(INDEX('Sản phẩm'!$G$4:$G$103,MATCH(B350,'Sản phẩm'!$D$4:$D$103,0)),0)</f>
        <v>0</v>
      </c>
      <c r="K350" s="46">
        <f t="array" ref="K350">IFERROR(J350*INDEX('Mẻ sữa'!$N$4:$N$203,MATCH(D350,'Mẻ sữa'!$C$4:$C$203,0)),0)</f>
        <v>0</v>
      </c>
      <c r="L350" s="46">
        <f t="array" ref="L350">IFERROR(INDEX('Sản phẩm'!$I$4:$I$103,MATCH(B350,'Sản phẩm'!$D$4:$D$103,0)),0)</f>
        <v>0</v>
      </c>
      <c r="M350" s="72" t="str">
        <f t="array" ref="M350">IFERROR(INDEX('Sản phẩm'!$J$4:$J$103,MATCH(B350,'Sản phẩm'!$D$4:$D$103,0)),0)</f>
        <v/>
      </c>
      <c r="N350" s="46">
        <f>IF(B350="",0,(K350+L350+M350)*'Thiết lập'!$B$8)</f>
        <v>0</v>
      </c>
      <c r="O350" s="46">
        <f t="shared" si="2"/>
        <v>0</v>
      </c>
      <c r="P350" s="46">
        <f t="shared" si="3"/>
        <v>0</v>
      </c>
      <c r="Q350" s="46">
        <f t="shared" si="4"/>
        <v>0</v>
      </c>
      <c r="R350" s="71" t="str">
        <f t="array" ref="R350">IF(B350="","",INDEX('Bán nhanh'!$C$4:$C$103,INT((ROW()-4)/10)+1))</f>
        <v/>
      </c>
      <c r="S350" s="71" t="str">
        <f t="array" ref="S350">IF(B350="","",INDEX('Bán nhanh'!$P$4:$P$103,INT((ROW()-4)/10)+1))</f>
        <v/>
      </c>
      <c r="T350" s="58"/>
      <c r="U350" s="36"/>
      <c r="V350" s="36"/>
      <c r="W350" s="58"/>
      <c r="X350" s="36"/>
      <c r="Y350" s="36"/>
      <c r="Z350" s="36"/>
    </row>
    <row r="351" ht="15.75" customHeight="1">
      <c r="A351" s="70" t="str">
        <f t="array" ref="A351">IF(B351="","",INDEX('Bán nhanh'!$A$4:$A$103,INT((ROW()-4)/10)+1))</f>
        <v/>
      </c>
      <c r="B351" s="71" t="str">
        <f t="array" ref="B351">IF(OR(INDEX('Bán nhanh'!$D$3:$M$3,1,MOD(ROW()-4,10)+1)="",INDEX('Bán nhanh'!$D$4:$M$103,INT((ROW()-4)/10)+1,MOD(ROW()-4,10)+1)&lt;=0),"",INDEX('Bán nhanh'!$D$3:$M$3,1,MOD(ROW()-4,10)+1))</f>
        <v/>
      </c>
      <c r="C351" s="58" t="str">
        <f t="array" ref="C351">IFERROR(INDEX('Sản phẩm'!$A$4:$A$103,MATCH(B351,'Sản phẩm'!$D$4:$D$103,0)),"")</f>
        <v/>
      </c>
      <c r="D351" s="71" t="str">
        <f t="array" ref="D351">IF(B351="","",INDEX('Bán nhanh'!$B$4:$B$103,INT((ROW()-4)/10)+1))</f>
        <v/>
      </c>
      <c r="E351" s="58" t="str">
        <f t="array" ref="E351">IFERROR(INDEX('Mẻ sữa'!$B$4:$B$203,MATCH(D351,'Mẻ sữa'!$C$4:$C$203,0)),"")</f>
        <v/>
      </c>
      <c r="F351" s="66">
        <f t="array" ref="F351">IF(B351="",0,INDEX('Bán nhanh'!$D$4:$M$103,INT((ROW()-4)/10)+1,MOD(ROW()-4,10)+1))</f>
        <v>0</v>
      </c>
      <c r="G351" s="46">
        <f t="array" ref="G351">IFERROR(INDEX('Sản phẩm'!$F$4:$F$103,MATCH(B351,'Sản phẩm'!$D$4:$D$103,0)),0)</f>
        <v>0</v>
      </c>
      <c r="H351" s="67">
        <f t="shared" si="5"/>
        <v>0</v>
      </c>
      <c r="I351" s="46">
        <f t="shared" si="1"/>
        <v>0</v>
      </c>
      <c r="J351" s="46">
        <f t="array" ref="J351">IFERROR(INDEX('Sản phẩm'!$G$4:$G$103,MATCH(B351,'Sản phẩm'!$D$4:$D$103,0)),0)</f>
        <v>0</v>
      </c>
      <c r="K351" s="46">
        <f t="array" ref="K351">IFERROR(J351*INDEX('Mẻ sữa'!$N$4:$N$203,MATCH(D351,'Mẻ sữa'!$C$4:$C$203,0)),0)</f>
        <v>0</v>
      </c>
      <c r="L351" s="46">
        <f t="array" ref="L351">IFERROR(INDEX('Sản phẩm'!$I$4:$I$103,MATCH(B351,'Sản phẩm'!$D$4:$D$103,0)),0)</f>
        <v>0</v>
      </c>
      <c r="M351" s="72" t="str">
        <f t="array" ref="M351">IFERROR(INDEX('Sản phẩm'!$J$4:$J$103,MATCH(B351,'Sản phẩm'!$D$4:$D$103,0)),0)</f>
        <v/>
      </c>
      <c r="N351" s="46">
        <f>IF(B351="",0,(K351+L351+M351)*'Thiết lập'!$B$8)</f>
        <v>0</v>
      </c>
      <c r="O351" s="46">
        <f t="shared" si="2"/>
        <v>0</v>
      </c>
      <c r="P351" s="46">
        <f t="shared" si="3"/>
        <v>0</v>
      </c>
      <c r="Q351" s="46">
        <f t="shared" si="4"/>
        <v>0</v>
      </c>
      <c r="R351" s="71" t="str">
        <f t="array" ref="R351">IF(B351="","",INDEX('Bán nhanh'!$C$4:$C$103,INT((ROW()-4)/10)+1))</f>
        <v/>
      </c>
      <c r="S351" s="71" t="str">
        <f t="array" ref="S351">IF(B351="","",INDEX('Bán nhanh'!$P$4:$P$103,INT((ROW()-4)/10)+1))</f>
        <v/>
      </c>
      <c r="T351" s="58"/>
      <c r="U351" s="36"/>
      <c r="V351" s="36"/>
      <c r="W351" s="58"/>
      <c r="X351" s="36"/>
      <c r="Y351" s="36"/>
      <c r="Z351" s="36"/>
    </row>
    <row r="352" ht="15.75" customHeight="1">
      <c r="A352" s="70" t="str">
        <f t="array" ref="A352">IF(B352="","",INDEX('Bán nhanh'!$A$4:$A$103,INT((ROW()-4)/10)+1))</f>
        <v/>
      </c>
      <c r="B352" s="71" t="str">
        <f t="array" ref="B352">IF(OR(INDEX('Bán nhanh'!$D$3:$M$3,1,MOD(ROW()-4,10)+1)="",INDEX('Bán nhanh'!$D$4:$M$103,INT((ROW()-4)/10)+1,MOD(ROW()-4,10)+1)&lt;=0),"",INDEX('Bán nhanh'!$D$3:$M$3,1,MOD(ROW()-4,10)+1))</f>
        <v/>
      </c>
      <c r="C352" s="58" t="str">
        <f t="array" ref="C352">IFERROR(INDEX('Sản phẩm'!$A$4:$A$103,MATCH(B352,'Sản phẩm'!$D$4:$D$103,0)),"")</f>
        <v/>
      </c>
      <c r="D352" s="71" t="str">
        <f t="array" ref="D352">IF(B352="","",INDEX('Bán nhanh'!$B$4:$B$103,INT((ROW()-4)/10)+1))</f>
        <v/>
      </c>
      <c r="E352" s="58" t="str">
        <f t="array" ref="E352">IFERROR(INDEX('Mẻ sữa'!$B$4:$B$203,MATCH(D352,'Mẻ sữa'!$C$4:$C$203,0)),"")</f>
        <v/>
      </c>
      <c r="F352" s="66">
        <f t="array" ref="F352">IF(B352="",0,INDEX('Bán nhanh'!$D$4:$M$103,INT((ROW()-4)/10)+1,MOD(ROW()-4,10)+1))</f>
        <v>0</v>
      </c>
      <c r="G352" s="46">
        <f t="array" ref="G352">IFERROR(INDEX('Sản phẩm'!$F$4:$F$103,MATCH(B352,'Sản phẩm'!$D$4:$D$103,0)),0)</f>
        <v>0</v>
      </c>
      <c r="H352" s="67">
        <f t="shared" si="5"/>
        <v>0</v>
      </c>
      <c r="I352" s="46">
        <f t="shared" si="1"/>
        <v>0</v>
      </c>
      <c r="J352" s="46">
        <f t="array" ref="J352">IFERROR(INDEX('Sản phẩm'!$G$4:$G$103,MATCH(B352,'Sản phẩm'!$D$4:$D$103,0)),0)</f>
        <v>0</v>
      </c>
      <c r="K352" s="46">
        <f t="array" ref="K352">IFERROR(J352*INDEX('Mẻ sữa'!$N$4:$N$203,MATCH(D352,'Mẻ sữa'!$C$4:$C$203,0)),0)</f>
        <v>0</v>
      </c>
      <c r="L352" s="46">
        <f t="array" ref="L352">IFERROR(INDEX('Sản phẩm'!$I$4:$I$103,MATCH(B352,'Sản phẩm'!$D$4:$D$103,0)),0)</f>
        <v>0</v>
      </c>
      <c r="M352" s="72" t="str">
        <f t="array" ref="M352">IFERROR(INDEX('Sản phẩm'!$J$4:$J$103,MATCH(B352,'Sản phẩm'!$D$4:$D$103,0)),0)</f>
        <v/>
      </c>
      <c r="N352" s="46">
        <f>IF(B352="",0,(K352+L352+M352)*'Thiết lập'!$B$8)</f>
        <v>0</v>
      </c>
      <c r="O352" s="46">
        <f t="shared" si="2"/>
        <v>0</v>
      </c>
      <c r="P352" s="46">
        <f t="shared" si="3"/>
        <v>0</v>
      </c>
      <c r="Q352" s="46">
        <f t="shared" si="4"/>
        <v>0</v>
      </c>
      <c r="R352" s="71" t="str">
        <f t="array" ref="R352">IF(B352="","",INDEX('Bán nhanh'!$C$4:$C$103,INT((ROW()-4)/10)+1))</f>
        <v/>
      </c>
      <c r="S352" s="71" t="str">
        <f t="array" ref="S352">IF(B352="","",INDEX('Bán nhanh'!$P$4:$P$103,INT((ROW()-4)/10)+1))</f>
        <v/>
      </c>
      <c r="T352" s="58"/>
      <c r="U352" s="36"/>
      <c r="V352" s="36"/>
      <c r="W352" s="58"/>
      <c r="X352" s="36"/>
      <c r="Y352" s="36"/>
      <c r="Z352" s="36"/>
    </row>
    <row r="353" ht="15.75" customHeight="1">
      <c r="A353" s="70" t="str">
        <f t="array" ref="A353">IF(B353="","",INDEX('Bán nhanh'!$A$4:$A$103,INT((ROW()-4)/10)+1))</f>
        <v/>
      </c>
      <c r="B353" s="71" t="str">
        <f t="array" ref="B353">IF(OR(INDEX('Bán nhanh'!$D$3:$M$3,1,MOD(ROW()-4,10)+1)="",INDEX('Bán nhanh'!$D$4:$M$103,INT((ROW()-4)/10)+1,MOD(ROW()-4,10)+1)&lt;=0),"",INDEX('Bán nhanh'!$D$3:$M$3,1,MOD(ROW()-4,10)+1))</f>
        <v/>
      </c>
      <c r="C353" s="58" t="str">
        <f t="array" ref="C353">IFERROR(INDEX('Sản phẩm'!$A$4:$A$103,MATCH(B353,'Sản phẩm'!$D$4:$D$103,0)),"")</f>
        <v/>
      </c>
      <c r="D353" s="71" t="str">
        <f t="array" ref="D353">IF(B353="","",INDEX('Bán nhanh'!$B$4:$B$103,INT((ROW()-4)/10)+1))</f>
        <v/>
      </c>
      <c r="E353" s="58" t="str">
        <f t="array" ref="E353">IFERROR(INDEX('Mẻ sữa'!$B$4:$B$203,MATCH(D353,'Mẻ sữa'!$C$4:$C$203,0)),"")</f>
        <v/>
      </c>
      <c r="F353" s="66">
        <f t="array" ref="F353">IF(B353="",0,INDEX('Bán nhanh'!$D$4:$M$103,INT((ROW()-4)/10)+1,MOD(ROW()-4,10)+1))</f>
        <v>0</v>
      </c>
      <c r="G353" s="46">
        <f t="array" ref="G353">IFERROR(INDEX('Sản phẩm'!$F$4:$F$103,MATCH(B353,'Sản phẩm'!$D$4:$D$103,0)),0)</f>
        <v>0</v>
      </c>
      <c r="H353" s="67">
        <f t="shared" si="5"/>
        <v>0</v>
      </c>
      <c r="I353" s="46">
        <f t="shared" si="1"/>
        <v>0</v>
      </c>
      <c r="J353" s="46">
        <f t="array" ref="J353">IFERROR(INDEX('Sản phẩm'!$G$4:$G$103,MATCH(B353,'Sản phẩm'!$D$4:$D$103,0)),0)</f>
        <v>0</v>
      </c>
      <c r="K353" s="46">
        <f t="array" ref="K353">IFERROR(J353*INDEX('Mẻ sữa'!$N$4:$N$203,MATCH(D353,'Mẻ sữa'!$C$4:$C$203,0)),0)</f>
        <v>0</v>
      </c>
      <c r="L353" s="46">
        <f t="array" ref="L353">IFERROR(INDEX('Sản phẩm'!$I$4:$I$103,MATCH(B353,'Sản phẩm'!$D$4:$D$103,0)),0)</f>
        <v>0</v>
      </c>
      <c r="M353" s="72" t="str">
        <f t="array" ref="M353">IFERROR(INDEX('Sản phẩm'!$J$4:$J$103,MATCH(B353,'Sản phẩm'!$D$4:$D$103,0)),0)</f>
        <v/>
      </c>
      <c r="N353" s="46">
        <f>IF(B353="",0,(K353+L353+M353)*'Thiết lập'!$B$8)</f>
        <v>0</v>
      </c>
      <c r="O353" s="46">
        <f t="shared" si="2"/>
        <v>0</v>
      </c>
      <c r="P353" s="46">
        <f t="shared" si="3"/>
        <v>0</v>
      </c>
      <c r="Q353" s="46">
        <f t="shared" si="4"/>
        <v>0</v>
      </c>
      <c r="R353" s="71" t="str">
        <f t="array" ref="R353">IF(B353="","",INDEX('Bán nhanh'!$C$4:$C$103,INT((ROW()-4)/10)+1))</f>
        <v/>
      </c>
      <c r="S353" s="71" t="str">
        <f t="array" ref="S353">IF(B353="","",INDEX('Bán nhanh'!$P$4:$P$103,INT((ROW()-4)/10)+1))</f>
        <v/>
      </c>
      <c r="T353" s="58"/>
      <c r="U353" s="36"/>
      <c r="V353" s="36"/>
      <c r="W353" s="58"/>
      <c r="X353" s="36"/>
      <c r="Y353" s="36"/>
      <c r="Z353" s="36"/>
    </row>
    <row r="354" ht="15.75" customHeight="1">
      <c r="A354" s="70" t="str">
        <f t="array" ref="A354">IF(B354="","",INDEX('Bán nhanh'!$A$4:$A$103,INT((ROW()-4)/10)+1))</f>
        <v/>
      </c>
      <c r="B354" s="71" t="str">
        <f t="array" ref="B354">IF(OR(INDEX('Bán nhanh'!$D$3:$M$3,1,MOD(ROW()-4,10)+1)="",INDEX('Bán nhanh'!$D$4:$M$103,INT((ROW()-4)/10)+1,MOD(ROW()-4,10)+1)&lt;=0),"",INDEX('Bán nhanh'!$D$3:$M$3,1,MOD(ROW()-4,10)+1))</f>
        <v/>
      </c>
      <c r="C354" s="58" t="str">
        <f t="array" ref="C354">IFERROR(INDEX('Sản phẩm'!$A$4:$A$103,MATCH(B354,'Sản phẩm'!$D$4:$D$103,0)),"")</f>
        <v/>
      </c>
      <c r="D354" s="71" t="str">
        <f t="array" ref="D354">IF(B354="","",INDEX('Bán nhanh'!$B$4:$B$103,INT((ROW()-4)/10)+1))</f>
        <v/>
      </c>
      <c r="E354" s="58" t="str">
        <f t="array" ref="E354">IFERROR(INDEX('Mẻ sữa'!$B$4:$B$203,MATCH(D354,'Mẻ sữa'!$C$4:$C$203,0)),"")</f>
        <v/>
      </c>
      <c r="F354" s="66">
        <f t="array" ref="F354">IF(B354="",0,INDEX('Bán nhanh'!$D$4:$M$103,INT((ROW()-4)/10)+1,MOD(ROW()-4,10)+1))</f>
        <v>0</v>
      </c>
      <c r="G354" s="46">
        <f t="array" ref="G354">IFERROR(INDEX('Sản phẩm'!$F$4:$F$103,MATCH(B354,'Sản phẩm'!$D$4:$D$103,0)),0)</f>
        <v>0</v>
      </c>
      <c r="H354" s="67">
        <f t="shared" si="5"/>
        <v>0</v>
      </c>
      <c r="I354" s="46">
        <f t="shared" si="1"/>
        <v>0</v>
      </c>
      <c r="J354" s="46">
        <f t="array" ref="J354">IFERROR(INDEX('Sản phẩm'!$G$4:$G$103,MATCH(B354,'Sản phẩm'!$D$4:$D$103,0)),0)</f>
        <v>0</v>
      </c>
      <c r="K354" s="46">
        <f t="array" ref="K354">IFERROR(J354*INDEX('Mẻ sữa'!$N$4:$N$203,MATCH(D354,'Mẻ sữa'!$C$4:$C$203,0)),0)</f>
        <v>0</v>
      </c>
      <c r="L354" s="46">
        <f t="array" ref="L354">IFERROR(INDEX('Sản phẩm'!$I$4:$I$103,MATCH(B354,'Sản phẩm'!$D$4:$D$103,0)),0)</f>
        <v>0</v>
      </c>
      <c r="M354" s="72" t="str">
        <f t="array" ref="M354">IFERROR(INDEX('Sản phẩm'!$J$4:$J$103,MATCH(B354,'Sản phẩm'!$D$4:$D$103,0)),0)</f>
        <v/>
      </c>
      <c r="N354" s="46">
        <f>IF(B354="",0,(K354+L354+M354)*'Thiết lập'!$B$8)</f>
        <v>0</v>
      </c>
      <c r="O354" s="46">
        <f t="shared" si="2"/>
        <v>0</v>
      </c>
      <c r="P354" s="46">
        <f t="shared" si="3"/>
        <v>0</v>
      </c>
      <c r="Q354" s="46">
        <f t="shared" si="4"/>
        <v>0</v>
      </c>
      <c r="R354" s="71" t="str">
        <f t="array" ref="R354">IF(B354="","",INDEX('Bán nhanh'!$C$4:$C$103,INT((ROW()-4)/10)+1))</f>
        <v/>
      </c>
      <c r="S354" s="71" t="str">
        <f t="array" ref="S354">IF(B354="","",INDEX('Bán nhanh'!$P$4:$P$103,INT((ROW()-4)/10)+1))</f>
        <v/>
      </c>
      <c r="T354" s="58"/>
      <c r="U354" s="36"/>
      <c r="V354" s="36"/>
      <c r="W354" s="58"/>
      <c r="X354" s="36"/>
      <c r="Y354" s="36"/>
      <c r="Z354" s="36"/>
    </row>
    <row r="355" ht="15.75" customHeight="1">
      <c r="A355" s="70" t="str">
        <f t="array" ref="A355">IF(B355="","",INDEX('Bán nhanh'!$A$4:$A$103,INT((ROW()-4)/10)+1))</f>
        <v/>
      </c>
      <c r="B355" s="71" t="str">
        <f t="array" ref="B355">IF(OR(INDEX('Bán nhanh'!$D$3:$M$3,1,MOD(ROW()-4,10)+1)="",INDEX('Bán nhanh'!$D$4:$M$103,INT((ROW()-4)/10)+1,MOD(ROW()-4,10)+1)&lt;=0),"",INDEX('Bán nhanh'!$D$3:$M$3,1,MOD(ROW()-4,10)+1))</f>
        <v/>
      </c>
      <c r="C355" s="58" t="str">
        <f t="array" ref="C355">IFERROR(INDEX('Sản phẩm'!$A$4:$A$103,MATCH(B355,'Sản phẩm'!$D$4:$D$103,0)),"")</f>
        <v/>
      </c>
      <c r="D355" s="71" t="str">
        <f t="array" ref="D355">IF(B355="","",INDEX('Bán nhanh'!$B$4:$B$103,INT((ROW()-4)/10)+1))</f>
        <v/>
      </c>
      <c r="E355" s="58" t="str">
        <f t="array" ref="E355">IFERROR(INDEX('Mẻ sữa'!$B$4:$B$203,MATCH(D355,'Mẻ sữa'!$C$4:$C$203,0)),"")</f>
        <v/>
      </c>
      <c r="F355" s="66">
        <f t="array" ref="F355">IF(B355="",0,INDEX('Bán nhanh'!$D$4:$M$103,INT((ROW()-4)/10)+1,MOD(ROW()-4,10)+1))</f>
        <v>0</v>
      </c>
      <c r="G355" s="46">
        <f t="array" ref="G355">IFERROR(INDEX('Sản phẩm'!$F$4:$F$103,MATCH(B355,'Sản phẩm'!$D$4:$D$103,0)),0)</f>
        <v>0</v>
      </c>
      <c r="H355" s="67">
        <f t="shared" si="5"/>
        <v>0</v>
      </c>
      <c r="I355" s="46">
        <f t="shared" si="1"/>
        <v>0</v>
      </c>
      <c r="J355" s="46">
        <f t="array" ref="J355">IFERROR(INDEX('Sản phẩm'!$G$4:$G$103,MATCH(B355,'Sản phẩm'!$D$4:$D$103,0)),0)</f>
        <v>0</v>
      </c>
      <c r="K355" s="46">
        <f t="array" ref="K355">IFERROR(J355*INDEX('Mẻ sữa'!$N$4:$N$203,MATCH(D355,'Mẻ sữa'!$C$4:$C$203,0)),0)</f>
        <v>0</v>
      </c>
      <c r="L355" s="46">
        <f t="array" ref="L355">IFERROR(INDEX('Sản phẩm'!$I$4:$I$103,MATCH(B355,'Sản phẩm'!$D$4:$D$103,0)),0)</f>
        <v>0</v>
      </c>
      <c r="M355" s="72" t="str">
        <f t="array" ref="M355">IFERROR(INDEX('Sản phẩm'!$J$4:$J$103,MATCH(B355,'Sản phẩm'!$D$4:$D$103,0)),0)</f>
        <v/>
      </c>
      <c r="N355" s="46">
        <f>IF(B355="",0,(K355+L355+M355)*'Thiết lập'!$B$8)</f>
        <v>0</v>
      </c>
      <c r="O355" s="46">
        <f t="shared" si="2"/>
        <v>0</v>
      </c>
      <c r="P355" s="46">
        <f t="shared" si="3"/>
        <v>0</v>
      </c>
      <c r="Q355" s="46">
        <f t="shared" si="4"/>
        <v>0</v>
      </c>
      <c r="R355" s="71" t="str">
        <f t="array" ref="R355">IF(B355="","",INDEX('Bán nhanh'!$C$4:$C$103,INT((ROW()-4)/10)+1))</f>
        <v/>
      </c>
      <c r="S355" s="71" t="str">
        <f t="array" ref="S355">IF(B355="","",INDEX('Bán nhanh'!$P$4:$P$103,INT((ROW()-4)/10)+1))</f>
        <v/>
      </c>
      <c r="T355" s="58"/>
      <c r="U355" s="36"/>
      <c r="V355" s="36"/>
      <c r="W355" s="58"/>
      <c r="X355" s="36"/>
      <c r="Y355" s="36"/>
      <c r="Z355" s="36"/>
    </row>
    <row r="356" ht="15.75" customHeight="1">
      <c r="A356" s="70" t="str">
        <f t="array" ref="A356">IF(B356="","",INDEX('Bán nhanh'!$A$4:$A$103,INT((ROW()-4)/10)+1))</f>
        <v/>
      </c>
      <c r="B356" s="71" t="str">
        <f t="array" ref="B356">IF(OR(INDEX('Bán nhanh'!$D$3:$M$3,1,MOD(ROW()-4,10)+1)="",INDEX('Bán nhanh'!$D$4:$M$103,INT((ROW()-4)/10)+1,MOD(ROW()-4,10)+1)&lt;=0),"",INDEX('Bán nhanh'!$D$3:$M$3,1,MOD(ROW()-4,10)+1))</f>
        <v/>
      </c>
      <c r="C356" s="58" t="str">
        <f t="array" ref="C356">IFERROR(INDEX('Sản phẩm'!$A$4:$A$103,MATCH(B356,'Sản phẩm'!$D$4:$D$103,0)),"")</f>
        <v/>
      </c>
      <c r="D356" s="71" t="str">
        <f t="array" ref="D356">IF(B356="","",INDEX('Bán nhanh'!$B$4:$B$103,INT((ROW()-4)/10)+1))</f>
        <v/>
      </c>
      <c r="E356" s="58" t="str">
        <f t="array" ref="E356">IFERROR(INDEX('Mẻ sữa'!$B$4:$B$203,MATCH(D356,'Mẻ sữa'!$C$4:$C$203,0)),"")</f>
        <v/>
      </c>
      <c r="F356" s="66">
        <f t="array" ref="F356">IF(B356="",0,INDEX('Bán nhanh'!$D$4:$M$103,INT((ROW()-4)/10)+1,MOD(ROW()-4,10)+1))</f>
        <v>0</v>
      </c>
      <c r="G356" s="46">
        <f t="array" ref="G356">IFERROR(INDEX('Sản phẩm'!$F$4:$F$103,MATCH(B356,'Sản phẩm'!$D$4:$D$103,0)),0)</f>
        <v>0</v>
      </c>
      <c r="H356" s="67">
        <f t="shared" si="5"/>
        <v>0</v>
      </c>
      <c r="I356" s="46">
        <f t="shared" si="1"/>
        <v>0</v>
      </c>
      <c r="J356" s="46">
        <f t="array" ref="J356">IFERROR(INDEX('Sản phẩm'!$G$4:$G$103,MATCH(B356,'Sản phẩm'!$D$4:$D$103,0)),0)</f>
        <v>0</v>
      </c>
      <c r="K356" s="46">
        <f t="array" ref="K356">IFERROR(J356*INDEX('Mẻ sữa'!$N$4:$N$203,MATCH(D356,'Mẻ sữa'!$C$4:$C$203,0)),0)</f>
        <v>0</v>
      </c>
      <c r="L356" s="46">
        <f t="array" ref="L356">IFERROR(INDEX('Sản phẩm'!$I$4:$I$103,MATCH(B356,'Sản phẩm'!$D$4:$D$103,0)),0)</f>
        <v>0</v>
      </c>
      <c r="M356" s="72" t="str">
        <f t="array" ref="M356">IFERROR(INDEX('Sản phẩm'!$J$4:$J$103,MATCH(B356,'Sản phẩm'!$D$4:$D$103,0)),0)</f>
        <v/>
      </c>
      <c r="N356" s="46">
        <f>IF(B356="",0,(K356+L356+M356)*'Thiết lập'!$B$8)</f>
        <v>0</v>
      </c>
      <c r="O356" s="46">
        <f t="shared" si="2"/>
        <v>0</v>
      </c>
      <c r="P356" s="46">
        <f t="shared" si="3"/>
        <v>0</v>
      </c>
      <c r="Q356" s="46">
        <f t="shared" si="4"/>
        <v>0</v>
      </c>
      <c r="R356" s="71" t="str">
        <f t="array" ref="R356">IF(B356="","",INDEX('Bán nhanh'!$C$4:$C$103,INT((ROW()-4)/10)+1))</f>
        <v/>
      </c>
      <c r="S356" s="71" t="str">
        <f t="array" ref="S356">IF(B356="","",INDEX('Bán nhanh'!$P$4:$P$103,INT((ROW()-4)/10)+1))</f>
        <v/>
      </c>
      <c r="T356" s="58"/>
      <c r="U356" s="36"/>
      <c r="V356" s="36"/>
      <c r="W356" s="58"/>
      <c r="X356" s="36"/>
      <c r="Y356" s="36"/>
      <c r="Z356" s="36"/>
    </row>
    <row r="357" ht="15.75" customHeight="1">
      <c r="A357" s="70" t="str">
        <f t="array" ref="A357">IF(B357="","",INDEX('Bán nhanh'!$A$4:$A$103,INT((ROW()-4)/10)+1))</f>
        <v/>
      </c>
      <c r="B357" s="71" t="str">
        <f t="array" ref="B357">IF(OR(INDEX('Bán nhanh'!$D$3:$M$3,1,MOD(ROW()-4,10)+1)="",INDEX('Bán nhanh'!$D$4:$M$103,INT((ROW()-4)/10)+1,MOD(ROW()-4,10)+1)&lt;=0),"",INDEX('Bán nhanh'!$D$3:$M$3,1,MOD(ROW()-4,10)+1))</f>
        <v/>
      </c>
      <c r="C357" s="58" t="str">
        <f t="array" ref="C357">IFERROR(INDEX('Sản phẩm'!$A$4:$A$103,MATCH(B357,'Sản phẩm'!$D$4:$D$103,0)),"")</f>
        <v/>
      </c>
      <c r="D357" s="71" t="str">
        <f t="array" ref="D357">IF(B357="","",INDEX('Bán nhanh'!$B$4:$B$103,INT((ROW()-4)/10)+1))</f>
        <v/>
      </c>
      <c r="E357" s="58" t="str">
        <f t="array" ref="E357">IFERROR(INDEX('Mẻ sữa'!$B$4:$B$203,MATCH(D357,'Mẻ sữa'!$C$4:$C$203,0)),"")</f>
        <v/>
      </c>
      <c r="F357" s="66">
        <f t="array" ref="F357">IF(B357="",0,INDEX('Bán nhanh'!$D$4:$M$103,INT((ROW()-4)/10)+1,MOD(ROW()-4,10)+1))</f>
        <v>0</v>
      </c>
      <c r="G357" s="46">
        <f t="array" ref="G357">IFERROR(INDEX('Sản phẩm'!$F$4:$F$103,MATCH(B357,'Sản phẩm'!$D$4:$D$103,0)),0)</f>
        <v>0</v>
      </c>
      <c r="H357" s="67">
        <f t="shared" si="5"/>
        <v>0</v>
      </c>
      <c r="I357" s="46">
        <f t="shared" si="1"/>
        <v>0</v>
      </c>
      <c r="J357" s="46">
        <f t="array" ref="J357">IFERROR(INDEX('Sản phẩm'!$G$4:$G$103,MATCH(B357,'Sản phẩm'!$D$4:$D$103,0)),0)</f>
        <v>0</v>
      </c>
      <c r="K357" s="46">
        <f t="array" ref="K357">IFERROR(J357*INDEX('Mẻ sữa'!$N$4:$N$203,MATCH(D357,'Mẻ sữa'!$C$4:$C$203,0)),0)</f>
        <v>0</v>
      </c>
      <c r="L357" s="46">
        <f t="array" ref="L357">IFERROR(INDEX('Sản phẩm'!$I$4:$I$103,MATCH(B357,'Sản phẩm'!$D$4:$D$103,0)),0)</f>
        <v>0</v>
      </c>
      <c r="M357" s="72" t="str">
        <f t="array" ref="M357">IFERROR(INDEX('Sản phẩm'!$J$4:$J$103,MATCH(B357,'Sản phẩm'!$D$4:$D$103,0)),0)</f>
        <v/>
      </c>
      <c r="N357" s="46">
        <f>IF(B357="",0,(K357+L357+M357)*'Thiết lập'!$B$8)</f>
        <v>0</v>
      </c>
      <c r="O357" s="46">
        <f t="shared" si="2"/>
        <v>0</v>
      </c>
      <c r="P357" s="46">
        <f t="shared" si="3"/>
        <v>0</v>
      </c>
      <c r="Q357" s="46">
        <f t="shared" si="4"/>
        <v>0</v>
      </c>
      <c r="R357" s="71" t="str">
        <f t="array" ref="R357">IF(B357="","",INDEX('Bán nhanh'!$C$4:$C$103,INT((ROW()-4)/10)+1))</f>
        <v/>
      </c>
      <c r="S357" s="71" t="str">
        <f t="array" ref="S357">IF(B357="","",INDEX('Bán nhanh'!$P$4:$P$103,INT((ROW()-4)/10)+1))</f>
        <v/>
      </c>
      <c r="T357" s="58"/>
      <c r="U357" s="36"/>
      <c r="V357" s="36"/>
      <c r="W357" s="58"/>
      <c r="X357" s="36"/>
      <c r="Y357" s="36"/>
      <c r="Z357" s="36"/>
    </row>
    <row r="358" ht="15.75" customHeight="1">
      <c r="A358" s="70" t="str">
        <f t="array" ref="A358">IF(B358="","",INDEX('Bán nhanh'!$A$4:$A$103,INT((ROW()-4)/10)+1))</f>
        <v/>
      </c>
      <c r="B358" s="71" t="str">
        <f t="array" ref="B358">IF(OR(INDEX('Bán nhanh'!$D$3:$M$3,1,MOD(ROW()-4,10)+1)="",INDEX('Bán nhanh'!$D$4:$M$103,INT((ROW()-4)/10)+1,MOD(ROW()-4,10)+1)&lt;=0),"",INDEX('Bán nhanh'!$D$3:$M$3,1,MOD(ROW()-4,10)+1))</f>
        <v/>
      </c>
      <c r="C358" s="58" t="str">
        <f t="array" ref="C358">IFERROR(INDEX('Sản phẩm'!$A$4:$A$103,MATCH(B358,'Sản phẩm'!$D$4:$D$103,0)),"")</f>
        <v/>
      </c>
      <c r="D358" s="71" t="str">
        <f t="array" ref="D358">IF(B358="","",INDEX('Bán nhanh'!$B$4:$B$103,INT((ROW()-4)/10)+1))</f>
        <v/>
      </c>
      <c r="E358" s="58" t="str">
        <f t="array" ref="E358">IFERROR(INDEX('Mẻ sữa'!$B$4:$B$203,MATCH(D358,'Mẻ sữa'!$C$4:$C$203,0)),"")</f>
        <v/>
      </c>
      <c r="F358" s="66">
        <f t="array" ref="F358">IF(B358="",0,INDEX('Bán nhanh'!$D$4:$M$103,INT((ROW()-4)/10)+1,MOD(ROW()-4,10)+1))</f>
        <v>0</v>
      </c>
      <c r="G358" s="46">
        <f t="array" ref="G358">IFERROR(INDEX('Sản phẩm'!$F$4:$F$103,MATCH(B358,'Sản phẩm'!$D$4:$D$103,0)),0)</f>
        <v>0</v>
      </c>
      <c r="H358" s="67">
        <f t="shared" si="5"/>
        <v>0</v>
      </c>
      <c r="I358" s="46">
        <f t="shared" si="1"/>
        <v>0</v>
      </c>
      <c r="J358" s="46">
        <f t="array" ref="J358">IFERROR(INDEX('Sản phẩm'!$G$4:$G$103,MATCH(B358,'Sản phẩm'!$D$4:$D$103,0)),0)</f>
        <v>0</v>
      </c>
      <c r="K358" s="46">
        <f t="array" ref="K358">IFERROR(J358*INDEX('Mẻ sữa'!$N$4:$N$203,MATCH(D358,'Mẻ sữa'!$C$4:$C$203,0)),0)</f>
        <v>0</v>
      </c>
      <c r="L358" s="46">
        <f t="array" ref="L358">IFERROR(INDEX('Sản phẩm'!$I$4:$I$103,MATCH(B358,'Sản phẩm'!$D$4:$D$103,0)),0)</f>
        <v>0</v>
      </c>
      <c r="M358" s="72" t="str">
        <f t="array" ref="M358">IFERROR(INDEX('Sản phẩm'!$J$4:$J$103,MATCH(B358,'Sản phẩm'!$D$4:$D$103,0)),0)</f>
        <v/>
      </c>
      <c r="N358" s="46">
        <f>IF(B358="",0,(K358+L358+M358)*'Thiết lập'!$B$8)</f>
        <v>0</v>
      </c>
      <c r="O358" s="46">
        <f t="shared" si="2"/>
        <v>0</v>
      </c>
      <c r="P358" s="46">
        <f t="shared" si="3"/>
        <v>0</v>
      </c>
      <c r="Q358" s="46">
        <f t="shared" si="4"/>
        <v>0</v>
      </c>
      <c r="R358" s="71" t="str">
        <f t="array" ref="R358">IF(B358="","",INDEX('Bán nhanh'!$C$4:$C$103,INT((ROW()-4)/10)+1))</f>
        <v/>
      </c>
      <c r="S358" s="71" t="str">
        <f t="array" ref="S358">IF(B358="","",INDEX('Bán nhanh'!$P$4:$P$103,INT((ROW()-4)/10)+1))</f>
        <v/>
      </c>
      <c r="T358" s="58"/>
      <c r="U358" s="36"/>
      <c r="V358" s="36"/>
      <c r="W358" s="58"/>
      <c r="X358" s="36"/>
      <c r="Y358" s="36"/>
      <c r="Z358" s="36"/>
    </row>
    <row r="359" ht="15.75" customHeight="1">
      <c r="A359" s="70" t="str">
        <f t="array" ref="A359">IF(B359="","",INDEX('Bán nhanh'!$A$4:$A$103,INT((ROW()-4)/10)+1))</f>
        <v/>
      </c>
      <c r="B359" s="71" t="str">
        <f t="array" ref="B359">IF(OR(INDEX('Bán nhanh'!$D$3:$M$3,1,MOD(ROW()-4,10)+1)="",INDEX('Bán nhanh'!$D$4:$M$103,INT((ROW()-4)/10)+1,MOD(ROW()-4,10)+1)&lt;=0),"",INDEX('Bán nhanh'!$D$3:$M$3,1,MOD(ROW()-4,10)+1))</f>
        <v/>
      </c>
      <c r="C359" s="58" t="str">
        <f t="array" ref="C359">IFERROR(INDEX('Sản phẩm'!$A$4:$A$103,MATCH(B359,'Sản phẩm'!$D$4:$D$103,0)),"")</f>
        <v/>
      </c>
      <c r="D359" s="71" t="str">
        <f t="array" ref="D359">IF(B359="","",INDEX('Bán nhanh'!$B$4:$B$103,INT((ROW()-4)/10)+1))</f>
        <v/>
      </c>
      <c r="E359" s="58" t="str">
        <f t="array" ref="E359">IFERROR(INDEX('Mẻ sữa'!$B$4:$B$203,MATCH(D359,'Mẻ sữa'!$C$4:$C$203,0)),"")</f>
        <v/>
      </c>
      <c r="F359" s="66">
        <f t="array" ref="F359">IF(B359="",0,INDEX('Bán nhanh'!$D$4:$M$103,INT((ROW()-4)/10)+1,MOD(ROW()-4,10)+1))</f>
        <v>0</v>
      </c>
      <c r="G359" s="46">
        <f t="array" ref="G359">IFERROR(INDEX('Sản phẩm'!$F$4:$F$103,MATCH(B359,'Sản phẩm'!$D$4:$D$103,0)),0)</f>
        <v>0</v>
      </c>
      <c r="H359" s="67">
        <f t="shared" si="5"/>
        <v>0</v>
      </c>
      <c r="I359" s="46">
        <f t="shared" si="1"/>
        <v>0</v>
      </c>
      <c r="J359" s="46">
        <f t="array" ref="J359">IFERROR(INDEX('Sản phẩm'!$G$4:$G$103,MATCH(B359,'Sản phẩm'!$D$4:$D$103,0)),0)</f>
        <v>0</v>
      </c>
      <c r="K359" s="46">
        <f t="array" ref="K359">IFERROR(J359*INDEX('Mẻ sữa'!$N$4:$N$203,MATCH(D359,'Mẻ sữa'!$C$4:$C$203,0)),0)</f>
        <v>0</v>
      </c>
      <c r="L359" s="46">
        <f t="array" ref="L359">IFERROR(INDEX('Sản phẩm'!$I$4:$I$103,MATCH(B359,'Sản phẩm'!$D$4:$D$103,0)),0)</f>
        <v>0</v>
      </c>
      <c r="M359" s="72" t="str">
        <f t="array" ref="M359">IFERROR(INDEX('Sản phẩm'!$J$4:$J$103,MATCH(B359,'Sản phẩm'!$D$4:$D$103,0)),0)</f>
        <v/>
      </c>
      <c r="N359" s="46">
        <f>IF(B359="",0,(K359+L359+M359)*'Thiết lập'!$B$8)</f>
        <v>0</v>
      </c>
      <c r="O359" s="46">
        <f t="shared" si="2"/>
        <v>0</v>
      </c>
      <c r="P359" s="46">
        <f t="shared" si="3"/>
        <v>0</v>
      </c>
      <c r="Q359" s="46">
        <f t="shared" si="4"/>
        <v>0</v>
      </c>
      <c r="R359" s="71" t="str">
        <f t="array" ref="R359">IF(B359="","",INDEX('Bán nhanh'!$C$4:$C$103,INT((ROW()-4)/10)+1))</f>
        <v/>
      </c>
      <c r="S359" s="71" t="str">
        <f t="array" ref="S359">IF(B359="","",INDEX('Bán nhanh'!$P$4:$P$103,INT((ROW()-4)/10)+1))</f>
        <v/>
      </c>
      <c r="T359" s="58"/>
      <c r="U359" s="36"/>
      <c r="V359" s="36"/>
      <c r="W359" s="58"/>
      <c r="X359" s="36"/>
      <c r="Y359" s="36"/>
      <c r="Z359" s="36"/>
    </row>
    <row r="360" ht="15.75" customHeight="1">
      <c r="A360" s="70" t="str">
        <f t="array" ref="A360">IF(B360="","",INDEX('Bán nhanh'!$A$4:$A$103,INT((ROW()-4)/10)+1))</f>
        <v/>
      </c>
      <c r="B360" s="71" t="str">
        <f t="array" ref="B360">IF(OR(INDEX('Bán nhanh'!$D$3:$M$3,1,MOD(ROW()-4,10)+1)="",INDEX('Bán nhanh'!$D$4:$M$103,INT((ROW()-4)/10)+1,MOD(ROW()-4,10)+1)&lt;=0),"",INDEX('Bán nhanh'!$D$3:$M$3,1,MOD(ROW()-4,10)+1))</f>
        <v/>
      </c>
      <c r="C360" s="58" t="str">
        <f t="array" ref="C360">IFERROR(INDEX('Sản phẩm'!$A$4:$A$103,MATCH(B360,'Sản phẩm'!$D$4:$D$103,0)),"")</f>
        <v/>
      </c>
      <c r="D360" s="71" t="str">
        <f t="array" ref="D360">IF(B360="","",INDEX('Bán nhanh'!$B$4:$B$103,INT((ROW()-4)/10)+1))</f>
        <v/>
      </c>
      <c r="E360" s="58" t="str">
        <f t="array" ref="E360">IFERROR(INDEX('Mẻ sữa'!$B$4:$B$203,MATCH(D360,'Mẻ sữa'!$C$4:$C$203,0)),"")</f>
        <v/>
      </c>
      <c r="F360" s="66">
        <f t="array" ref="F360">IF(B360="",0,INDEX('Bán nhanh'!$D$4:$M$103,INT((ROW()-4)/10)+1,MOD(ROW()-4,10)+1))</f>
        <v>0</v>
      </c>
      <c r="G360" s="46">
        <f t="array" ref="G360">IFERROR(INDEX('Sản phẩm'!$F$4:$F$103,MATCH(B360,'Sản phẩm'!$D$4:$D$103,0)),0)</f>
        <v>0</v>
      </c>
      <c r="H360" s="67">
        <f t="shared" si="5"/>
        <v>0</v>
      </c>
      <c r="I360" s="46">
        <f t="shared" si="1"/>
        <v>0</v>
      </c>
      <c r="J360" s="46">
        <f t="array" ref="J360">IFERROR(INDEX('Sản phẩm'!$G$4:$G$103,MATCH(B360,'Sản phẩm'!$D$4:$D$103,0)),0)</f>
        <v>0</v>
      </c>
      <c r="K360" s="46">
        <f t="array" ref="K360">IFERROR(J360*INDEX('Mẻ sữa'!$N$4:$N$203,MATCH(D360,'Mẻ sữa'!$C$4:$C$203,0)),0)</f>
        <v>0</v>
      </c>
      <c r="L360" s="46">
        <f t="array" ref="L360">IFERROR(INDEX('Sản phẩm'!$I$4:$I$103,MATCH(B360,'Sản phẩm'!$D$4:$D$103,0)),0)</f>
        <v>0</v>
      </c>
      <c r="M360" s="72" t="str">
        <f t="array" ref="M360">IFERROR(INDEX('Sản phẩm'!$J$4:$J$103,MATCH(B360,'Sản phẩm'!$D$4:$D$103,0)),0)</f>
        <v/>
      </c>
      <c r="N360" s="46">
        <f>IF(B360="",0,(K360+L360+M360)*'Thiết lập'!$B$8)</f>
        <v>0</v>
      </c>
      <c r="O360" s="46">
        <f t="shared" si="2"/>
        <v>0</v>
      </c>
      <c r="P360" s="46">
        <f t="shared" si="3"/>
        <v>0</v>
      </c>
      <c r="Q360" s="46">
        <f t="shared" si="4"/>
        <v>0</v>
      </c>
      <c r="R360" s="71" t="str">
        <f t="array" ref="R360">IF(B360="","",INDEX('Bán nhanh'!$C$4:$C$103,INT((ROW()-4)/10)+1))</f>
        <v/>
      </c>
      <c r="S360" s="71" t="str">
        <f t="array" ref="S360">IF(B360="","",INDEX('Bán nhanh'!$P$4:$P$103,INT((ROW()-4)/10)+1))</f>
        <v/>
      </c>
      <c r="T360" s="58"/>
      <c r="U360" s="36"/>
      <c r="V360" s="36"/>
      <c r="W360" s="58"/>
      <c r="X360" s="36"/>
      <c r="Y360" s="36"/>
      <c r="Z360" s="36"/>
    </row>
    <row r="361" ht="15.75" customHeight="1">
      <c r="A361" s="70" t="str">
        <f t="array" ref="A361">IF(B361="","",INDEX('Bán nhanh'!$A$4:$A$103,INT((ROW()-4)/10)+1))</f>
        <v/>
      </c>
      <c r="B361" s="71" t="str">
        <f t="array" ref="B361">IF(OR(INDEX('Bán nhanh'!$D$3:$M$3,1,MOD(ROW()-4,10)+1)="",INDEX('Bán nhanh'!$D$4:$M$103,INT((ROW()-4)/10)+1,MOD(ROW()-4,10)+1)&lt;=0),"",INDEX('Bán nhanh'!$D$3:$M$3,1,MOD(ROW()-4,10)+1))</f>
        <v/>
      </c>
      <c r="C361" s="58" t="str">
        <f t="array" ref="C361">IFERROR(INDEX('Sản phẩm'!$A$4:$A$103,MATCH(B361,'Sản phẩm'!$D$4:$D$103,0)),"")</f>
        <v/>
      </c>
      <c r="D361" s="71" t="str">
        <f t="array" ref="D361">IF(B361="","",INDEX('Bán nhanh'!$B$4:$B$103,INT((ROW()-4)/10)+1))</f>
        <v/>
      </c>
      <c r="E361" s="58" t="str">
        <f t="array" ref="E361">IFERROR(INDEX('Mẻ sữa'!$B$4:$B$203,MATCH(D361,'Mẻ sữa'!$C$4:$C$203,0)),"")</f>
        <v/>
      </c>
      <c r="F361" s="66">
        <f t="array" ref="F361">IF(B361="",0,INDEX('Bán nhanh'!$D$4:$M$103,INT((ROW()-4)/10)+1,MOD(ROW()-4,10)+1))</f>
        <v>0</v>
      </c>
      <c r="G361" s="46">
        <f t="array" ref="G361">IFERROR(INDEX('Sản phẩm'!$F$4:$F$103,MATCH(B361,'Sản phẩm'!$D$4:$D$103,0)),0)</f>
        <v>0</v>
      </c>
      <c r="H361" s="67">
        <f t="shared" si="5"/>
        <v>0</v>
      </c>
      <c r="I361" s="46">
        <f t="shared" si="1"/>
        <v>0</v>
      </c>
      <c r="J361" s="46">
        <f t="array" ref="J361">IFERROR(INDEX('Sản phẩm'!$G$4:$G$103,MATCH(B361,'Sản phẩm'!$D$4:$D$103,0)),0)</f>
        <v>0</v>
      </c>
      <c r="K361" s="46">
        <f t="array" ref="K361">IFERROR(J361*INDEX('Mẻ sữa'!$N$4:$N$203,MATCH(D361,'Mẻ sữa'!$C$4:$C$203,0)),0)</f>
        <v>0</v>
      </c>
      <c r="L361" s="46">
        <f t="array" ref="L361">IFERROR(INDEX('Sản phẩm'!$I$4:$I$103,MATCH(B361,'Sản phẩm'!$D$4:$D$103,0)),0)</f>
        <v>0</v>
      </c>
      <c r="M361" s="72" t="str">
        <f t="array" ref="M361">IFERROR(INDEX('Sản phẩm'!$J$4:$J$103,MATCH(B361,'Sản phẩm'!$D$4:$D$103,0)),0)</f>
        <v/>
      </c>
      <c r="N361" s="46">
        <f>IF(B361="",0,(K361+L361+M361)*'Thiết lập'!$B$8)</f>
        <v>0</v>
      </c>
      <c r="O361" s="46">
        <f t="shared" si="2"/>
        <v>0</v>
      </c>
      <c r="P361" s="46">
        <f t="shared" si="3"/>
        <v>0</v>
      </c>
      <c r="Q361" s="46">
        <f t="shared" si="4"/>
        <v>0</v>
      </c>
      <c r="R361" s="71" t="str">
        <f t="array" ref="R361">IF(B361="","",INDEX('Bán nhanh'!$C$4:$C$103,INT((ROW()-4)/10)+1))</f>
        <v/>
      </c>
      <c r="S361" s="71" t="str">
        <f t="array" ref="S361">IF(B361="","",INDEX('Bán nhanh'!$P$4:$P$103,INT((ROW()-4)/10)+1))</f>
        <v/>
      </c>
      <c r="T361" s="58"/>
      <c r="U361" s="36"/>
      <c r="V361" s="36"/>
      <c r="W361" s="58"/>
      <c r="X361" s="36"/>
      <c r="Y361" s="36"/>
      <c r="Z361" s="36"/>
    </row>
    <row r="362" ht="15.75" customHeight="1">
      <c r="A362" s="70" t="str">
        <f t="array" ref="A362">IF(B362="","",INDEX('Bán nhanh'!$A$4:$A$103,INT((ROW()-4)/10)+1))</f>
        <v/>
      </c>
      <c r="B362" s="71" t="str">
        <f t="array" ref="B362">IF(OR(INDEX('Bán nhanh'!$D$3:$M$3,1,MOD(ROW()-4,10)+1)="",INDEX('Bán nhanh'!$D$4:$M$103,INT((ROW()-4)/10)+1,MOD(ROW()-4,10)+1)&lt;=0),"",INDEX('Bán nhanh'!$D$3:$M$3,1,MOD(ROW()-4,10)+1))</f>
        <v/>
      </c>
      <c r="C362" s="58" t="str">
        <f t="array" ref="C362">IFERROR(INDEX('Sản phẩm'!$A$4:$A$103,MATCH(B362,'Sản phẩm'!$D$4:$D$103,0)),"")</f>
        <v/>
      </c>
      <c r="D362" s="71" t="str">
        <f t="array" ref="D362">IF(B362="","",INDEX('Bán nhanh'!$B$4:$B$103,INT((ROW()-4)/10)+1))</f>
        <v/>
      </c>
      <c r="E362" s="58" t="str">
        <f t="array" ref="E362">IFERROR(INDEX('Mẻ sữa'!$B$4:$B$203,MATCH(D362,'Mẻ sữa'!$C$4:$C$203,0)),"")</f>
        <v/>
      </c>
      <c r="F362" s="66">
        <f t="array" ref="F362">IF(B362="",0,INDEX('Bán nhanh'!$D$4:$M$103,INT((ROW()-4)/10)+1,MOD(ROW()-4,10)+1))</f>
        <v>0</v>
      </c>
      <c r="G362" s="46">
        <f t="array" ref="G362">IFERROR(INDEX('Sản phẩm'!$F$4:$F$103,MATCH(B362,'Sản phẩm'!$D$4:$D$103,0)),0)</f>
        <v>0</v>
      </c>
      <c r="H362" s="67">
        <f t="shared" si="5"/>
        <v>0</v>
      </c>
      <c r="I362" s="46">
        <f t="shared" si="1"/>
        <v>0</v>
      </c>
      <c r="J362" s="46">
        <f t="array" ref="J362">IFERROR(INDEX('Sản phẩm'!$G$4:$G$103,MATCH(B362,'Sản phẩm'!$D$4:$D$103,0)),0)</f>
        <v>0</v>
      </c>
      <c r="K362" s="46">
        <f t="array" ref="K362">IFERROR(J362*INDEX('Mẻ sữa'!$N$4:$N$203,MATCH(D362,'Mẻ sữa'!$C$4:$C$203,0)),0)</f>
        <v>0</v>
      </c>
      <c r="L362" s="46">
        <f t="array" ref="L362">IFERROR(INDEX('Sản phẩm'!$I$4:$I$103,MATCH(B362,'Sản phẩm'!$D$4:$D$103,0)),0)</f>
        <v>0</v>
      </c>
      <c r="M362" s="72" t="str">
        <f t="array" ref="M362">IFERROR(INDEX('Sản phẩm'!$J$4:$J$103,MATCH(B362,'Sản phẩm'!$D$4:$D$103,0)),0)</f>
        <v/>
      </c>
      <c r="N362" s="46">
        <f>IF(B362="",0,(K362+L362+M362)*'Thiết lập'!$B$8)</f>
        <v>0</v>
      </c>
      <c r="O362" s="46">
        <f t="shared" si="2"/>
        <v>0</v>
      </c>
      <c r="P362" s="46">
        <f t="shared" si="3"/>
        <v>0</v>
      </c>
      <c r="Q362" s="46">
        <f t="shared" si="4"/>
        <v>0</v>
      </c>
      <c r="R362" s="71" t="str">
        <f t="array" ref="R362">IF(B362="","",INDEX('Bán nhanh'!$C$4:$C$103,INT((ROW()-4)/10)+1))</f>
        <v/>
      </c>
      <c r="S362" s="71" t="str">
        <f t="array" ref="S362">IF(B362="","",INDEX('Bán nhanh'!$P$4:$P$103,INT((ROW()-4)/10)+1))</f>
        <v/>
      </c>
      <c r="T362" s="58"/>
      <c r="U362" s="36"/>
      <c r="V362" s="36"/>
      <c r="W362" s="58"/>
      <c r="X362" s="36"/>
      <c r="Y362" s="36"/>
      <c r="Z362" s="36"/>
    </row>
    <row r="363" ht="15.75" customHeight="1">
      <c r="A363" s="70" t="str">
        <f t="array" ref="A363">IF(B363="","",INDEX('Bán nhanh'!$A$4:$A$103,INT((ROW()-4)/10)+1))</f>
        <v/>
      </c>
      <c r="B363" s="71" t="str">
        <f t="array" ref="B363">IF(OR(INDEX('Bán nhanh'!$D$3:$M$3,1,MOD(ROW()-4,10)+1)="",INDEX('Bán nhanh'!$D$4:$M$103,INT((ROW()-4)/10)+1,MOD(ROW()-4,10)+1)&lt;=0),"",INDEX('Bán nhanh'!$D$3:$M$3,1,MOD(ROW()-4,10)+1))</f>
        <v/>
      </c>
      <c r="C363" s="58" t="str">
        <f t="array" ref="C363">IFERROR(INDEX('Sản phẩm'!$A$4:$A$103,MATCH(B363,'Sản phẩm'!$D$4:$D$103,0)),"")</f>
        <v/>
      </c>
      <c r="D363" s="71" t="str">
        <f t="array" ref="D363">IF(B363="","",INDEX('Bán nhanh'!$B$4:$B$103,INT((ROW()-4)/10)+1))</f>
        <v/>
      </c>
      <c r="E363" s="58" t="str">
        <f t="array" ref="E363">IFERROR(INDEX('Mẻ sữa'!$B$4:$B$203,MATCH(D363,'Mẻ sữa'!$C$4:$C$203,0)),"")</f>
        <v/>
      </c>
      <c r="F363" s="66">
        <f t="array" ref="F363">IF(B363="",0,INDEX('Bán nhanh'!$D$4:$M$103,INT((ROW()-4)/10)+1,MOD(ROW()-4,10)+1))</f>
        <v>0</v>
      </c>
      <c r="G363" s="46">
        <f t="array" ref="G363">IFERROR(INDEX('Sản phẩm'!$F$4:$F$103,MATCH(B363,'Sản phẩm'!$D$4:$D$103,0)),0)</f>
        <v>0</v>
      </c>
      <c r="H363" s="67">
        <f t="shared" si="5"/>
        <v>0</v>
      </c>
      <c r="I363" s="46">
        <f t="shared" si="1"/>
        <v>0</v>
      </c>
      <c r="J363" s="46">
        <f t="array" ref="J363">IFERROR(INDEX('Sản phẩm'!$G$4:$G$103,MATCH(B363,'Sản phẩm'!$D$4:$D$103,0)),0)</f>
        <v>0</v>
      </c>
      <c r="K363" s="46">
        <f t="array" ref="K363">IFERROR(J363*INDEX('Mẻ sữa'!$N$4:$N$203,MATCH(D363,'Mẻ sữa'!$C$4:$C$203,0)),0)</f>
        <v>0</v>
      </c>
      <c r="L363" s="46">
        <f t="array" ref="L363">IFERROR(INDEX('Sản phẩm'!$I$4:$I$103,MATCH(B363,'Sản phẩm'!$D$4:$D$103,0)),0)</f>
        <v>0</v>
      </c>
      <c r="M363" s="72" t="str">
        <f t="array" ref="M363">IFERROR(INDEX('Sản phẩm'!$J$4:$J$103,MATCH(B363,'Sản phẩm'!$D$4:$D$103,0)),0)</f>
        <v/>
      </c>
      <c r="N363" s="46">
        <f>IF(B363="",0,(K363+L363+M363)*'Thiết lập'!$B$8)</f>
        <v>0</v>
      </c>
      <c r="O363" s="46">
        <f t="shared" si="2"/>
        <v>0</v>
      </c>
      <c r="P363" s="46">
        <f t="shared" si="3"/>
        <v>0</v>
      </c>
      <c r="Q363" s="46">
        <f t="shared" si="4"/>
        <v>0</v>
      </c>
      <c r="R363" s="71" t="str">
        <f t="array" ref="R363">IF(B363="","",INDEX('Bán nhanh'!$C$4:$C$103,INT((ROW()-4)/10)+1))</f>
        <v/>
      </c>
      <c r="S363" s="71" t="str">
        <f t="array" ref="S363">IF(B363="","",INDEX('Bán nhanh'!$P$4:$P$103,INT((ROW()-4)/10)+1))</f>
        <v/>
      </c>
      <c r="T363" s="58"/>
      <c r="U363" s="36"/>
      <c r="V363" s="36"/>
      <c r="W363" s="58"/>
      <c r="X363" s="36"/>
      <c r="Y363" s="36"/>
      <c r="Z363" s="36"/>
    </row>
    <row r="364" ht="15.75" customHeight="1">
      <c r="A364" s="70" t="str">
        <f t="array" ref="A364">IF(B364="","",INDEX('Bán nhanh'!$A$4:$A$103,INT((ROW()-4)/10)+1))</f>
        <v/>
      </c>
      <c r="B364" s="71" t="str">
        <f t="array" ref="B364">IF(OR(INDEX('Bán nhanh'!$D$3:$M$3,1,MOD(ROW()-4,10)+1)="",INDEX('Bán nhanh'!$D$4:$M$103,INT((ROW()-4)/10)+1,MOD(ROW()-4,10)+1)&lt;=0),"",INDEX('Bán nhanh'!$D$3:$M$3,1,MOD(ROW()-4,10)+1))</f>
        <v/>
      </c>
      <c r="C364" s="58" t="str">
        <f t="array" ref="C364">IFERROR(INDEX('Sản phẩm'!$A$4:$A$103,MATCH(B364,'Sản phẩm'!$D$4:$D$103,0)),"")</f>
        <v/>
      </c>
      <c r="D364" s="71" t="str">
        <f t="array" ref="D364">IF(B364="","",INDEX('Bán nhanh'!$B$4:$B$103,INT((ROW()-4)/10)+1))</f>
        <v/>
      </c>
      <c r="E364" s="58" t="str">
        <f t="array" ref="E364">IFERROR(INDEX('Mẻ sữa'!$B$4:$B$203,MATCH(D364,'Mẻ sữa'!$C$4:$C$203,0)),"")</f>
        <v/>
      </c>
      <c r="F364" s="66">
        <f t="array" ref="F364">IF(B364="",0,INDEX('Bán nhanh'!$D$4:$M$103,INT((ROW()-4)/10)+1,MOD(ROW()-4,10)+1))</f>
        <v>0</v>
      </c>
      <c r="G364" s="46">
        <f t="array" ref="G364">IFERROR(INDEX('Sản phẩm'!$F$4:$F$103,MATCH(B364,'Sản phẩm'!$D$4:$D$103,0)),0)</f>
        <v>0</v>
      </c>
      <c r="H364" s="67">
        <f t="shared" si="5"/>
        <v>0</v>
      </c>
      <c r="I364" s="46">
        <f t="shared" si="1"/>
        <v>0</v>
      </c>
      <c r="J364" s="46">
        <f t="array" ref="J364">IFERROR(INDEX('Sản phẩm'!$G$4:$G$103,MATCH(B364,'Sản phẩm'!$D$4:$D$103,0)),0)</f>
        <v>0</v>
      </c>
      <c r="K364" s="46">
        <f t="array" ref="K364">IFERROR(J364*INDEX('Mẻ sữa'!$N$4:$N$203,MATCH(D364,'Mẻ sữa'!$C$4:$C$203,0)),0)</f>
        <v>0</v>
      </c>
      <c r="L364" s="46">
        <f t="array" ref="L364">IFERROR(INDEX('Sản phẩm'!$I$4:$I$103,MATCH(B364,'Sản phẩm'!$D$4:$D$103,0)),0)</f>
        <v>0</v>
      </c>
      <c r="M364" s="72" t="str">
        <f t="array" ref="M364">IFERROR(INDEX('Sản phẩm'!$J$4:$J$103,MATCH(B364,'Sản phẩm'!$D$4:$D$103,0)),0)</f>
        <v/>
      </c>
      <c r="N364" s="46">
        <f>IF(B364="",0,(K364+L364+M364)*'Thiết lập'!$B$8)</f>
        <v>0</v>
      </c>
      <c r="O364" s="46">
        <f t="shared" si="2"/>
        <v>0</v>
      </c>
      <c r="P364" s="46">
        <f t="shared" si="3"/>
        <v>0</v>
      </c>
      <c r="Q364" s="46">
        <f t="shared" si="4"/>
        <v>0</v>
      </c>
      <c r="R364" s="71" t="str">
        <f t="array" ref="R364">IF(B364="","",INDEX('Bán nhanh'!$C$4:$C$103,INT((ROW()-4)/10)+1))</f>
        <v/>
      </c>
      <c r="S364" s="71" t="str">
        <f t="array" ref="S364">IF(B364="","",INDEX('Bán nhanh'!$P$4:$P$103,INT((ROW()-4)/10)+1))</f>
        <v/>
      </c>
      <c r="T364" s="58"/>
      <c r="U364" s="36"/>
      <c r="V364" s="36"/>
      <c r="W364" s="58"/>
      <c r="X364" s="36"/>
      <c r="Y364" s="36"/>
      <c r="Z364" s="36"/>
    </row>
    <row r="365" ht="15.75" customHeight="1">
      <c r="A365" s="70" t="str">
        <f t="array" ref="A365">IF(B365="","",INDEX('Bán nhanh'!$A$4:$A$103,INT((ROW()-4)/10)+1))</f>
        <v/>
      </c>
      <c r="B365" s="71" t="str">
        <f t="array" ref="B365">IF(OR(INDEX('Bán nhanh'!$D$3:$M$3,1,MOD(ROW()-4,10)+1)="",INDEX('Bán nhanh'!$D$4:$M$103,INT((ROW()-4)/10)+1,MOD(ROW()-4,10)+1)&lt;=0),"",INDEX('Bán nhanh'!$D$3:$M$3,1,MOD(ROW()-4,10)+1))</f>
        <v/>
      </c>
      <c r="C365" s="58" t="str">
        <f t="array" ref="C365">IFERROR(INDEX('Sản phẩm'!$A$4:$A$103,MATCH(B365,'Sản phẩm'!$D$4:$D$103,0)),"")</f>
        <v/>
      </c>
      <c r="D365" s="71" t="str">
        <f t="array" ref="D365">IF(B365="","",INDEX('Bán nhanh'!$B$4:$B$103,INT((ROW()-4)/10)+1))</f>
        <v/>
      </c>
      <c r="E365" s="58" t="str">
        <f t="array" ref="E365">IFERROR(INDEX('Mẻ sữa'!$B$4:$B$203,MATCH(D365,'Mẻ sữa'!$C$4:$C$203,0)),"")</f>
        <v/>
      </c>
      <c r="F365" s="66">
        <f t="array" ref="F365">IF(B365="",0,INDEX('Bán nhanh'!$D$4:$M$103,INT((ROW()-4)/10)+1,MOD(ROW()-4,10)+1))</f>
        <v>0</v>
      </c>
      <c r="G365" s="46">
        <f t="array" ref="G365">IFERROR(INDEX('Sản phẩm'!$F$4:$F$103,MATCH(B365,'Sản phẩm'!$D$4:$D$103,0)),0)</f>
        <v>0</v>
      </c>
      <c r="H365" s="67">
        <f t="shared" si="5"/>
        <v>0</v>
      </c>
      <c r="I365" s="46">
        <f t="shared" si="1"/>
        <v>0</v>
      </c>
      <c r="J365" s="46">
        <f t="array" ref="J365">IFERROR(INDEX('Sản phẩm'!$G$4:$G$103,MATCH(B365,'Sản phẩm'!$D$4:$D$103,0)),0)</f>
        <v>0</v>
      </c>
      <c r="K365" s="46">
        <f t="array" ref="K365">IFERROR(J365*INDEX('Mẻ sữa'!$N$4:$N$203,MATCH(D365,'Mẻ sữa'!$C$4:$C$203,0)),0)</f>
        <v>0</v>
      </c>
      <c r="L365" s="46">
        <f t="array" ref="L365">IFERROR(INDEX('Sản phẩm'!$I$4:$I$103,MATCH(B365,'Sản phẩm'!$D$4:$D$103,0)),0)</f>
        <v>0</v>
      </c>
      <c r="M365" s="72" t="str">
        <f t="array" ref="M365">IFERROR(INDEX('Sản phẩm'!$J$4:$J$103,MATCH(B365,'Sản phẩm'!$D$4:$D$103,0)),0)</f>
        <v/>
      </c>
      <c r="N365" s="46">
        <f>IF(B365="",0,(K365+L365+M365)*'Thiết lập'!$B$8)</f>
        <v>0</v>
      </c>
      <c r="O365" s="46">
        <f t="shared" si="2"/>
        <v>0</v>
      </c>
      <c r="P365" s="46">
        <f t="shared" si="3"/>
        <v>0</v>
      </c>
      <c r="Q365" s="46">
        <f t="shared" si="4"/>
        <v>0</v>
      </c>
      <c r="R365" s="71" t="str">
        <f t="array" ref="R365">IF(B365="","",INDEX('Bán nhanh'!$C$4:$C$103,INT((ROW()-4)/10)+1))</f>
        <v/>
      </c>
      <c r="S365" s="71" t="str">
        <f t="array" ref="S365">IF(B365="","",INDEX('Bán nhanh'!$P$4:$P$103,INT((ROW()-4)/10)+1))</f>
        <v/>
      </c>
      <c r="T365" s="58"/>
      <c r="U365" s="36"/>
      <c r="V365" s="36"/>
      <c r="W365" s="58"/>
      <c r="X365" s="36"/>
      <c r="Y365" s="36"/>
      <c r="Z365" s="36"/>
    </row>
    <row r="366" ht="15.75" customHeight="1">
      <c r="A366" s="70" t="str">
        <f t="array" ref="A366">IF(B366="","",INDEX('Bán nhanh'!$A$4:$A$103,INT((ROW()-4)/10)+1))</f>
        <v/>
      </c>
      <c r="B366" s="71" t="str">
        <f t="array" ref="B366">IF(OR(INDEX('Bán nhanh'!$D$3:$M$3,1,MOD(ROW()-4,10)+1)="",INDEX('Bán nhanh'!$D$4:$M$103,INT((ROW()-4)/10)+1,MOD(ROW()-4,10)+1)&lt;=0),"",INDEX('Bán nhanh'!$D$3:$M$3,1,MOD(ROW()-4,10)+1))</f>
        <v/>
      </c>
      <c r="C366" s="58" t="str">
        <f t="array" ref="C366">IFERROR(INDEX('Sản phẩm'!$A$4:$A$103,MATCH(B366,'Sản phẩm'!$D$4:$D$103,0)),"")</f>
        <v/>
      </c>
      <c r="D366" s="71" t="str">
        <f t="array" ref="D366">IF(B366="","",INDEX('Bán nhanh'!$B$4:$B$103,INT((ROW()-4)/10)+1))</f>
        <v/>
      </c>
      <c r="E366" s="58" t="str">
        <f t="array" ref="E366">IFERROR(INDEX('Mẻ sữa'!$B$4:$B$203,MATCH(D366,'Mẻ sữa'!$C$4:$C$203,0)),"")</f>
        <v/>
      </c>
      <c r="F366" s="66">
        <f t="array" ref="F366">IF(B366="",0,INDEX('Bán nhanh'!$D$4:$M$103,INT((ROW()-4)/10)+1,MOD(ROW()-4,10)+1))</f>
        <v>0</v>
      </c>
      <c r="G366" s="46">
        <f t="array" ref="G366">IFERROR(INDEX('Sản phẩm'!$F$4:$F$103,MATCH(B366,'Sản phẩm'!$D$4:$D$103,0)),0)</f>
        <v>0</v>
      </c>
      <c r="H366" s="67">
        <f t="shared" si="5"/>
        <v>0</v>
      </c>
      <c r="I366" s="46">
        <f t="shared" si="1"/>
        <v>0</v>
      </c>
      <c r="J366" s="46">
        <f t="array" ref="J366">IFERROR(INDEX('Sản phẩm'!$G$4:$G$103,MATCH(B366,'Sản phẩm'!$D$4:$D$103,0)),0)</f>
        <v>0</v>
      </c>
      <c r="K366" s="46">
        <f t="array" ref="K366">IFERROR(J366*INDEX('Mẻ sữa'!$N$4:$N$203,MATCH(D366,'Mẻ sữa'!$C$4:$C$203,0)),0)</f>
        <v>0</v>
      </c>
      <c r="L366" s="46">
        <f t="array" ref="L366">IFERROR(INDEX('Sản phẩm'!$I$4:$I$103,MATCH(B366,'Sản phẩm'!$D$4:$D$103,0)),0)</f>
        <v>0</v>
      </c>
      <c r="M366" s="72" t="str">
        <f t="array" ref="M366">IFERROR(INDEX('Sản phẩm'!$J$4:$J$103,MATCH(B366,'Sản phẩm'!$D$4:$D$103,0)),0)</f>
        <v/>
      </c>
      <c r="N366" s="46">
        <f>IF(B366="",0,(K366+L366+M366)*'Thiết lập'!$B$8)</f>
        <v>0</v>
      </c>
      <c r="O366" s="46">
        <f t="shared" si="2"/>
        <v>0</v>
      </c>
      <c r="P366" s="46">
        <f t="shared" si="3"/>
        <v>0</v>
      </c>
      <c r="Q366" s="46">
        <f t="shared" si="4"/>
        <v>0</v>
      </c>
      <c r="R366" s="71" t="str">
        <f t="array" ref="R366">IF(B366="","",INDEX('Bán nhanh'!$C$4:$C$103,INT((ROW()-4)/10)+1))</f>
        <v/>
      </c>
      <c r="S366" s="71" t="str">
        <f t="array" ref="S366">IF(B366="","",INDEX('Bán nhanh'!$P$4:$P$103,INT((ROW()-4)/10)+1))</f>
        <v/>
      </c>
      <c r="T366" s="58"/>
      <c r="U366" s="36"/>
      <c r="V366" s="36"/>
      <c r="W366" s="58"/>
      <c r="X366" s="36"/>
      <c r="Y366" s="36"/>
      <c r="Z366" s="36"/>
    </row>
    <row r="367" ht="15.75" customHeight="1">
      <c r="A367" s="70" t="str">
        <f t="array" ref="A367">IF(B367="","",INDEX('Bán nhanh'!$A$4:$A$103,INT((ROW()-4)/10)+1))</f>
        <v/>
      </c>
      <c r="B367" s="71" t="str">
        <f t="array" ref="B367">IF(OR(INDEX('Bán nhanh'!$D$3:$M$3,1,MOD(ROW()-4,10)+1)="",INDEX('Bán nhanh'!$D$4:$M$103,INT((ROW()-4)/10)+1,MOD(ROW()-4,10)+1)&lt;=0),"",INDEX('Bán nhanh'!$D$3:$M$3,1,MOD(ROW()-4,10)+1))</f>
        <v/>
      </c>
      <c r="C367" s="58" t="str">
        <f t="array" ref="C367">IFERROR(INDEX('Sản phẩm'!$A$4:$A$103,MATCH(B367,'Sản phẩm'!$D$4:$D$103,0)),"")</f>
        <v/>
      </c>
      <c r="D367" s="71" t="str">
        <f t="array" ref="D367">IF(B367="","",INDEX('Bán nhanh'!$B$4:$B$103,INT((ROW()-4)/10)+1))</f>
        <v/>
      </c>
      <c r="E367" s="58" t="str">
        <f t="array" ref="E367">IFERROR(INDEX('Mẻ sữa'!$B$4:$B$203,MATCH(D367,'Mẻ sữa'!$C$4:$C$203,0)),"")</f>
        <v/>
      </c>
      <c r="F367" s="66">
        <f t="array" ref="F367">IF(B367="",0,INDEX('Bán nhanh'!$D$4:$M$103,INT((ROW()-4)/10)+1,MOD(ROW()-4,10)+1))</f>
        <v>0</v>
      </c>
      <c r="G367" s="46">
        <f t="array" ref="G367">IFERROR(INDEX('Sản phẩm'!$F$4:$F$103,MATCH(B367,'Sản phẩm'!$D$4:$D$103,0)),0)</f>
        <v>0</v>
      </c>
      <c r="H367" s="67">
        <f t="shared" si="5"/>
        <v>0</v>
      </c>
      <c r="I367" s="46">
        <f t="shared" si="1"/>
        <v>0</v>
      </c>
      <c r="J367" s="46">
        <f t="array" ref="J367">IFERROR(INDEX('Sản phẩm'!$G$4:$G$103,MATCH(B367,'Sản phẩm'!$D$4:$D$103,0)),0)</f>
        <v>0</v>
      </c>
      <c r="K367" s="46">
        <f t="array" ref="K367">IFERROR(J367*INDEX('Mẻ sữa'!$N$4:$N$203,MATCH(D367,'Mẻ sữa'!$C$4:$C$203,0)),0)</f>
        <v>0</v>
      </c>
      <c r="L367" s="46">
        <f t="array" ref="L367">IFERROR(INDEX('Sản phẩm'!$I$4:$I$103,MATCH(B367,'Sản phẩm'!$D$4:$D$103,0)),0)</f>
        <v>0</v>
      </c>
      <c r="M367" s="72" t="str">
        <f t="array" ref="M367">IFERROR(INDEX('Sản phẩm'!$J$4:$J$103,MATCH(B367,'Sản phẩm'!$D$4:$D$103,0)),0)</f>
        <v/>
      </c>
      <c r="N367" s="46">
        <f>IF(B367="",0,(K367+L367+M367)*'Thiết lập'!$B$8)</f>
        <v>0</v>
      </c>
      <c r="O367" s="46">
        <f t="shared" si="2"/>
        <v>0</v>
      </c>
      <c r="P367" s="46">
        <f t="shared" si="3"/>
        <v>0</v>
      </c>
      <c r="Q367" s="46">
        <f t="shared" si="4"/>
        <v>0</v>
      </c>
      <c r="R367" s="71" t="str">
        <f t="array" ref="R367">IF(B367="","",INDEX('Bán nhanh'!$C$4:$C$103,INT((ROW()-4)/10)+1))</f>
        <v/>
      </c>
      <c r="S367" s="71" t="str">
        <f t="array" ref="S367">IF(B367="","",INDEX('Bán nhanh'!$P$4:$P$103,INT((ROW()-4)/10)+1))</f>
        <v/>
      </c>
      <c r="T367" s="58"/>
      <c r="U367" s="36"/>
      <c r="V367" s="36"/>
      <c r="W367" s="58"/>
      <c r="X367" s="36"/>
      <c r="Y367" s="36"/>
      <c r="Z367" s="36"/>
    </row>
    <row r="368" ht="15.75" customHeight="1">
      <c r="A368" s="70" t="str">
        <f t="array" ref="A368">IF(B368="","",INDEX('Bán nhanh'!$A$4:$A$103,INT((ROW()-4)/10)+1))</f>
        <v/>
      </c>
      <c r="B368" s="71" t="str">
        <f t="array" ref="B368">IF(OR(INDEX('Bán nhanh'!$D$3:$M$3,1,MOD(ROW()-4,10)+1)="",INDEX('Bán nhanh'!$D$4:$M$103,INT((ROW()-4)/10)+1,MOD(ROW()-4,10)+1)&lt;=0),"",INDEX('Bán nhanh'!$D$3:$M$3,1,MOD(ROW()-4,10)+1))</f>
        <v/>
      </c>
      <c r="C368" s="58" t="str">
        <f t="array" ref="C368">IFERROR(INDEX('Sản phẩm'!$A$4:$A$103,MATCH(B368,'Sản phẩm'!$D$4:$D$103,0)),"")</f>
        <v/>
      </c>
      <c r="D368" s="71" t="str">
        <f t="array" ref="D368">IF(B368="","",INDEX('Bán nhanh'!$B$4:$B$103,INT((ROW()-4)/10)+1))</f>
        <v/>
      </c>
      <c r="E368" s="58" t="str">
        <f t="array" ref="E368">IFERROR(INDEX('Mẻ sữa'!$B$4:$B$203,MATCH(D368,'Mẻ sữa'!$C$4:$C$203,0)),"")</f>
        <v/>
      </c>
      <c r="F368" s="66">
        <f t="array" ref="F368">IF(B368="",0,INDEX('Bán nhanh'!$D$4:$M$103,INT((ROW()-4)/10)+1,MOD(ROW()-4,10)+1))</f>
        <v>0</v>
      </c>
      <c r="G368" s="46">
        <f t="array" ref="G368">IFERROR(INDEX('Sản phẩm'!$F$4:$F$103,MATCH(B368,'Sản phẩm'!$D$4:$D$103,0)),0)</f>
        <v>0</v>
      </c>
      <c r="H368" s="67">
        <f t="shared" si="5"/>
        <v>0</v>
      </c>
      <c r="I368" s="46">
        <f t="shared" si="1"/>
        <v>0</v>
      </c>
      <c r="J368" s="46">
        <f t="array" ref="J368">IFERROR(INDEX('Sản phẩm'!$G$4:$G$103,MATCH(B368,'Sản phẩm'!$D$4:$D$103,0)),0)</f>
        <v>0</v>
      </c>
      <c r="K368" s="46">
        <f t="array" ref="K368">IFERROR(J368*INDEX('Mẻ sữa'!$N$4:$N$203,MATCH(D368,'Mẻ sữa'!$C$4:$C$203,0)),0)</f>
        <v>0</v>
      </c>
      <c r="L368" s="46">
        <f t="array" ref="L368">IFERROR(INDEX('Sản phẩm'!$I$4:$I$103,MATCH(B368,'Sản phẩm'!$D$4:$D$103,0)),0)</f>
        <v>0</v>
      </c>
      <c r="M368" s="72" t="str">
        <f t="array" ref="M368">IFERROR(INDEX('Sản phẩm'!$J$4:$J$103,MATCH(B368,'Sản phẩm'!$D$4:$D$103,0)),0)</f>
        <v/>
      </c>
      <c r="N368" s="46">
        <f>IF(B368="",0,(K368+L368+M368)*'Thiết lập'!$B$8)</f>
        <v>0</v>
      </c>
      <c r="O368" s="46">
        <f t="shared" si="2"/>
        <v>0</v>
      </c>
      <c r="P368" s="46">
        <f t="shared" si="3"/>
        <v>0</v>
      </c>
      <c r="Q368" s="46">
        <f t="shared" si="4"/>
        <v>0</v>
      </c>
      <c r="R368" s="71" t="str">
        <f t="array" ref="R368">IF(B368="","",INDEX('Bán nhanh'!$C$4:$C$103,INT((ROW()-4)/10)+1))</f>
        <v/>
      </c>
      <c r="S368" s="71" t="str">
        <f t="array" ref="S368">IF(B368="","",INDEX('Bán nhanh'!$P$4:$P$103,INT((ROW()-4)/10)+1))</f>
        <v/>
      </c>
      <c r="T368" s="58"/>
      <c r="U368" s="36"/>
      <c r="V368" s="36"/>
      <c r="W368" s="58"/>
      <c r="X368" s="36"/>
      <c r="Y368" s="36"/>
      <c r="Z368" s="36"/>
    </row>
    <row r="369" ht="15.75" customHeight="1">
      <c r="A369" s="70" t="str">
        <f t="array" ref="A369">IF(B369="","",INDEX('Bán nhanh'!$A$4:$A$103,INT((ROW()-4)/10)+1))</f>
        <v/>
      </c>
      <c r="B369" s="71" t="str">
        <f t="array" ref="B369">IF(OR(INDEX('Bán nhanh'!$D$3:$M$3,1,MOD(ROW()-4,10)+1)="",INDEX('Bán nhanh'!$D$4:$M$103,INT((ROW()-4)/10)+1,MOD(ROW()-4,10)+1)&lt;=0),"",INDEX('Bán nhanh'!$D$3:$M$3,1,MOD(ROW()-4,10)+1))</f>
        <v/>
      </c>
      <c r="C369" s="58" t="str">
        <f t="array" ref="C369">IFERROR(INDEX('Sản phẩm'!$A$4:$A$103,MATCH(B369,'Sản phẩm'!$D$4:$D$103,0)),"")</f>
        <v/>
      </c>
      <c r="D369" s="71" t="str">
        <f t="array" ref="D369">IF(B369="","",INDEX('Bán nhanh'!$B$4:$B$103,INT((ROW()-4)/10)+1))</f>
        <v/>
      </c>
      <c r="E369" s="58" t="str">
        <f t="array" ref="E369">IFERROR(INDEX('Mẻ sữa'!$B$4:$B$203,MATCH(D369,'Mẻ sữa'!$C$4:$C$203,0)),"")</f>
        <v/>
      </c>
      <c r="F369" s="66">
        <f t="array" ref="F369">IF(B369="",0,INDEX('Bán nhanh'!$D$4:$M$103,INT((ROW()-4)/10)+1,MOD(ROW()-4,10)+1))</f>
        <v>0</v>
      </c>
      <c r="G369" s="46">
        <f t="array" ref="G369">IFERROR(INDEX('Sản phẩm'!$F$4:$F$103,MATCH(B369,'Sản phẩm'!$D$4:$D$103,0)),0)</f>
        <v>0</v>
      </c>
      <c r="H369" s="67">
        <f t="shared" si="5"/>
        <v>0</v>
      </c>
      <c r="I369" s="46">
        <f t="shared" si="1"/>
        <v>0</v>
      </c>
      <c r="J369" s="46">
        <f t="array" ref="J369">IFERROR(INDEX('Sản phẩm'!$G$4:$G$103,MATCH(B369,'Sản phẩm'!$D$4:$D$103,0)),0)</f>
        <v>0</v>
      </c>
      <c r="K369" s="46">
        <f t="array" ref="K369">IFERROR(J369*INDEX('Mẻ sữa'!$N$4:$N$203,MATCH(D369,'Mẻ sữa'!$C$4:$C$203,0)),0)</f>
        <v>0</v>
      </c>
      <c r="L369" s="46">
        <f t="array" ref="L369">IFERROR(INDEX('Sản phẩm'!$I$4:$I$103,MATCH(B369,'Sản phẩm'!$D$4:$D$103,0)),0)</f>
        <v>0</v>
      </c>
      <c r="M369" s="72" t="str">
        <f t="array" ref="M369">IFERROR(INDEX('Sản phẩm'!$J$4:$J$103,MATCH(B369,'Sản phẩm'!$D$4:$D$103,0)),0)</f>
        <v/>
      </c>
      <c r="N369" s="46">
        <f>IF(B369="",0,(K369+L369+M369)*'Thiết lập'!$B$8)</f>
        <v>0</v>
      </c>
      <c r="O369" s="46">
        <f t="shared" si="2"/>
        <v>0</v>
      </c>
      <c r="P369" s="46">
        <f t="shared" si="3"/>
        <v>0</v>
      </c>
      <c r="Q369" s="46">
        <f t="shared" si="4"/>
        <v>0</v>
      </c>
      <c r="R369" s="71" t="str">
        <f t="array" ref="R369">IF(B369="","",INDEX('Bán nhanh'!$C$4:$C$103,INT((ROW()-4)/10)+1))</f>
        <v/>
      </c>
      <c r="S369" s="71" t="str">
        <f t="array" ref="S369">IF(B369="","",INDEX('Bán nhanh'!$P$4:$P$103,INT((ROW()-4)/10)+1))</f>
        <v/>
      </c>
      <c r="T369" s="58"/>
      <c r="U369" s="36"/>
      <c r="V369" s="36"/>
      <c r="W369" s="58"/>
      <c r="X369" s="36"/>
      <c r="Y369" s="36"/>
      <c r="Z369" s="36"/>
    </row>
    <row r="370" ht="15.75" customHeight="1">
      <c r="A370" s="70" t="str">
        <f t="array" ref="A370">IF(B370="","",INDEX('Bán nhanh'!$A$4:$A$103,INT((ROW()-4)/10)+1))</f>
        <v/>
      </c>
      <c r="B370" s="71" t="str">
        <f t="array" ref="B370">IF(OR(INDEX('Bán nhanh'!$D$3:$M$3,1,MOD(ROW()-4,10)+1)="",INDEX('Bán nhanh'!$D$4:$M$103,INT((ROW()-4)/10)+1,MOD(ROW()-4,10)+1)&lt;=0),"",INDEX('Bán nhanh'!$D$3:$M$3,1,MOD(ROW()-4,10)+1))</f>
        <v/>
      </c>
      <c r="C370" s="58" t="str">
        <f t="array" ref="C370">IFERROR(INDEX('Sản phẩm'!$A$4:$A$103,MATCH(B370,'Sản phẩm'!$D$4:$D$103,0)),"")</f>
        <v/>
      </c>
      <c r="D370" s="71" t="str">
        <f t="array" ref="D370">IF(B370="","",INDEX('Bán nhanh'!$B$4:$B$103,INT((ROW()-4)/10)+1))</f>
        <v/>
      </c>
      <c r="E370" s="58" t="str">
        <f t="array" ref="E370">IFERROR(INDEX('Mẻ sữa'!$B$4:$B$203,MATCH(D370,'Mẻ sữa'!$C$4:$C$203,0)),"")</f>
        <v/>
      </c>
      <c r="F370" s="66">
        <f t="array" ref="F370">IF(B370="",0,INDEX('Bán nhanh'!$D$4:$M$103,INT((ROW()-4)/10)+1,MOD(ROW()-4,10)+1))</f>
        <v>0</v>
      </c>
      <c r="G370" s="46">
        <f t="array" ref="G370">IFERROR(INDEX('Sản phẩm'!$F$4:$F$103,MATCH(B370,'Sản phẩm'!$D$4:$D$103,0)),0)</f>
        <v>0</v>
      </c>
      <c r="H370" s="67">
        <f t="shared" si="5"/>
        <v>0</v>
      </c>
      <c r="I370" s="46">
        <f t="shared" si="1"/>
        <v>0</v>
      </c>
      <c r="J370" s="46">
        <f t="array" ref="J370">IFERROR(INDEX('Sản phẩm'!$G$4:$G$103,MATCH(B370,'Sản phẩm'!$D$4:$D$103,0)),0)</f>
        <v>0</v>
      </c>
      <c r="K370" s="46">
        <f t="array" ref="K370">IFERROR(J370*INDEX('Mẻ sữa'!$N$4:$N$203,MATCH(D370,'Mẻ sữa'!$C$4:$C$203,0)),0)</f>
        <v>0</v>
      </c>
      <c r="L370" s="46">
        <f t="array" ref="L370">IFERROR(INDEX('Sản phẩm'!$I$4:$I$103,MATCH(B370,'Sản phẩm'!$D$4:$D$103,0)),0)</f>
        <v>0</v>
      </c>
      <c r="M370" s="72" t="str">
        <f t="array" ref="M370">IFERROR(INDEX('Sản phẩm'!$J$4:$J$103,MATCH(B370,'Sản phẩm'!$D$4:$D$103,0)),0)</f>
        <v/>
      </c>
      <c r="N370" s="46">
        <f>IF(B370="",0,(K370+L370+M370)*'Thiết lập'!$B$8)</f>
        <v>0</v>
      </c>
      <c r="O370" s="46">
        <f t="shared" si="2"/>
        <v>0</v>
      </c>
      <c r="P370" s="46">
        <f t="shared" si="3"/>
        <v>0</v>
      </c>
      <c r="Q370" s="46">
        <f t="shared" si="4"/>
        <v>0</v>
      </c>
      <c r="R370" s="71" t="str">
        <f t="array" ref="R370">IF(B370="","",INDEX('Bán nhanh'!$C$4:$C$103,INT((ROW()-4)/10)+1))</f>
        <v/>
      </c>
      <c r="S370" s="71" t="str">
        <f t="array" ref="S370">IF(B370="","",INDEX('Bán nhanh'!$P$4:$P$103,INT((ROW()-4)/10)+1))</f>
        <v/>
      </c>
      <c r="T370" s="58"/>
      <c r="U370" s="36"/>
      <c r="V370" s="36"/>
      <c r="W370" s="58"/>
      <c r="X370" s="36"/>
      <c r="Y370" s="36"/>
      <c r="Z370" s="36"/>
    </row>
    <row r="371" ht="15.75" customHeight="1">
      <c r="A371" s="70" t="str">
        <f t="array" ref="A371">IF(B371="","",INDEX('Bán nhanh'!$A$4:$A$103,INT((ROW()-4)/10)+1))</f>
        <v/>
      </c>
      <c r="B371" s="71" t="str">
        <f t="array" ref="B371">IF(OR(INDEX('Bán nhanh'!$D$3:$M$3,1,MOD(ROW()-4,10)+1)="",INDEX('Bán nhanh'!$D$4:$M$103,INT((ROW()-4)/10)+1,MOD(ROW()-4,10)+1)&lt;=0),"",INDEX('Bán nhanh'!$D$3:$M$3,1,MOD(ROW()-4,10)+1))</f>
        <v/>
      </c>
      <c r="C371" s="58" t="str">
        <f t="array" ref="C371">IFERROR(INDEX('Sản phẩm'!$A$4:$A$103,MATCH(B371,'Sản phẩm'!$D$4:$D$103,0)),"")</f>
        <v/>
      </c>
      <c r="D371" s="71" t="str">
        <f t="array" ref="D371">IF(B371="","",INDEX('Bán nhanh'!$B$4:$B$103,INT((ROW()-4)/10)+1))</f>
        <v/>
      </c>
      <c r="E371" s="58" t="str">
        <f t="array" ref="E371">IFERROR(INDEX('Mẻ sữa'!$B$4:$B$203,MATCH(D371,'Mẻ sữa'!$C$4:$C$203,0)),"")</f>
        <v/>
      </c>
      <c r="F371" s="66">
        <f t="array" ref="F371">IF(B371="",0,INDEX('Bán nhanh'!$D$4:$M$103,INT((ROW()-4)/10)+1,MOD(ROW()-4,10)+1))</f>
        <v>0</v>
      </c>
      <c r="G371" s="46">
        <f t="array" ref="G371">IFERROR(INDEX('Sản phẩm'!$F$4:$F$103,MATCH(B371,'Sản phẩm'!$D$4:$D$103,0)),0)</f>
        <v>0</v>
      </c>
      <c r="H371" s="67">
        <f t="shared" si="5"/>
        <v>0</v>
      </c>
      <c r="I371" s="46">
        <f t="shared" si="1"/>
        <v>0</v>
      </c>
      <c r="J371" s="46">
        <f t="array" ref="J371">IFERROR(INDEX('Sản phẩm'!$G$4:$G$103,MATCH(B371,'Sản phẩm'!$D$4:$D$103,0)),0)</f>
        <v>0</v>
      </c>
      <c r="K371" s="46">
        <f t="array" ref="K371">IFERROR(J371*INDEX('Mẻ sữa'!$N$4:$N$203,MATCH(D371,'Mẻ sữa'!$C$4:$C$203,0)),0)</f>
        <v>0</v>
      </c>
      <c r="L371" s="46">
        <f t="array" ref="L371">IFERROR(INDEX('Sản phẩm'!$I$4:$I$103,MATCH(B371,'Sản phẩm'!$D$4:$D$103,0)),0)</f>
        <v>0</v>
      </c>
      <c r="M371" s="72" t="str">
        <f t="array" ref="M371">IFERROR(INDEX('Sản phẩm'!$J$4:$J$103,MATCH(B371,'Sản phẩm'!$D$4:$D$103,0)),0)</f>
        <v/>
      </c>
      <c r="N371" s="46">
        <f>IF(B371="",0,(K371+L371+M371)*'Thiết lập'!$B$8)</f>
        <v>0</v>
      </c>
      <c r="O371" s="46">
        <f t="shared" si="2"/>
        <v>0</v>
      </c>
      <c r="P371" s="46">
        <f t="shared" si="3"/>
        <v>0</v>
      </c>
      <c r="Q371" s="46">
        <f t="shared" si="4"/>
        <v>0</v>
      </c>
      <c r="R371" s="71" t="str">
        <f t="array" ref="R371">IF(B371="","",INDEX('Bán nhanh'!$C$4:$C$103,INT((ROW()-4)/10)+1))</f>
        <v/>
      </c>
      <c r="S371" s="71" t="str">
        <f t="array" ref="S371">IF(B371="","",INDEX('Bán nhanh'!$P$4:$P$103,INT((ROW()-4)/10)+1))</f>
        <v/>
      </c>
      <c r="T371" s="58"/>
      <c r="U371" s="36"/>
      <c r="V371" s="36"/>
      <c r="W371" s="58"/>
      <c r="X371" s="36"/>
      <c r="Y371" s="36"/>
      <c r="Z371" s="36"/>
    </row>
    <row r="372" ht="15.75" customHeight="1">
      <c r="A372" s="70" t="str">
        <f t="array" ref="A372">IF(B372="","",INDEX('Bán nhanh'!$A$4:$A$103,INT((ROW()-4)/10)+1))</f>
        <v/>
      </c>
      <c r="B372" s="71" t="str">
        <f t="array" ref="B372">IF(OR(INDEX('Bán nhanh'!$D$3:$M$3,1,MOD(ROW()-4,10)+1)="",INDEX('Bán nhanh'!$D$4:$M$103,INT((ROW()-4)/10)+1,MOD(ROW()-4,10)+1)&lt;=0),"",INDEX('Bán nhanh'!$D$3:$M$3,1,MOD(ROW()-4,10)+1))</f>
        <v/>
      </c>
      <c r="C372" s="58" t="str">
        <f t="array" ref="C372">IFERROR(INDEX('Sản phẩm'!$A$4:$A$103,MATCH(B372,'Sản phẩm'!$D$4:$D$103,0)),"")</f>
        <v/>
      </c>
      <c r="D372" s="71" t="str">
        <f t="array" ref="D372">IF(B372="","",INDEX('Bán nhanh'!$B$4:$B$103,INT((ROW()-4)/10)+1))</f>
        <v/>
      </c>
      <c r="E372" s="58" t="str">
        <f t="array" ref="E372">IFERROR(INDEX('Mẻ sữa'!$B$4:$B$203,MATCH(D372,'Mẻ sữa'!$C$4:$C$203,0)),"")</f>
        <v/>
      </c>
      <c r="F372" s="66">
        <f t="array" ref="F372">IF(B372="",0,INDEX('Bán nhanh'!$D$4:$M$103,INT((ROW()-4)/10)+1,MOD(ROW()-4,10)+1))</f>
        <v>0</v>
      </c>
      <c r="G372" s="46">
        <f t="array" ref="G372">IFERROR(INDEX('Sản phẩm'!$F$4:$F$103,MATCH(B372,'Sản phẩm'!$D$4:$D$103,0)),0)</f>
        <v>0</v>
      </c>
      <c r="H372" s="67">
        <f t="shared" si="5"/>
        <v>0</v>
      </c>
      <c r="I372" s="46">
        <f t="shared" si="1"/>
        <v>0</v>
      </c>
      <c r="J372" s="46">
        <f t="array" ref="J372">IFERROR(INDEX('Sản phẩm'!$G$4:$G$103,MATCH(B372,'Sản phẩm'!$D$4:$D$103,0)),0)</f>
        <v>0</v>
      </c>
      <c r="K372" s="46">
        <f t="array" ref="K372">IFERROR(J372*INDEX('Mẻ sữa'!$N$4:$N$203,MATCH(D372,'Mẻ sữa'!$C$4:$C$203,0)),0)</f>
        <v>0</v>
      </c>
      <c r="L372" s="46">
        <f t="array" ref="L372">IFERROR(INDEX('Sản phẩm'!$I$4:$I$103,MATCH(B372,'Sản phẩm'!$D$4:$D$103,0)),0)</f>
        <v>0</v>
      </c>
      <c r="M372" s="72" t="str">
        <f t="array" ref="M372">IFERROR(INDEX('Sản phẩm'!$J$4:$J$103,MATCH(B372,'Sản phẩm'!$D$4:$D$103,0)),0)</f>
        <v/>
      </c>
      <c r="N372" s="46">
        <f>IF(B372="",0,(K372+L372+M372)*'Thiết lập'!$B$8)</f>
        <v>0</v>
      </c>
      <c r="O372" s="46">
        <f t="shared" si="2"/>
        <v>0</v>
      </c>
      <c r="P372" s="46">
        <f t="shared" si="3"/>
        <v>0</v>
      </c>
      <c r="Q372" s="46">
        <f t="shared" si="4"/>
        <v>0</v>
      </c>
      <c r="R372" s="71" t="str">
        <f t="array" ref="R372">IF(B372="","",INDEX('Bán nhanh'!$C$4:$C$103,INT((ROW()-4)/10)+1))</f>
        <v/>
      </c>
      <c r="S372" s="71" t="str">
        <f t="array" ref="S372">IF(B372="","",INDEX('Bán nhanh'!$P$4:$P$103,INT((ROW()-4)/10)+1))</f>
        <v/>
      </c>
      <c r="T372" s="58"/>
      <c r="U372" s="36"/>
      <c r="V372" s="36"/>
      <c r="W372" s="58"/>
      <c r="X372" s="36"/>
      <c r="Y372" s="36"/>
      <c r="Z372" s="36"/>
    </row>
    <row r="373" ht="15.75" customHeight="1">
      <c r="A373" s="70" t="str">
        <f t="array" ref="A373">IF(B373="","",INDEX('Bán nhanh'!$A$4:$A$103,INT((ROW()-4)/10)+1))</f>
        <v/>
      </c>
      <c r="B373" s="71" t="str">
        <f t="array" ref="B373">IF(OR(INDEX('Bán nhanh'!$D$3:$M$3,1,MOD(ROW()-4,10)+1)="",INDEX('Bán nhanh'!$D$4:$M$103,INT((ROW()-4)/10)+1,MOD(ROW()-4,10)+1)&lt;=0),"",INDEX('Bán nhanh'!$D$3:$M$3,1,MOD(ROW()-4,10)+1))</f>
        <v/>
      </c>
      <c r="C373" s="58" t="str">
        <f t="array" ref="C373">IFERROR(INDEX('Sản phẩm'!$A$4:$A$103,MATCH(B373,'Sản phẩm'!$D$4:$D$103,0)),"")</f>
        <v/>
      </c>
      <c r="D373" s="71" t="str">
        <f t="array" ref="D373">IF(B373="","",INDEX('Bán nhanh'!$B$4:$B$103,INT((ROW()-4)/10)+1))</f>
        <v/>
      </c>
      <c r="E373" s="58" t="str">
        <f t="array" ref="E373">IFERROR(INDEX('Mẻ sữa'!$B$4:$B$203,MATCH(D373,'Mẻ sữa'!$C$4:$C$203,0)),"")</f>
        <v/>
      </c>
      <c r="F373" s="66">
        <f t="array" ref="F373">IF(B373="",0,INDEX('Bán nhanh'!$D$4:$M$103,INT((ROW()-4)/10)+1,MOD(ROW()-4,10)+1))</f>
        <v>0</v>
      </c>
      <c r="G373" s="46">
        <f t="array" ref="G373">IFERROR(INDEX('Sản phẩm'!$F$4:$F$103,MATCH(B373,'Sản phẩm'!$D$4:$D$103,0)),0)</f>
        <v>0</v>
      </c>
      <c r="H373" s="67">
        <f t="shared" si="5"/>
        <v>0</v>
      </c>
      <c r="I373" s="46">
        <f t="shared" si="1"/>
        <v>0</v>
      </c>
      <c r="J373" s="46">
        <f t="array" ref="J373">IFERROR(INDEX('Sản phẩm'!$G$4:$G$103,MATCH(B373,'Sản phẩm'!$D$4:$D$103,0)),0)</f>
        <v>0</v>
      </c>
      <c r="K373" s="46">
        <f t="array" ref="K373">IFERROR(J373*INDEX('Mẻ sữa'!$N$4:$N$203,MATCH(D373,'Mẻ sữa'!$C$4:$C$203,0)),0)</f>
        <v>0</v>
      </c>
      <c r="L373" s="46">
        <f t="array" ref="L373">IFERROR(INDEX('Sản phẩm'!$I$4:$I$103,MATCH(B373,'Sản phẩm'!$D$4:$D$103,0)),0)</f>
        <v>0</v>
      </c>
      <c r="M373" s="72" t="str">
        <f t="array" ref="M373">IFERROR(INDEX('Sản phẩm'!$J$4:$J$103,MATCH(B373,'Sản phẩm'!$D$4:$D$103,0)),0)</f>
        <v/>
      </c>
      <c r="N373" s="46">
        <f>IF(B373="",0,(K373+L373+M373)*'Thiết lập'!$B$8)</f>
        <v>0</v>
      </c>
      <c r="O373" s="46">
        <f t="shared" si="2"/>
        <v>0</v>
      </c>
      <c r="P373" s="46">
        <f t="shared" si="3"/>
        <v>0</v>
      </c>
      <c r="Q373" s="46">
        <f t="shared" si="4"/>
        <v>0</v>
      </c>
      <c r="R373" s="71" t="str">
        <f t="array" ref="R373">IF(B373="","",INDEX('Bán nhanh'!$C$4:$C$103,INT((ROW()-4)/10)+1))</f>
        <v/>
      </c>
      <c r="S373" s="71" t="str">
        <f t="array" ref="S373">IF(B373="","",INDEX('Bán nhanh'!$P$4:$P$103,INT((ROW()-4)/10)+1))</f>
        <v/>
      </c>
      <c r="T373" s="58"/>
      <c r="U373" s="36"/>
      <c r="V373" s="36"/>
      <c r="W373" s="58"/>
      <c r="X373" s="36"/>
      <c r="Y373" s="36"/>
      <c r="Z373" s="36"/>
    </row>
    <row r="374" ht="15.75" customHeight="1">
      <c r="A374" s="70" t="str">
        <f t="array" ref="A374">IF(B374="","",INDEX('Bán nhanh'!$A$4:$A$103,INT((ROW()-4)/10)+1))</f>
        <v/>
      </c>
      <c r="B374" s="71" t="str">
        <f t="array" ref="B374">IF(OR(INDEX('Bán nhanh'!$D$3:$M$3,1,MOD(ROW()-4,10)+1)="",INDEX('Bán nhanh'!$D$4:$M$103,INT((ROW()-4)/10)+1,MOD(ROW()-4,10)+1)&lt;=0),"",INDEX('Bán nhanh'!$D$3:$M$3,1,MOD(ROW()-4,10)+1))</f>
        <v/>
      </c>
      <c r="C374" s="58" t="str">
        <f t="array" ref="C374">IFERROR(INDEX('Sản phẩm'!$A$4:$A$103,MATCH(B374,'Sản phẩm'!$D$4:$D$103,0)),"")</f>
        <v/>
      </c>
      <c r="D374" s="71" t="str">
        <f t="array" ref="D374">IF(B374="","",INDEX('Bán nhanh'!$B$4:$B$103,INT((ROW()-4)/10)+1))</f>
        <v/>
      </c>
      <c r="E374" s="58" t="str">
        <f t="array" ref="E374">IFERROR(INDEX('Mẻ sữa'!$B$4:$B$203,MATCH(D374,'Mẻ sữa'!$C$4:$C$203,0)),"")</f>
        <v/>
      </c>
      <c r="F374" s="66">
        <f t="array" ref="F374">IF(B374="",0,INDEX('Bán nhanh'!$D$4:$M$103,INT((ROW()-4)/10)+1,MOD(ROW()-4,10)+1))</f>
        <v>0</v>
      </c>
      <c r="G374" s="46">
        <f t="array" ref="G374">IFERROR(INDEX('Sản phẩm'!$F$4:$F$103,MATCH(B374,'Sản phẩm'!$D$4:$D$103,0)),0)</f>
        <v>0</v>
      </c>
      <c r="H374" s="67">
        <f t="shared" si="5"/>
        <v>0</v>
      </c>
      <c r="I374" s="46">
        <f t="shared" si="1"/>
        <v>0</v>
      </c>
      <c r="J374" s="46">
        <f t="array" ref="J374">IFERROR(INDEX('Sản phẩm'!$G$4:$G$103,MATCH(B374,'Sản phẩm'!$D$4:$D$103,0)),0)</f>
        <v>0</v>
      </c>
      <c r="K374" s="46">
        <f t="array" ref="K374">IFERROR(J374*INDEX('Mẻ sữa'!$N$4:$N$203,MATCH(D374,'Mẻ sữa'!$C$4:$C$203,0)),0)</f>
        <v>0</v>
      </c>
      <c r="L374" s="46">
        <f t="array" ref="L374">IFERROR(INDEX('Sản phẩm'!$I$4:$I$103,MATCH(B374,'Sản phẩm'!$D$4:$D$103,0)),0)</f>
        <v>0</v>
      </c>
      <c r="M374" s="72" t="str">
        <f t="array" ref="M374">IFERROR(INDEX('Sản phẩm'!$J$4:$J$103,MATCH(B374,'Sản phẩm'!$D$4:$D$103,0)),0)</f>
        <v/>
      </c>
      <c r="N374" s="46">
        <f>IF(B374="",0,(K374+L374+M374)*'Thiết lập'!$B$8)</f>
        <v>0</v>
      </c>
      <c r="O374" s="46">
        <f t="shared" si="2"/>
        <v>0</v>
      </c>
      <c r="P374" s="46">
        <f t="shared" si="3"/>
        <v>0</v>
      </c>
      <c r="Q374" s="46">
        <f t="shared" si="4"/>
        <v>0</v>
      </c>
      <c r="R374" s="71" t="str">
        <f t="array" ref="R374">IF(B374="","",INDEX('Bán nhanh'!$C$4:$C$103,INT((ROW()-4)/10)+1))</f>
        <v/>
      </c>
      <c r="S374" s="71" t="str">
        <f t="array" ref="S374">IF(B374="","",INDEX('Bán nhanh'!$P$4:$P$103,INT((ROW()-4)/10)+1))</f>
        <v/>
      </c>
      <c r="T374" s="58"/>
      <c r="U374" s="36"/>
      <c r="V374" s="36"/>
      <c r="W374" s="58"/>
      <c r="X374" s="36"/>
      <c r="Y374" s="36"/>
      <c r="Z374" s="36"/>
    </row>
    <row r="375" ht="15.75" customHeight="1">
      <c r="A375" s="70" t="str">
        <f t="array" ref="A375">IF(B375="","",INDEX('Bán nhanh'!$A$4:$A$103,INT((ROW()-4)/10)+1))</f>
        <v/>
      </c>
      <c r="B375" s="71" t="str">
        <f t="array" ref="B375">IF(OR(INDEX('Bán nhanh'!$D$3:$M$3,1,MOD(ROW()-4,10)+1)="",INDEX('Bán nhanh'!$D$4:$M$103,INT((ROW()-4)/10)+1,MOD(ROW()-4,10)+1)&lt;=0),"",INDEX('Bán nhanh'!$D$3:$M$3,1,MOD(ROW()-4,10)+1))</f>
        <v/>
      </c>
      <c r="C375" s="58" t="str">
        <f t="array" ref="C375">IFERROR(INDEX('Sản phẩm'!$A$4:$A$103,MATCH(B375,'Sản phẩm'!$D$4:$D$103,0)),"")</f>
        <v/>
      </c>
      <c r="D375" s="71" t="str">
        <f t="array" ref="D375">IF(B375="","",INDEX('Bán nhanh'!$B$4:$B$103,INT((ROW()-4)/10)+1))</f>
        <v/>
      </c>
      <c r="E375" s="58" t="str">
        <f t="array" ref="E375">IFERROR(INDEX('Mẻ sữa'!$B$4:$B$203,MATCH(D375,'Mẻ sữa'!$C$4:$C$203,0)),"")</f>
        <v/>
      </c>
      <c r="F375" s="66">
        <f t="array" ref="F375">IF(B375="",0,INDEX('Bán nhanh'!$D$4:$M$103,INT((ROW()-4)/10)+1,MOD(ROW()-4,10)+1))</f>
        <v>0</v>
      </c>
      <c r="G375" s="46">
        <f t="array" ref="G375">IFERROR(INDEX('Sản phẩm'!$F$4:$F$103,MATCH(B375,'Sản phẩm'!$D$4:$D$103,0)),0)</f>
        <v>0</v>
      </c>
      <c r="H375" s="67">
        <f t="shared" si="5"/>
        <v>0</v>
      </c>
      <c r="I375" s="46">
        <f t="shared" si="1"/>
        <v>0</v>
      </c>
      <c r="J375" s="46">
        <f t="array" ref="J375">IFERROR(INDEX('Sản phẩm'!$G$4:$G$103,MATCH(B375,'Sản phẩm'!$D$4:$D$103,0)),0)</f>
        <v>0</v>
      </c>
      <c r="K375" s="46">
        <f t="array" ref="K375">IFERROR(J375*INDEX('Mẻ sữa'!$N$4:$N$203,MATCH(D375,'Mẻ sữa'!$C$4:$C$203,0)),0)</f>
        <v>0</v>
      </c>
      <c r="L375" s="46">
        <f t="array" ref="L375">IFERROR(INDEX('Sản phẩm'!$I$4:$I$103,MATCH(B375,'Sản phẩm'!$D$4:$D$103,0)),0)</f>
        <v>0</v>
      </c>
      <c r="M375" s="72" t="str">
        <f t="array" ref="M375">IFERROR(INDEX('Sản phẩm'!$J$4:$J$103,MATCH(B375,'Sản phẩm'!$D$4:$D$103,0)),0)</f>
        <v/>
      </c>
      <c r="N375" s="46">
        <f>IF(B375="",0,(K375+L375+M375)*'Thiết lập'!$B$8)</f>
        <v>0</v>
      </c>
      <c r="O375" s="46">
        <f t="shared" si="2"/>
        <v>0</v>
      </c>
      <c r="P375" s="46">
        <f t="shared" si="3"/>
        <v>0</v>
      </c>
      <c r="Q375" s="46">
        <f t="shared" si="4"/>
        <v>0</v>
      </c>
      <c r="R375" s="71" t="str">
        <f t="array" ref="R375">IF(B375="","",INDEX('Bán nhanh'!$C$4:$C$103,INT((ROW()-4)/10)+1))</f>
        <v/>
      </c>
      <c r="S375" s="71" t="str">
        <f t="array" ref="S375">IF(B375="","",INDEX('Bán nhanh'!$P$4:$P$103,INT((ROW()-4)/10)+1))</f>
        <v/>
      </c>
      <c r="T375" s="58"/>
      <c r="U375" s="36"/>
      <c r="V375" s="36"/>
      <c r="W375" s="58"/>
      <c r="X375" s="36"/>
      <c r="Y375" s="36"/>
      <c r="Z375" s="36"/>
    </row>
    <row r="376" ht="15.75" customHeight="1">
      <c r="A376" s="70" t="str">
        <f t="array" ref="A376">IF(B376="","",INDEX('Bán nhanh'!$A$4:$A$103,INT((ROW()-4)/10)+1))</f>
        <v/>
      </c>
      <c r="B376" s="71" t="str">
        <f t="array" ref="B376">IF(OR(INDEX('Bán nhanh'!$D$3:$M$3,1,MOD(ROW()-4,10)+1)="",INDEX('Bán nhanh'!$D$4:$M$103,INT((ROW()-4)/10)+1,MOD(ROW()-4,10)+1)&lt;=0),"",INDEX('Bán nhanh'!$D$3:$M$3,1,MOD(ROW()-4,10)+1))</f>
        <v/>
      </c>
      <c r="C376" s="58" t="str">
        <f t="array" ref="C376">IFERROR(INDEX('Sản phẩm'!$A$4:$A$103,MATCH(B376,'Sản phẩm'!$D$4:$D$103,0)),"")</f>
        <v/>
      </c>
      <c r="D376" s="71" t="str">
        <f t="array" ref="D376">IF(B376="","",INDEX('Bán nhanh'!$B$4:$B$103,INT((ROW()-4)/10)+1))</f>
        <v/>
      </c>
      <c r="E376" s="58" t="str">
        <f t="array" ref="E376">IFERROR(INDEX('Mẻ sữa'!$B$4:$B$203,MATCH(D376,'Mẻ sữa'!$C$4:$C$203,0)),"")</f>
        <v/>
      </c>
      <c r="F376" s="66">
        <f t="array" ref="F376">IF(B376="",0,INDEX('Bán nhanh'!$D$4:$M$103,INT((ROW()-4)/10)+1,MOD(ROW()-4,10)+1))</f>
        <v>0</v>
      </c>
      <c r="G376" s="46">
        <f t="array" ref="G376">IFERROR(INDEX('Sản phẩm'!$F$4:$F$103,MATCH(B376,'Sản phẩm'!$D$4:$D$103,0)),0)</f>
        <v>0</v>
      </c>
      <c r="H376" s="67">
        <f t="shared" si="5"/>
        <v>0</v>
      </c>
      <c r="I376" s="46">
        <f t="shared" si="1"/>
        <v>0</v>
      </c>
      <c r="J376" s="46">
        <f t="array" ref="J376">IFERROR(INDEX('Sản phẩm'!$G$4:$G$103,MATCH(B376,'Sản phẩm'!$D$4:$D$103,0)),0)</f>
        <v>0</v>
      </c>
      <c r="K376" s="46">
        <f t="array" ref="K376">IFERROR(J376*INDEX('Mẻ sữa'!$N$4:$N$203,MATCH(D376,'Mẻ sữa'!$C$4:$C$203,0)),0)</f>
        <v>0</v>
      </c>
      <c r="L376" s="46">
        <f t="array" ref="L376">IFERROR(INDEX('Sản phẩm'!$I$4:$I$103,MATCH(B376,'Sản phẩm'!$D$4:$D$103,0)),0)</f>
        <v>0</v>
      </c>
      <c r="M376" s="72" t="str">
        <f t="array" ref="M376">IFERROR(INDEX('Sản phẩm'!$J$4:$J$103,MATCH(B376,'Sản phẩm'!$D$4:$D$103,0)),0)</f>
        <v/>
      </c>
      <c r="N376" s="46">
        <f>IF(B376="",0,(K376+L376+M376)*'Thiết lập'!$B$8)</f>
        <v>0</v>
      </c>
      <c r="O376" s="46">
        <f t="shared" si="2"/>
        <v>0</v>
      </c>
      <c r="P376" s="46">
        <f t="shared" si="3"/>
        <v>0</v>
      </c>
      <c r="Q376" s="46">
        <f t="shared" si="4"/>
        <v>0</v>
      </c>
      <c r="R376" s="71" t="str">
        <f t="array" ref="R376">IF(B376="","",INDEX('Bán nhanh'!$C$4:$C$103,INT((ROW()-4)/10)+1))</f>
        <v/>
      </c>
      <c r="S376" s="71" t="str">
        <f t="array" ref="S376">IF(B376="","",INDEX('Bán nhanh'!$P$4:$P$103,INT((ROW()-4)/10)+1))</f>
        <v/>
      </c>
      <c r="T376" s="58"/>
      <c r="U376" s="36"/>
      <c r="V376" s="36"/>
      <c r="W376" s="58"/>
      <c r="X376" s="36"/>
      <c r="Y376" s="36"/>
      <c r="Z376" s="36"/>
    </row>
    <row r="377" ht="15.75" customHeight="1">
      <c r="A377" s="70" t="str">
        <f t="array" ref="A377">IF(B377="","",INDEX('Bán nhanh'!$A$4:$A$103,INT((ROW()-4)/10)+1))</f>
        <v/>
      </c>
      <c r="B377" s="71" t="str">
        <f t="array" ref="B377">IF(OR(INDEX('Bán nhanh'!$D$3:$M$3,1,MOD(ROW()-4,10)+1)="",INDEX('Bán nhanh'!$D$4:$M$103,INT((ROW()-4)/10)+1,MOD(ROW()-4,10)+1)&lt;=0),"",INDEX('Bán nhanh'!$D$3:$M$3,1,MOD(ROW()-4,10)+1))</f>
        <v/>
      </c>
      <c r="C377" s="58" t="str">
        <f t="array" ref="C377">IFERROR(INDEX('Sản phẩm'!$A$4:$A$103,MATCH(B377,'Sản phẩm'!$D$4:$D$103,0)),"")</f>
        <v/>
      </c>
      <c r="D377" s="71" t="str">
        <f t="array" ref="D377">IF(B377="","",INDEX('Bán nhanh'!$B$4:$B$103,INT((ROW()-4)/10)+1))</f>
        <v/>
      </c>
      <c r="E377" s="58" t="str">
        <f t="array" ref="E377">IFERROR(INDEX('Mẻ sữa'!$B$4:$B$203,MATCH(D377,'Mẻ sữa'!$C$4:$C$203,0)),"")</f>
        <v/>
      </c>
      <c r="F377" s="66">
        <f t="array" ref="F377">IF(B377="",0,INDEX('Bán nhanh'!$D$4:$M$103,INT((ROW()-4)/10)+1,MOD(ROW()-4,10)+1))</f>
        <v>0</v>
      </c>
      <c r="G377" s="46">
        <f t="array" ref="G377">IFERROR(INDEX('Sản phẩm'!$F$4:$F$103,MATCH(B377,'Sản phẩm'!$D$4:$D$103,0)),0)</f>
        <v>0</v>
      </c>
      <c r="H377" s="67">
        <f t="shared" si="5"/>
        <v>0</v>
      </c>
      <c r="I377" s="46">
        <f t="shared" si="1"/>
        <v>0</v>
      </c>
      <c r="J377" s="46">
        <f t="array" ref="J377">IFERROR(INDEX('Sản phẩm'!$G$4:$G$103,MATCH(B377,'Sản phẩm'!$D$4:$D$103,0)),0)</f>
        <v>0</v>
      </c>
      <c r="K377" s="46">
        <f t="array" ref="K377">IFERROR(J377*INDEX('Mẻ sữa'!$N$4:$N$203,MATCH(D377,'Mẻ sữa'!$C$4:$C$203,0)),0)</f>
        <v>0</v>
      </c>
      <c r="L377" s="46">
        <f t="array" ref="L377">IFERROR(INDEX('Sản phẩm'!$I$4:$I$103,MATCH(B377,'Sản phẩm'!$D$4:$D$103,0)),0)</f>
        <v>0</v>
      </c>
      <c r="M377" s="72" t="str">
        <f t="array" ref="M377">IFERROR(INDEX('Sản phẩm'!$J$4:$J$103,MATCH(B377,'Sản phẩm'!$D$4:$D$103,0)),0)</f>
        <v/>
      </c>
      <c r="N377" s="46">
        <f>IF(B377="",0,(K377+L377+M377)*'Thiết lập'!$B$8)</f>
        <v>0</v>
      </c>
      <c r="O377" s="46">
        <f t="shared" si="2"/>
        <v>0</v>
      </c>
      <c r="P377" s="46">
        <f t="shared" si="3"/>
        <v>0</v>
      </c>
      <c r="Q377" s="46">
        <f t="shared" si="4"/>
        <v>0</v>
      </c>
      <c r="R377" s="71" t="str">
        <f t="array" ref="R377">IF(B377="","",INDEX('Bán nhanh'!$C$4:$C$103,INT((ROW()-4)/10)+1))</f>
        <v/>
      </c>
      <c r="S377" s="71" t="str">
        <f t="array" ref="S377">IF(B377="","",INDEX('Bán nhanh'!$P$4:$P$103,INT((ROW()-4)/10)+1))</f>
        <v/>
      </c>
      <c r="T377" s="58"/>
      <c r="U377" s="36"/>
      <c r="V377" s="36"/>
      <c r="W377" s="58"/>
      <c r="X377" s="36"/>
      <c r="Y377" s="36"/>
      <c r="Z377" s="36"/>
    </row>
    <row r="378" ht="15.75" customHeight="1">
      <c r="A378" s="70" t="str">
        <f t="array" ref="A378">IF(B378="","",INDEX('Bán nhanh'!$A$4:$A$103,INT((ROW()-4)/10)+1))</f>
        <v/>
      </c>
      <c r="B378" s="71" t="str">
        <f t="array" ref="B378">IF(OR(INDEX('Bán nhanh'!$D$3:$M$3,1,MOD(ROW()-4,10)+1)="",INDEX('Bán nhanh'!$D$4:$M$103,INT((ROW()-4)/10)+1,MOD(ROW()-4,10)+1)&lt;=0),"",INDEX('Bán nhanh'!$D$3:$M$3,1,MOD(ROW()-4,10)+1))</f>
        <v/>
      </c>
      <c r="C378" s="58" t="str">
        <f t="array" ref="C378">IFERROR(INDEX('Sản phẩm'!$A$4:$A$103,MATCH(B378,'Sản phẩm'!$D$4:$D$103,0)),"")</f>
        <v/>
      </c>
      <c r="D378" s="71" t="str">
        <f t="array" ref="D378">IF(B378="","",INDEX('Bán nhanh'!$B$4:$B$103,INT((ROW()-4)/10)+1))</f>
        <v/>
      </c>
      <c r="E378" s="58" t="str">
        <f t="array" ref="E378">IFERROR(INDEX('Mẻ sữa'!$B$4:$B$203,MATCH(D378,'Mẻ sữa'!$C$4:$C$203,0)),"")</f>
        <v/>
      </c>
      <c r="F378" s="66">
        <f t="array" ref="F378">IF(B378="",0,INDEX('Bán nhanh'!$D$4:$M$103,INT((ROW()-4)/10)+1,MOD(ROW()-4,10)+1))</f>
        <v>0</v>
      </c>
      <c r="G378" s="46">
        <f t="array" ref="G378">IFERROR(INDEX('Sản phẩm'!$F$4:$F$103,MATCH(B378,'Sản phẩm'!$D$4:$D$103,0)),0)</f>
        <v>0</v>
      </c>
      <c r="H378" s="67">
        <f t="shared" si="5"/>
        <v>0</v>
      </c>
      <c r="I378" s="46">
        <f t="shared" si="1"/>
        <v>0</v>
      </c>
      <c r="J378" s="46">
        <f t="array" ref="J378">IFERROR(INDEX('Sản phẩm'!$G$4:$G$103,MATCH(B378,'Sản phẩm'!$D$4:$D$103,0)),0)</f>
        <v>0</v>
      </c>
      <c r="K378" s="46">
        <f t="array" ref="K378">IFERROR(J378*INDEX('Mẻ sữa'!$N$4:$N$203,MATCH(D378,'Mẻ sữa'!$C$4:$C$203,0)),0)</f>
        <v>0</v>
      </c>
      <c r="L378" s="46">
        <f t="array" ref="L378">IFERROR(INDEX('Sản phẩm'!$I$4:$I$103,MATCH(B378,'Sản phẩm'!$D$4:$D$103,0)),0)</f>
        <v>0</v>
      </c>
      <c r="M378" s="72" t="str">
        <f t="array" ref="M378">IFERROR(INDEX('Sản phẩm'!$J$4:$J$103,MATCH(B378,'Sản phẩm'!$D$4:$D$103,0)),0)</f>
        <v/>
      </c>
      <c r="N378" s="46">
        <f>IF(B378="",0,(K378+L378+M378)*'Thiết lập'!$B$8)</f>
        <v>0</v>
      </c>
      <c r="O378" s="46">
        <f t="shared" si="2"/>
        <v>0</v>
      </c>
      <c r="P378" s="46">
        <f t="shared" si="3"/>
        <v>0</v>
      </c>
      <c r="Q378" s="46">
        <f t="shared" si="4"/>
        <v>0</v>
      </c>
      <c r="R378" s="71" t="str">
        <f t="array" ref="R378">IF(B378="","",INDEX('Bán nhanh'!$C$4:$C$103,INT((ROW()-4)/10)+1))</f>
        <v/>
      </c>
      <c r="S378" s="71" t="str">
        <f t="array" ref="S378">IF(B378="","",INDEX('Bán nhanh'!$P$4:$P$103,INT((ROW()-4)/10)+1))</f>
        <v/>
      </c>
      <c r="T378" s="58"/>
      <c r="U378" s="36"/>
      <c r="V378" s="36"/>
      <c r="W378" s="58"/>
      <c r="X378" s="36"/>
      <c r="Y378" s="36"/>
      <c r="Z378" s="36"/>
    </row>
    <row r="379" ht="15.75" customHeight="1">
      <c r="A379" s="70" t="str">
        <f t="array" ref="A379">IF(B379="","",INDEX('Bán nhanh'!$A$4:$A$103,INT((ROW()-4)/10)+1))</f>
        <v/>
      </c>
      <c r="B379" s="71" t="str">
        <f t="array" ref="B379">IF(OR(INDEX('Bán nhanh'!$D$3:$M$3,1,MOD(ROW()-4,10)+1)="",INDEX('Bán nhanh'!$D$4:$M$103,INT((ROW()-4)/10)+1,MOD(ROW()-4,10)+1)&lt;=0),"",INDEX('Bán nhanh'!$D$3:$M$3,1,MOD(ROW()-4,10)+1))</f>
        <v/>
      </c>
      <c r="C379" s="58" t="str">
        <f t="array" ref="C379">IFERROR(INDEX('Sản phẩm'!$A$4:$A$103,MATCH(B379,'Sản phẩm'!$D$4:$D$103,0)),"")</f>
        <v/>
      </c>
      <c r="D379" s="71" t="str">
        <f t="array" ref="D379">IF(B379="","",INDEX('Bán nhanh'!$B$4:$B$103,INT((ROW()-4)/10)+1))</f>
        <v/>
      </c>
      <c r="E379" s="58" t="str">
        <f t="array" ref="E379">IFERROR(INDEX('Mẻ sữa'!$B$4:$B$203,MATCH(D379,'Mẻ sữa'!$C$4:$C$203,0)),"")</f>
        <v/>
      </c>
      <c r="F379" s="66">
        <f t="array" ref="F379">IF(B379="",0,INDEX('Bán nhanh'!$D$4:$M$103,INT((ROW()-4)/10)+1,MOD(ROW()-4,10)+1))</f>
        <v>0</v>
      </c>
      <c r="G379" s="46">
        <f t="array" ref="G379">IFERROR(INDEX('Sản phẩm'!$F$4:$F$103,MATCH(B379,'Sản phẩm'!$D$4:$D$103,0)),0)</f>
        <v>0</v>
      </c>
      <c r="H379" s="67">
        <f t="shared" si="5"/>
        <v>0</v>
      </c>
      <c r="I379" s="46">
        <f t="shared" si="1"/>
        <v>0</v>
      </c>
      <c r="J379" s="46">
        <f t="array" ref="J379">IFERROR(INDEX('Sản phẩm'!$G$4:$G$103,MATCH(B379,'Sản phẩm'!$D$4:$D$103,0)),0)</f>
        <v>0</v>
      </c>
      <c r="K379" s="46">
        <f t="array" ref="K379">IFERROR(J379*INDEX('Mẻ sữa'!$N$4:$N$203,MATCH(D379,'Mẻ sữa'!$C$4:$C$203,0)),0)</f>
        <v>0</v>
      </c>
      <c r="L379" s="46">
        <f t="array" ref="L379">IFERROR(INDEX('Sản phẩm'!$I$4:$I$103,MATCH(B379,'Sản phẩm'!$D$4:$D$103,0)),0)</f>
        <v>0</v>
      </c>
      <c r="M379" s="72" t="str">
        <f t="array" ref="M379">IFERROR(INDEX('Sản phẩm'!$J$4:$J$103,MATCH(B379,'Sản phẩm'!$D$4:$D$103,0)),0)</f>
        <v/>
      </c>
      <c r="N379" s="46">
        <f>IF(B379="",0,(K379+L379+M379)*'Thiết lập'!$B$8)</f>
        <v>0</v>
      </c>
      <c r="O379" s="46">
        <f t="shared" si="2"/>
        <v>0</v>
      </c>
      <c r="P379" s="46">
        <f t="shared" si="3"/>
        <v>0</v>
      </c>
      <c r="Q379" s="46">
        <f t="shared" si="4"/>
        <v>0</v>
      </c>
      <c r="R379" s="71" t="str">
        <f t="array" ref="R379">IF(B379="","",INDEX('Bán nhanh'!$C$4:$C$103,INT((ROW()-4)/10)+1))</f>
        <v/>
      </c>
      <c r="S379" s="71" t="str">
        <f t="array" ref="S379">IF(B379="","",INDEX('Bán nhanh'!$P$4:$P$103,INT((ROW()-4)/10)+1))</f>
        <v/>
      </c>
      <c r="T379" s="58"/>
      <c r="U379" s="36"/>
      <c r="V379" s="36"/>
      <c r="W379" s="58"/>
      <c r="X379" s="36"/>
      <c r="Y379" s="36"/>
      <c r="Z379" s="36"/>
    </row>
    <row r="380" ht="15.75" customHeight="1">
      <c r="A380" s="70" t="str">
        <f t="array" ref="A380">IF(B380="","",INDEX('Bán nhanh'!$A$4:$A$103,INT((ROW()-4)/10)+1))</f>
        <v/>
      </c>
      <c r="B380" s="71" t="str">
        <f t="array" ref="B380">IF(OR(INDEX('Bán nhanh'!$D$3:$M$3,1,MOD(ROW()-4,10)+1)="",INDEX('Bán nhanh'!$D$4:$M$103,INT((ROW()-4)/10)+1,MOD(ROW()-4,10)+1)&lt;=0),"",INDEX('Bán nhanh'!$D$3:$M$3,1,MOD(ROW()-4,10)+1))</f>
        <v/>
      </c>
      <c r="C380" s="58" t="str">
        <f t="array" ref="C380">IFERROR(INDEX('Sản phẩm'!$A$4:$A$103,MATCH(B380,'Sản phẩm'!$D$4:$D$103,0)),"")</f>
        <v/>
      </c>
      <c r="D380" s="71" t="str">
        <f t="array" ref="D380">IF(B380="","",INDEX('Bán nhanh'!$B$4:$B$103,INT((ROW()-4)/10)+1))</f>
        <v/>
      </c>
      <c r="E380" s="58" t="str">
        <f t="array" ref="E380">IFERROR(INDEX('Mẻ sữa'!$B$4:$B$203,MATCH(D380,'Mẻ sữa'!$C$4:$C$203,0)),"")</f>
        <v/>
      </c>
      <c r="F380" s="66">
        <f t="array" ref="F380">IF(B380="",0,INDEX('Bán nhanh'!$D$4:$M$103,INT((ROW()-4)/10)+1,MOD(ROW()-4,10)+1))</f>
        <v>0</v>
      </c>
      <c r="G380" s="46">
        <f t="array" ref="G380">IFERROR(INDEX('Sản phẩm'!$F$4:$F$103,MATCH(B380,'Sản phẩm'!$D$4:$D$103,0)),0)</f>
        <v>0</v>
      </c>
      <c r="H380" s="67">
        <f t="shared" si="5"/>
        <v>0</v>
      </c>
      <c r="I380" s="46">
        <f t="shared" si="1"/>
        <v>0</v>
      </c>
      <c r="J380" s="46">
        <f t="array" ref="J380">IFERROR(INDEX('Sản phẩm'!$G$4:$G$103,MATCH(B380,'Sản phẩm'!$D$4:$D$103,0)),0)</f>
        <v>0</v>
      </c>
      <c r="K380" s="46">
        <f t="array" ref="K380">IFERROR(J380*INDEX('Mẻ sữa'!$N$4:$N$203,MATCH(D380,'Mẻ sữa'!$C$4:$C$203,0)),0)</f>
        <v>0</v>
      </c>
      <c r="L380" s="46">
        <f t="array" ref="L380">IFERROR(INDEX('Sản phẩm'!$I$4:$I$103,MATCH(B380,'Sản phẩm'!$D$4:$D$103,0)),0)</f>
        <v>0</v>
      </c>
      <c r="M380" s="72" t="str">
        <f t="array" ref="M380">IFERROR(INDEX('Sản phẩm'!$J$4:$J$103,MATCH(B380,'Sản phẩm'!$D$4:$D$103,0)),0)</f>
        <v/>
      </c>
      <c r="N380" s="46">
        <f>IF(B380="",0,(K380+L380+M380)*'Thiết lập'!$B$8)</f>
        <v>0</v>
      </c>
      <c r="O380" s="46">
        <f t="shared" si="2"/>
        <v>0</v>
      </c>
      <c r="P380" s="46">
        <f t="shared" si="3"/>
        <v>0</v>
      </c>
      <c r="Q380" s="46">
        <f t="shared" si="4"/>
        <v>0</v>
      </c>
      <c r="R380" s="71" t="str">
        <f t="array" ref="R380">IF(B380="","",INDEX('Bán nhanh'!$C$4:$C$103,INT((ROW()-4)/10)+1))</f>
        <v/>
      </c>
      <c r="S380" s="71" t="str">
        <f t="array" ref="S380">IF(B380="","",INDEX('Bán nhanh'!$P$4:$P$103,INT((ROW()-4)/10)+1))</f>
        <v/>
      </c>
      <c r="T380" s="58"/>
      <c r="U380" s="36"/>
      <c r="V380" s="36"/>
      <c r="W380" s="58"/>
      <c r="X380" s="36"/>
      <c r="Y380" s="36"/>
      <c r="Z380" s="36"/>
    </row>
    <row r="381" ht="15.75" customHeight="1">
      <c r="A381" s="70" t="str">
        <f t="array" ref="A381">IF(B381="","",INDEX('Bán nhanh'!$A$4:$A$103,INT((ROW()-4)/10)+1))</f>
        <v/>
      </c>
      <c r="B381" s="71" t="str">
        <f t="array" ref="B381">IF(OR(INDEX('Bán nhanh'!$D$3:$M$3,1,MOD(ROW()-4,10)+1)="",INDEX('Bán nhanh'!$D$4:$M$103,INT((ROW()-4)/10)+1,MOD(ROW()-4,10)+1)&lt;=0),"",INDEX('Bán nhanh'!$D$3:$M$3,1,MOD(ROW()-4,10)+1))</f>
        <v/>
      </c>
      <c r="C381" s="58" t="str">
        <f t="array" ref="C381">IFERROR(INDEX('Sản phẩm'!$A$4:$A$103,MATCH(B381,'Sản phẩm'!$D$4:$D$103,0)),"")</f>
        <v/>
      </c>
      <c r="D381" s="71" t="str">
        <f t="array" ref="D381">IF(B381="","",INDEX('Bán nhanh'!$B$4:$B$103,INT((ROW()-4)/10)+1))</f>
        <v/>
      </c>
      <c r="E381" s="58" t="str">
        <f t="array" ref="E381">IFERROR(INDEX('Mẻ sữa'!$B$4:$B$203,MATCH(D381,'Mẻ sữa'!$C$4:$C$203,0)),"")</f>
        <v/>
      </c>
      <c r="F381" s="66">
        <f t="array" ref="F381">IF(B381="",0,INDEX('Bán nhanh'!$D$4:$M$103,INT((ROW()-4)/10)+1,MOD(ROW()-4,10)+1))</f>
        <v>0</v>
      </c>
      <c r="G381" s="46">
        <f t="array" ref="G381">IFERROR(INDEX('Sản phẩm'!$F$4:$F$103,MATCH(B381,'Sản phẩm'!$D$4:$D$103,0)),0)</f>
        <v>0</v>
      </c>
      <c r="H381" s="67">
        <f t="shared" si="5"/>
        <v>0</v>
      </c>
      <c r="I381" s="46">
        <f t="shared" si="1"/>
        <v>0</v>
      </c>
      <c r="J381" s="46">
        <f t="array" ref="J381">IFERROR(INDEX('Sản phẩm'!$G$4:$G$103,MATCH(B381,'Sản phẩm'!$D$4:$D$103,0)),0)</f>
        <v>0</v>
      </c>
      <c r="K381" s="46">
        <f t="array" ref="K381">IFERROR(J381*INDEX('Mẻ sữa'!$N$4:$N$203,MATCH(D381,'Mẻ sữa'!$C$4:$C$203,0)),0)</f>
        <v>0</v>
      </c>
      <c r="L381" s="46">
        <f t="array" ref="L381">IFERROR(INDEX('Sản phẩm'!$I$4:$I$103,MATCH(B381,'Sản phẩm'!$D$4:$D$103,0)),0)</f>
        <v>0</v>
      </c>
      <c r="M381" s="72" t="str">
        <f t="array" ref="M381">IFERROR(INDEX('Sản phẩm'!$J$4:$J$103,MATCH(B381,'Sản phẩm'!$D$4:$D$103,0)),0)</f>
        <v/>
      </c>
      <c r="N381" s="46">
        <f>IF(B381="",0,(K381+L381+M381)*'Thiết lập'!$B$8)</f>
        <v>0</v>
      </c>
      <c r="O381" s="46">
        <f t="shared" si="2"/>
        <v>0</v>
      </c>
      <c r="P381" s="46">
        <f t="shared" si="3"/>
        <v>0</v>
      </c>
      <c r="Q381" s="46">
        <f t="shared" si="4"/>
        <v>0</v>
      </c>
      <c r="R381" s="71" t="str">
        <f t="array" ref="R381">IF(B381="","",INDEX('Bán nhanh'!$C$4:$C$103,INT((ROW()-4)/10)+1))</f>
        <v/>
      </c>
      <c r="S381" s="71" t="str">
        <f t="array" ref="S381">IF(B381="","",INDEX('Bán nhanh'!$P$4:$P$103,INT((ROW()-4)/10)+1))</f>
        <v/>
      </c>
      <c r="T381" s="58"/>
      <c r="U381" s="36"/>
      <c r="V381" s="36"/>
      <c r="W381" s="58"/>
      <c r="X381" s="36"/>
      <c r="Y381" s="36"/>
      <c r="Z381" s="36"/>
    </row>
    <row r="382" ht="15.75" customHeight="1">
      <c r="A382" s="70" t="str">
        <f t="array" ref="A382">IF(B382="","",INDEX('Bán nhanh'!$A$4:$A$103,INT((ROW()-4)/10)+1))</f>
        <v/>
      </c>
      <c r="B382" s="71" t="str">
        <f t="array" ref="B382">IF(OR(INDEX('Bán nhanh'!$D$3:$M$3,1,MOD(ROW()-4,10)+1)="",INDEX('Bán nhanh'!$D$4:$M$103,INT((ROW()-4)/10)+1,MOD(ROW()-4,10)+1)&lt;=0),"",INDEX('Bán nhanh'!$D$3:$M$3,1,MOD(ROW()-4,10)+1))</f>
        <v/>
      </c>
      <c r="C382" s="58" t="str">
        <f t="array" ref="C382">IFERROR(INDEX('Sản phẩm'!$A$4:$A$103,MATCH(B382,'Sản phẩm'!$D$4:$D$103,0)),"")</f>
        <v/>
      </c>
      <c r="D382" s="71" t="str">
        <f t="array" ref="D382">IF(B382="","",INDEX('Bán nhanh'!$B$4:$B$103,INT((ROW()-4)/10)+1))</f>
        <v/>
      </c>
      <c r="E382" s="58" t="str">
        <f t="array" ref="E382">IFERROR(INDEX('Mẻ sữa'!$B$4:$B$203,MATCH(D382,'Mẻ sữa'!$C$4:$C$203,0)),"")</f>
        <v/>
      </c>
      <c r="F382" s="66">
        <f t="array" ref="F382">IF(B382="",0,INDEX('Bán nhanh'!$D$4:$M$103,INT((ROW()-4)/10)+1,MOD(ROW()-4,10)+1))</f>
        <v>0</v>
      </c>
      <c r="G382" s="46">
        <f t="array" ref="G382">IFERROR(INDEX('Sản phẩm'!$F$4:$F$103,MATCH(B382,'Sản phẩm'!$D$4:$D$103,0)),0)</f>
        <v>0</v>
      </c>
      <c r="H382" s="67">
        <f t="shared" si="5"/>
        <v>0</v>
      </c>
      <c r="I382" s="46">
        <f t="shared" si="1"/>
        <v>0</v>
      </c>
      <c r="J382" s="46">
        <f t="array" ref="J382">IFERROR(INDEX('Sản phẩm'!$G$4:$G$103,MATCH(B382,'Sản phẩm'!$D$4:$D$103,0)),0)</f>
        <v>0</v>
      </c>
      <c r="K382" s="46">
        <f t="array" ref="K382">IFERROR(J382*INDEX('Mẻ sữa'!$N$4:$N$203,MATCH(D382,'Mẻ sữa'!$C$4:$C$203,0)),0)</f>
        <v>0</v>
      </c>
      <c r="L382" s="46">
        <f t="array" ref="L382">IFERROR(INDEX('Sản phẩm'!$I$4:$I$103,MATCH(B382,'Sản phẩm'!$D$4:$D$103,0)),0)</f>
        <v>0</v>
      </c>
      <c r="M382" s="72" t="str">
        <f t="array" ref="M382">IFERROR(INDEX('Sản phẩm'!$J$4:$J$103,MATCH(B382,'Sản phẩm'!$D$4:$D$103,0)),0)</f>
        <v/>
      </c>
      <c r="N382" s="46">
        <f>IF(B382="",0,(K382+L382+M382)*'Thiết lập'!$B$8)</f>
        <v>0</v>
      </c>
      <c r="O382" s="46">
        <f t="shared" si="2"/>
        <v>0</v>
      </c>
      <c r="P382" s="46">
        <f t="shared" si="3"/>
        <v>0</v>
      </c>
      <c r="Q382" s="46">
        <f t="shared" si="4"/>
        <v>0</v>
      </c>
      <c r="R382" s="71" t="str">
        <f t="array" ref="R382">IF(B382="","",INDEX('Bán nhanh'!$C$4:$C$103,INT((ROW()-4)/10)+1))</f>
        <v/>
      </c>
      <c r="S382" s="71" t="str">
        <f t="array" ref="S382">IF(B382="","",INDEX('Bán nhanh'!$P$4:$P$103,INT((ROW()-4)/10)+1))</f>
        <v/>
      </c>
      <c r="T382" s="58"/>
      <c r="U382" s="36"/>
      <c r="V382" s="36"/>
      <c r="W382" s="58"/>
      <c r="X382" s="36"/>
      <c r="Y382" s="36"/>
      <c r="Z382" s="36"/>
    </row>
    <row r="383" ht="15.75" customHeight="1">
      <c r="A383" s="70" t="str">
        <f t="array" ref="A383">IF(B383="","",INDEX('Bán nhanh'!$A$4:$A$103,INT((ROW()-4)/10)+1))</f>
        <v/>
      </c>
      <c r="B383" s="71" t="str">
        <f t="array" ref="B383">IF(OR(INDEX('Bán nhanh'!$D$3:$M$3,1,MOD(ROW()-4,10)+1)="",INDEX('Bán nhanh'!$D$4:$M$103,INT((ROW()-4)/10)+1,MOD(ROW()-4,10)+1)&lt;=0),"",INDEX('Bán nhanh'!$D$3:$M$3,1,MOD(ROW()-4,10)+1))</f>
        <v/>
      </c>
      <c r="C383" s="58" t="str">
        <f t="array" ref="C383">IFERROR(INDEX('Sản phẩm'!$A$4:$A$103,MATCH(B383,'Sản phẩm'!$D$4:$D$103,0)),"")</f>
        <v/>
      </c>
      <c r="D383" s="71" t="str">
        <f t="array" ref="D383">IF(B383="","",INDEX('Bán nhanh'!$B$4:$B$103,INT((ROW()-4)/10)+1))</f>
        <v/>
      </c>
      <c r="E383" s="58" t="str">
        <f t="array" ref="E383">IFERROR(INDEX('Mẻ sữa'!$B$4:$B$203,MATCH(D383,'Mẻ sữa'!$C$4:$C$203,0)),"")</f>
        <v/>
      </c>
      <c r="F383" s="66">
        <f t="array" ref="F383">IF(B383="",0,INDEX('Bán nhanh'!$D$4:$M$103,INT((ROW()-4)/10)+1,MOD(ROW()-4,10)+1))</f>
        <v>0</v>
      </c>
      <c r="G383" s="46">
        <f t="array" ref="G383">IFERROR(INDEX('Sản phẩm'!$F$4:$F$103,MATCH(B383,'Sản phẩm'!$D$4:$D$103,0)),0)</f>
        <v>0</v>
      </c>
      <c r="H383" s="67">
        <f t="shared" si="5"/>
        <v>0</v>
      </c>
      <c r="I383" s="46">
        <f t="shared" si="1"/>
        <v>0</v>
      </c>
      <c r="J383" s="46">
        <f t="array" ref="J383">IFERROR(INDEX('Sản phẩm'!$G$4:$G$103,MATCH(B383,'Sản phẩm'!$D$4:$D$103,0)),0)</f>
        <v>0</v>
      </c>
      <c r="K383" s="46">
        <f t="array" ref="K383">IFERROR(J383*INDEX('Mẻ sữa'!$N$4:$N$203,MATCH(D383,'Mẻ sữa'!$C$4:$C$203,0)),0)</f>
        <v>0</v>
      </c>
      <c r="L383" s="46">
        <f t="array" ref="L383">IFERROR(INDEX('Sản phẩm'!$I$4:$I$103,MATCH(B383,'Sản phẩm'!$D$4:$D$103,0)),0)</f>
        <v>0</v>
      </c>
      <c r="M383" s="72" t="str">
        <f t="array" ref="M383">IFERROR(INDEX('Sản phẩm'!$J$4:$J$103,MATCH(B383,'Sản phẩm'!$D$4:$D$103,0)),0)</f>
        <v/>
      </c>
      <c r="N383" s="46">
        <f>IF(B383="",0,(K383+L383+M383)*'Thiết lập'!$B$8)</f>
        <v>0</v>
      </c>
      <c r="O383" s="46">
        <f t="shared" si="2"/>
        <v>0</v>
      </c>
      <c r="P383" s="46">
        <f t="shared" si="3"/>
        <v>0</v>
      </c>
      <c r="Q383" s="46">
        <f t="shared" si="4"/>
        <v>0</v>
      </c>
      <c r="R383" s="71" t="str">
        <f t="array" ref="R383">IF(B383="","",INDEX('Bán nhanh'!$C$4:$C$103,INT((ROW()-4)/10)+1))</f>
        <v/>
      </c>
      <c r="S383" s="71" t="str">
        <f t="array" ref="S383">IF(B383="","",INDEX('Bán nhanh'!$P$4:$P$103,INT((ROW()-4)/10)+1))</f>
        <v/>
      </c>
      <c r="T383" s="58"/>
      <c r="U383" s="36"/>
      <c r="V383" s="36"/>
      <c r="W383" s="58"/>
      <c r="X383" s="36"/>
      <c r="Y383" s="36"/>
      <c r="Z383" s="36"/>
    </row>
    <row r="384" ht="15.75" customHeight="1">
      <c r="A384" s="70" t="str">
        <f t="array" ref="A384">IF(B384="","",INDEX('Bán nhanh'!$A$4:$A$103,INT((ROW()-4)/10)+1))</f>
        <v/>
      </c>
      <c r="B384" s="71" t="str">
        <f t="array" ref="B384">IF(OR(INDEX('Bán nhanh'!$D$3:$M$3,1,MOD(ROW()-4,10)+1)="",INDEX('Bán nhanh'!$D$4:$M$103,INT((ROW()-4)/10)+1,MOD(ROW()-4,10)+1)&lt;=0),"",INDEX('Bán nhanh'!$D$3:$M$3,1,MOD(ROW()-4,10)+1))</f>
        <v/>
      </c>
      <c r="C384" s="58" t="str">
        <f t="array" ref="C384">IFERROR(INDEX('Sản phẩm'!$A$4:$A$103,MATCH(B384,'Sản phẩm'!$D$4:$D$103,0)),"")</f>
        <v/>
      </c>
      <c r="D384" s="71" t="str">
        <f t="array" ref="D384">IF(B384="","",INDEX('Bán nhanh'!$B$4:$B$103,INT((ROW()-4)/10)+1))</f>
        <v/>
      </c>
      <c r="E384" s="58" t="str">
        <f t="array" ref="E384">IFERROR(INDEX('Mẻ sữa'!$B$4:$B$203,MATCH(D384,'Mẻ sữa'!$C$4:$C$203,0)),"")</f>
        <v/>
      </c>
      <c r="F384" s="66">
        <f t="array" ref="F384">IF(B384="",0,INDEX('Bán nhanh'!$D$4:$M$103,INT((ROW()-4)/10)+1,MOD(ROW()-4,10)+1))</f>
        <v>0</v>
      </c>
      <c r="G384" s="46">
        <f t="array" ref="G384">IFERROR(INDEX('Sản phẩm'!$F$4:$F$103,MATCH(B384,'Sản phẩm'!$D$4:$D$103,0)),0)</f>
        <v>0</v>
      </c>
      <c r="H384" s="67">
        <f t="shared" si="5"/>
        <v>0</v>
      </c>
      <c r="I384" s="46">
        <f t="shared" si="1"/>
        <v>0</v>
      </c>
      <c r="J384" s="46">
        <f t="array" ref="J384">IFERROR(INDEX('Sản phẩm'!$G$4:$G$103,MATCH(B384,'Sản phẩm'!$D$4:$D$103,0)),0)</f>
        <v>0</v>
      </c>
      <c r="K384" s="46">
        <f t="array" ref="K384">IFERROR(J384*INDEX('Mẻ sữa'!$N$4:$N$203,MATCH(D384,'Mẻ sữa'!$C$4:$C$203,0)),0)</f>
        <v>0</v>
      </c>
      <c r="L384" s="46">
        <f t="array" ref="L384">IFERROR(INDEX('Sản phẩm'!$I$4:$I$103,MATCH(B384,'Sản phẩm'!$D$4:$D$103,0)),0)</f>
        <v>0</v>
      </c>
      <c r="M384" s="72" t="str">
        <f t="array" ref="M384">IFERROR(INDEX('Sản phẩm'!$J$4:$J$103,MATCH(B384,'Sản phẩm'!$D$4:$D$103,0)),0)</f>
        <v/>
      </c>
      <c r="N384" s="46">
        <f>IF(B384="",0,(K384+L384+M384)*'Thiết lập'!$B$8)</f>
        <v>0</v>
      </c>
      <c r="O384" s="46">
        <f t="shared" si="2"/>
        <v>0</v>
      </c>
      <c r="P384" s="46">
        <f t="shared" si="3"/>
        <v>0</v>
      </c>
      <c r="Q384" s="46">
        <f t="shared" si="4"/>
        <v>0</v>
      </c>
      <c r="R384" s="71" t="str">
        <f t="array" ref="R384">IF(B384="","",INDEX('Bán nhanh'!$C$4:$C$103,INT((ROW()-4)/10)+1))</f>
        <v/>
      </c>
      <c r="S384" s="71" t="str">
        <f t="array" ref="S384">IF(B384="","",INDEX('Bán nhanh'!$P$4:$P$103,INT((ROW()-4)/10)+1))</f>
        <v/>
      </c>
      <c r="T384" s="58"/>
      <c r="U384" s="36"/>
      <c r="V384" s="36"/>
      <c r="W384" s="58"/>
      <c r="X384" s="36"/>
      <c r="Y384" s="36"/>
      <c r="Z384" s="36"/>
    </row>
    <row r="385" ht="15.75" customHeight="1">
      <c r="A385" s="70" t="str">
        <f t="array" ref="A385">IF(B385="","",INDEX('Bán nhanh'!$A$4:$A$103,INT((ROW()-4)/10)+1))</f>
        <v/>
      </c>
      <c r="B385" s="71" t="str">
        <f t="array" ref="B385">IF(OR(INDEX('Bán nhanh'!$D$3:$M$3,1,MOD(ROW()-4,10)+1)="",INDEX('Bán nhanh'!$D$4:$M$103,INT((ROW()-4)/10)+1,MOD(ROW()-4,10)+1)&lt;=0),"",INDEX('Bán nhanh'!$D$3:$M$3,1,MOD(ROW()-4,10)+1))</f>
        <v/>
      </c>
      <c r="C385" s="58" t="str">
        <f t="array" ref="C385">IFERROR(INDEX('Sản phẩm'!$A$4:$A$103,MATCH(B385,'Sản phẩm'!$D$4:$D$103,0)),"")</f>
        <v/>
      </c>
      <c r="D385" s="71" t="str">
        <f t="array" ref="D385">IF(B385="","",INDEX('Bán nhanh'!$B$4:$B$103,INT((ROW()-4)/10)+1))</f>
        <v/>
      </c>
      <c r="E385" s="58" t="str">
        <f t="array" ref="E385">IFERROR(INDEX('Mẻ sữa'!$B$4:$B$203,MATCH(D385,'Mẻ sữa'!$C$4:$C$203,0)),"")</f>
        <v/>
      </c>
      <c r="F385" s="66">
        <f t="array" ref="F385">IF(B385="",0,INDEX('Bán nhanh'!$D$4:$M$103,INT((ROW()-4)/10)+1,MOD(ROW()-4,10)+1))</f>
        <v>0</v>
      </c>
      <c r="G385" s="46">
        <f t="array" ref="G385">IFERROR(INDEX('Sản phẩm'!$F$4:$F$103,MATCH(B385,'Sản phẩm'!$D$4:$D$103,0)),0)</f>
        <v>0</v>
      </c>
      <c r="H385" s="67">
        <f t="shared" si="5"/>
        <v>0</v>
      </c>
      <c r="I385" s="46">
        <f t="shared" si="1"/>
        <v>0</v>
      </c>
      <c r="J385" s="46">
        <f t="array" ref="J385">IFERROR(INDEX('Sản phẩm'!$G$4:$G$103,MATCH(B385,'Sản phẩm'!$D$4:$D$103,0)),0)</f>
        <v>0</v>
      </c>
      <c r="K385" s="46">
        <f t="array" ref="K385">IFERROR(J385*INDEX('Mẻ sữa'!$N$4:$N$203,MATCH(D385,'Mẻ sữa'!$C$4:$C$203,0)),0)</f>
        <v>0</v>
      </c>
      <c r="L385" s="46">
        <f t="array" ref="L385">IFERROR(INDEX('Sản phẩm'!$I$4:$I$103,MATCH(B385,'Sản phẩm'!$D$4:$D$103,0)),0)</f>
        <v>0</v>
      </c>
      <c r="M385" s="72" t="str">
        <f t="array" ref="M385">IFERROR(INDEX('Sản phẩm'!$J$4:$J$103,MATCH(B385,'Sản phẩm'!$D$4:$D$103,0)),0)</f>
        <v/>
      </c>
      <c r="N385" s="46">
        <f>IF(B385="",0,(K385+L385+M385)*'Thiết lập'!$B$8)</f>
        <v>0</v>
      </c>
      <c r="O385" s="46">
        <f t="shared" si="2"/>
        <v>0</v>
      </c>
      <c r="P385" s="46">
        <f t="shared" si="3"/>
        <v>0</v>
      </c>
      <c r="Q385" s="46">
        <f t="shared" si="4"/>
        <v>0</v>
      </c>
      <c r="R385" s="71" t="str">
        <f t="array" ref="R385">IF(B385="","",INDEX('Bán nhanh'!$C$4:$C$103,INT((ROW()-4)/10)+1))</f>
        <v/>
      </c>
      <c r="S385" s="71" t="str">
        <f t="array" ref="S385">IF(B385="","",INDEX('Bán nhanh'!$P$4:$P$103,INT((ROW()-4)/10)+1))</f>
        <v/>
      </c>
      <c r="T385" s="58"/>
      <c r="U385" s="36"/>
      <c r="V385" s="36"/>
      <c r="W385" s="58"/>
      <c r="X385" s="36"/>
      <c r="Y385" s="36"/>
      <c r="Z385" s="36"/>
    </row>
    <row r="386" ht="15.75" customHeight="1">
      <c r="A386" s="70" t="str">
        <f t="array" ref="A386">IF(B386="","",INDEX('Bán nhanh'!$A$4:$A$103,INT((ROW()-4)/10)+1))</f>
        <v/>
      </c>
      <c r="B386" s="71" t="str">
        <f t="array" ref="B386">IF(OR(INDEX('Bán nhanh'!$D$3:$M$3,1,MOD(ROW()-4,10)+1)="",INDEX('Bán nhanh'!$D$4:$M$103,INT((ROW()-4)/10)+1,MOD(ROW()-4,10)+1)&lt;=0),"",INDEX('Bán nhanh'!$D$3:$M$3,1,MOD(ROW()-4,10)+1))</f>
        <v/>
      </c>
      <c r="C386" s="58" t="str">
        <f t="array" ref="C386">IFERROR(INDEX('Sản phẩm'!$A$4:$A$103,MATCH(B386,'Sản phẩm'!$D$4:$D$103,0)),"")</f>
        <v/>
      </c>
      <c r="D386" s="71" t="str">
        <f t="array" ref="D386">IF(B386="","",INDEX('Bán nhanh'!$B$4:$B$103,INT((ROW()-4)/10)+1))</f>
        <v/>
      </c>
      <c r="E386" s="58" t="str">
        <f t="array" ref="E386">IFERROR(INDEX('Mẻ sữa'!$B$4:$B$203,MATCH(D386,'Mẻ sữa'!$C$4:$C$203,0)),"")</f>
        <v/>
      </c>
      <c r="F386" s="66">
        <f t="array" ref="F386">IF(B386="",0,INDEX('Bán nhanh'!$D$4:$M$103,INT((ROW()-4)/10)+1,MOD(ROW()-4,10)+1))</f>
        <v>0</v>
      </c>
      <c r="G386" s="46">
        <f t="array" ref="G386">IFERROR(INDEX('Sản phẩm'!$F$4:$F$103,MATCH(B386,'Sản phẩm'!$D$4:$D$103,0)),0)</f>
        <v>0</v>
      </c>
      <c r="H386" s="67">
        <f t="shared" si="5"/>
        <v>0</v>
      </c>
      <c r="I386" s="46">
        <f t="shared" si="1"/>
        <v>0</v>
      </c>
      <c r="J386" s="46">
        <f t="array" ref="J386">IFERROR(INDEX('Sản phẩm'!$G$4:$G$103,MATCH(B386,'Sản phẩm'!$D$4:$D$103,0)),0)</f>
        <v>0</v>
      </c>
      <c r="K386" s="46">
        <f t="array" ref="K386">IFERROR(J386*INDEX('Mẻ sữa'!$N$4:$N$203,MATCH(D386,'Mẻ sữa'!$C$4:$C$203,0)),0)</f>
        <v>0</v>
      </c>
      <c r="L386" s="46">
        <f t="array" ref="L386">IFERROR(INDEX('Sản phẩm'!$I$4:$I$103,MATCH(B386,'Sản phẩm'!$D$4:$D$103,0)),0)</f>
        <v>0</v>
      </c>
      <c r="M386" s="72" t="str">
        <f t="array" ref="M386">IFERROR(INDEX('Sản phẩm'!$J$4:$J$103,MATCH(B386,'Sản phẩm'!$D$4:$D$103,0)),0)</f>
        <v/>
      </c>
      <c r="N386" s="46">
        <f>IF(B386="",0,(K386+L386+M386)*'Thiết lập'!$B$8)</f>
        <v>0</v>
      </c>
      <c r="O386" s="46">
        <f t="shared" si="2"/>
        <v>0</v>
      </c>
      <c r="P386" s="46">
        <f t="shared" si="3"/>
        <v>0</v>
      </c>
      <c r="Q386" s="46">
        <f t="shared" si="4"/>
        <v>0</v>
      </c>
      <c r="R386" s="71" t="str">
        <f t="array" ref="R386">IF(B386="","",INDEX('Bán nhanh'!$C$4:$C$103,INT((ROW()-4)/10)+1))</f>
        <v/>
      </c>
      <c r="S386" s="71" t="str">
        <f t="array" ref="S386">IF(B386="","",INDEX('Bán nhanh'!$P$4:$P$103,INT((ROW()-4)/10)+1))</f>
        <v/>
      </c>
      <c r="T386" s="58"/>
      <c r="U386" s="36"/>
      <c r="V386" s="36"/>
      <c r="W386" s="58"/>
      <c r="X386" s="36"/>
      <c r="Y386" s="36"/>
      <c r="Z386" s="36"/>
    </row>
    <row r="387" ht="15.75" customHeight="1">
      <c r="A387" s="70" t="str">
        <f t="array" ref="A387">IF(B387="","",INDEX('Bán nhanh'!$A$4:$A$103,INT((ROW()-4)/10)+1))</f>
        <v/>
      </c>
      <c r="B387" s="71" t="str">
        <f t="array" ref="B387">IF(OR(INDEX('Bán nhanh'!$D$3:$M$3,1,MOD(ROW()-4,10)+1)="",INDEX('Bán nhanh'!$D$4:$M$103,INT((ROW()-4)/10)+1,MOD(ROW()-4,10)+1)&lt;=0),"",INDEX('Bán nhanh'!$D$3:$M$3,1,MOD(ROW()-4,10)+1))</f>
        <v/>
      </c>
      <c r="C387" s="58" t="str">
        <f t="array" ref="C387">IFERROR(INDEX('Sản phẩm'!$A$4:$A$103,MATCH(B387,'Sản phẩm'!$D$4:$D$103,0)),"")</f>
        <v/>
      </c>
      <c r="D387" s="71" t="str">
        <f t="array" ref="D387">IF(B387="","",INDEX('Bán nhanh'!$B$4:$B$103,INT((ROW()-4)/10)+1))</f>
        <v/>
      </c>
      <c r="E387" s="58" t="str">
        <f t="array" ref="E387">IFERROR(INDEX('Mẻ sữa'!$B$4:$B$203,MATCH(D387,'Mẻ sữa'!$C$4:$C$203,0)),"")</f>
        <v/>
      </c>
      <c r="F387" s="66">
        <f t="array" ref="F387">IF(B387="",0,INDEX('Bán nhanh'!$D$4:$M$103,INT((ROW()-4)/10)+1,MOD(ROW()-4,10)+1))</f>
        <v>0</v>
      </c>
      <c r="G387" s="46">
        <f t="array" ref="G387">IFERROR(INDEX('Sản phẩm'!$F$4:$F$103,MATCH(B387,'Sản phẩm'!$D$4:$D$103,0)),0)</f>
        <v>0</v>
      </c>
      <c r="H387" s="67">
        <f t="shared" si="5"/>
        <v>0</v>
      </c>
      <c r="I387" s="46">
        <f t="shared" si="1"/>
        <v>0</v>
      </c>
      <c r="J387" s="46">
        <f t="array" ref="J387">IFERROR(INDEX('Sản phẩm'!$G$4:$G$103,MATCH(B387,'Sản phẩm'!$D$4:$D$103,0)),0)</f>
        <v>0</v>
      </c>
      <c r="K387" s="46">
        <f t="array" ref="K387">IFERROR(J387*INDEX('Mẻ sữa'!$N$4:$N$203,MATCH(D387,'Mẻ sữa'!$C$4:$C$203,0)),0)</f>
        <v>0</v>
      </c>
      <c r="L387" s="46">
        <f t="array" ref="L387">IFERROR(INDEX('Sản phẩm'!$I$4:$I$103,MATCH(B387,'Sản phẩm'!$D$4:$D$103,0)),0)</f>
        <v>0</v>
      </c>
      <c r="M387" s="72" t="str">
        <f t="array" ref="M387">IFERROR(INDEX('Sản phẩm'!$J$4:$J$103,MATCH(B387,'Sản phẩm'!$D$4:$D$103,0)),0)</f>
        <v/>
      </c>
      <c r="N387" s="46">
        <f>IF(B387="",0,(K387+L387+M387)*'Thiết lập'!$B$8)</f>
        <v>0</v>
      </c>
      <c r="O387" s="46">
        <f t="shared" si="2"/>
        <v>0</v>
      </c>
      <c r="P387" s="46">
        <f t="shared" si="3"/>
        <v>0</v>
      </c>
      <c r="Q387" s="46">
        <f t="shared" si="4"/>
        <v>0</v>
      </c>
      <c r="R387" s="71" t="str">
        <f t="array" ref="R387">IF(B387="","",INDEX('Bán nhanh'!$C$4:$C$103,INT((ROW()-4)/10)+1))</f>
        <v/>
      </c>
      <c r="S387" s="71" t="str">
        <f t="array" ref="S387">IF(B387="","",INDEX('Bán nhanh'!$P$4:$P$103,INT((ROW()-4)/10)+1))</f>
        <v/>
      </c>
      <c r="T387" s="58"/>
      <c r="U387" s="36"/>
      <c r="V387" s="36"/>
      <c r="W387" s="58"/>
      <c r="X387" s="36"/>
      <c r="Y387" s="36"/>
      <c r="Z387" s="36"/>
    </row>
    <row r="388" ht="15.75" customHeight="1">
      <c r="A388" s="70" t="str">
        <f t="array" ref="A388">IF(B388="","",INDEX('Bán nhanh'!$A$4:$A$103,INT((ROW()-4)/10)+1))</f>
        <v/>
      </c>
      <c r="B388" s="71" t="str">
        <f t="array" ref="B388">IF(OR(INDEX('Bán nhanh'!$D$3:$M$3,1,MOD(ROW()-4,10)+1)="",INDEX('Bán nhanh'!$D$4:$M$103,INT((ROW()-4)/10)+1,MOD(ROW()-4,10)+1)&lt;=0),"",INDEX('Bán nhanh'!$D$3:$M$3,1,MOD(ROW()-4,10)+1))</f>
        <v/>
      </c>
      <c r="C388" s="58" t="str">
        <f t="array" ref="C388">IFERROR(INDEX('Sản phẩm'!$A$4:$A$103,MATCH(B388,'Sản phẩm'!$D$4:$D$103,0)),"")</f>
        <v/>
      </c>
      <c r="D388" s="71" t="str">
        <f t="array" ref="D388">IF(B388="","",INDEX('Bán nhanh'!$B$4:$B$103,INT((ROW()-4)/10)+1))</f>
        <v/>
      </c>
      <c r="E388" s="58" t="str">
        <f t="array" ref="E388">IFERROR(INDEX('Mẻ sữa'!$B$4:$B$203,MATCH(D388,'Mẻ sữa'!$C$4:$C$203,0)),"")</f>
        <v/>
      </c>
      <c r="F388" s="66">
        <f t="array" ref="F388">IF(B388="",0,INDEX('Bán nhanh'!$D$4:$M$103,INT((ROW()-4)/10)+1,MOD(ROW()-4,10)+1))</f>
        <v>0</v>
      </c>
      <c r="G388" s="46">
        <f t="array" ref="G388">IFERROR(INDEX('Sản phẩm'!$F$4:$F$103,MATCH(B388,'Sản phẩm'!$D$4:$D$103,0)),0)</f>
        <v>0</v>
      </c>
      <c r="H388" s="67">
        <f t="shared" si="5"/>
        <v>0</v>
      </c>
      <c r="I388" s="46">
        <f t="shared" si="1"/>
        <v>0</v>
      </c>
      <c r="J388" s="46">
        <f t="array" ref="J388">IFERROR(INDEX('Sản phẩm'!$G$4:$G$103,MATCH(B388,'Sản phẩm'!$D$4:$D$103,0)),0)</f>
        <v>0</v>
      </c>
      <c r="K388" s="46">
        <f t="array" ref="K388">IFERROR(J388*INDEX('Mẻ sữa'!$N$4:$N$203,MATCH(D388,'Mẻ sữa'!$C$4:$C$203,0)),0)</f>
        <v>0</v>
      </c>
      <c r="L388" s="46">
        <f t="array" ref="L388">IFERROR(INDEX('Sản phẩm'!$I$4:$I$103,MATCH(B388,'Sản phẩm'!$D$4:$D$103,0)),0)</f>
        <v>0</v>
      </c>
      <c r="M388" s="72" t="str">
        <f t="array" ref="M388">IFERROR(INDEX('Sản phẩm'!$J$4:$J$103,MATCH(B388,'Sản phẩm'!$D$4:$D$103,0)),0)</f>
        <v/>
      </c>
      <c r="N388" s="46">
        <f>IF(B388="",0,(K388+L388+M388)*'Thiết lập'!$B$8)</f>
        <v>0</v>
      </c>
      <c r="O388" s="46">
        <f t="shared" si="2"/>
        <v>0</v>
      </c>
      <c r="P388" s="46">
        <f t="shared" si="3"/>
        <v>0</v>
      </c>
      <c r="Q388" s="46">
        <f t="shared" si="4"/>
        <v>0</v>
      </c>
      <c r="R388" s="71" t="str">
        <f t="array" ref="R388">IF(B388="","",INDEX('Bán nhanh'!$C$4:$C$103,INT((ROW()-4)/10)+1))</f>
        <v/>
      </c>
      <c r="S388" s="71" t="str">
        <f t="array" ref="S388">IF(B388="","",INDEX('Bán nhanh'!$P$4:$P$103,INT((ROW()-4)/10)+1))</f>
        <v/>
      </c>
      <c r="T388" s="58"/>
      <c r="U388" s="36"/>
      <c r="V388" s="36"/>
      <c r="W388" s="58"/>
      <c r="X388" s="36"/>
      <c r="Y388" s="36"/>
      <c r="Z388" s="36"/>
    </row>
    <row r="389" ht="15.75" customHeight="1">
      <c r="A389" s="70" t="str">
        <f t="array" ref="A389">IF(B389="","",INDEX('Bán nhanh'!$A$4:$A$103,INT((ROW()-4)/10)+1))</f>
        <v/>
      </c>
      <c r="B389" s="71" t="str">
        <f t="array" ref="B389">IF(OR(INDEX('Bán nhanh'!$D$3:$M$3,1,MOD(ROW()-4,10)+1)="",INDEX('Bán nhanh'!$D$4:$M$103,INT((ROW()-4)/10)+1,MOD(ROW()-4,10)+1)&lt;=0),"",INDEX('Bán nhanh'!$D$3:$M$3,1,MOD(ROW()-4,10)+1))</f>
        <v/>
      </c>
      <c r="C389" s="58" t="str">
        <f t="array" ref="C389">IFERROR(INDEX('Sản phẩm'!$A$4:$A$103,MATCH(B389,'Sản phẩm'!$D$4:$D$103,0)),"")</f>
        <v/>
      </c>
      <c r="D389" s="71" t="str">
        <f t="array" ref="D389">IF(B389="","",INDEX('Bán nhanh'!$B$4:$B$103,INT((ROW()-4)/10)+1))</f>
        <v/>
      </c>
      <c r="E389" s="58" t="str">
        <f t="array" ref="E389">IFERROR(INDEX('Mẻ sữa'!$B$4:$B$203,MATCH(D389,'Mẻ sữa'!$C$4:$C$203,0)),"")</f>
        <v/>
      </c>
      <c r="F389" s="66">
        <f t="array" ref="F389">IF(B389="",0,INDEX('Bán nhanh'!$D$4:$M$103,INT((ROW()-4)/10)+1,MOD(ROW()-4,10)+1))</f>
        <v>0</v>
      </c>
      <c r="G389" s="46">
        <f t="array" ref="G389">IFERROR(INDEX('Sản phẩm'!$F$4:$F$103,MATCH(B389,'Sản phẩm'!$D$4:$D$103,0)),0)</f>
        <v>0</v>
      </c>
      <c r="H389" s="67">
        <f t="shared" si="5"/>
        <v>0</v>
      </c>
      <c r="I389" s="46">
        <f t="shared" si="1"/>
        <v>0</v>
      </c>
      <c r="J389" s="46">
        <f t="array" ref="J389">IFERROR(INDEX('Sản phẩm'!$G$4:$G$103,MATCH(B389,'Sản phẩm'!$D$4:$D$103,0)),0)</f>
        <v>0</v>
      </c>
      <c r="K389" s="46">
        <f t="array" ref="K389">IFERROR(J389*INDEX('Mẻ sữa'!$N$4:$N$203,MATCH(D389,'Mẻ sữa'!$C$4:$C$203,0)),0)</f>
        <v>0</v>
      </c>
      <c r="L389" s="46">
        <f t="array" ref="L389">IFERROR(INDEX('Sản phẩm'!$I$4:$I$103,MATCH(B389,'Sản phẩm'!$D$4:$D$103,0)),0)</f>
        <v>0</v>
      </c>
      <c r="M389" s="72" t="str">
        <f t="array" ref="M389">IFERROR(INDEX('Sản phẩm'!$J$4:$J$103,MATCH(B389,'Sản phẩm'!$D$4:$D$103,0)),0)</f>
        <v/>
      </c>
      <c r="N389" s="46">
        <f>IF(B389="",0,(K389+L389+M389)*'Thiết lập'!$B$8)</f>
        <v>0</v>
      </c>
      <c r="O389" s="46">
        <f t="shared" si="2"/>
        <v>0</v>
      </c>
      <c r="P389" s="46">
        <f t="shared" si="3"/>
        <v>0</v>
      </c>
      <c r="Q389" s="46">
        <f t="shared" si="4"/>
        <v>0</v>
      </c>
      <c r="R389" s="71" t="str">
        <f t="array" ref="R389">IF(B389="","",INDEX('Bán nhanh'!$C$4:$C$103,INT((ROW()-4)/10)+1))</f>
        <v/>
      </c>
      <c r="S389" s="71" t="str">
        <f t="array" ref="S389">IF(B389="","",INDEX('Bán nhanh'!$P$4:$P$103,INT((ROW()-4)/10)+1))</f>
        <v/>
      </c>
      <c r="T389" s="58"/>
      <c r="U389" s="36"/>
      <c r="V389" s="36"/>
      <c r="W389" s="58"/>
      <c r="X389" s="36"/>
      <c r="Y389" s="36"/>
      <c r="Z389" s="36"/>
    </row>
    <row r="390" ht="15.75" customHeight="1">
      <c r="A390" s="70" t="str">
        <f t="array" ref="A390">IF(B390="","",INDEX('Bán nhanh'!$A$4:$A$103,INT((ROW()-4)/10)+1))</f>
        <v/>
      </c>
      <c r="B390" s="71" t="str">
        <f t="array" ref="B390">IF(OR(INDEX('Bán nhanh'!$D$3:$M$3,1,MOD(ROW()-4,10)+1)="",INDEX('Bán nhanh'!$D$4:$M$103,INT((ROW()-4)/10)+1,MOD(ROW()-4,10)+1)&lt;=0),"",INDEX('Bán nhanh'!$D$3:$M$3,1,MOD(ROW()-4,10)+1))</f>
        <v/>
      </c>
      <c r="C390" s="58" t="str">
        <f t="array" ref="C390">IFERROR(INDEX('Sản phẩm'!$A$4:$A$103,MATCH(B390,'Sản phẩm'!$D$4:$D$103,0)),"")</f>
        <v/>
      </c>
      <c r="D390" s="71" t="str">
        <f t="array" ref="D390">IF(B390="","",INDEX('Bán nhanh'!$B$4:$B$103,INT((ROW()-4)/10)+1))</f>
        <v/>
      </c>
      <c r="E390" s="58" t="str">
        <f t="array" ref="E390">IFERROR(INDEX('Mẻ sữa'!$B$4:$B$203,MATCH(D390,'Mẻ sữa'!$C$4:$C$203,0)),"")</f>
        <v/>
      </c>
      <c r="F390" s="66">
        <f t="array" ref="F390">IF(B390="",0,INDEX('Bán nhanh'!$D$4:$M$103,INT((ROW()-4)/10)+1,MOD(ROW()-4,10)+1))</f>
        <v>0</v>
      </c>
      <c r="G390" s="46">
        <f t="array" ref="G390">IFERROR(INDEX('Sản phẩm'!$F$4:$F$103,MATCH(B390,'Sản phẩm'!$D$4:$D$103,0)),0)</f>
        <v>0</v>
      </c>
      <c r="H390" s="67">
        <f t="shared" si="5"/>
        <v>0</v>
      </c>
      <c r="I390" s="46">
        <f t="shared" si="1"/>
        <v>0</v>
      </c>
      <c r="J390" s="46">
        <f t="array" ref="J390">IFERROR(INDEX('Sản phẩm'!$G$4:$G$103,MATCH(B390,'Sản phẩm'!$D$4:$D$103,0)),0)</f>
        <v>0</v>
      </c>
      <c r="K390" s="46">
        <f t="array" ref="K390">IFERROR(J390*INDEX('Mẻ sữa'!$N$4:$N$203,MATCH(D390,'Mẻ sữa'!$C$4:$C$203,0)),0)</f>
        <v>0</v>
      </c>
      <c r="L390" s="46">
        <f t="array" ref="L390">IFERROR(INDEX('Sản phẩm'!$I$4:$I$103,MATCH(B390,'Sản phẩm'!$D$4:$D$103,0)),0)</f>
        <v>0</v>
      </c>
      <c r="M390" s="72" t="str">
        <f t="array" ref="M390">IFERROR(INDEX('Sản phẩm'!$J$4:$J$103,MATCH(B390,'Sản phẩm'!$D$4:$D$103,0)),0)</f>
        <v/>
      </c>
      <c r="N390" s="46">
        <f>IF(B390="",0,(K390+L390+M390)*'Thiết lập'!$B$8)</f>
        <v>0</v>
      </c>
      <c r="O390" s="46">
        <f t="shared" si="2"/>
        <v>0</v>
      </c>
      <c r="P390" s="46">
        <f t="shared" si="3"/>
        <v>0</v>
      </c>
      <c r="Q390" s="46">
        <f t="shared" si="4"/>
        <v>0</v>
      </c>
      <c r="R390" s="71" t="str">
        <f t="array" ref="R390">IF(B390="","",INDEX('Bán nhanh'!$C$4:$C$103,INT((ROW()-4)/10)+1))</f>
        <v/>
      </c>
      <c r="S390" s="71" t="str">
        <f t="array" ref="S390">IF(B390="","",INDEX('Bán nhanh'!$P$4:$P$103,INT((ROW()-4)/10)+1))</f>
        <v/>
      </c>
      <c r="T390" s="58"/>
      <c r="U390" s="36"/>
      <c r="V390" s="36"/>
      <c r="W390" s="58"/>
      <c r="X390" s="36"/>
      <c r="Y390" s="36"/>
      <c r="Z390" s="36"/>
    </row>
    <row r="391" ht="15.75" customHeight="1">
      <c r="A391" s="70" t="str">
        <f t="array" ref="A391">IF(B391="","",INDEX('Bán nhanh'!$A$4:$A$103,INT((ROW()-4)/10)+1))</f>
        <v/>
      </c>
      <c r="B391" s="71" t="str">
        <f t="array" ref="B391">IF(OR(INDEX('Bán nhanh'!$D$3:$M$3,1,MOD(ROW()-4,10)+1)="",INDEX('Bán nhanh'!$D$4:$M$103,INT((ROW()-4)/10)+1,MOD(ROW()-4,10)+1)&lt;=0),"",INDEX('Bán nhanh'!$D$3:$M$3,1,MOD(ROW()-4,10)+1))</f>
        <v/>
      </c>
      <c r="C391" s="58" t="str">
        <f t="array" ref="C391">IFERROR(INDEX('Sản phẩm'!$A$4:$A$103,MATCH(B391,'Sản phẩm'!$D$4:$D$103,0)),"")</f>
        <v/>
      </c>
      <c r="D391" s="71" t="str">
        <f t="array" ref="D391">IF(B391="","",INDEX('Bán nhanh'!$B$4:$B$103,INT((ROW()-4)/10)+1))</f>
        <v/>
      </c>
      <c r="E391" s="58" t="str">
        <f t="array" ref="E391">IFERROR(INDEX('Mẻ sữa'!$B$4:$B$203,MATCH(D391,'Mẻ sữa'!$C$4:$C$203,0)),"")</f>
        <v/>
      </c>
      <c r="F391" s="66">
        <f t="array" ref="F391">IF(B391="",0,INDEX('Bán nhanh'!$D$4:$M$103,INT((ROW()-4)/10)+1,MOD(ROW()-4,10)+1))</f>
        <v>0</v>
      </c>
      <c r="G391" s="46">
        <f t="array" ref="G391">IFERROR(INDEX('Sản phẩm'!$F$4:$F$103,MATCH(B391,'Sản phẩm'!$D$4:$D$103,0)),0)</f>
        <v>0</v>
      </c>
      <c r="H391" s="67">
        <f t="shared" si="5"/>
        <v>0</v>
      </c>
      <c r="I391" s="46">
        <f t="shared" si="1"/>
        <v>0</v>
      </c>
      <c r="J391" s="46">
        <f t="array" ref="J391">IFERROR(INDEX('Sản phẩm'!$G$4:$G$103,MATCH(B391,'Sản phẩm'!$D$4:$D$103,0)),0)</f>
        <v>0</v>
      </c>
      <c r="K391" s="46">
        <f t="array" ref="K391">IFERROR(J391*INDEX('Mẻ sữa'!$N$4:$N$203,MATCH(D391,'Mẻ sữa'!$C$4:$C$203,0)),0)</f>
        <v>0</v>
      </c>
      <c r="L391" s="46">
        <f t="array" ref="L391">IFERROR(INDEX('Sản phẩm'!$I$4:$I$103,MATCH(B391,'Sản phẩm'!$D$4:$D$103,0)),0)</f>
        <v>0</v>
      </c>
      <c r="M391" s="72" t="str">
        <f t="array" ref="M391">IFERROR(INDEX('Sản phẩm'!$J$4:$J$103,MATCH(B391,'Sản phẩm'!$D$4:$D$103,0)),0)</f>
        <v/>
      </c>
      <c r="N391" s="46">
        <f>IF(B391="",0,(K391+L391+M391)*'Thiết lập'!$B$8)</f>
        <v>0</v>
      </c>
      <c r="O391" s="46">
        <f t="shared" si="2"/>
        <v>0</v>
      </c>
      <c r="P391" s="46">
        <f t="shared" si="3"/>
        <v>0</v>
      </c>
      <c r="Q391" s="46">
        <f t="shared" si="4"/>
        <v>0</v>
      </c>
      <c r="R391" s="71" t="str">
        <f t="array" ref="R391">IF(B391="","",INDEX('Bán nhanh'!$C$4:$C$103,INT((ROW()-4)/10)+1))</f>
        <v/>
      </c>
      <c r="S391" s="71" t="str">
        <f t="array" ref="S391">IF(B391="","",INDEX('Bán nhanh'!$P$4:$P$103,INT((ROW()-4)/10)+1))</f>
        <v/>
      </c>
      <c r="T391" s="58"/>
      <c r="U391" s="36"/>
      <c r="V391" s="36"/>
      <c r="W391" s="58"/>
      <c r="X391" s="36"/>
      <c r="Y391" s="36"/>
      <c r="Z391" s="36"/>
    </row>
    <row r="392" ht="15.75" customHeight="1">
      <c r="A392" s="70" t="str">
        <f t="array" ref="A392">IF(B392="","",INDEX('Bán nhanh'!$A$4:$A$103,INT((ROW()-4)/10)+1))</f>
        <v/>
      </c>
      <c r="B392" s="71" t="str">
        <f t="array" ref="B392">IF(OR(INDEX('Bán nhanh'!$D$3:$M$3,1,MOD(ROW()-4,10)+1)="",INDEX('Bán nhanh'!$D$4:$M$103,INT((ROW()-4)/10)+1,MOD(ROW()-4,10)+1)&lt;=0),"",INDEX('Bán nhanh'!$D$3:$M$3,1,MOD(ROW()-4,10)+1))</f>
        <v/>
      </c>
      <c r="C392" s="58" t="str">
        <f t="array" ref="C392">IFERROR(INDEX('Sản phẩm'!$A$4:$A$103,MATCH(B392,'Sản phẩm'!$D$4:$D$103,0)),"")</f>
        <v/>
      </c>
      <c r="D392" s="71" t="str">
        <f t="array" ref="D392">IF(B392="","",INDEX('Bán nhanh'!$B$4:$B$103,INT((ROW()-4)/10)+1))</f>
        <v/>
      </c>
      <c r="E392" s="58" t="str">
        <f t="array" ref="E392">IFERROR(INDEX('Mẻ sữa'!$B$4:$B$203,MATCH(D392,'Mẻ sữa'!$C$4:$C$203,0)),"")</f>
        <v/>
      </c>
      <c r="F392" s="66">
        <f t="array" ref="F392">IF(B392="",0,INDEX('Bán nhanh'!$D$4:$M$103,INT((ROW()-4)/10)+1,MOD(ROW()-4,10)+1))</f>
        <v>0</v>
      </c>
      <c r="G392" s="46">
        <f t="array" ref="G392">IFERROR(INDEX('Sản phẩm'!$F$4:$F$103,MATCH(B392,'Sản phẩm'!$D$4:$D$103,0)),0)</f>
        <v>0</v>
      </c>
      <c r="H392" s="67">
        <f t="shared" si="5"/>
        <v>0</v>
      </c>
      <c r="I392" s="46">
        <f t="shared" si="1"/>
        <v>0</v>
      </c>
      <c r="J392" s="46">
        <f t="array" ref="J392">IFERROR(INDEX('Sản phẩm'!$G$4:$G$103,MATCH(B392,'Sản phẩm'!$D$4:$D$103,0)),0)</f>
        <v>0</v>
      </c>
      <c r="K392" s="46">
        <f t="array" ref="K392">IFERROR(J392*INDEX('Mẻ sữa'!$N$4:$N$203,MATCH(D392,'Mẻ sữa'!$C$4:$C$203,0)),0)</f>
        <v>0</v>
      </c>
      <c r="L392" s="46">
        <f t="array" ref="L392">IFERROR(INDEX('Sản phẩm'!$I$4:$I$103,MATCH(B392,'Sản phẩm'!$D$4:$D$103,0)),0)</f>
        <v>0</v>
      </c>
      <c r="M392" s="72" t="str">
        <f t="array" ref="M392">IFERROR(INDEX('Sản phẩm'!$J$4:$J$103,MATCH(B392,'Sản phẩm'!$D$4:$D$103,0)),0)</f>
        <v/>
      </c>
      <c r="N392" s="46">
        <f>IF(B392="",0,(K392+L392+M392)*'Thiết lập'!$B$8)</f>
        <v>0</v>
      </c>
      <c r="O392" s="46">
        <f t="shared" si="2"/>
        <v>0</v>
      </c>
      <c r="P392" s="46">
        <f t="shared" si="3"/>
        <v>0</v>
      </c>
      <c r="Q392" s="46">
        <f t="shared" si="4"/>
        <v>0</v>
      </c>
      <c r="R392" s="71" t="str">
        <f t="array" ref="R392">IF(B392="","",INDEX('Bán nhanh'!$C$4:$C$103,INT((ROW()-4)/10)+1))</f>
        <v/>
      </c>
      <c r="S392" s="71" t="str">
        <f t="array" ref="S392">IF(B392="","",INDEX('Bán nhanh'!$P$4:$P$103,INT((ROW()-4)/10)+1))</f>
        <v/>
      </c>
      <c r="T392" s="58"/>
      <c r="U392" s="36"/>
      <c r="V392" s="36"/>
      <c r="W392" s="58"/>
      <c r="X392" s="36"/>
      <c r="Y392" s="36"/>
      <c r="Z392" s="36"/>
    </row>
    <row r="393" ht="15.75" customHeight="1">
      <c r="A393" s="70" t="str">
        <f t="array" ref="A393">IF(B393="","",INDEX('Bán nhanh'!$A$4:$A$103,INT((ROW()-4)/10)+1))</f>
        <v/>
      </c>
      <c r="B393" s="71" t="str">
        <f t="array" ref="B393">IF(OR(INDEX('Bán nhanh'!$D$3:$M$3,1,MOD(ROW()-4,10)+1)="",INDEX('Bán nhanh'!$D$4:$M$103,INT((ROW()-4)/10)+1,MOD(ROW()-4,10)+1)&lt;=0),"",INDEX('Bán nhanh'!$D$3:$M$3,1,MOD(ROW()-4,10)+1))</f>
        <v/>
      </c>
      <c r="C393" s="58" t="str">
        <f t="array" ref="C393">IFERROR(INDEX('Sản phẩm'!$A$4:$A$103,MATCH(B393,'Sản phẩm'!$D$4:$D$103,0)),"")</f>
        <v/>
      </c>
      <c r="D393" s="71" t="str">
        <f t="array" ref="D393">IF(B393="","",INDEX('Bán nhanh'!$B$4:$B$103,INT((ROW()-4)/10)+1))</f>
        <v/>
      </c>
      <c r="E393" s="58" t="str">
        <f t="array" ref="E393">IFERROR(INDEX('Mẻ sữa'!$B$4:$B$203,MATCH(D393,'Mẻ sữa'!$C$4:$C$203,0)),"")</f>
        <v/>
      </c>
      <c r="F393" s="66">
        <f t="array" ref="F393">IF(B393="",0,INDEX('Bán nhanh'!$D$4:$M$103,INT((ROW()-4)/10)+1,MOD(ROW()-4,10)+1))</f>
        <v>0</v>
      </c>
      <c r="G393" s="46">
        <f t="array" ref="G393">IFERROR(INDEX('Sản phẩm'!$F$4:$F$103,MATCH(B393,'Sản phẩm'!$D$4:$D$103,0)),0)</f>
        <v>0</v>
      </c>
      <c r="H393" s="67">
        <f t="shared" si="5"/>
        <v>0</v>
      </c>
      <c r="I393" s="46">
        <f t="shared" si="1"/>
        <v>0</v>
      </c>
      <c r="J393" s="46">
        <f t="array" ref="J393">IFERROR(INDEX('Sản phẩm'!$G$4:$G$103,MATCH(B393,'Sản phẩm'!$D$4:$D$103,0)),0)</f>
        <v>0</v>
      </c>
      <c r="K393" s="46">
        <f t="array" ref="K393">IFERROR(J393*INDEX('Mẻ sữa'!$N$4:$N$203,MATCH(D393,'Mẻ sữa'!$C$4:$C$203,0)),0)</f>
        <v>0</v>
      </c>
      <c r="L393" s="46">
        <f t="array" ref="L393">IFERROR(INDEX('Sản phẩm'!$I$4:$I$103,MATCH(B393,'Sản phẩm'!$D$4:$D$103,0)),0)</f>
        <v>0</v>
      </c>
      <c r="M393" s="72" t="str">
        <f t="array" ref="M393">IFERROR(INDEX('Sản phẩm'!$J$4:$J$103,MATCH(B393,'Sản phẩm'!$D$4:$D$103,0)),0)</f>
        <v/>
      </c>
      <c r="N393" s="46">
        <f>IF(B393="",0,(K393+L393+M393)*'Thiết lập'!$B$8)</f>
        <v>0</v>
      </c>
      <c r="O393" s="46">
        <f t="shared" si="2"/>
        <v>0</v>
      </c>
      <c r="P393" s="46">
        <f t="shared" si="3"/>
        <v>0</v>
      </c>
      <c r="Q393" s="46">
        <f t="shared" si="4"/>
        <v>0</v>
      </c>
      <c r="R393" s="71" t="str">
        <f t="array" ref="R393">IF(B393="","",INDEX('Bán nhanh'!$C$4:$C$103,INT((ROW()-4)/10)+1))</f>
        <v/>
      </c>
      <c r="S393" s="71" t="str">
        <f t="array" ref="S393">IF(B393="","",INDEX('Bán nhanh'!$P$4:$P$103,INT((ROW()-4)/10)+1))</f>
        <v/>
      </c>
      <c r="T393" s="58"/>
      <c r="U393" s="36"/>
      <c r="V393" s="36"/>
      <c r="W393" s="58"/>
      <c r="X393" s="36"/>
      <c r="Y393" s="36"/>
      <c r="Z393" s="36"/>
    </row>
    <row r="394" ht="15.75" customHeight="1">
      <c r="A394" s="70" t="str">
        <f t="array" ref="A394">IF(B394="","",INDEX('Bán nhanh'!$A$4:$A$103,INT((ROW()-4)/10)+1))</f>
        <v/>
      </c>
      <c r="B394" s="71" t="str">
        <f t="array" ref="B394">IF(OR(INDEX('Bán nhanh'!$D$3:$M$3,1,MOD(ROW()-4,10)+1)="",INDEX('Bán nhanh'!$D$4:$M$103,INT((ROW()-4)/10)+1,MOD(ROW()-4,10)+1)&lt;=0),"",INDEX('Bán nhanh'!$D$3:$M$3,1,MOD(ROW()-4,10)+1))</f>
        <v/>
      </c>
      <c r="C394" s="58" t="str">
        <f t="array" ref="C394">IFERROR(INDEX('Sản phẩm'!$A$4:$A$103,MATCH(B394,'Sản phẩm'!$D$4:$D$103,0)),"")</f>
        <v/>
      </c>
      <c r="D394" s="71" t="str">
        <f t="array" ref="D394">IF(B394="","",INDEX('Bán nhanh'!$B$4:$B$103,INT((ROW()-4)/10)+1))</f>
        <v/>
      </c>
      <c r="E394" s="58" t="str">
        <f t="array" ref="E394">IFERROR(INDEX('Mẻ sữa'!$B$4:$B$203,MATCH(D394,'Mẻ sữa'!$C$4:$C$203,0)),"")</f>
        <v/>
      </c>
      <c r="F394" s="66">
        <f t="array" ref="F394">IF(B394="",0,INDEX('Bán nhanh'!$D$4:$M$103,INT((ROW()-4)/10)+1,MOD(ROW()-4,10)+1))</f>
        <v>0</v>
      </c>
      <c r="G394" s="46">
        <f t="array" ref="G394">IFERROR(INDEX('Sản phẩm'!$F$4:$F$103,MATCH(B394,'Sản phẩm'!$D$4:$D$103,0)),0)</f>
        <v>0</v>
      </c>
      <c r="H394" s="67">
        <f t="shared" si="5"/>
        <v>0</v>
      </c>
      <c r="I394" s="46">
        <f t="shared" si="1"/>
        <v>0</v>
      </c>
      <c r="J394" s="46">
        <f t="array" ref="J394">IFERROR(INDEX('Sản phẩm'!$G$4:$G$103,MATCH(B394,'Sản phẩm'!$D$4:$D$103,0)),0)</f>
        <v>0</v>
      </c>
      <c r="K394" s="46">
        <f t="array" ref="K394">IFERROR(J394*INDEX('Mẻ sữa'!$N$4:$N$203,MATCH(D394,'Mẻ sữa'!$C$4:$C$203,0)),0)</f>
        <v>0</v>
      </c>
      <c r="L394" s="46">
        <f t="array" ref="L394">IFERROR(INDEX('Sản phẩm'!$I$4:$I$103,MATCH(B394,'Sản phẩm'!$D$4:$D$103,0)),0)</f>
        <v>0</v>
      </c>
      <c r="M394" s="72" t="str">
        <f t="array" ref="M394">IFERROR(INDEX('Sản phẩm'!$J$4:$J$103,MATCH(B394,'Sản phẩm'!$D$4:$D$103,0)),0)</f>
        <v/>
      </c>
      <c r="N394" s="46">
        <f>IF(B394="",0,(K394+L394+M394)*'Thiết lập'!$B$8)</f>
        <v>0</v>
      </c>
      <c r="O394" s="46">
        <f t="shared" si="2"/>
        <v>0</v>
      </c>
      <c r="P394" s="46">
        <f t="shared" si="3"/>
        <v>0</v>
      </c>
      <c r="Q394" s="46">
        <f t="shared" si="4"/>
        <v>0</v>
      </c>
      <c r="R394" s="71" t="str">
        <f t="array" ref="R394">IF(B394="","",INDEX('Bán nhanh'!$C$4:$C$103,INT((ROW()-4)/10)+1))</f>
        <v/>
      </c>
      <c r="S394" s="71" t="str">
        <f t="array" ref="S394">IF(B394="","",INDEX('Bán nhanh'!$P$4:$P$103,INT((ROW()-4)/10)+1))</f>
        <v/>
      </c>
      <c r="T394" s="58"/>
      <c r="U394" s="36"/>
      <c r="V394" s="36"/>
      <c r="W394" s="58"/>
      <c r="X394" s="36"/>
      <c r="Y394" s="36"/>
      <c r="Z394" s="36"/>
    </row>
    <row r="395" ht="15.75" customHeight="1">
      <c r="A395" s="70" t="str">
        <f t="array" ref="A395">IF(B395="","",INDEX('Bán nhanh'!$A$4:$A$103,INT((ROW()-4)/10)+1))</f>
        <v/>
      </c>
      <c r="B395" s="71" t="str">
        <f t="array" ref="B395">IF(OR(INDEX('Bán nhanh'!$D$3:$M$3,1,MOD(ROW()-4,10)+1)="",INDEX('Bán nhanh'!$D$4:$M$103,INT((ROW()-4)/10)+1,MOD(ROW()-4,10)+1)&lt;=0),"",INDEX('Bán nhanh'!$D$3:$M$3,1,MOD(ROW()-4,10)+1))</f>
        <v/>
      </c>
      <c r="C395" s="58" t="str">
        <f t="array" ref="C395">IFERROR(INDEX('Sản phẩm'!$A$4:$A$103,MATCH(B395,'Sản phẩm'!$D$4:$D$103,0)),"")</f>
        <v/>
      </c>
      <c r="D395" s="71" t="str">
        <f t="array" ref="D395">IF(B395="","",INDEX('Bán nhanh'!$B$4:$B$103,INT((ROW()-4)/10)+1))</f>
        <v/>
      </c>
      <c r="E395" s="58" t="str">
        <f t="array" ref="E395">IFERROR(INDEX('Mẻ sữa'!$B$4:$B$203,MATCH(D395,'Mẻ sữa'!$C$4:$C$203,0)),"")</f>
        <v/>
      </c>
      <c r="F395" s="66">
        <f t="array" ref="F395">IF(B395="",0,INDEX('Bán nhanh'!$D$4:$M$103,INT((ROW()-4)/10)+1,MOD(ROW()-4,10)+1))</f>
        <v>0</v>
      </c>
      <c r="G395" s="46">
        <f t="array" ref="G395">IFERROR(INDEX('Sản phẩm'!$F$4:$F$103,MATCH(B395,'Sản phẩm'!$D$4:$D$103,0)),0)</f>
        <v>0</v>
      </c>
      <c r="H395" s="67">
        <f t="shared" si="5"/>
        <v>0</v>
      </c>
      <c r="I395" s="46">
        <f t="shared" si="1"/>
        <v>0</v>
      </c>
      <c r="J395" s="46">
        <f t="array" ref="J395">IFERROR(INDEX('Sản phẩm'!$G$4:$G$103,MATCH(B395,'Sản phẩm'!$D$4:$D$103,0)),0)</f>
        <v>0</v>
      </c>
      <c r="K395" s="46">
        <f t="array" ref="K395">IFERROR(J395*INDEX('Mẻ sữa'!$N$4:$N$203,MATCH(D395,'Mẻ sữa'!$C$4:$C$203,0)),0)</f>
        <v>0</v>
      </c>
      <c r="L395" s="46">
        <f t="array" ref="L395">IFERROR(INDEX('Sản phẩm'!$I$4:$I$103,MATCH(B395,'Sản phẩm'!$D$4:$D$103,0)),0)</f>
        <v>0</v>
      </c>
      <c r="M395" s="72" t="str">
        <f t="array" ref="M395">IFERROR(INDEX('Sản phẩm'!$J$4:$J$103,MATCH(B395,'Sản phẩm'!$D$4:$D$103,0)),0)</f>
        <v/>
      </c>
      <c r="N395" s="46">
        <f>IF(B395="",0,(K395+L395+M395)*'Thiết lập'!$B$8)</f>
        <v>0</v>
      </c>
      <c r="O395" s="46">
        <f t="shared" si="2"/>
        <v>0</v>
      </c>
      <c r="P395" s="46">
        <f t="shared" si="3"/>
        <v>0</v>
      </c>
      <c r="Q395" s="46">
        <f t="shared" si="4"/>
        <v>0</v>
      </c>
      <c r="R395" s="71" t="str">
        <f t="array" ref="R395">IF(B395="","",INDEX('Bán nhanh'!$C$4:$C$103,INT((ROW()-4)/10)+1))</f>
        <v/>
      </c>
      <c r="S395" s="71" t="str">
        <f t="array" ref="S395">IF(B395="","",INDEX('Bán nhanh'!$P$4:$P$103,INT((ROW()-4)/10)+1))</f>
        <v/>
      </c>
      <c r="T395" s="58"/>
      <c r="U395" s="36"/>
      <c r="V395" s="36"/>
      <c r="W395" s="58"/>
      <c r="X395" s="36"/>
      <c r="Y395" s="36"/>
      <c r="Z395" s="36"/>
    </row>
    <row r="396" ht="15.75" customHeight="1">
      <c r="A396" s="70" t="str">
        <f t="array" ref="A396">IF(B396="","",INDEX('Bán nhanh'!$A$4:$A$103,INT((ROW()-4)/10)+1))</f>
        <v/>
      </c>
      <c r="B396" s="71" t="str">
        <f t="array" ref="B396">IF(OR(INDEX('Bán nhanh'!$D$3:$M$3,1,MOD(ROW()-4,10)+1)="",INDEX('Bán nhanh'!$D$4:$M$103,INT((ROW()-4)/10)+1,MOD(ROW()-4,10)+1)&lt;=0),"",INDEX('Bán nhanh'!$D$3:$M$3,1,MOD(ROW()-4,10)+1))</f>
        <v/>
      </c>
      <c r="C396" s="58" t="str">
        <f t="array" ref="C396">IFERROR(INDEX('Sản phẩm'!$A$4:$A$103,MATCH(B396,'Sản phẩm'!$D$4:$D$103,0)),"")</f>
        <v/>
      </c>
      <c r="D396" s="71" t="str">
        <f t="array" ref="D396">IF(B396="","",INDEX('Bán nhanh'!$B$4:$B$103,INT((ROW()-4)/10)+1))</f>
        <v/>
      </c>
      <c r="E396" s="58" t="str">
        <f t="array" ref="E396">IFERROR(INDEX('Mẻ sữa'!$B$4:$B$203,MATCH(D396,'Mẻ sữa'!$C$4:$C$203,0)),"")</f>
        <v/>
      </c>
      <c r="F396" s="66">
        <f t="array" ref="F396">IF(B396="",0,INDEX('Bán nhanh'!$D$4:$M$103,INT((ROW()-4)/10)+1,MOD(ROW()-4,10)+1))</f>
        <v>0</v>
      </c>
      <c r="G396" s="46">
        <f t="array" ref="G396">IFERROR(INDEX('Sản phẩm'!$F$4:$F$103,MATCH(B396,'Sản phẩm'!$D$4:$D$103,0)),0)</f>
        <v>0</v>
      </c>
      <c r="H396" s="67">
        <f t="shared" si="5"/>
        <v>0</v>
      </c>
      <c r="I396" s="46">
        <f t="shared" si="1"/>
        <v>0</v>
      </c>
      <c r="J396" s="46">
        <f t="array" ref="J396">IFERROR(INDEX('Sản phẩm'!$G$4:$G$103,MATCH(B396,'Sản phẩm'!$D$4:$D$103,0)),0)</f>
        <v>0</v>
      </c>
      <c r="K396" s="46">
        <f t="array" ref="K396">IFERROR(J396*INDEX('Mẻ sữa'!$N$4:$N$203,MATCH(D396,'Mẻ sữa'!$C$4:$C$203,0)),0)</f>
        <v>0</v>
      </c>
      <c r="L396" s="46">
        <f t="array" ref="L396">IFERROR(INDEX('Sản phẩm'!$I$4:$I$103,MATCH(B396,'Sản phẩm'!$D$4:$D$103,0)),0)</f>
        <v>0</v>
      </c>
      <c r="M396" s="72" t="str">
        <f t="array" ref="M396">IFERROR(INDEX('Sản phẩm'!$J$4:$J$103,MATCH(B396,'Sản phẩm'!$D$4:$D$103,0)),0)</f>
        <v/>
      </c>
      <c r="N396" s="46">
        <f>IF(B396="",0,(K396+L396+M396)*'Thiết lập'!$B$8)</f>
        <v>0</v>
      </c>
      <c r="O396" s="46">
        <f t="shared" si="2"/>
        <v>0</v>
      </c>
      <c r="P396" s="46">
        <f t="shared" si="3"/>
        <v>0</v>
      </c>
      <c r="Q396" s="46">
        <f t="shared" si="4"/>
        <v>0</v>
      </c>
      <c r="R396" s="71" t="str">
        <f t="array" ref="R396">IF(B396="","",INDEX('Bán nhanh'!$C$4:$C$103,INT((ROW()-4)/10)+1))</f>
        <v/>
      </c>
      <c r="S396" s="71" t="str">
        <f t="array" ref="S396">IF(B396="","",INDEX('Bán nhanh'!$P$4:$P$103,INT((ROW()-4)/10)+1))</f>
        <v/>
      </c>
      <c r="T396" s="58"/>
      <c r="U396" s="36"/>
      <c r="V396" s="36"/>
      <c r="W396" s="58"/>
      <c r="X396" s="36"/>
      <c r="Y396" s="36"/>
      <c r="Z396" s="36"/>
    </row>
    <row r="397" ht="15.75" customHeight="1">
      <c r="A397" s="70" t="str">
        <f t="array" ref="A397">IF(B397="","",INDEX('Bán nhanh'!$A$4:$A$103,INT((ROW()-4)/10)+1))</f>
        <v/>
      </c>
      <c r="B397" s="71" t="str">
        <f t="array" ref="B397">IF(OR(INDEX('Bán nhanh'!$D$3:$M$3,1,MOD(ROW()-4,10)+1)="",INDEX('Bán nhanh'!$D$4:$M$103,INT((ROW()-4)/10)+1,MOD(ROW()-4,10)+1)&lt;=0),"",INDEX('Bán nhanh'!$D$3:$M$3,1,MOD(ROW()-4,10)+1))</f>
        <v/>
      </c>
      <c r="C397" s="58" t="str">
        <f t="array" ref="C397">IFERROR(INDEX('Sản phẩm'!$A$4:$A$103,MATCH(B397,'Sản phẩm'!$D$4:$D$103,0)),"")</f>
        <v/>
      </c>
      <c r="D397" s="71" t="str">
        <f t="array" ref="D397">IF(B397="","",INDEX('Bán nhanh'!$B$4:$B$103,INT((ROW()-4)/10)+1))</f>
        <v/>
      </c>
      <c r="E397" s="58" t="str">
        <f t="array" ref="E397">IFERROR(INDEX('Mẻ sữa'!$B$4:$B$203,MATCH(D397,'Mẻ sữa'!$C$4:$C$203,0)),"")</f>
        <v/>
      </c>
      <c r="F397" s="66">
        <f t="array" ref="F397">IF(B397="",0,INDEX('Bán nhanh'!$D$4:$M$103,INT((ROW()-4)/10)+1,MOD(ROW()-4,10)+1))</f>
        <v>0</v>
      </c>
      <c r="G397" s="46">
        <f t="array" ref="G397">IFERROR(INDEX('Sản phẩm'!$F$4:$F$103,MATCH(B397,'Sản phẩm'!$D$4:$D$103,0)),0)</f>
        <v>0</v>
      </c>
      <c r="H397" s="67">
        <f t="shared" si="5"/>
        <v>0</v>
      </c>
      <c r="I397" s="46">
        <f t="shared" si="1"/>
        <v>0</v>
      </c>
      <c r="J397" s="46">
        <f t="array" ref="J397">IFERROR(INDEX('Sản phẩm'!$G$4:$G$103,MATCH(B397,'Sản phẩm'!$D$4:$D$103,0)),0)</f>
        <v>0</v>
      </c>
      <c r="K397" s="46">
        <f t="array" ref="K397">IFERROR(J397*INDEX('Mẻ sữa'!$N$4:$N$203,MATCH(D397,'Mẻ sữa'!$C$4:$C$203,0)),0)</f>
        <v>0</v>
      </c>
      <c r="L397" s="46">
        <f t="array" ref="L397">IFERROR(INDEX('Sản phẩm'!$I$4:$I$103,MATCH(B397,'Sản phẩm'!$D$4:$D$103,0)),0)</f>
        <v>0</v>
      </c>
      <c r="M397" s="72" t="str">
        <f t="array" ref="M397">IFERROR(INDEX('Sản phẩm'!$J$4:$J$103,MATCH(B397,'Sản phẩm'!$D$4:$D$103,0)),0)</f>
        <v/>
      </c>
      <c r="N397" s="46">
        <f>IF(B397="",0,(K397+L397+M397)*'Thiết lập'!$B$8)</f>
        <v>0</v>
      </c>
      <c r="O397" s="46">
        <f t="shared" si="2"/>
        <v>0</v>
      </c>
      <c r="P397" s="46">
        <f t="shared" si="3"/>
        <v>0</v>
      </c>
      <c r="Q397" s="46">
        <f t="shared" si="4"/>
        <v>0</v>
      </c>
      <c r="R397" s="71" t="str">
        <f t="array" ref="R397">IF(B397="","",INDEX('Bán nhanh'!$C$4:$C$103,INT((ROW()-4)/10)+1))</f>
        <v/>
      </c>
      <c r="S397" s="71" t="str">
        <f t="array" ref="S397">IF(B397="","",INDEX('Bán nhanh'!$P$4:$P$103,INT((ROW()-4)/10)+1))</f>
        <v/>
      </c>
      <c r="T397" s="58"/>
      <c r="U397" s="36"/>
      <c r="V397" s="36"/>
      <c r="W397" s="58"/>
      <c r="X397" s="36"/>
      <c r="Y397" s="36"/>
      <c r="Z397" s="36"/>
    </row>
    <row r="398" ht="15.75" customHeight="1">
      <c r="A398" s="70" t="str">
        <f t="array" ref="A398">IF(B398="","",INDEX('Bán nhanh'!$A$4:$A$103,INT((ROW()-4)/10)+1))</f>
        <v/>
      </c>
      <c r="B398" s="71" t="str">
        <f t="array" ref="B398">IF(OR(INDEX('Bán nhanh'!$D$3:$M$3,1,MOD(ROW()-4,10)+1)="",INDEX('Bán nhanh'!$D$4:$M$103,INT((ROW()-4)/10)+1,MOD(ROW()-4,10)+1)&lt;=0),"",INDEX('Bán nhanh'!$D$3:$M$3,1,MOD(ROW()-4,10)+1))</f>
        <v/>
      </c>
      <c r="C398" s="58" t="str">
        <f t="array" ref="C398">IFERROR(INDEX('Sản phẩm'!$A$4:$A$103,MATCH(B398,'Sản phẩm'!$D$4:$D$103,0)),"")</f>
        <v/>
      </c>
      <c r="D398" s="71" t="str">
        <f t="array" ref="D398">IF(B398="","",INDEX('Bán nhanh'!$B$4:$B$103,INT((ROW()-4)/10)+1))</f>
        <v/>
      </c>
      <c r="E398" s="58" t="str">
        <f t="array" ref="E398">IFERROR(INDEX('Mẻ sữa'!$B$4:$B$203,MATCH(D398,'Mẻ sữa'!$C$4:$C$203,0)),"")</f>
        <v/>
      </c>
      <c r="F398" s="66">
        <f t="array" ref="F398">IF(B398="",0,INDEX('Bán nhanh'!$D$4:$M$103,INT((ROW()-4)/10)+1,MOD(ROW()-4,10)+1))</f>
        <v>0</v>
      </c>
      <c r="G398" s="46">
        <f t="array" ref="G398">IFERROR(INDEX('Sản phẩm'!$F$4:$F$103,MATCH(B398,'Sản phẩm'!$D$4:$D$103,0)),0)</f>
        <v>0</v>
      </c>
      <c r="H398" s="67">
        <f t="shared" si="5"/>
        <v>0</v>
      </c>
      <c r="I398" s="46">
        <f t="shared" si="1"/>
        <v>0</v>
      </c>
      <c r="J398" s="46">
        <f t="array" ref="J398">IFERROR(INDEX('Sản phẩm'!$G$4:$G$103,MATCH(B398,'Sản phẩm'!$D$4:$D$103,0)),0)</f>
        <v>0</v>
      </c>
      <c r="K398" s="46">
        <f t="array" ref="K398">IFERROR(J398*INDEX('Mẻ sữa'!$N$4:$N$203,MATCH(D398,'Mẻ sữa'!$C$4:$C$203,0)),0)</f>
        <v>0</v>
      </c>
      <c r="L398" s="46">
        <f t="array" ref="L398">IFERROR(INDEX('Sản phẩm'!$I$4:$I$103,MATCH(B398,'Sản phẩm'!$D$4:$D$103,0)),0)</f>
        <v>0</v>
      </c>
      <c r="M398" s="72" t="str">
        <f t="array" ref="M398">IFERROR(INDEX('Sản phẩm'!$J$4:$J$103,MATCH(B398,'Sản phẩm'!$D$4:$D$103,0)),0)</f>
        <v/>
      </c>
      <c r="N398" s="46">
        <f>IF(B398="",0,(K398+L398+M398)*'Thiết lập'!$B$8)</f>
        <v>0</v>
      </c>
      <c r="O398" s="46">
        <f t="shared" si="2"/>
        <v>0</v>
      </c>
      <c r="P398" s="46">
        <f t="shared" si="3"/>
        <v>0</v>
      </c>
      <c r="Q398" s="46">
        <f t="shared" si="4"/>
        <v>0</v>
      </c>
      <c r="R398" s="71" t="str">
        <f t="array" ref="R398">IF(B398="","",INDEX('Bán nhanh'!$C$4:$C$103,INT((ROW()-4)/10)+1))</f>
        <v/>
      </c>
      <c r="S398" s="71" t="str">
        <f t="array" ref="S398">IF(B398="","",INDEX('Bán nhanh'!$P$4:$P$103,INT((ROW()-4)/10)+1))</f>
        <v/>
      </c>
      <c r="T398" s="58"/>
      <c r="U398" s="36"/>
      <c r="V398" s="36"/>
      <c r="W398" s="58"/>
      <c r="X398" s="36"/>
      <c r="Y398" s="36"/>
      <c r="Z398" s="36"/>
    </row>
    <row r="399" ht="15.75" customHeight="1">
      <c r="A399" s="70" t="str">
        <f t="array" ref="A399">IF(B399="","",INDEX('Bán nhanh'!$A$4:$A$103,INT((ROW()-4)/10)+1))</f>
        <v/>
      </c>
      <c r="B399" s="71" t="str">
        <f t="array" ref="B399">IF(OR(INDEX('Bán nhanh'!$D$3:$M$3,1,MOD(ROW()-4,10)+1)="",INDEX('Bán nhanh'!$D$4:$M$103,INT((ROW()-4)/10)+1,MOD(ROW()-4,10)+1)&lt;=0),"",INDEX('Bán nhanh'!$D$3:$M$3,1,MOD(ROW()-4,10)+1))</f>
        <v/>
      </c>
      <c r="C399" s="58" t="str">
        <f t="array" ref="C399">IFERROR(INDEX('Sản phẩm'!$A$4:$A$103,MATCH(B399,'Sản phẩm'!$D$4:$D$103,0)),"")</f>
        <v/>
      </c>
      <c r="D399" s="71" t="str">
        <f t="array" ref="D399">IF(B399="","",INDEX('Bán nhanh'!$B$4:$B$103,INT((ROW()-4)/10)+1))</f>
        <v/>
      </c>
      <c r="E399" s="58" t="str">
        <f t="array" ref="E399">IFERROR(INDEX('Mẻ sữa'!$B$4:$B$203,MATCH(D399,'Mẻ sữa'!$C$4:$C$203,0)),"")</f>
        <v/>
      </c>
      <c r="F399" s="66">
        <f t="array" ref="F399">IF(B399="",0,INDEX('Bán nhanh'!$D$4:$M$103,INT((ROW()-4)/10)+1,MOD(ROW()-4,10)+1))</f>
        <v>0</v>
      </c>
      <c r="G399" s="46">
        <f t="array" ref="G399">IFERROR(INDEX('Sản phẩm'!$F$4:$F$103,MATCH(B399,'Sản phẩm'!$D$4:$D$103,0)),0)</f>
        <v>0</v>
      </c>
      <c r="H399" s="67">
        <f t="shared" si="5"/>
        <v>0</v>
      </c>
      <c r="I399" s="46">
        <f t="shared" si="1"/>
        <v>0</v>
      </c>
      <c r="J399" s="46">
        <f t="array" ref="J399">IFERROR(INDEX('Sản phẩm'!$G$4:$G$103,MATCH(B399,'Sản phẩm'!$D$4:$D$103,0)),0)</f>
        <v>0</v>
      </c>
      <c r="K399" s="46">
        <f t="array" ref="K399">IFERROR(J399*INDEX('Mẻ sữa'!$N$4:$N$203,MATCH(D399,'Mẻ sữa'!$C$4:$C$203,0)),0)</f>
        <v>0</v>
      </c>
      <c r="L399" s="46">
        <f t="array" ref="L399">IFERROR(INDEX('Sản phẩm'!$I$4:$I$103,MATCH(B399,'Sản phẩm'!$D$4:$D$103,0)),0)</f>
        <v>0</v>
      </c>
      <c r="M399" s="72" t="str">
        <f t="array" ref="M399">IFERROR(INDEX('Sản phẩm'!$J$4:$J$103,MATCH(B399,'Sản phẩm'!$D$4:$D$103,0)),0)</f>
        <v/>
      </c>
      <c r="N399" s="46">
        <f>IF(B399="",0,(K399+L399+M399)*'Thiết lập'!$B$8)</f>
        <v>0</v>
      </c>
      <c r="O399" s="46">
        <f t="shared" si="2"/>
        <v>0</v>
      </c>
      <c r="P399" s="46">
        <f t="shared" si="3"/>
        <v>0</v>
      </c>
      <c r="Q399" s="46">
        <f t="shared" si="4"/>
        <v>0</v>
      </c>
      <c r="R399" s="71" t="str">
        <f t="array" ref="R399">IF(B399="","",INDEX('Bán nhanh'!$C$4:$C$103,INT((ROW()-4)/10)+1))</f>
        <v/>
      </c>
      <c r="S399" s="71" t="str">
        <f t="array" ref="S399">IF(B399="","",INDEX('Bán nhanh'!$P$4:$P$103,INT((ROW()-4)/10)+1))</f>
        <v/>
      </c>
      <c r="T399" s="58"/>
      <c r="U399" s="36"/>
      <c r="V399" s="36"/>
      <c r="W399" s="58"/>
      <c r="X399" s="36"/>
      <c r="Y399" s="36"/>
      <c r="Z399" s="36"/>
    </row>
    <row r="400" ht="15.75" customHeight="1">
      <c r="A400" s="70" t="str">
        <f t="array" ref="A400">IF(B400="","",INDEX('Bán nhanh'!$A$4:$A$103,INT((ROW()-4)/10)+1))</f>
        <v/>
      </c>
      <c r="B400" s="71" t="str">
        <f t="array" ref="B400">IF(OR(INDEX('Bán nhanh'!$D$3:$M$3,1,MOD(ROW()-4,10)+1)="",INDEX('Bán nhanh'!$D$4:$M$103,INT((ROW()-4)/10)+1,MOD(ROW()-4,10)+1)&lt;=0),"",INDEX('Bán nhanh'!$D$3:$M$3,1,MOD(ROW()-4,10)+1))</f>
        <v/>
      </c>
      <c r="C400" s="58" t="str">
        <f t="array" ref="C400">IFERROR(INDEX('Sản phẩm'!$A$4:$A$103,MATCH(B400,'Sản phẩm'!$D$4:$D$103,0)),"")</f>
        <v/>
      </c>
      <c r="D400" s="71" t="str">
        <f t="array" ref="D400">IF(B400="","",INDEX('Bán nhanh'!$B$4:$B$103,INT((ROW()-4)/10)+1))</f>
        <v/>
      </c>
      <c r="E400" s="58" t="str">
        <f t="array" ref="E400">IFERROR(INDEX('Mẻ sữa'!$B$4:$B$203,MATCH(D400,'Mẻ sữa'!$C$4:$C$203,0)),"")</f>
        <v/>
      </c>
      <c r="F400" s="66">
        <f t="array" ref="F400">IF(B400="",0,INDEX('Bán nhanh'!$D$4:$M$103,INT((ROW()-4)/10)+1,MOD(ROW()-4,10)+1))</f>
        <v>0</v>
      </c>
      <c r="G400" s="46">
        <f t="array" ref="G400">IFERROR(INDEX('Sản phẩm'!$F$4:$F$103,MATCH(B400,'Sản phẩm'!$D$4:$D$103,0)),0)</f>
        <v>0</v>
      </c>
      <c r="H400" s="67">
        <f t="shared" si="5"/>
        <v>0</v>
      </c>
      <c r="I400" s="46">
        <f t="shared" si="1"/>
        <v>0</v>
      </c>
      <c r="J400" s="46">
        <f t="array" ref="J400">IFERROR(INDEX('Sản phẩm'!$G$4:$G$103,MATCH(B400,'Sản phẩm'!$D$4:$D$103,0)),0)</f>
        <v>0</v>
      </c>
      <c r="K400" s="46">
        <f t="array" ref="K400">IFERROR(J400*INDEX('Mẻ sữa'!$N$4:$N$203,MATCH(D400,'Mẻ sữa'!$C$4:$C$203,0)),0)</f>
        <v>0</v>
      </c>
      <c r="L400" s="46">
        <f t="array" ref="L400">IFERROR(INDEX('Sản phẩm'!$I$4:$I$103,MATCH(B400,'Sản phẩm'!$D$4:$D$103,0)),0)</f>
        <v>0</v>
      </c>
      <c r="M400" s="72" t="str">
        <f t="array" ref="M400">IFERROR(INDEX('Sản phẩm'!$J$4:$J$103,MATCH(B400,'Sản phẩm'!$D$4:$D$103,0)),0)</f>
        <v/>
      </c>
      <c r="N400" s="46">
        <f>IF(B400="",0,(K400+L400+M400)*'Thiết lập'!$B$8)</f>
        <v>0</v>
      </c>
      <c r="O400" s="46">
        <f t="shared" si="2"/>
        <v>0</v>
      </c>
      <c r="P400" s="46">
        <f t="shared" si="3"/>
        <v>0</v>
      </c>
      <c r="Q400" s="46">
        <f t="shared" si="4"/>
        <v>0</v>
      </c>
      <c r="R400" s="71" t="str">
        <f t="array" ref="R400">IF(B400="","",INDEX('Bán nhanh'!$C$4:$C$103,INT((ROW()-4)/10)+1))</f>
        <v/>
      </c>
      <c r="S400" s="71" t="str">
        <f t="array" ref="S400">IF(B400="","",INDEX('Bán nhanh'!$P$4:$P$103,INT((ROW()-4)/10)+1))</f>
        <v/>
      </c>
      <c r="T400" s="58"/>
      <c r="U400" s="36"/>
      <c r="V400" s="36"/>
      <c r="W400" s="58"/>
      <c r="X400" s="36"/>
      <c r="Y400" s="36"/>
      <c r="Z400" s="36"/>
    </row>
    <row r="401" ht="15.75" customHeight="1">
      <c r="A401" s="70" t="str">
        <f t="array" ref="A401">IF(B401="","",INDEX('Bán nhanh'!$A$4:$A$103,INT((ROW()-4)/10)+1))</f>
        <v/>
      </c>
      <c r="B401" s="71" t="str">
        <f t="array" ref="B401">IF(OR(INDEX('Bán nhanh'!$D$3:$M$3,1,MOD(ROW()-4,10)+1)="",INDEX('Bán nhanh'!$D$4:$M$103,INT((ROW()-4)/10)+1,MOD(ROW()-4,10)+1)&lt;=0),"",INDEX('Bán nhanh'!$D$3:$M$3,1,MOD(ROW()-4,10)+1))</f>
        <v/>
      </c>
      <c r="C401" s="58" t="str">
        <f t="array" ref="C401">IFERROR(INDEX('Sản phẩm'!$A$4:$A$103,MATCH(B401,'Sản phẩm'!$D$4:$D$103,0)),"")</f>
        <v/>
      </c>
      <c r="D401" s="71" t="str">
        <f t="array" ref="D401">IF(B401="","",INDEX('Bán nhanh'!$B$4:$B$103,INT((ROW()-4)/10)+1))</f>
        <v/>
      </c>
      <c r="E401" s="58" t="str">
        <f t="array" ref="E401">IFERROR(INDEX('Mẻ sữa'!$B$4:$B$203,MATCH(D401,'Mẻ sữa'!$C$4:$C$203,0)),"")</f>
        <v/>
      </c>
      <c r="F401" s="66">
        <f t="array" ref="F401">IF(B401="",0,INDEX('Bán nhanh'!$D$4:$M$103,INT((ROW()-4)/10)+1,MOD(ROW()-4,10)+1))</f>
        <v>0</v>
      </c>
      <c r="G401" s="46">
        <f t="array" ref="G401">IFERROR(INDEX('Sản phẩm'!$F$4:$F$103,MATCH(B401,'Sản phẩm'!$D$4:$D$103,0)),0)</f>
        <v>0</v>
      </c>
      <c r="H401" s="67">
        <f t="shared" si="5"/>
        <v>0</v>
      </c>
      <c r="I401" s="46">
        <f t="shared" si="1"/>
        <v>0</v>
      </c>
      <c r="J401" s="46">
        <f t="array" ref="J401">IFERROR(INDEX('Sản phẩm'!$G$4:$G$103,MATCH(B401,'Sản phẩm'!$D$4:$D$103,0)),0)</f>
        <v>0</v>
      </c>
      <c r="K401" s="46">
        <f t="array" ref="K401">IFERROR(J401*INDEX('Mẻ sữa'!$N$4:$N$203,MATCH(D401,'Mẻ sữa'!$C$4:$C$203,0)),0)</f>
        <v>0</v>
      </c>
      <c r="L401" s="46">
        <f t="array" ref="L401">IFERROR(INDEX('Sản phẩm'!$I$4:$I$103,MATCH(B401,'Sản phẩm'!$D$4:$D$103,0)),0)</f>
        <v>0</v>
      </c>
      <c r="M401" s="72" t="str">
        <f t="array" ref="M401">IFERROR(INDEX('Sản phẩm'!$J$4:$J$103,MATCH(B401,'Sản phẩm'!$D$4:$D$103,0)),0)</f>
        <v/>
      </c>
      <c r="N401" s="46">
        <f>IF(B401="",0,(K401+L401+M401)*'Thiết lập'!$B$8)</f>
        <v>0</v>
      </c>
      <c r="O401" s="46">
        <f t="shared" si="2"/>
        <v>0</v>
      </c>
      <c r="P401" s="46">
        <f t="shared" si="3"/>
        <v>0</v>
      </c>
      <c r="Q401" s="46">
        <f t="shared" si="4"/>
        <v>0</v>
      </c>
      <c r="R401" s="71" t="str">
        <f t="array" ref="R401">IF(B401="","",INDEX('Bán nhanh'!$C$4:$C$103,INT((ROW()-4)/10)+1))</f>
        <v/>
      </c>
      <c r="S401" s="71" t="str">
        <f t="array" ref="S401">IF(B401="","",INDEX('Bán nhanh'!$P$4:$P$103,INT((ROW()-4)/10)+1))</f>
        <v/>
      </c>
      <c r="T401" s="58"/>
      <c r="U401" s="36"/>
      <c r="V401" s="36"/>
      <c r="W401" s="58"/>
      <c r="X401" s="36"/>
      <c r="Y401" s="36"/>
      <c r="Z401" s="36"/>
    </row>
    <row r="402" ht="15.75" customHeight="1">
      <c r="A402" s="70" t="str">
        <f t="array" ref="A402">IF(B402="","",INDEX('Bán nhanh'!$A$4:$A$103,INT((ROW()-4)/10)+1))</f>
        <v/>
      </c>
      <c r="B402" s="71" t="str">
        <f t="array" ref="B402">IF(OR(INDEX('Bán nhanh'!$D$3:$M$3,1,MOD(ROW()-4,10)+1)="",INDEX('Bán nhanh'!$D$4:$M$103,INT((ROW()-4)/10)+1,MOD(ROW()-4,10)+1)&lt;=0),"",INDEX('Bán nhanh'!$D$3:$M$3,1,MOD(ROW()-4,10)+1))</f>
        <v/>
      </c>
      <c r="C402" s="58" t="str">
        <f t="array" ref="C402">IFERROR(INDEX('Sản phẩm'!$A$4:$A$103,MATCH(B402,'Sản phẩm'!$D$4:$D$103,0)),"")</f>
        <v/>
      </c>
      <c r="D402" s="71" t="str">
        <f t="array" ref="D402">IF(B402="","",INDEX('Bán nhanh'!$B$4:$B$103,INT((ROW()-4)/10)+1))</f>
        <v/>
      </c>
      <c r="E402" s="58" t="str">
        <f t="array" ref="E402">IFERROR(INDEX('Mẻ sữa'!$B$4:$B$203,MATCH(D402,'Mẻ sữa'!$C$4:$C$203,0)),"")</f>
        <v/>
      </c>
      <c r="F402" s="66">
        <f t="array" ref="F402">IF(B402="",0,INDEX('Bán nhanh'!$D$4:$M$103,INT((ROW()-4)/10)+1,MOD(ROW()-4,10)+1))</f>
        <v>0</v>
      </c>
      <c r="G402" s="46">
        <f t="array" ref="G402">IFERROR(INDEX('Sản phẩm'!$F$4:$F$103,MATCH(B402,'Sản phẩm'!$D$4:$D$103,0)),0)</f>
        <v>0</v>
      </c>
      <c r="H402" s="67">
        <f t="shared" si="5"/>
        <v>0</v>
      </c>
      <c r="I402" s="46">
        <f t="shared" si="1"/>
        <v>0</v>
      </c>
      <c r="J402" s="46">
        <f t="array" ref="J402">IFERROR(INDEX('Sản phẩm'!$G$4:$G$103,MATCH(B402,'Sản phẩm'!$D$4:$D$103,0)),0)</f>
        <v>0</v>
      </c>
      <c r="K402" s="46">
        <f t="array" ref="K402">IFERROR(J402*INDEX('Mẻ sữa'!$N$4:$N$203,MATCH(D402,'Mẻ sữa'!$C$4:$C$203,0)),0)</f>
        <v>0</v>
      </c>
      <c r="L402" s="46">
        <f t="array" ref="L402">IFERROR(INDEX('Sản phẩm'!$I$4:$I$103,MATCH(B402,'Sản phẩm'!$D$4:$D$103,0)),0)</f>
        <v>0</v>
      </c>
      <c r="M402" s="72" t="str">
        <f t="array" ref="M402">IFERROR(INDEX('Sản phẩm'!$J$4:$J$103,MATCH(B402,'Sản phẩm'!$D$4:$D$103,0)),0)</f>
        <v/>
      </c>
      <c r="N402" s="46">
        <f>IF(B402="",0,(K402+L402+M402)*'Thiết lập'!$B$8)</f>
        <v>0</v>
      </c>
      <c r="O402" s="46">
        <f t="shared" si="2"/>
        <v>0</v>
      </c>
      <c r="P402" s="46">
        <f t="shared" si="3"/>
        <v>0</v>
      </c>
      <c r="Q402" s="46">
        <f t="shared" si="4"/>
        <v>0</v>
      </c>
      <c r="R402" s="71" t="str">
        <f t="array" ref="R402">IF(B402="","",INDEX('Bán nhanh'!$C$4:$C$103,INT((ROW()-4)/10)+1))</f>
        <v/>
      </c>
      <c r="S402" s="71" t="str">
        <f t="array" ref="S402">IF(B402="","",INDEX('Bán nhanh'!$P$4:$P$103,INT((ROW()-4)/10)+1))</f>
        <v/>
      </c>
      <c r="T402" s="58"/>
      <c r="U402" s="36"/>
      <c r="V402" s="36"/>
      <c r="W402" s="58"/>
      <c r="X402" s="36"/>
      <c r="Y402" s="36"/>
      <c r="Z402" s="36"/>
    </row>
    <row r="403" ht="15.75" customHeight="1">
      <c r="A403" s="70" t="str">
        <f t="array" ref="A403">IF(B403="","",INDEX('Bán nhanh'!$A$4:$A$103,INT((ROW()-4)/10)+1))</f>
        <v/>
      </c>
      <c r="B403" s="71" t="str">
        <f t="array" ref="B403">IF(OR(INDEX('Bán nhanh'!$D$3:$M$3,1,MOD(ROW()-4,10)+1)="",INDEX('Bán nhanh'!$D$4:$M$103,INT((ROW()-4)/10)+1,MOD(ROW()-4,10)+1)&lt;=0),"",INDEX('Bán nhanh'!$D$3:$M$3,1,MOD(ROW()-4,10)+1))</f>
        <v/>
      </c>
      <c r="C403" s="58" t="str">
        <f t="array" ref="C403">IFERROR(INDEX('Sản phẩm'!$A$4:$A$103,MATCH(B403,'Sản phẩm'!$D$4:$D$103,0)),"")</f>
        <v/>
      </c>
      <c r="D403" s="71" t="str">
        <f t="array" ref="D403">IF(B403="","",INDEX('Bán nhanh'!$B$4:$B$103,INT((ROW()-4)/10)+1))</f>
        <v/>
      </c>
      <c r="E403" s="58" t="str">
        <f t="array" ref="E403">IFERROR(INDEX('Mẻ sữa'!$B$4:$B$203,MATCH(D403,'Mẻ sữa'!$C$4:$C$203,0)),"")</f>
        <v/>
      </c>
      <c r="F403" s="66">
        <f t="array" ref="F403">IF(B403="",0,INDEX('Bán nhanh'!$D$4:$M$103,INT((ROW()-4)/10)+1,MOD(ROW()-4,10)+1))</f>
        <v>0</v>
      </c>
      <c r="G403" s="46">
        <f t="array" ref="G403">IFERROR(INDEX('Sản phẩm'!$F$4:$F$103,MATCH(B403,'Sản phẩm'!$D$4:$D$103,0)),0)</f>
        <v>0</v>
      </c>
      <c r="H403" s="67">
        <f t="shared" si="5"/>
        <v>0</v>
      </c>
      <c r="I403" s="46">
        <f t="shared" si="1"/>
        <v>0</v>
      </c>
      <c r="J403" s="46">
        <f t="array" ref="J403">IFERROR(INDEX('Sản phẩm'!$G$4:$G$103,MATCH(B403,'Sản phẩm'!$D$4:$D$103,0)),0)</f>
        <v>0</v>
      </c>
      <c r="K403" s="46">
        <f t="array" ref="K403">IFERROR(J403*INDEX('Mẻ sữa'!$N$4:$N$203,MATCH(D403,'Mẻ sữa'!$C$4:$C$203,0)),0)</f>
        <v>0</v>
      </c>
      <c r="L403" s="46">
        <f t="array" ref="L403">IFERROR(INDEX('Sản phẩm'!$I$4:$I$103,MATCH(B403,'Sản phẩm'!$D$4:$D$103,0)),0)</f>
        <v>0</v>
      </c>
      <c r="M403" s="72" t="str">
        <f t="array" ref="M403">IFERROR(INDEX('Sản phẩm'!$J$4:$J$103,MATCH(B403,'Sản phẩm'!$D$4:$D$103,0)),0)</f>
        <v/>
      </c>
      <c r="N403" s="46">
        <f>IF(B403="",0,(K403+L403+M403)*'Thiết lập'!$B$8)</f>
        <v>0</v>
      </c>
      <c r="O403" s="46">
        <f t="shared" si="2"/>
        <v>0</v>
      </c>
      <c r="P403" s="46">
        <f t="shared" si="3"/>
        <v>0</v>
      </c>
      <c r="Q403" s="46">
        <f t="shared" si="4"/>
        <v>0</v>
      </c>
      <c r="R403" s="71" t="str">
        <f t="array" ref="R403">IF(B403="","",INDEX('Bán nhanh'!$C$4:$C$103,INT((ROW()-4)/10)+1))</f>
        <v/>
      </c>
      <c r="S403" s="71" t="str">
        <f t="array" ref="S403">IF(B403="","",INDEX('Bán nhanh'!$P$4:$P$103,INT((ROW()-4)/10)+1))</f>
        <v/>
      </c>
      <c r="T403" s="58"/>
      <c r="U403" s="36"/>
      <c r="V403" s="36"/>
      <c r="W403" s="58"/>
      <c r="X403" s="36"/>
      <c r="Y403" s="36"/>
      <c r="Z403" s="36"/>
    </row>
    <row r="404" ht="15.75" customHeight="1">
      <c r="A404" s="70" t="str">
        <f t="array" ref="A404">IF(B404="","",INDEX('Bán nhanh'!$A$4:$A$103,INT((ROW()-4)/10)+1))</f>
        <v/>
      </c>
      <c r="B404" s="71" t="str">
        <f t="array" ref="B404">IF(OR(INDEX('Bán nhanh'!$D$3:$M$3,1,MOD(ROW()-4,10)+1)="",INDEX('Bán nhanh'!$D$4:$M$103,INT((ROW()-4)/10)+1,MOD(ROW()-4,10)+1)&lt;=0),"",INDEX('Bán nhanh'!$D$3:$M$3,1,MOD(ROW()-4,10)+1))</f>
        <v/>
      </c>
      <c r="C404" s="58" t="str">
        <f t="array" ref="C404">IFERROR(INDEX('Sản phẩm'!$A$4:$A$103,MATCH(B404,'Sản phẩm'!$D$4:$D$103,0)),"")</f>
        <v/>
      </c>
      <c r="D404" s="71" t="str">
        <f t="array" ref="D404">IF(B404="","",INDEX('Bán nhanh'!$B$4:$B$103,INT((ROW()-4)/10)+1))</f>
        <v/>
      </c>
      <c r="E404" s="58" t="str">
        <f t="array" ref="E404">IFERROR(INDEX('Mẻ sữa'!$B$4:$B$203,MATCH(D404,'Mẻ sữa'!$C$4:$C$203,0)),"")</f>
        <v/>
      </c>
      <c r="F404" s="66">
        <f t="array" ref="F404">IF(B404="",0,INDEX('Bán nhanh'!$D$4:$M$103,INT((ROW()-4)/10)+1,MOD(ROW()-4,10)+1))</f>
        <v>0</v>
      </c>
      <c r="G404" s="46">
        <f t="array" ref="G404">IFERROR(INDEX('Sản phẩm'!$F$4:$F$103,MATCH(B404,'Sản phẩm'!$D$4:$D$103,0)),0)</f>
        <v>0</v>
      </c>
      <c r="H404" s="67">
        <f t="shared" si="5"/>
        <v>0</v>
      </c>
      <c r="I404" s="46">
        <f t="shared" si="1"/>
        <v>0</v>
      </c>
      <c r="J404" s="46">
        <f t="array" ref="J404">IFERROR(INDEX('Sản phẩm'!$G$4:$G$103,MATCH(B404,'Sản phẩm'!$D$4:$D$103,0)),0)</f>
        <v>0</v>
      </c>
      <c r="K404" s="46">
        <f t="array" ref="K404">IFERROR(J404*INDEX('Mẻ sữa'!$N$4:$N$203,MATCH(D404,'Mẻ sữa'!$C$4:$C$203,0)),0)</f>
        <v>0</v>
      </c>
      <c r="L404" s="46">
        <f t="array" ref="L404">IFERROR(INDEX('Sản phẩm'!$I$4:$I$103,MATCH(B404,'Sản phẩm'!$D$4:$D$103,0)),0)</f>
        <v>0</v>
      </c>
      <c r="M404" s="72" t="str">
        <f t="array" ref="M404">IFERROR(INDEX('Sản phẩm'!$J$4:$J$103,MATCH(B404,'Sản phẩm'!$D$4:$D$103,0)),0)</f>
        <v/>
      </c>
      <c r="N404" s="46">
        <f>IF(B404="",0,(K404+L404+M404)*'Thiết lập'!$B$8)</f>
        <v>0</v>
      </c>
      <c r="O404" s="46">
        <f t="shared" si="2"/>
        <v>0</v>
      </c>
      <c r="P404" s="46">
        <f t="shared" si="3"/>
        <v>0</v>
      </c>
      <c r="Q404" s="46">
        <f t="shared" si="4"/>
        <v>0</v>
      </c>
      <c r="R404" s="71" t="str">
        <f t="array" ref="R404">IF(B404="","",INDEX('Bán nhanh'!$C$4:$C$103,INT((ROW()-4)/10)+1))</f>
        <v/>
      </c>
      <c r="S404" s="71" t="str">
        <f t="array" ref="S404">IF(B404="","",INDEX('Bán nhanh'!$P$4:$P$103,INT((ROW()-4)/10)+1))</f>
        <v/>
      </c>
      <c r="T404" s="58"/>
      <c r="U404" s="36"/>
      <c r="V404" s="36"/>
      <c r="W404" s="58"/>
      <c r="X404" s="36"/>
      <c r="Y404" s="36"/>
      <c r="Z404" s="36"/>
    </row>
    <row r="405" ht="15.75" customHeight="1">
      <c r="A405" s="70" t="str">
        <f t="array" ref="A405">IF(B405="","",INDEX('Bán nhanh'!$A$4:$A$103,INT((ROW()-4)/10)+1))</f>
        <v/>
      </c>
      <c r="B405" s="71" t="str">
        <f t="array" ref="B405">IF(OR(INDEX('Bán nhanh'!$D$3:$M$3,1,MOD(ROW()-4,10)+1)="",INDEX('Bán nhanh'!$D$4:$M$103,INT((ROW()-4)/10)+1,MOD(ROW()-4,10)+1)&lt;=0),"",INDEX('Bán nhanh'!$D$3:$M$3,1,MOD(ROW()-4,10)+1))</f>
        <v/>
      </c>
      <c r="C405" s="58" t="str">
        <f t="array" ref="C405">IFERROR(INDEX('Sản phẩm'!$A$4:$A$103,MATCH(B405,'Sản phẩm'!$D$4:$D$103,0)),"")</f>
        <v/>
      </c>
      <c r="D405" s="71" t="str">
        <f t="array" ref="D405">IF(B405="","",INDEX('Bán nhanh'!$B$4:$B$103,INT((ROW()-4)/10)+1))</f>
        <v/>
      </c>
      <c r="E405" s="58" t="str">
        <f t="array" ref="E405">IFERROR(INDEX('Mẻ sữa'!$B$4:$B$203,MATCH(D405,'Mẻ sữa'!$C$4:$C$203,0)),"")</f>
        <v/>
      </c>
      <c r="F405" s="66">
        <f t="array" ref="F405">IF(B405="",0,INDEX('Bán nhanh'!$D$4:$M$103,INT((ROW()-4)/10)+1,MOD(ROW()-4,10)+1))</f>
        <v>0</v>
      </c>
      <c r="G405" s="46">
        <f t="array" ref="G405">IFERROR(INDEX('Sản phẩm'!$F$4:$F$103,MATCH(B405,'Sản phẩm'!$D$4:$D$103,0)),0)</f>
        <v>0</v>
      </c>
      <c r="H405" s="67">
        <f t="shared" si="5"/>
        <v>0</v>
      </c>
      <c r="I405" s="46">
        <f t="shared" si="1"/>
        <v>0</v>
      </c>
      <c r="J405" s="46">
        <f t="array" ref="J405">IFERROR(INDEX('Sản phẩm'!$G$4:$G$103,MATCH(B405,'Sản phẩm'!$D$4:$D$103,0)),0)</f>
        <v>0</v>
      </c>
      <c r="K405" s="46">
        <f t="array" ref="K405">IFERROR(J405*INDEX('Mẻ sữa'!$N$4:$N$203,MATCH(D405,'Mẻ sữa'!$C$4:$C$203,0)),0)</f>
        <v>0</v>
      </c>
      <c r="L405" s="46">
        <f t="array" ref="L405">IFERROR(INDEX('Sản phẩm'!$I$4:$I$103,MATCH(B405,'Sản phẩm'!$D$4:$D$103,0)),0)</f>
        <v>0</v>
      </c>
      <c r="M405" s="72" t="str">
        <f t="array" ref="M405">IFERROR(INDEX('Sản phẩm'!$J$4:$J$103,MATCH(B405,'Sản phẩm'!$D$4:$D$103,0)),0)</f>
        <v/>
      </c>
      <c r="N405" s="46">
        <f>IF(B405="",0,(K405+L405+M405)*'Thiết lập'!$B$8)</f>
        <v>0</v>
      </c>
      <c r="O405" s="46">
        <f t="shared" si="2"/>
        <v>0</v>
      </c>
      <c r="P405" s="46">
        <f t="shared" si="3"/>
        <v>0</v>
      </c>
      <c r="Q405" s="46">
        <f t="shared" si="4"/>
        <v>0</v>
      </c>
      <c r="R405" s="71" t="str">
        <f t="array" ref="R405">IF(B405="","",INDEX('Bán nhanh'!$C$4:$C$103,INT((ROW()-4)/10)+1))</f>
        <v/>
      </c>
      <c r="S405" s="71" t="str">
        <f t="array" ref="S405">IF(B405="","",INDEX('Bán nhanh'!$P$4:$P$103,INT((ROW()-4)/10)+1))</f>
        <v/>
      </c>
      <c r="T405" s="58"/>
      <c r="U405" s="36"/>
      <c r="V405" s="36"/>
      <c r="W405" s="58"/>
      <c r="X405" s="36"/>
      <c r="Y405" s="36"/>
      <c r="Z405" s="36"/>
    </row>
    <row r="406" ht="15.75" customHeight="1">
      <c r="A406" s="70" t="str">
        <f t="array" ref="A406">IF(B406="","",INDEX('Bán nhanh'!$A$4:$A$103,INT((ROW()-4)/10)+1))</f>
        <v/>
      </c>
      <c r="B406" s="71" t="str">
        <f t="array" ref="B406">IF(OR(INDEX('Bán nhanh'!$D$3:$M$3,1,MOD(ROW()-4,10)+1)="",INDEX('Bán nhanh'!$D$4:$M$103,INT((ROW()-4)/10)+1,MOD(ROW()-4,10)+1)&lt;=0),"",INDEX('Bán nhanh'!$D$3:$M$3,1,MOD(ROW()-4,10)+1))</f>
        <v/>
      </c>
      <c r="C406" s="58" t="str">
        <f t="array" ref="C406">IFERROR(INDEX('Sản phẩm'!$A$4:$A$103,MATCH(B406,'Sản phẩm'!$D$4:$D$103,0)),"")</f>
        <v/>
      </c>
      <c r="D406" s="71" t="str">
        <f t="array" ref="D406">IF(B406="","",INDEX('Bán nhanh'!$B$4:$B$103,INT((ROW()-4)/10)+1))</f>
        <v/>
      </c>
      <c r="E406" s="58" t="str">
        <f t="array" ref="E406">IFERROR(INDEX('Mẻ sữa'!$B$4:$B$203,MATCH(D406,'Mẻ sữa'!$C$4:$C$203,0)),"")</f>
        <v/>
      </c>
      <c r="F406" s="66">
        <f t="array" ref="F406">IF(B406="",0,INDEX('Bán nhanh'!$D$4:$M$103,INT((ROW()-4)/10)+1,MOD(ROW()-4,10)+1))</f>
        <v>0</v>
      </c>
      <c r="G406" s="46">
        <f t="array" ref="G406">IFERROR(INDEX('Sản phẩm'!$F$4:$F$103,MATCH(B406,'Sản phẩm'!$D$4:$D$103,0)),0)</f>
        <v>0</v>
      </c>
      <c r="H406" s="67">
        <f t="shared" si="5"/>
        <v>0</v>
      </c>
      <c r="I406" s="46">
        <f t="shared" si="1"/>
        <v>0</v>
      </c>
      <c r="J406" s="46">
        <f t="array" ref="J406">IFERROR(INDEX('Sản phẩm'!$G$4:$G$103,MATCH(B406,'Sản phẩm'!$D$4:$D$103,0)),0)</f>
        <v>0</v>
      </c>
      <c r="K406" s="46">
        <f t="array" ref="K406">IFERROR(J406*INDEX('Mẻ sữa'!$N$4:$N$203,MATCH(D406,'Mẻ sữa'!$C$4:$C$203,0)),0)</f>
        <v>0</v>
      </c>
      <c r="L406" s="46">
        <f t="array" ref="L406">IFERROR(INDEX('Sản phẩm'!$I$4:$I$103,MATCH(B406,'Sản phẩm'!$D$4:$D$103,0)),0)</f>
        <v>0</v>
      </c>
      <c r="M406" s="72" t="str">
        <f t="array" ref="M406">IFERROR(INDEX('Sản phẩm'!$J$4:$J$103,MATCH(B406,'Sản phẩm'!$D$4:$D$103,0)),0)</f>
        <v/>
      </c>
      <c r="N406" s="46">
        <f>IF(B406="",0,(K406+L406+M406)*'Thiết lập'!$B$8)</f>
        <v>0</v>
      </c>
      <c r="O406" s="46">
        <f t="shared" si="2"/>
        <v>0</v>
      </c>
      <c r="P406" s="46">
        <f t="shared" si="3"/>
        <v>0</v>
      </c>
      <c r="Q406" s="46">
        <f t="shared" si="4"/>
        <v>0</v>
      </c>
      <c r="R406" s="71" t="str">
        <f t="array" ref="R406">IF(B406="","",INDEX('Bán nhanh'!$C$4:$C$103,INT((ROW()-4)/10)+1))</f>
        <v/>
      </c>
      <c r="S406" s="71" t="str">
        <f t="array" ref="S406">IF(B406="","",INDEX('Bán nhanh'!$P$4:$P$103,INT((ROW()-4)/10)+1))</f>
        <v/>
      </c>
      <c r="T406" s="58"/>
      <c r="U406" s="36"/>
      <c r="V406" s="36"/>
      <c r="W406" s="58"/>
      <c r="X406" s="36"/>
      <c r="Y406" s="36"/>
      <c r="Z406" s="36"/>
    </row>
    <row r="407" ht="15.75" customHeight="1">
      <c r="A407" s="70" t="str">
        <f t="array" ref="A407">IF(B407="","",INDEX('Bán nhanh'!$A$4:$A$103,INT((ROW()-4)/10)+1))</f>
        <v/>
      </c>
      <c r="B407" s="71" t="str">
        <f t="array" ref="B407">IF(OR(INDEX('Bán nhanh'!$D$3:$M$3,1,MOD(ROW()-4,10)+1)="",INDEX('Bán nhanh'!$D$4:$M$103,INT((ROW()-4)/10)+1,MOD(ROW()-4,10)+1)&lt;=0),"",INDEX('Bán nhanh'!$D$3:$M$3,1,MOD(ROW()-4,10)+1))</f>
        <v/>
      </c>
      <c r="C407" s="58" t="str">
        <f t="array" ref="C407">IFERROR(INDEX('Sản phẩm'!$A$4:$A$103,MATCH(B407,'Sản phẩm'!$D$4:$D$103,0)),"")</f>
        <v/>
      </c>
      <c r="D407" s="71" t="str">
        <f t="array" ref="D407">IF(B407="","",INDEX('Bán nhanh'!$B$4:$B$103,INT((ROW()-4)/10)+1))</f>
        <v/>
      </c>
      <c r="E407" s="58" t="str">
        <f t="array" ref="E407">IFERROR(INDEX('Mẻ sữa'!$B$4:$B$203,MATCH(D407,'Mẻ sữa'!$C$4:$C$203,0)),"")</f>
        <v/>
      </c>
      <c r="F407" s="66">
        <f t="array" ref="F407">IF(B407="",0,INDEX('Bán nhanh'!$D$4:$M$103,INT((ROW()-4)/10)+1,MOD(ROW()-4,10)+1))</f>
        <v>0</v>
      </c>
      <c r="G407" s="46">
        <f t="array" ref="G407">IFERROR(INDEX('Sản phẩm'!$F$4:$F$103,MATCH(B407,'Sản phẩm'!$D$4:$D$103,0)),0)</f>
        <v>0</v>
      </c>
      <c r="H407" s="67">
        <f t="shared" si="5"/>
        <v>0</v>
      </c>
      <c r="I407" s="46">
        <f t="shared" si="1"/>
        <v>0</v>
      </c>
      <c r="J407" s="46">
        <f t="array" ref="J407">IFERROR(INDEX('Sản phẩm'!$G$4:$G$103,MATCH(B407,'Sản phẩm'!$D$4:$D$103,0)),0)</f>
        <v>0</v>
      </c>
      <c r="K407" s="46">
        <f t="array" ref="K407">IFERROR(J407*INDEX('Mẻ sữa'!$N$4:$N$203,MATCH(D407,'Mẻ sữa'!$C$4:$C$203,0)),0)</f>
        <v>0</v>
      </c>
      <c r="L407" s="46">
        <f t="array" ref="L407">IFERROR(INDEX('Sản phẩm'!$I$4:$I$103,MATCH(B407,'Sản phẩm'!$D$4:$D$103,0)),0)</f>
        <v>0</v>
      </c>
      <c r="M407" s="72" t="str">
        <f t="array" ref="M407">IFERROR(INDEX('Sản phẩm'!$J$4:$J$103,MATCH(B407,'Sản phẩm'!$D$4:$D$103,0)),0)</f>
        <v/>
      </c>
      <c r="N407" s="46">
        <f>IF(B407="",0,(K407+L407+M407)*'Thiết lập'!$B$8)</f>
        <v>0</v>
      </c>
      <c r="O407" s="46">
        <f t="shared" si="2"/>
        <v>0</v>
      </c>
      <c r="P407" s="46">
        <f t="shared" si="3"/>
        <v>0</v>
      </c>
      <c r="Q407" s="46">
        <f t="shared" si="4"/>
        <v>0</v>
      </c>
      <c r="R407" s="71" t="str">
        <f t="array" ref="R407">IF(B407="","",INDEX('Bán nhanh'!$C$4:$C$103,INT((ROW()-4)/10)+1))</f>
        <v/>
      </c>
      <c r="S407" s="71" t="str">
        <f t="array" ref="S407">IF(B407="","",INDEX('Bán nhanh'!$P$4:$P$103,INT((ROW()-4)/10)+1))</f>
        <v/>
      </c>
      <c r="T407" s="58"/>
      <c r="U407" s="36"/>
      <c r="V407" s="36"/>
      <c r="W407" s="58"/>
      <c r="X407" s="36"/>
      <c r="Y407" s="36"/>
      <c r="Z407" s="36"/>
    </row>
    <row r="408" ht="15.75" customHeight="1">
      <c r="A408" s="70" t="str">
        <f t="array" ref="A408">IF(B408="","",INDEX('Bán nhanh'!$A$4:$A$103,INT((ROW()-4)/10)+1))</f>
        <v/>
      </c>
      <c r="B408" s="71" t="str">
        <f t="array" ref="B408">IF(OR(INDEX('Bán nhanh'!$D$3:$M$3,1,MOD(ROW()-4,10)+1)="",INDEX('Bán nhanh'!$D$4:$M$103,INT((ROW()-4)/10)+1,MOD(ROW()-4,10)+1)&lt;=0),"",INDEX('Bán nhanh'!$D$3:$M$3,1,MOD(ROW()-4,10)+1))</f>
        <v/>
      </c>
      <c r="C408" s="58" t="str">
        <f t="array" ref="C408">IFERROR(INDEX('Sản phẩm'!$A$4:$A$103,MATCH(B408,'Sản phẩm'!$D$4:$D$103,0)),"")</f>
        <v/>
      </c>
      <c r="D408" s="71" t="str">
        <f t="array" ref="D408">IF(B408="","",INDEX('Bán nhanh'!$B$4:$B$103,INT((ROW()-4)/10)+1))</f>
        <v/>
      </c>
      <c r="E408" s="58" t="str">
        <f t="array" ref="E408">IFERROR(INDEX('Mẻ sữa'!$B$4:$B$203,MATCH(D408,'Mẻ sữa'!$C$4:$C$203,0)),"")</f>
        <v/>
      </c>
      <c r="F408" s="66">
        <f t="array" ref="F408">IF(B408="",0,INDEX('Bán nhanh'!$D$4:$M$103,INT((ROW()-4)/10)+1,MOD(ROW()-4,10)+1))</f>
        <v>0</v>
      </c>
      <c r="G408" s="46">
        <f t="array" ref="G408">IFERROR(INDEX('Sản phẩm'!$F$4:$F$103,MATCH(B408,'Sản phẩm'!$D$4:$D$103,0)),0)</f>
        <v>0</v>
      </c>
      <c r="H408" s="67">
        <f t="shared" si="5"/>
        <v>0</v>
      </c>
      <c r="I408" s="46">
        <f t="shared" si="1"/>
        <v>0</v>
      </c>
      <c r="J408" s="46">
        <f t="array" ref="J408">IFERROR(INDEX('Sản phẩm'!$G$4:$G$103,MATCH(B408,'Sản phẩm'!$D$4:$D$103,0)),0)</f>
        <v>0</v>
      </c>
      <c r="K408" s="46">
        <f t="array" ref="K408">IFERROR(J408*INDEX('Mẻ sữa'!$N$4:$N$203,MATCH(D408,'Mẻ sữa'!$C$4:$C$203,0)),0)</f>
        <v>0</v>
      </c>
      <c r="L408" s="46">
        <f t="array" ref="L408">IFERROR(INDEX('Sản phẩm'!$I$4:$I$103,MATCH(B408,'Sản phẩm'!$D$4:$D$103,0)),0)</f>
        <v>0</v>
      </c>
      <c r="M408" s="72" t="str">
        <f t="array" ref="M408">IFERROR(INDEX('Sản phẩm'!$J$4:$J$103,MATCH(B408,'Sản phẩm'!$D$4:$D$103,0)),0)</f>
        <v/>
      </c>
      <c r="N408" s="46">
        <f>IF(B408="",0,(K408+L408+M408)*'Thiết lập'!$B$8)</f>
        <v>0</v>
      </c>
      <c r="O408" s="46">
        <f t="shared" si="2"/>
        <v>0</v>
      </c>
      <c r="P408" s="46">
        <f t="shared" si="3"/>
        <v>0</v>
      </c>
      <c r="Q408" s="46">
        <f t="shared" si="4"/>
        <v>0</v>
      </c>
      <c r="R408" s="71" t="str">
        <f t="array" ref="R408">IF(B408="","",INDEX('Bán nhanh'!$C$4:$C$103,INT((ROW()-4)/10)+1))</f>
        <v/>
      </c>
      <c r="S408" s="71" t="str">
        <f t="array" ref="S408">IF(B408="","",INDEX('Bán nhanh'!$P$4:$P$103,INT((ROW()-4)/10)+1))</f>
        <v/>
      </c>
      <c r="T408" s="58"/>
      <c r="U408" s="36"/>
      <c r="V408" s="36"/>
      <c r="W408" s="58"/>
      <c r="X408" s="36"/>
      <c r="Y408" s="36"/>
      <c r="Z408" s="36"/>
    </row>
    <row r="409" ht="15.75" customHeight="1">
      <c r="A409" s="70" t="str">
        <f t="array" ref="A409">IF(B409="","",INDEX('Bán nhanh'!$A$4:$A$103,INT((ROW()-4)/10)+1))</f>
        <v/>
      </c>
      <c r="B409" s="71" t="str">
        <f t="array" ref="B409">IF(OR(INDEX('Bán nhanh'!$D$3:$M$3,1,MOD(ROW()-4,10)+1)="",INDEX('Bán nhanh'!$D$4:$M$103,INT((ROW()-4)/10)+1,MOD(ROW()-4,10)+1)&lt;=0),"",INDEX('Bán nhanh'!$D$3:$M$3,1,MOD(ROW()-4,10)+1))</f>
        <v/>
      </c>
      <c r="C409" s="58" t="str">
        <f t="array" ref="C409">IFERROR(INDEX('Sản phẩm'!$A$4:$A$103,MATCH(B409,'Sản phẩm'!$D$4:$D$103,0)),"")</f>
        <v/>
      </c>
      <c r="D409" s="71" t="str">
        <f t="array" ref="D409">IF(B409="","",INDEX('Bán nhanh'!$B$4:$B$103,INT((ROW()-4)/10)+1))</f>
        <v/>
      </c>
      <c r="E409" s="58" t="str">
        <f t="array" ref="E409">IFERROR(INDEX('Mẻ sữa'!$B$4:$B$203,MATCH(D409,'Mẻ sữa'!$C$4:$C$203,0)),"")</f>
        <v/>
      </c>
      <c r="F409" s="66">
        <f t="array" ref="F409">IF(B409="",0,INDEX('Bán nhanh'!$D$4:$M$103,INT((ROW()-4)/10)+1,MOD(ROW()-4,10)+1))</f>
        <v>0</v>
      </c>
      <c r="G409" s="46">
        <f t="array" ref="G409">IFERROR(INDEX('Sản phẩm'!$F$4:$F$103,MATCH(B409,'Sản phẩm'!$D$4:$D$103,0)),0)</f>
        <v>0</v>
      </c>
      <c r="H409" s="67">
        <f t="shared" si="5"/>
        <v>0</v>
      </c>
      <c r="I409" s="46">
        <f t="shared" si="1"/>
        <v>0</v>
      </c>
      <c r="J409" s="46">
        <f t="array" ref="J409">IFERROR(INDEX('Sản phẩm'!$G$4:$G$103,MATCH(B409,'Sản phẩm'!$D$4:$D$103,0)),0)</f>
        <v>0</v>
      </c>
      <c r="K409" s="46">
        <f t="array" ref="K409">IFERROR(J409*INDEX('Mẻ sữa'!$N$4:$N$203,MATCH(D409,'Mẻ sữa'!$C$4:$C$203,0)),0)</f>
        <v>0</v>
      </c>
      <c r="L409" s="46">
        <f t="array" ref="L409">IFERROR(INDEX('Sản phẩm'!$I$4:$I$103,MATCH(B409,'Sản phẩm'!$D$4:$D$103,0)),0)</f>
        <v>0</v>
      </c>
      <c r="M409" s="72" t="str">
        <f t="array" ref="M409">IFERROR(INDEX('Sản phẩm'!$J$4:$J$103,MATCH(B409,'Sản phẩm'!$D$4:$D$103,0)),0)</f>
        <v/>
      </c>
      <c r="N409" s="46">
        <f>IF(B409="",0,(K409+L409+M409)*'Thiết lập'!$B$8)</f>
        <v>0</v>
      </c>
      <c r="O409" s="46">
        <f t="shared" si="2"/>
        <v>0</v>
      </c>
      <c r="P409" s="46">
        <f t="shared" si="3"/>
        <v>0</v>
      </c>
      <c r="Q409" s="46">
        <f t="shared" si="4"/>
        <v>0</v>
      </c>
      <c r="R409" s="71" t="str">
        <f t="array" ref="R409">IF(B409="","",INDEX('Bán nhanh'!$C$4:$C$103,INT((ROW()-4)/10)+1))</f>
        <v/>
      </c>
      <c r="S409" s="71" t="str">
        <f t="array" ref="S409">IF(B409="","",INDEX('Bán nhanh'!$P$4:$P$103,INT((ROW()-4)/10)+1))</f>
        <v/>
      </c>
      <c r="T409" s="58"/>
      <c r="U409" s="36"/>
      <c r="V409" s="36"/>
      <c r="W409" s="58"/>
      <c r="X409" s="36"/>
      <c r="Y409" s="36"/>
      <c r="Z409" s="36"/>
    </row>
    <row r="410" ht="15.75" customHeight="1">
      <c r="A410" s="70" t="str">
        <f t="array" ref="A410">IF(B410="","",INDEX('Bán nhanh'!$A$4:$A$103,INT((ROW()-4)/10)+1))</f>
        <v/>
      </c>
      <c r="B410" s="71" t="str">
        <f t="array" ref="B410">IF(OR(INDEX('Bán nhanh'!$D$3:$M$3,1,MOD(ROW()-4,10)+1)="",INDEX('Bán nhanh'!$D$4:$M$103,INT((ROW()-4)/10)+1,MOD(ROW()-4,10)+1)&lt;=0),"",INDEX('Bán nhanh'!$D$3:$M$3,1,MOD(ROW()-4,10)+1))</f>
        <v/>
      </c>
      <c r="C410" s="58" t="str">
        <f t="array" ref="C410">IFERROR(INDEX('Sản phẩm'!$A$4:$A$103,MATCH(B410,'Sản phẩm'!$D$4:$D$103,0)),"")</f>
        <v/>
      </c>
      <c r="D410" s="71" t="str">
        <f t="array" ref="D410">IF(B410="","",INDEX('Bán nhanh'!$B$4:$B$103,INT((ROW()-4)/10)+1))</f>
        <v/>
      </c>
      <c r="E410" s="58" t="str">
        <f t="array" ref="E410">IFERROR(INDEX('Mẻ sữa'!$B$4:$B$203,MATCH(D410,'Mẻ sữa'!$C$4:$C$203,0)),"")</f>
        <v/>
      </c>
      <c r="F410" s="66">
        <f t="array" ref="F410">IF(B410="",0,INDEX('Bán nhanh'!$D$4:$M$103,INT((ROW()-4)/10)+1,MOD(ROW()-4,10)+1))</f>
        <v>0</v>
      </c>
      <c r="G410" s="46">
        <f t="array" ref="G410">IFERROR(INDEX('Sản phẩm'!$F$4:$F$103,MATCH(B410,'Sản phẩm'!$D$4:$D$103,0)),0)</f>
        <v>0</v>
      </c>
      <c r="H410" s="67">
        <f t="shared" si="5"/>
        <v>0</v>
      </c>
      <c r="I410" s="46">
        <f t="shared" si="1"/>
        <v>0</v>
      </c>
      <c r="J410" s="46">
        <f t="array" ref="J410">IFERROR(INDEX('Sản phẩm'!$G$4:$G$103,MATCH(B410,'Sản phẩm'!$D$4:$D$103,0)),0)</f>
        <v>0</v>
      </c>
      <c r="K410" s="46">
        <f t="array" ref="K410">IFERROR(J410*INDEX('Mẻ sữa'!$N$4:$N$203,MATCH(D410,'Mẻ sữa'!$C$4:$C$203,0)),0)</f>
        <v>0</v>
      </c>
      <c r="L410" s="46">
        <f t="array" ref="L410">IFERROR(INDEX('Sản phẩm'!$I$4:$I$103,MATCH(B410,'Sản phẩm'!$D$4:$D$103,0)),0)</f>
        <v>0</v>
      </c>
      <c r="M410" s="72" t="str">
        <f t="array" ref="M410">IFERROR(INDEX('Sản phẩm'!$J$4:$J$103,MATCH(B410,'Sản phẩm'!$D$4:$D$103,0)),0)</f>
        <v/>
      </c>
      <c r="N410" s="46">
        <f>IF(B410="",0,(K410+L410+M410)*'Thiết lập'!$B$8)</f>
        <v>0</v>
      </c>
      <c r="O410" s="46">
        <f t="shared" si="2"/>
        <v>0</v>
      </c>
      <c r="P410" s="46">
        <f t="shared" si="3"/>
        <v>0</v>
      </c>
      <c r="Q410" s="46">
        <f t="shared" si="4"/>
        <v>0</v>
      </c>
      <c r="R410" s="71" t="str">
        <f t="array" ref="R410">IF(B410="","",INDEX('Bán nhanh'!$C$4:$C$103,INT((ROW()-4)/10)+1))</f>
        <v/>
      </c>
      <c r="S410" s="71" t="str">
        <f t="array" ref="S410">IF(B410="","",INDEX('Bán nhanh'!$P$4:$P$103,INT((ROW()-4)/10)+1))</f>
        <v/>
      </c>
      <c r="T410" s="58"/>
      <c r="U410" s="36"/>
      <c r="V410" s="36"/>
      <c r="W410" s="58"/>
      <c r="X410" s="36"/>
      <c r="Y410" s="36"/>
      <c r="Z410" s="36"/>
    </row>
    <row r="411" ht="15.75" customHeight="1">
      <c r="A411" s="70" t="str">
        <f t="array" ref="A411">IF(B411="","",INDEX('Bán nhanh'!$A$4:$A$103,INT((ROW()-4)/10)+1))</f>
        <v/>
      </c>
      <c r="B411" s="71" t="str">
        <f t="array" ref="B411">IF(OR(INDEX('Bán nhanh'!$D$3:$M$3,1,MOD(ROW()-4,10)+1)="",INDEX('Bán nhanh'!$D$4:$M$103,INT((ROW()-4)/10)+1,MOD(ROW()-4,10)+1)&lt;=0),"",INDEX('Bán nhanh'!$D$3:$M$3,1,MOD(ROW()-4,10)+1))</f>
        <v/>
      </c>
      <c r="C411" s="58" t="str">
        <f t="array" ref="C411">IFERROR(INDEX('Sản phẩm'!$A$4:$A$103,MATCH(B411,'Sản phẩm'!$D$4:$D$103,0)),"")</f>
        <v/>
      </c>
      <c r="D411" s="71" t="str">
        <f t="array" ref="D411">IF(B411="","",INDEX('Bán nhanh'!$B$4:$B$103,INT((ROW()-4)/10)+1))</f>
        <v/>
      </c>
      <c r="E411" s="58" t="str">
        <f t="array" ref="E411">IFERROR(INDEX('Mẻ sữa'!$B$4:$B$203,MATCH(D411,'Mẻ sữa'!$C$4:$C$203,0)),"")</f>
        <v/>
      </c>
      <c r="F411" s="66">
        <f t="array" ref="F411">IF(B411="",0,INDEX('Bán nhanh'!$D$4:$M$103,INT((ROW()-4)/10)+1,MOD(ROW()-4,10)+1))</f>
        <v>0</v>
      </c>
      <c r="G411" s="46">
        <f t="array" ref="G411">IFERROR(INDEX('Sản phẩm'!$F$4:$F$103,MATCH(B411,'Sản phẩm'!$D$4:$D$103,0)),0)</f>
        <v>0</v>
      </c>
      <c r="H411" s="67">
        <f t="shared" si="5"/>
        <v>0</v>
      </c>
      <c r="I411" s="46">
        <f t="shared" si="1"/>
        <v>0</v>
      </c>
      <c r="J411" s="46">
        <f t="array" ref="J411">IFERROR(INDEX('Sản phẩm'!$G$4:$G$103,MATCH(B411,'Sản phẩm'!$D$4:$D$103,0)),0)</f>
        <v>0</v>
      </c>
      <c r="K411" s="46">
        <f t="array" ref="K411">IFERROR(J411*INDEX('Mẻ sữa'!$N$4:$N$203,MATCH(D411,'Mẻ sữa'!$C$4:$C$203,0)),0)</f>
        <v>0</v>
      </c>
      <c r="L411" s="46">
        <f t="array" ref="L411">IFERROR(INDEX('Sản phẩm'!$I$4:$I$103,MATCH(B411,'Sản phẩm'!$D$4:$D$103,0)),0)</f>
        <v>0</v>
      </c>
      <c r="M411" s="72" t="str">
        <f t="array" ref="M411">IFERROR(INDEX('Sản phẩm'!$J$4:$J$103,MATCH(B411,'Sản phẩm'!$D$4:$D$103,0)),0)</f>
        <v/>
      </c>
      <c r="N411" s="46">
        <f>IF(B411="",0,(K411+L411+M411)*'Thiết lập'!$B$8)</f>
        <v>0</v>
      </c>
      <c r="O411" s="46">
        <f t="shared" si="2"/>
        <v>0</v>
      </c>
      <c r="P411" s="46">
        <f t="shared" si="3"/>
        <v>0</v>
      </c>
      <c r="Q411" s="46">
        <f t="shared" si="4"/>
        <v>0</v>
      </c>
      <c r="R411" s="71" t="str">
        <f t="array" ref="R411">IF(B411="","",INDEX('Bán nhanh'!$C$4:$C$103,INT((ROW()-4)/10)+1))</f>
        <v/>
      </c>
      <c r="S411" s="71" t="str">
        <f t="array" ref="S411">IF(B411="","",INDEX('Bán nhanh'!$P$4:$P$103,INT((ROW()-4)/10)+1))</f>
        <v/>
      </c>
      <c r="T411" s="58"/>
      <c r="U411" s="36"/>
      <c r="V411" s="36"/>
      <c r="W411" s="58"/>
      <c r="X411" s="36"/>
      <c r="Y411" s="36"/>
      <c r="Z411" s="36"/>
    </row>
    <row r="412" ht="15.75" customHeight="1">
      <c r="A412" s="70" t="str">
        <f t="array" ref="A412">IF(B412="","",INDEX('Bán nhanh'!$A$4:$A$103,INT((ROW()-4)/10)+1))</f>
        <v/>
      </c>
      <c r="B412" s="71" t="str">
        <f t="array" ref="B412">IF(OR(INDEX('Bán nhanh'!$D$3:$M$3,1,MOD(ROW()-4,10)+1)="",INDEX('Bán nhanh'!$D$4:$M$103,INT((ROW()-4)/10)+1,MOD(ROW()-4,10)+1)&lt;=0),"",INDEX('Bán nhanh'!$D$3:$M$3,1,MOD(ROW()-4,10)+1))</f>
        <v/>
      </c>
      <c r="C412" s="58" t="str">
        <f t="array" ref="C412">IFERROR(INDEX('Sản phẩm'!$A$4:$A$103,MATCH(B412,'Sản phẩm'!$D$4:$D$103,0)),"")</f>
        <v/>
      </c>
      <c r="D412" s="71" t="str">
        <f t="array" ref="D412">IF(B412="","",INDEX('Bán nhanh'!$B$4:$B$103,INT((ROW()-4)/10)+1))</f>
        <v/>
      </c>
      <c r="E412" s="58" t="str">
        <f t="array" ref="E412">IFERROR(INDEX('Mẻ sữa'!$B$4:$B$203,MATCH(D412,'Mẻ sữa'!$C$4:$C$203,0)),"")</f>
        <v/>
      </c>
      <c r="F412" s="66">
        <f t="array" ref="F412">IF(B412="",0,INDEX('Bán nhanh'!$D$4:$M$103,INT((ROW()-4)/10)+1,MOD(ROW()-4,10)+1))</f>
        <v>0</v>
      </c>
      <c r="G412" s="46">
        <f t="array" ref="G412">IFERROR(INDEX('Sản phẩm'!$F$4:$F$103,MATCH(B412,'Sản phẩm'!$D$4:$D$103,0)),0)</f>
        <v>0</v>
      </c>
      <c r="H412" s="67">
        <f t="shared" si="5"/>
        <v>0</v>
      </c>
      <c r="I412" s="46">
        <f t="shared" si="1"/>
        <v>0</v>
      </c>
      <c r="J412" s="46">
        <f t="array" ref="J412">IFERROR(INDEX('Sản phẩm'!$G$4:$G$103,MATCH(B412,'Sản phẩm'!$D$4:$D$103,0)),0)</f>
        <v>0</v>
      </c>
      <c r="K412" s="46">
        <f t="array" ref="K412">IFERROR(J412*INDEX('Mẻ sữa'!$N$4:$N$203,MATCH(D412,'Mẻ sữa'!$C$4:$C$203,0)),0)</f>
        <v>0</v>
      </c>
      <c r="L412" s="46">
        <f t="array" ref="L412">IFERROR(INDEX('Sản phẩm'!$I$4:$I$103,MATCH(B412,'Sản phẩm'!$D$4:$D$103,0)),0)</f>
        <v>0</v>
      </c>
      <c r="M412" s="72" t="str">
        <f t="array" ref="M412">IFERROR(INDEX('Sản phẩm'!$J$4:$J$103,MATCH(B412,'Sản phẩm'!$D$4:$D$103,0)),0)</f>
        <v/>
      </c>
      <c r="N412" s="46">
        <f>IF(B412="",0,(K412+L412+M412)*'Thiết lập'!$B$8)</f>
        <v>0</v>
      </c>
      <c r="O412" s="46">
        <f t="shared" si="2"/>
        <v>0</v>
      </c>
      <c r="P412" s="46">
        <f t="shared" si="3"/>
        <v>0</v>
      </c>
      <c r="Q412" s="46">
        <f t="shared" si="4"/>
        <v>0</v>
      </c>
      <c r="R412" s="71" t="str">
        <f t="array" ref="R412">IF(B412="","",INDEX('Bán nhanh'!$C$4:$C$103,INT((ROW()-4)/10)+1))</f>
        <v/>
      </c>
      <c r="S412" s="71" t="str">
        <f t="array" ref="S412">IF(B412="","",INDEX('Bán nhanh'!$P$4:$P$103,INT((ROW()-4)/10)+1))</f>
        <v/>
      </c>
      <c r="T412" s="58"/>
      <c r="U412" s="36"/>
      <c r="V412" s="36"/>
      <c r="W412" s="58"/>
      <c r="X412" s="36"/>
      <c r="Y412" s="36"/>
      <c r="Z412" s="36"/>
    </row>
    <row r="413" ht="15.75" customHeight="1">
      <c r="A413" s="70" t="str">
        <f t="array" ref="A413">IF(B413="","",INDEX('Bán nhanh'!$A$4:$A$103,INT((ROW()-4)/10)+1))</f>
        <v/>
      </c>
      <c r="B413" s="71" t="str">
        <f t="array" ref="B413">IF(OR(INDEX('Bán nhanh'!$D$3:$M$3,1,MOD(ROW()-4,10)+1)="",INDEX('Bán nhanh'!$D$4:$M$103,INT((ROW()-4)/10)+1,MOD(ROW()-4,10)+1)&lt;=0),"",INDEX('Bán nhanh'!$D$3:$M$3,1,MOD(ROW()-4,10)+1))</f>
        <v/>
      </c>
      <c r="C413" s="58" t="str">
        <f t="array" ref="C413">IFERROR(INDEX('Sản phẩm'!$A$4:$A$103,MATCH(B413,'Sản phẩm'!$D$4:$D$103,0)),"")</f>
        <v/>
      </c>
      <c r="D413" s="71" t="str">
        <f t="array" ref="D413">IF(B413="","",INDEX('Bán nhanh'!$B$4:$B$103,INT((ROW()-4)/10)+1))</f>
        <v/>
      </c>
      <c r="E413" s="58" t="str">
        <f t="array" ref="E413">IFERROR(INDEX('Mẻ sữa'!$B$4:$B$203,MATCH(D413,'Mẻ sữa'!$C$4:$C$203,0)),"")</f>
        <v/>
      </c>
      <c r="F413" s="66">
        <f t="array" ref="F413">IF(B413="",0,INDEX('Bán nhanh'!$D$4:$M$103,INT((ROW()-4)/10)+1,MOD(ROW()-4,10)+1))</f>
        <v>0</v>
      </c>
      <c r="G413" s="46">
        <f t="array" ref="G413">IFERROR(INDEX('Sản phẩm'!$F$4:$F$103,MATCH(B413,'Sản phẩm'!$D$4:$D$103,0)),0)</f>
        <v>0</v>
      </c>
      <c r="H413" s="67">
        <f t="shared" si="5"/>
        <v>0</v>
      </c>
      <c r="I413" s="46">
        <f t="shared" si="1"/>
        <v>0</v>
      </c>
      <c r="J413" s="46">
        <f t="array" ref="J413">IFERROR(INDEX('Sản phẩm'!$G$4:$G$103,MATCH(B413,'Sản phẩm'!$D$4:$D$103,0)),0)</f>
        <v>0</v>
      </c>
      <c r="K413" s="46">
        <f t="array" ref="K413">IFERROR(J413*INDEX('Mẻ sữa'!$N$4:$N$203,MATCH(D413,'Mẻ sữa'!$C$4:$C$203,0)),0)</f>
        <v>0</v>
      </c>
      <c r="L413" s="46">
        <f t="array" ref="L413">IFERROR(INDEX('Sản phẩm'!$I$4:$I$103,MATCH(B413,'Sản phẩm'!$D$4:$D$103,0)),0)</f>
        <v>0</v>
      </c>
      <c r="M413" s="72" t="str">
        <f t="array" ref="M413">IFERROR(INDEX('Sản phẩm'!$J$4:$J$103,MATCH(B413,'Sản phẩm'!$D$4:$D$103,0)),0)</f>
        <v/>
      </c>
      <c r="N413" s="46">
        <f>IF(B413="",0,(K413+L413+M413)*'Thiết lập'!$B$8)</f>
        <v>0</v>
      </c>
      <c r="O413" s="46">
        <f t="shared" si="2"/>
        <v>0</v>
      </c>
      <c r="P413" s="46">
        <f t="shared" si="3"/>
        <v>0</v>
      </c>
      <c r="Q413" s="46">
        <f t="shared" si="4"/>
        <v>0</v>
      </c>
      <c r="R413" s="71" t="str">
        <f t="array" ref="R413">IF(B413="","",INDEX('Bán nhanh'!$C$4:$C$103,INT((ROW()-4)/10)+1))</f>
        <v/>
      </c>
      <c r="S413" s="71" t="str">
        <f t="array" ref="S413">IF(B413="","",INDEX('Bán nhanh'!$P$4:$P$103,INT((ROW()-4)/10)+1))</f>
        <v/>
      </c>
      <c r="T413" s="58"/>
      <c r="U413" s="36"/>
      <c r="V413" s="36"/>
      <c r="W413" s="58"/>
      <c r="X413" s="36"/>
      <c r="Y413" s="36"/>
      <c r="Z413" s="36"/>
    </row>
    <row r="414" ht="15.75" customHeight="1">
      <c r="A414" s="70" t="str">
        <f t="array" ref="A414">IF(B414="","",INDEX('Bán nhanh'!$A$4:$A$103,INT((ROW()-4)/10)+1))</f>
        <v/>
      </c>
      <c r="B414" s="71" t="str">
        <f t="array" ref="B414">IF(OR(INDEX('Bán nhanh'!$D$3:$M$3,1,MOD(ROW()-4,10)+1)="",INDEX('Bán nhanh'!$D$4:$M$103,INT((ROW()-4)/10)+1,MOD(ROW()-4,10)+1)&lt;=0),"",INDEX('Bán nhanh'!$D$3:$M$3,1,MOD(ROW()-4,10)+1))</f>
        <v/>
      </c>
      <c r="C414" s="58" t="str">
        <f t="array" ref="C414">IFERROR(INDEX('Sản phẩm'!$A$4:$A$103,MATCH(B414,'Sản phẩm'!$D$4:$D$103,0)),"")</f>
        <v/>
      </c>
      <c r="D414" s="71" t="str">
        <f t="array" ref="D414">IF(B414="","",INDEX('Bán nhanh'!$B$4:$B$103,INT((ROW()-4)/10)+1))</f>
        <v/>
      </c>
      <c r="E414" s="58" t="str">
        <f t="array" ref="E414">IFERROR(INDEX('Mẻ sữa'!$B$4:$B$203,MATCH(D414,'Mẻ sữa'!$C$4:$C$203,0)),"")</f>
        <v/>
      </c>
      <c r="F414" s="66">
        <f t="array" ref="F414">IF(B414="",0,INDEX('Bán nhanh'!$D$4:$M$103,INT((ROW()-4)/10)+1,MOD(ROW()-4,10)+1))</f>
        <v>0</v>
      </c>
      <c r="G414" s="46">
        <f t="array" ref="G414">IFERROR(INDEX('Sản phẩm'!$F$4:$F$103,MATCH(B414,'Sản phẩm'!$D$4:$D$103,0)),0)</f>
        <v>0</v>
      </c>
      <c r="H414" s="67">
        <f t="shared" si="5"/>
        <v>0</v>
      </c>
      <c r="I414" s="46">
        <f t="shared" si="1"/>
        <v>0</v>
      </c>
      <c r="J414" s="46">
        <f t="array" ref="J414">IFERROR(INDEX('Sản phẩm'!$G$4:$G$103,MATCH(B414,'Sản phẩm'!$D$4:$D$103,0)),0)</f>
        <v>0</v>
      </c>
      <c r="K414" s="46">
        <f t="array" ref="K414">IFERROR(J414*INDEX('Mẻ sữa'!$N$4:$N$203,MATCH(D414,'Mẻ sữa'!$C$4:$C$203,0)),0)</f>
        <v>0</v>
      </c>
      <c r="L414" s="46">
        <f t="array" ref="L414">IFERROR(INDEX('Sản phẩm'!$I$4:$I$103,MATCH(B414,'Sản phẩm'!$D$4:$D$103,0)),0)</f>
        <v>0</v>
      </c>
      <c r="M414" s="72" t="str">
        <f t="array" ref="M414">IFERROR(INDEX('Sản phẩm'!$J$4:$J$103,MATCH(B414,'Sản phẩm'!$D$4:$D$103,0)),0)</f>
        <v/>
      </c>
      <c r="N414" s="46">
        <f>IF(B414="",0,(K414+L414+M414)*'Thiết lập'!$B$8)</f>
        <v>0</v>
      </c>
      <c r="O414" s="46">
        <f t="shared" si="2"/>
        <v>0</v>
      </c>
      <c r="P414" s="46">
        <f t="shared" si="3"/>
        <v>0</v>
      </c>
      <c r="Q414" s="46">
        <f t="shared" si="4"/>
        <v>0</v>
      </c>
      <c r="R414" s="71" t="str">
        <f t="array" ref="R414">IF(B414="","",INDEX('Bán nhanh'!$C$4:$C$103,INT((ROW()-4)/10)+1))</f>
        <v/>
      </c>
      <c r="S414" s="71" t="str">
        <f t="array" ref="S414">IF(B414="","",INDEX('Bán nhanh'!$P$4:$P$103,INT((ROW()-4)/10)+1))</f>
        <v/>
      </c>
      <c r="T414" s="58"/>
      <c r="U414" s="36"/>
      <c r="V414" s="36"/>
      <c r="W414" s="58"/>
      <c r="X414" s="36"/>
      <c r="Y414" s="36"/>
      <c r="Z414" s="36"/>
    </row>
    <row r="415" ht="15.75" customHeight="1">
      <c r="A415" s="70" t="str">
        <f t="array" ref="A415">IF(B415="","",INDEX('Bán nhanh'!$A$4:$A$103,INT((ROW()-4)/10)+1))</f>
        <v/>
      </c>
      <c r="B415" s="71" t="str">
        <f t="array" ref="B415">IF(OR(INDEX('Bán nhanh'!$D$3:$M$3,1,MOD(ROW()-4,10)+1)="",INDEX('Bán nhanh'!$D$4:$M$103,INT((ROW()-4)/10)+1,MOD(ROW()-4,10)+1)&lt;=0),"",INDEX('Bán nhanh'!$D$3:$M$3,1,MOD(ROW()-4,10)+1))</f>
        <v/>
      </c>
      <c r="C415" s="58" t="str">
        <f t="array" ref="C415">IFERROR(INDEX('Sản phẩm'!$A$4:$A$103,MATCH(B415,'Sản phẩm'!$D$4:$D$103,0)),"")</f>
        <v/>
      </c>
      <c r="D415" s="71" t="str">
        <f t="array" ref="D415">IF(B415="","",INDEX('Bán nhanh'!$B$4:$B$103,INT((ROW()-4)/10)+1))</f>
        <v/>
      </c>
      <c r="E415" s="58" t="str">
        <f t="array" ref="E415">IFERROR(INDEX('Mẻ sữa'!$B$4:$B$203,MATCH(D415,'Mẻ sữa'!$C$4:$C$203,0)),"")</f>
        <v/>
      </c>
      <c r="F415" s="66">
        <f t="array" ref="F415">IF(B415="",0,INDEX('Bán nhanh'!$D$4:$M$103,INT((ROW()-4)/10)+1,MOD(ROW()-4,10)+1))</f>
        <v>0</v>
      </c>
      <c r="G415" s="46">
        <f t="array" ref="G415">IFERROR(INDEX('Sản phẩm'!$F$4:$F$103,MATCH(B415,'Sản phẩm'!$D$4:$D$103,0)),0)</f>
        <v>0</v>
      </c>
      <c r="H415" s="67">
        <f t="shared" si="5"/>
        <v>0</v>
      </c>
      <c r="I415" s="46">
        <f t="shared" si="1"/>
        <v>0</v>
      </c>
      <c r="J415" s="46">
        <f t="array" ref="J415">IFERROR(INDEX('Sản phẩm'!$G$4:$G$103,MATCH(B415,'Sản phẩm'!$D$4:$D$103,0)),0)</f>
        <v>0</v>
      </c>
      <c r="K415" s="46">
        <f t="array" ref="K415">IFERROR(J415*INDEX('Mẻ sữa'!$N$4:$N$203,MATCH(D415,'Mẻ sữa'!$C$4:$C$203,0)),0)</f>
        <v>0</v>
      </c>
      <c r="L415" s="46">
        <f t="array" ref="L415">IFERROR(INDEX('Sản phẩm'!$I$4:$I$103,MATCH(B415,'Sản phẩm'!$D$4:$D$103,0)),0)</f>
        <v>0</v>
      </c>
      <c r="M415" s="72" t="str">
        <f t="array" ref="M415">IFERROR(INDEX('Sản phẩm'!$J$4:$J$103,MATCH(B415,'Sản phẩm'!$D$4:$D$103,0)),0)</f>
        <v/>
      </c>
      <c r="N415" s="46">
        <f>IF(B415="",0,(K415+L415+M415)*'Thiết lập'!$B$8)</f>
        <v>0</v>
      </c>
      <c r="O415" s="46">
        <f t="shared" si="2"/>
        <v>0</v>
      </c>
      <c r="P415" s="46">
        <f t="shared" si="3"/>
        <v>0</v>
      </c>
      <c r="Q415" s="46">
        <f t="shared" si="4"/>
        <v>0</v>
      </c>
      <c r="R415" s="71" t="str">
        <f t="array" ref="R415">IF(B415="","",INDEX('Bán nhanh'!$C$4:$C$103,INT((ROW()-4)/10)+1))</f>
        <v/>
      </c>
      <c r="S415" s="71" t="str">
        <f t="array" ref="S415">IF(B415="","",INDEX('Bán nhanh'!$P$4:$P$103,INT((ROW()-4)/10)+1))</f>
        <v/>
      </c>
      <c r="T415" s="58"/>
      <c r="U415" s="36"/>
      <c r="V415" s="36"/>
      <c r="W415" s="58"/>
      <c r="X415" s="36"/>
      <c r="Y415" s="36"/>
      <c r="Z415" s="36"/>
    </row>
    <row r="416" ht="15.75" customHeight="1">
      <c r="A416" s="70" t="str">
        <f t="array" ref="A416">IF(B416="","",INDEX('Bán nhanh'!$A$4:$A$103,INT((ROW()-4)/10)+1))</f>
        <v/>
      </c>
      <c r="B416" s="71" t="str">
        <f t="array" ref="B416">IF(OR(INDEX('Bán nhanh'!$D$3:$M$3,1,MOD(ROW()-4,10)+1)="",INDEX('Bán nhanh'!$D$4:$M$103,INT((ROW()-4)/10)+1,MOD(ROW()-4,10)+1)&lt;=0),"",INDEX('Bán nhanh'!$D$3:$M$3,1,MOD(ROW()-4,10)+1))</f>
        <v/>
      </c>
      <c r="C416" s="58" t="str">
        <f t="array" ref="C416">IFERROR(INDEX('Sản phẩm'!$A$4:$A$103,MATCH(B416,'Sản phẩm'!$D$4:$D$103,0)),"")</f>
        <v/>
      </c>
      <c r="D416" s="71" t="str">
        <f t="array" ref="D416">IF(B416="","",INDEX('Bán nhanh'!$B$4:$B$103,INT((ROW()-4)/10)+1))</f>
        <v/>
      </c>
      <c r="E416" s="58" t="str">
        <f t="array" ref="E416">IFERROR(INDEX('Mẻ sữa'!$B$4:$B$203,MATCH(D416,'Mẻ sữa'!$C$4:$C$203,0)),"")</f>
        <v/>
      </c>
      <c r="F416" s="66">
        <f t="array" ref="F416">IF(B416="",0,INDEX('Bán nhanh'!$D$4:$M$103,INT((ROW()-4)/10)+1,MOD(ROW()-4,10)+1))</f>
        <v>0</v>
      </c>
      <c r="G416" s="46">
        <f t="array" ref="G416">IFERROR(INDEX('Sản phẩm'!$F$4:$F$103,MATCH(B416,'Sản phẩm'!$D$4:$D$103,0)),0)</f>
        <v>0</v>
      </c>
      <c r="H416" s="67">
        <f t="shared" si="5"/>
        <v>0</v>
      </c>
      <c r="I416" s="46">
        <f t="shared" si="1"/>
        <v>0</v>
      </c>
      <c r="J416" s="46">
        <f t="array" ref="J416">IFERROR(INDEX('Sản phẩm'!$G$4:$G$103,MATCH(B416,'Sản phẩm'!$D$4:$D$103,0)),0)</f>
        <v>0</v>
      </c>
      <c r="K416" s="46">
        <f t="array" ref="K416">IFERROR(J416*INDEX('Mẻ sữa'!$N$4:$N$203,MATCH(D416,'Mẻ sữa'!$C$4:$C$203,0)),0)</f>
        <v>0</v>
      </c>
      <c r="L416" s="46">
        <f t="array" ref="L416">IFERROR(INDEX('Sản phẩm'!$I$4:$I$103,MATCH(B416,'Sản phẩm'!$D$4:$D$103,0)),0)</f>
        <v>0</v>
      </c>
      <c r="M416" s="72" t="str">
        <f t="array" ref="M416">IFERROR(INDEX('Sản phẩm'!$J$4:$J$103,MATCH(B416,'Sản phẩm'!$D$4:$D$103,0)),0)</f>
        <v/>
      </c>
      <c r="N416" s="46">
        <f>IF(B416="",0,(K416+L416+M416)*'Thiết lập'!$B$8)</f>
        <v>0</v>
      </c>
      <c r="O416" s="46">
        <f t="shared" si="2"/>
        <v>0</v>
      </c>
      <c r="P416" s="46">
        <f t="shared" si="3"/>
        <v>0</v>
      </c>
      <c r="Q416" s="46">
        <f t="shared" si="4"/>
        <v>0</v>
      </c>
      <c r="R416" s="71" t="str">
        <f t="array" ref="R416">IF(B416="","",INDEX('Bán nhanh'!$C$4:$C$103,INT((ROW()-4)/10)+1))</f>
        <v/>
      </c>
      <c r="S416" s="71" t="str">
        <f t="array" ref="S416">IF(B416="","",INDEX('Bán nhanh'!$P$4:$P$103,INT((ROW()-4)/10)+1))</f>
        <v/>
      </c>
      <c r="T416" s="58"/>
      <c r="U416" s="36"/>
      <c r="V416" s="36"/>
      <c r="W416" s="58"/>
      <c r="X416" s="36"/>
      <c r="Y416" s="36"/>
      <c r="Z416" s="36"/>
    </row>
    <row r="417" ht="15.75" customHeight="1">
      <c r="A417" s="70" t="str">
        <f t="array" ref="A417">IF(B417="","",INDEX('Bán nhanh'!$A$4:$A$103,INT((ROW()-4)/10)+1))</f>
        <v/>
      </c>
      <c r="B417" s="71" t="str">
        <f t="array" ref="B417">IF(OR(INDEX('Bán nhanh'!$D$3:$M$3,1,MOD(ROW()-4,10)+1)="",INDEX('Bán nhanh'!$D$4:$M$103,INT((ROW()-4)/10)+1,MOD(ROW()-4,10)+1)&lt;=0),"",INDEX('Bán nhanh'!$D$3:$M$3,1,MOD(ROW()-4,10)+1))</f>
        <v/>
      </c>
      <c r="C417" s="58" t="str">
        <f t="array" ref="C417">IFERROR(INDEX('Sản phẩm'!$A$4:$A$103,MATCH(B417,'Sản phẩm'!$D$4:$D$103,0)),"")</f>
        <v/>
      </c>
      <c r="D417" s="71" t="str">
        <f t="array" ref="D417">IF(B417="","",INDEX('Bán nhanh'!$B$4:$B$103,INT((ROW()-4)/10)+1))</f>
        <v/>
      </c>
      <c r="E417" s="58" t="str">
        <f t="array" ref="E417">IFERROR(INDEX('Mẻ sữa'!$B$4:$B$203,MATCH(D417,'Mẻ sữa'!$C$4:$C$203,0)),"")</f>
        <v/>
      </c>
      <c r="F417" s="66">
        <f t="array" ref="F417">IF(B417="",0,INDEX('Bán nhanh'!$D$4:$M$103,INT((ROW()-4)/10)+1,MOD(ROW()-4,10)+1))</f>
        <v>0</v>
      </c>
      <c r="G417" s="46">
        <f t="array" ref="G417">IFERROR(INDEX('Sản phẩm'!$F$4:$F$103,MATCH(B417,'Sản phẩm'!$D$4:$D$103,0)),0)</f>
        <v>0</v>
      </c>
      <c r="H417" s="67">
        <f t="shared" si="5"/>
        <v>0</v>
      </c>
      <c r="I417" s="46">
        <f t="shared" si="1"/>
        <v>0</v>
      </c>
      <c r="J417" s="46">
        <f t="array" ref="J417">IFERROR(INDEX('Sản phẩm'!$G$4:$G$103,MATCH(B417,'Sản phẩm'!$D$4:$D$103,0)),0)</f>
        <v>0</v>
      </c>
      <c r="K417" s="46">
        <f t="array" ref="K417">IFERROR(J417*INDEX('Mẻ sữa'!$N$4:$N$203,MATCH(D417,'Mẻ sữa'!$C$4:$C$203,0)),0)</f>
        <v>0</v>
      </c>
      <c r="L417" s="46">
        <f t="array" ref="L417">IFERROR(INDEX('Sản phẩm'!$I$4:$I$103,MATCH(B417,'Sản phẩm'!$D$4:$D$103,0)),0)</f>
        <v>0</v>
      </c>
      <c r="M417" s="72" t="str">
        <f t="array" ref="M417">IFERROR(INDEX('Sản phẩm'!$J$4:$J$103,MATCH(B417,'Sản phẩm'!$D$4:$D$103,0)),0)</f>
        <v/>
      </c>
      <c r="N417" s="46">
        <f>IF(B417="",0,(K417+L417+M417)*'Thiết lập'!$B$8)</f>
        <v>0</v>
      </c>
      <c r="O417" s="46">
        <f t="shared" si="2"/>
        <v>0</v>
      </c>
      <c r="P417" s="46">
        <f t="shared" si="3"/>
        <v>0</v>
      </c>
      <c r="Q417" s="46">
        <f t="shared" si="4"/>
        <v>0</v>
      </c>
      <c r="R417" s="71" t="str">
        <f t="array" ref="R417">IF(B417="","",INDEX('Bán nhanh'!$C$4:$C$103,INT((ROW()-4)/10)+1))</f>
        <v/>
      </c>
      <c r="S417" s="71" t="str">
        <f t="array" ref="S417">IF(B417="","",INDEX('Bán nhanh'!$P$4:$P$103,INT((ROW()-4)/10)+1))</f>
        <v/>
      </c>
      <c r="T417" s="58"/>
      <c r="U417" s="36"/>
      <c r="V417" s="36"/>
      <c r="W417" s="58"/>
      <c r="X417" s="36"/>
      <c r="Y417" s="36"/>
      <c r="Z417" s="36"/>
    </row>
    <row r="418" ht="15.75" customHeight="1">
      <c r="A418" s="70" t="str">
        <f t="array" ref="A418">IF(B418="","",INDEX('Bán nhanh'!$A$4:$A$103,INT((ROW()-4)/10)+1))</f>
        <v/>
      </c>
      <c r="B418" s="71" t="str">
        <f t="array" ref="B418">IF(OR(INDEX('Bán nhanh'!$D$3:$M$3,1,MOD(ROW()-4,10)+1)="",INDEX('Bán nhanh'!$D$4:$M$103,INT((ROW()-4)/10)+1,MOD(ROW()-4,10)+1)&lt;=0),"",INDEX('Bán nhanh'!$D$3:$M$3,1,MOD(ROW()-4,10)+1))</f>
        <v/>
      </c>
      <c r="C418" s="58" t="str">
        <f t="array" ref="C418">IFERROR(INDEX('Sản phẩm'!$A$4:$A$103,MATCH(B418,'Sản phẩm'!$D$4:$D$103,0)),"")</f>
        <v/>
      </c>
      <c r="D418" s="71" t="str">
        <f t="array" ref="D418">IF(B418="","",INDEX('Bán nhanh'!$B$4:$B$103,INT((ROW()-4)/10)+1))</f>
        <v/>
      </c>
      <c r="E418" s="58" t="str">
        <f t="array" ref="E418">IFERROR(INDEX('Mẻ sữa'!$B$4:$B$203,MATCH(D418,'Mẻ sữa'!$C$4:$C$203,0)),"")</f>
        <v/>
      </c>
      <c r="F418" s="66">
        <f t="array" ref="F418">IF(B418="",0,INDEX('Bán nhanh'!$D$4:$M$103,INT((ROW()-4)/10)+1,MOD(ROW()-4,10)+1))</f>
        <v>0</v>
      </c>
      <c r="G418" s="46">
        <f t="array" ref="G418">IFERROR(INDEX('Sản phẩm'!$F$4:$F$103,MATCH(B418,'Sản phẩm'!$D$4:$D$103,0)),0)</f>
        <v>0</v>
      </c>
      <c r="H418" s="67">
        <f t="shared" si="5"/>
        <v>0</v>
      </c>
      <c r="I418" s="46">
        <f t="shared" si="1"/>
        <v>0</v>
      </c>
      <c r="J418" s="46">
        <f t="array" ref="J418">IFERROR(INDEX('Sản phẩm'!$G$4:$G$103,MATCH(B418,'Sản phẩm'!$D$4:$D$103,0)),0)</f>
        <v>0</v>
      </c>
      <c r="K418" s="46">
        <f t="array" ref="K418">IFERROR(J418*INDEX('Mẻ sữa'!$N$4:$N$203,MATCH(D418,'Mẻ sữa'!$C$4:$C$203,0)),0)</f>
        <v>0</v>
      </c>
      <c r="L418" s="46">
        <f t="array" ref="L418">IFERROR(INDEX('Sản phẩm'!$I$4:$I$103,MATCH(B418,'Sản phẩm'!$D$4:$D$103,0)),0)</f>
        <v>0</v>
      </c>
      <c r="M418" s="72" t="str">
        <f t="array" ref="M418">IFERROR(INDEX('Sản phẩm'!$J$4:$J$103,MATCH(B418,'Sản phẩm'!$D$4:$D$103,0)),0)</f>
        <v/>
      </c>
      <c r="N418" s="46">
        <f>IF(B418="",0,(K418+L418+M418)*'Thiết lập'!$B$8)</f>
        <v>0</v>
      </c>
      <c r="O418" s="46">
        <f t="shared" si="2"/>
        <v>0</v>
      </c>
      <c r="P418" s="46">
        <f t="shared" si="3"/>
        <v>0</v>
      </c>
      <c r="Q418" s="46">
        <f t="shared" si="4"/>
        <v>0</v>
      </c>
      <c r="R418" s="71" t="str">
        <f t="array" ref="R418">IF(B418="","",INDEX('Bán nhanh'!$C$4:$C$103,INT((ROW()-4)/10)+1))</f>
        <v/>
      </c>
      <c r="S418" s="71" t="str">
        <f t="array" ref="S418">IF(B418="","",INDEX('Bán nhanh'!$P$4:$P$103,INT((ROW()-4)/10)+1))</f>
        <v/>
      </c>
      <c r="T418" s="58"/>
      <c r="U418" s="36"/>
      <c r="V418" s="36"/>
      <c r="W418" s="58"/>
      <c r="X418" s="36"/>
      <c r="Y418" s="36"/>
      <c r="Z418" s="36"/>
    </row>
    <row r="419" ht="15.75" customHeight="1">
      <c r="A419" s="70" t="str">
        <f t="array" ref="A419">IF(B419="","",INDEX('Bán nhanh'!$A$4:$A$103,INT((ROW()-4)/10)+1))</f>
        <v/>
      </c>
      <c r="B419" s="71" t="str">
        <f t="array" ref="B419">IF(OR(INDEX('Bán nhanh'!$D$3:$M$3,1,MOD(ROW()-4,10)+1)="",INDEX('Bán nhanh'!$D$4:$M$103,INT((ROW()-4)/10)+1,MOD(ROW()-4,10)+1)&lt;=0),"",INDEX('Bán nhanh'!$D$3:$M$3,1,MOD(ROW()-4,10)+1))</f>
        <v/>
      </c>
      <c r="C419" s="58" t="str">
        <f t="array" ref="C419">IFERROR(INDEX('Sản phẩm'!$A$4:$A$103,MATCH(B419,'Sản phẩm'!$D$4:$D$103,0)),"")</f>
        <v/>
      </c>
      <c r="D419" s="71" t="str">
        <f t="array" ref="D419">IF(B419="","",INDEX('Bán nhanh'!$B$4:$B$103,INT((ROW()-4)/10)+1))</f>
        <v/>
      </c>
      <c r="E419" s="58" t="str">
        <f t="array" ref="E419">IFERROR(INDEX('Mẻ sữa'!$B$4:$B$203,MATCH(D419,'Mẻ sữa'!$C$4:$C$203,0)),"")</f>
        <v/>
      </c>
      <c r="F419" s="66">
        <f t="array" ref="F419">IF(B419="",0,INDEX('Bán nhanh'!$D$4:$M$103,INT((ROW()-4)/10)+1,MOD(ROW()-4,10)+1))</f>
        <v>0</v>
      </c>
      <c r="G419" s="46">
        <f t="array" ref="G419">IFERROR(INDEX('Sản phẩm'!$F$4:$F$103,MATCH(B419,'Sản phẩm'!$D$4:$D$103,0)),0)</f>
        <v>0</v>
      </c>
      <c r="H419" s="67">
        <f t="shared" si="5"/>
        <v>0</v>
      </c>
      <c r="I419" s="46">
        <f t="shared" si="1"/>
        <v>0</v>
      </c>
      <c r="J419" s="46">
        <f t="array" ref="J419">IFERROR(INDEX('Sản phẩm'!$G$4:$G$103,MATCH(B419,'Sản phẩm'!$D$4:$D$103,0)),0)</f>
        <v>0</v>
      </c>
      <c r="K419" s="46">
        <f t="array" ref="K419">IFERROR(J419*INDEX('Mẻ sữa'!$N$4:$N$203,MATCH(D419,'Mẻ sữa'!$C$4:$C$203,0)),0)</f>
        <v>0</v>
      </c>
      <c r="L419" s="46">
        <f t="array" ref="L419">IFERROR(INDEX('Sản phẩm'!$I$4:$I$103,MATCH(B419,'Sản phẩm'!$D$4:$D$103,0)),0)</f>
        <v>0</v>
      </c>
      <c r="M419" s="72" t="str">
        <f t="array" ref="M419">IFERROR(INDEX('Sản phẩm'!$J$4:$J$103,MATCH(B419,'Sản phẩm'!$D$4:$D$103,0)),0)</f>
        <v/>
      </c>
      <c r="N419" s="46">
        <f>IF(B419="",0,(K419+L419+M419)*'Thiết lập'!$B$8)</f>
        <v>0</v>
      </c>
      <c r="O419" s="46">
        <f t="shared" si="2"/>
        <v>0</v>
      </c>
      <c r="P419" s="46">
        <f t="shared" si="3"/>
        <v>0</v>
      </c>
      <c r="Q419" s="46">
        <f t="shared" si="4"/>
        <v>0</v>
      </c>
      <c r="R419" s="71" t="str">
        <f t="array" ref="R419">IF(B419="","",INDEX('Bán nhanh'!$C$4:$C$103,INT((ROW()-4)/10)+1))</f>
        <v/>
      </c>
      <c r="S419" s="71" t="str">
        <f t="array" ref="S419">IF(B419="","",INDEX('Bán nhanh'!$P$4:$P$103,INT((ROW()-4)/10)+1))</f>
        <v/>
      </c>
      <c r="T419" s="58"/>
      <c r="U419" s="36"/>
      <c r="V419" s="36"/>
      <c r="W419" s="58"/>
      <c r="X419" s="36"/>
      <c r="Y419" s="36"/>
      <c r="Z419" s="36"/>
    </row>
    <row r="420" ht="15.75" customHeight="1">
      <c r="A420" s="70" t="str">
        <f t="array" ref="A420">IF(B420="","",INDEX('Bán nhanh'!$A$4:$A$103,INT((ROW()-4)/10)+1))</f>
        <v/>
      </c>
      <c r="B420" s="71" t="str">
        <f t="array" ref="B420">IF(OR(INDEX('Bán nhanh'!$D$3:$M$3,1,MOD(ROW()-4,10)+1)="",INDEX('Bán nhanh'!$D$4:$M$103,INT((ROW()-4)/10)+1,MOD(ROW()-4,10)+1)&lt;=0),"",INDEX('Bán nhanh'!$D$3:$M$3,1,MOD(ROW()-4,10)+1))</f>
        <v/>
      </c>
      <c r="C420" s="58" t="str">
        <f t="array" ref="C420">IFERROR(INDEX('Sản phẩm'!$A$4:$A$103,MATCH(B420,'Sản phẩm'!$D$4:$D$103,0)),"")</f>
        <v/>
      </c>
      <c r="D420" s="71" t="str">
        <f t="array" ref="D420">IF(B420="","",INDEX('Bán nhanh'!$B$4:$B$103,INT((ROW()-4)/10)+1))</f>
        <v/>
      </c>
      <c r="E420" s="58" t="str">
        <f t="array" ref="E420">IFERROR(INDEX('Mẻ sữa'!$B$4:$B$203,MATCH(D420,'Mẻ sữa'!$C$4:$C$203,0)),"")</f>
        <v/>
      </c>
      <c r="F420" s="66">
        <f t="array" ref="F420">IF(B420="",0,INDEX('Bán nhanh'!$D$4:$M$103,INT((ROW()-4)/10)+1,MOD(ROW()-4,10)+1))</f>
        <v>0</v>
      </c>
      <c r="G420" s="46">
        <f t="array" ref="G420">IFERROR(INDEX('Sản phẩm'!$F$4:$F$103,MATCH(B420,'Sản phẩm'!$D$4:$D$103,0)),0)</f>
        <v>0</v>
      </c>
      <c r="H420" s="67">
        <f t="shared" si="5"/>
        <v>0</v>
      </c>
      <c r="I420" s="46">
        <f t="shared" si="1"/>
        <v>0</v>
      </c>
      <c r="J420" s="46">
        <f t="array" ref="J420">IFERROR(INDEX('Sản phẩm'!$G$4:$G$103,MATCH(B420,'Sản phẩm'!$D$4:$D$103,0)),0)</f>
        <v>0</v>
      </c>
      <c r="K420" s="46">
        <f t="array" ref="K420">IFERROR(J420*INDEX('Mẻ sữa'!$N$4:$N$203,MATCH(D420,'Mẻ sữa'!$C$4:$C$203,0)),0)</f>
        <v>0</v>
      </c>
      <c r="L420" s="46">
        <f t="array" ref="L420">IFERROR(INDEX('Sản phẩm'!$I$4:$I$103,MATCH(B420,'Sản phẩm'!$D$4:$D$103,0)),0)</f>
        <v>0</v>
      </c>
      <c r="M420" s="72" t="str">
        <f t="array" ref="M420">IFERROR(INDEX('Sản phẩm'!$J$4:$J$103,MATCH(B420,'Sản phẩm'!$D$4:$D$103,0)),0)</f>
        <v/>
      </c>
      <c r="N420" s="46">
        <f>IF(B420="",0,(K420+L420+M420)*'Thiết lập'!$B$8)</f>
        <v>0</v>
      </c>
      <c r="O420" s="46">
        <f t="shared" si="2"/>
        <v>0</v>
      </c>
      <c r="P420" s="46">
        <f t="shared" si="3"/>
        <v>0</v>
      </c>
      <c r="Q420" s="46">
        <f t="shared" si="4"/>
        <v>0</v>
      </c>
      <c r="R420" s="71" t="str">
        <f t="array" ref="R420">IF(B420="","",INDEX('Bán nhanh'!$C$4:$C$103,INT((ROW()-4)/10)+1))</f>
        <v/>
      </c>
      <c r="S420" s="71" t="str">
        <f t="array" ref="S420">IF(B420="","",INDEX('Bán nhanh'!$P$4:$P$103,INT((ROW()-4)/10)+1))</f>
        <v/>
      </c>
      <c r="T420" s="58"/>
      <c r="U420" s="36"/>
      <c r="V420" s="36"/>
      <c r="W420" s="58"/>
      <c r="X420" s="36"/>
      <c r="Y420" s="36"/>
      <c r="Z420" s="36"/>
    </row>
    <row r="421" ht="15.75" customHeight="1">
      <c r="A421" s="70" t="str">
        <f t="array" ref="A421">IF(B421="","",INDEX('Bán nhanh'!$A$4:$A$103,INT((ROW()-4)/10)+1))</f>
        <v/>
      </c>
      <c r="B421" s="71" t="str">
        <f t="array" ref="B421">IF(OR(INDEX('Bán nhanh'!$D$3:$M$3,1,MOD(ROW()-4,10)+1)="",INDEX('Bán nhanh'!$D$4:$M$103,INT((ROW()-4)/10)+1,MOD(ROW()-4,10)+1)&lt;=0),"",INDEX('Bán nhanh'!$D$3:$M$3,1,MOD(ROW()-4,10)+1))</f>
        <v/>
      </c>
      <c r="C421" s="58" t="str">
        <f t="array" ref="C421">IFERROR(INDEX('Sản phẩm'!$A$4:$A$103,MATCH(B421,'Sản phẩm'!$D$4:$D$103,0)),"")</f>
        <v/>
      </c>
      <c r="D421" s="71" t="str">
        <f t="array" ref="D421">IF(B421="","",INDEX('Bán nhanh'!$B$4:$B$103,INT((ROW()-4)/10)+1))</f>
        <v/>
      </c>
      <c r="E421" s="58" t="str">
        <f t="array" ref="E421">IFERROR(INDEX('Mẻ sữa'!$B$4:$B$203,MATCH(D421,'Mẻ sữa'!$C$4:$C$203,0)),"")</f>
        <v/>
      </c>
      <c r="F421" s="66">
        <f t="array" ref="F421">IF(B421="",0,INDEX('Bán nhanh'!$D$4:$M$103,INT((ROW()-4)/10)+1,MOD(ROW()-4,10)+1))</f>
        <v>0</v>
      </c>
      <c r="G421" s="46">
        <f t="array" ref="G421">IFERROR(INDEX('Sản phẩm'!$F$4:$F$103,MATCH(B421,'Sản phẩm'!$D$4:$D$103,0)),0)</f>
        <v>0</v>
      </c>
      <c r="H421" s="67">
        <f t="shared" si="5"/>
        <v>0</v>
      </c>
      <c r="I421" s="46">
        <f t="shared" si="1"/>
        <v>0</v>
      </c>
      <c r="J421" s="46">
        <f t="array" ref="J421">IFERROR(INDEX('Sản phẩm'!$G$4:$G$103,MATCH(B421,'Sản phẩm'!$D$4:$D$103,0)),0)</f>
        <v>0</v>
      </c>
      <c r="K421" s="46">
        <f t="array" ref="K421">IFERROR(J421*INDEX('Mẻ sữa'!$N$4:$N$203,MATCH(D421,'Mẻ sữa'!$C$4:$C$203,0)),0)</f>
        <v>0</v>
      </c>
      <c r="L421" s="46">
        <f t="array" ref="L421">IFERROR(INDEX('Sản phẩm'!$I$4:$I$103,MATCH(B421,'Sản phẩm'!$D$4:$D$103,0)),0)</f>
        <v>0</v>
      </c>
      <c r="M421" s="72" t="str">
        <f t="array" ref="M421">IFERROR(INDEX('Sản phẩm'!$J$4:$J$103,MATCH(B421,'Sản phẩm'!$D$4:$D$103,0)),0)</f>
        <v/>
      </c>
      <c r="N421" s="46">
        <f>IF(B421="",0,(K421+L421+M421)*'Thiết lập'!$B$8)</f>
        <v>0</v>
      </c>
      <c r="O421" s="46">
        <f t="shared" si="2"/>
        <v>0</v>
      </c>
      <c r="P421" s="46">
        <f t="shared" si="3"/>
        <v>0</v>
      </c>
      <c r="Q421" s="46">
        <f t="shared" si="4"/>
        <v>0</v>
      </c>
      <c r="R421" s="71" t="str">
        <f t="array" ref="R421">IF(B421="","",INDEX('Bán nhanh'!$C$4:$C$103,INT((ROW()-4)/10)+1))</f>
        <v/>
      </c>
      <c r="S421" s="71" t="str">
        <f t="array" ref="S421">IF(B421="","",INDEX('Bán nhanh'!$P$4:$P$103,INT((ROW()-4)/10)+1))</f>
        <v/>
      </c>
      <c r="T421" s="58"/>
      <c r="U421" s="36"/>
      <c r="V421" s="36"/>
      <c r="W421" s="58"/>
      <c r="X421" s="36"/>
      <c r="Y421" s="36"/>
      <c r="Z421" s="36"/>
    </row>
    <row r="422" ht="15.75" customHeight="1">
      <c r="A422" s="70" t="str">
        <f t="array" ref="A422">IF(B422="","",INDEX('Bán nhanh'!$A$4:$A$103,INT((ROW()-4)/10)+1))</f>
        <v/>
      </c>
      <c r="B422" s="71" t="str">
        <f t="array" ref="B422">IF(OR(INDEX('Bán nhanh'!$D$3:$M$3,1,MOD(ROW()-4,10)+1)="",INDEX('Bán nhanh'!$D$4:$M$103,INT((ROW()-4)/10)+1,MOD(ROW()-4,10)+1)&lt;=0),"",INDEX('Bán nhanh'!$D$3:$M$3,1,MOD(ROW()-4,10)+1))</f>
        <v/>
      </c>
      <c r="C422" s="58" t="str">
        <f t="array" ref="C422">IFERROR(INDEX('Sản phẩm'!$A$4:$A$103,MATCH(B422,'Sản phẩm'!$D$4:$D$103,0)),"")</f>
        <v/>
      </c>
      <c r="D422" s="71" t="str">
        <f t="array" ref="D422">IF(B422="","",INDEX('Bán nhanh'!$B$4:$B$103,INT((ROW()-4)/10)+1))</f>
        <v/>
      </c>
      <c r="E422" s="58" t="str">
        <f t="array" ref="E422">IFERROR(INDEX('Mẻ sữa'!$B$4:$B$203,MATCH(D422,'Mẻ sữa'!$C$4:$C$203,0)),"")</f>
        <v/>
      </c>
      <c r="F422" s="66">
        <f t="array" ref="F422">IF(B422="",0,INDEX('Bán nhanh'!$D$4:$M$103,INT((ROW()-4)/10)+1,MOD(ROW()-4,10)+1))</f>
        <v>0</v>
      </c>
      <c r="G422" s="46">
        <f t="array" ref="G422">IFERROR(INDEX('Sản phẩm'!$F$4:$F$103,MATCH(B422,'Sản phẩm'!$D$4:$D$103,0)),0)</f>
        <v>0</v>
      </c>
      <c r="H422" s="67">
        <f t="shared" si="5"/>
        <v>0</v>
      </c>
      <c r="I422" s="46">
        <f t="shared" si="1"/>
        <v>0</v>
      </c>
      <c r="J422" s="46">
        <f t="array" ref="J422">IFERROR(INDEX('Sản phẩm'!$G$4:$G$103,MATCH(B422,'Sản phẩm'!$D$4:$D$103,0)),0)</f>
        <v>0</v>
      </c>
      <c r="K422" s="46">
        <f t="array" ref="K422">IFERROR(J422*INDEX('Mẻ sữa'!$N$4:$N$203,MATCH(D422,'Mẻ sữa'!$C$4:$C$203,0)),0)</f>
        <v>0</v>
      </c>
      <c r="L422" s="46">
        <f t="array" ref="L422">IFERROR(INDEX('Sản phẩm'!$I$4:$I$103,MATCH(B422,'Sản phẩm'!$D$4:$D$103,0)),0)</f>
        <v>0</v>
      </c>
      <c r="M422" s="72" t="str">
        <f t="array" ref="M422">IFERROR(INDEX('Sản phẩm'!$J$4:$J$103,MATCH(B422,'Sản phẩm'!$D$4:$D$103,0)),0)</f>
        <v/>
      </c>
      <c r="N422" s="46">
        <f>IF(B422="",0,(K422+L422+M422)*'Thiết lập'!$B$8)</f>
        <v>0</v>
      </c>
      <c r="O422" s="46">
        <f t="shared" si="2"/>
        <v>0</v>
      </c>
      <c r="P422" s="46">
        <f t="shared" si="3"/>
        <v>0</v>
      </c>
      <c r="Q422" s="46">
        <f t="shared" si="4"/>
        <v>0</v>
      </c>
      <c r="R422" s="71" t="str">
        <f t="array" ref="R422">IF(B422="","",INDEX('Bán nhanh'!$C$4:$C$103,INT((ROW()-4)/10)+1))</f>
        <v/>
      </c>
      <c r="S422" s="71" t="str">
        <f t="array" ref="S422">IF(B422="","",INDEX('Bán nhanh'!$P$4:$P$103,INT((ROW()-4)/10)+1))</f>
        <v/>
      </c>
      <c r="T422" s="58"/>
      <c r="U422" s="36"/>
      <c r="V422" s="36"/>
      <c r="W422" s="58"/>
      <c r="X422" s="36"/>
      <c r="Y422" s="36"/>
      <c r="Z422" s="36"/>
    </row>
    <row r="423" ht="15.75" customHeight="1">
      <c r="A423" s="70" t="str">
        <f t="array" ref="A423">IF(B423="","",INDEX('Bán nhanh'!$A$4:$A$103,INT((ROW()-4)/10)+1))</f>
        <v/>
      </c>
      <c r="B423" s="71" t="str">
        <f t="array" ref="B423">IF(OR(INDEX('Bán nhanh'!$D$3:$M$3,1,MOD(ROW()-4,10)+1)="",INDEX('Bán nhanh'!$D$4:$M$103,INT((ROW()-4)/10)+1,MOD(ROW()-4,10)+1)&lt;=0),"",INDEX('Bán nhanh'!$D$3:$M$3,1,MOD(ROW()-4,10)+1))</f>
        <v/>
      </c>
      <c r="C423" s="58" t="str">
        <f t="array" ref="C423">IFERROR(INDEX('Sản phẩm'!$A$4:$A$103,MATCH(B423,'Sản phẩm'!$D$4:$D$103,0)),"")</f>
        <v/>
      </c>
      <c r="D423" s="71" t="str">
        <f t="array" ref="D423">IF(B423="","",INDEX('Bán nhanh'!$B$4:$B$103,INT((ROW()-4)/10)+1))</f>
        <v/>
      </c>
      <c r="E423" s="58" t="str">
        <f t="array" ref="E423">IFERROR(INDEX('Mẻ sữa'!$B$4:$B$203,MATCH(D423,'Mẻ sữa'!$C$4:$C$203,0)),"")</f>
        <v/>
      </c>
      <c r="F423" s="66">
        <f t="array" ref="F423">IF(B423="",0,INDEX('Bán nhanh'!$D$4:$M$103,INT((ROW()-4)/10)+1,MOD(ROW()-4,10)+1))</f>
        <v>0</v>
      </c>
      <c r="G423" s="46">
        <f t="array" ref="G423">IFERROR(INDEX('Sản phẩm'!$F$4:$F$103,MATCH(B423,'Sản phẩm'!$D$4:$D$103,0)),0)</f>
        <v>0</v>
      </c>
      <c r="H423" s="67">
        <f t="shared" si="5"/>
        <v>0</v>
      </c>
      <c r="I423" s="46">
        <f t="shared" si="1"/>
        <v>0</v>
      </c>
      <c r="J423" s="46">
        <f t="array" ref="J423">IFERROR(INDEX('Sản phẩm'!$G$4:$G$103,MATCH(B423,'Sản phẩm'!$D$4:$D$103,0)),0)</f>
        <v>0</v>
      </c>
      <c r="K423" s="46">
        <f t="array" ref="K423">IFERROR(J423*INDEX('Mẻ sữa'!$N$4:$N$203,MATCH(D423,'Mẻ sữa'!$C$4:$C$203,0)),0)</f>
        <v>0</v>
      </c>
      <c r="L423" s="46">
        <f t="array" ref="L423">IFERROR(INDEX('Sản phẩm'!$I$4:$I$103,MATCH(B423,'Sản phẩm'!$D$4:$D$103,0)),0)</f>
        <v>0</v>
      </c>
      <c r="M423" s="72" t="str">
        <f t="array" ref="M423">IFERROR(INDEX('Sản phẩm'!$J$4:$J$103,MATCH(B423,'Sản phẩm'!$D$4:$D$103,0)),0)</f>
        <v/>
      </c>
      <c r="N423" s="46">
        <f>IF(B423="",0,(K423+L423+M423)*'Thiết lập'!$B$8)</f>
        <v>0</v>
      </c>
      <c r="O423" s="46">
        <f t="shared" si="2"/>
        <v>0</v>
      </c>
      <c r="P423" s="46">
        <f t="shared" si="3"/>
        <v>0</v>
      </c>
      <c r="Q423" s="46">
        <f t="shared" si="4"/>
        <v>0</v>
      </c>
      <c r="R423" s="71" t="str">
        <f t="array" ref="R423">IF(B423="","",INDEX('Bán nhanh'!$C$4:$C$103,INT((ROW()-4)/10)+1))</f>
        <v/>
      </c>
      <c r="S423" s="71" t="str">
        <f t="array" ref="S423">IF(B423="","",INDEX('Bán nhanh'!$P$4:$P$103,INT((ROW()-4)/10)+1))</f>
        <v/>
      </c>
      <c r="T423" s="58"/>
      <c r="U423" s="36"/>
      <c r="V423" s="36"/>
      <c r="W423" s="58"/>
      <c r="X423" s="36"/>
      <c r="Y423" s="36"/>
      <c r="Z423" s="36"/>
    </row>
    <row r="424" ht="15.75" customHeight="1">
      <c r="A424" s="70" t="str">
        <f t="array" ref="A424">IF(B424="","",INDEX('Bán nhanh'!$A$4:$A$103,INT((ROW()-4)/10)+1))</f>
        <v/>
      </c>
      <c r="B424" s="71" t="str">
        <f t="array" ref="B424">IF(OR(INDEX('Bán nhanh'!$D$3:$M$3,1,MOD(ROW()-4,10)+1)="",INDEX('Bán nhanh'!$D$4:$M$103,INT((ROW()-4)/10)+1,MOD(ROW()-4,10)+1)&lt;=0),"",INDEX('Bán nhanh'!$D$3:$M$3,1,MOD(ROW()-4,10)+1))</f>
        <v/>
      </c>
      <c r="C424" s="58" t="str">
        <f t="array" ref="C424">IFERROR(INDEX('Sản phẩm'!$A$4:$A$103,MATCH(B424,'Sản phẩm'!$D$4:$D$103,0)),"")</f>
        <v/>
      </c>
      <c r="D424" s="71" t="str">
        <f t="array" ref="D424">IF(B424="","",INDEX('Bán nhanh'!$B$4:$B$103,INT((ROW()-4)/10)+1))</f>
        <v/>
      </c>
      <c r="E424" s="58" t="str">
        <f t="array" ref="E424">IFERROR(INDEX('Mẻ sữa'!$B$4:$B$203,MATCH(D424,'Mẻ sữa'!$C$4:$C$203,0)),"")</f>
        <v/>
      </c>
      <c r="F424" s="66">
        <f t="array" ref="F424">IF(B424="",0,INDEX('Bán nhanh'!$D$4:$M$103,INT((ROW()-4)/10)+1,MOD(ROW()-4,10)+1))</f>
        <v>0</v>
      </c>
      <c r="G424" s="46">
        <f t="array" ref="G424">IFERROR(INDEX('Sản phẩm'!$F$4:$F$103,MATCH(B424,'Sản phẩm'!$D$4:$D$103,0)),0)</f>
        <v>0</v>
      </c>
      <c r="H424" s="67">
        <f t="shared" si="5"/>
        <v>0</v>
      </c>
      <c r="I424" s="46">
        <f t="shared" si="1"/>
        <v>0</v>
      </c>
      <c r="J424" s="46">
        <f t="array" ref="J424">IFERROR(INDEX('Sản phẩm'!$G$4:$G$103,MATCH(B424,'Sản phẩm'!$D$4:$D$103,0)),0)</f>
        <v>0</v>
      </c>
      <c r="K424" s="46">
        <f t="array" ref="K424">IFERROR(J424*INDEX('Mẻ sữa'!$N$4:$N$203,MATCH(D424,'Mẻ sữa'!$C$4:$C$203,0)),0)</f>
        <v>0</v>
      </c>
      <c r="L424" s="46">
        <f t="array" ref="L424">IFERROR(INDEX('Sản phẩm'!$I$4:$I$103,MATCH(B424,'Sản phẩm'!$D$4:$D$103,0)),0)</f>
        <v>0</v>
      </c>
      <c r="M424" s="72" t="str">
        <f t="array" ref="M424">IFERROR(INDEX('Sản phẩm'!$J$4:$J$103,MATCH(B424,'Sản phẩm'!$D$4:$D$103,0)),0)</f>
        <v/>
      </c>
      <c r="N424" s="46">
        <f>IF(B424="",0,(K424+L424+M424)*'Thiết lập'!$B$8)</f>
        <v>0</v>
      </c>
      <c r="O424" s="46">
        <f t="shared" si="2"/>
        <v>0</v>
      </c>
      <c r="P424" s="46">
        <f t="shared" si="3"/>
        <v>0</v>
      </c>
      <c r="Q424" s="46">
        <f t="shared" si="4"/>
        <v>0</v>
      </c>
      <c r="R424" s="71" t="str">
        <f t="array" ref="R424">IF(B424="","",INDEX('Bán nhanh'!$C$4:$C$103,INT((ROW()-4)/10)+1))</f>
        <v/>
      </c>
      <c r="S424" s="71" t="str">
        <f t="array" ref="S424">IF(B424="","",INDEX('Bán nhanh'!$P$4:$P$103,INT((ROW()-4)/10)+1))</f>
        <v/>
      </c>
      <c r="T424" s="58"/>
      <c r="U424" s="36"/>
      <c r="V424" s="36"/>
      <c r="W424" s="58"/>
      <c r="X424" s="36"/>
      <c r="Y424" s="36"/>
      <c r="Z424" s="36"/>
    </row>
    <row r="425" ht="15.75" customHeight="1">
      <c r="A425" s="70" t="str">
        <f t="array" ref="A425">IF(B425="","",INDEX('Bán nhanh'!$A$4:$A$103,INT((ROW()-4)/10)+1))</f>
        <v/>
      </c>
      <c r="B425" s="71" t="str">
        <f t="array" ref="B425">IF(OR(INDEX('Bán nhanh'!$D$3:$M$3,1,MOD(ROW()-4,10)+1)="",INDEX('Bán nhanh'!$D$4:$M$103,INT((ROW()-4)/10)+1,MOD(ROW()-4,10)+1)&lt;=0),"",INDEX('Bán nhanh'!$D$3:$M$3,1,MOD(ROW()-4,10)+1))</f>
        <v/>
      </c>
      <c r="C425" s="58" t="str">
        <f t="array" ref="C425">IFERROR(INDEX('Sản phẩm'!$A$4:$A$103,MATCH(B425,'Sản phẩm'!$D$4:$D$103,0)),"")</f>
        <v/>
      </c>
      <c r="D425" s="71" t="str">
        <f t="array" ref="D425">IF(B425="","",INDEX('Bán nhanh'!$B$4:$B$103,INT((ROW()-4)/10)+1))</f>
        <v/>
      </c>
      <c r="E425" s="58" t="str">
        <f t="array" ref="E425">IFERROR(INDEX('Mẻ sữa'!$B$4:$B$203,MATCH(D425,'Mẻ sữa'!$C$4:$C$203,0)),"")</f>
        <v/>
      </c>
      <c r="F425" s="66">
        <f t="array" ref="F425">IF(B425="",0,INDEX('Bán nhanh'!$D$4:$M$103,INT((ROW()-4)/10)+1,MOD(ROW()-4,10)+1))</f>
        <v>0</v>
      </c>
      <c r="G425" s="46">
        <f t="array" ref="G425">IFERROR(INDEX('Sản phẩm'!$F$4:$F$103,MATCH(B425,'Sản phẩm'!$D$4:$D$103,0)),0)</f>
        <v>0</v>
      </c>
      <c r="H425" s="67">
        <f t="shared" si="5"/>
        <v>0</v>
      </c>
      <c r="I425" s="46">
        <f t="shared" si="1"/>
        <v>0</v>
      </c>
      <c r="J425" s="46">
        <f t="array" ref="J425">IFERROR(INDEX('Sản phẩm'!$G$4:$G$103,MATCH(B425,'Sản phẩm'!$D$4:$D$103,0)),0)</f>
        <v>0</v>
      </c>
      <c r="K425" s="46">
        <f t="array" ref="K425">IFERROR(J425*INDEX('Mẻ sữa'!$N$4:$N$203,MATCH(D425,'Mẻ sữa'!$C$4:$C$203,0)),0)</f>
        <v>0</v>
      </c>
      <c r="L425" s="46">
        <f t="array" ref="L425">IFERROR(INDEX('Sản phẩm'!$I$4:$I$103,MATCH(B425,'Sản phẩm'!$D$4:$D$103,0)),0)</f>
        <v>0</v>
      </c>
      <c r="M425" s="72" t="str">
        <f t="array" ref="M425">IFERROR(INDEX('Sản phẩm'!$J$4:$J$103,MATCH(B425,'Sản phẩm'!$D$4:$D$103,0)),0)</f>
        <v/>
      </c>
      <c r="N425" s="46">
        <f>IF(B425="",0,(K425+L425+M425)*'Thiết lập'!$B$8)</f>
        <v>0</v>
      </c>
      <c r="O425" s="46">
        <f t="shared" si="2"/>
        <v>0</v>
      </c>
      <c r="P425" s="46">
        <f t="shared" si="3"/>
        <v>0</v>
      </c>
      <c r="Q425" s="46">
        <f t="shared" si="4"/>
        <v>0</v>
      </c>
      <c r="R425" s="71" t="str">
        <f t="array" ref="R425">IF(B425="","",INDEX('Bán nhanh'!$C$4:$C$103,INT((ROW()-4)/10)+1))</f>
        <v/>
      </c>
      <c r="S425" s="71" t="str">
        <f t="array" ref="S425">IF(B425="","",INDEX('Bán nhanh'!$P$4:$P$103,INT((ROW()-4)/10)+1))</f>
        <v/>
      </c>
      <c r="T425" s="58"/>
      <c r="U425" s="36"/>
      <c r="V425" s="36"/>
      <c r="W425" s="58"/>
      <c r="X425" s="36"/>
      <c r="Y425" s="36"/>
      <c r="Z425" s="36"/>
    </row>
    <row r="426" ht="15.75" customHeight="1">
      <c r="A426" s="70" t="str">
        <f t="array" ref="A426">IF(B426="","",INDEX('Bán nhanh'!$A$4:$A$103,INT((ROW()-4)/10)+1))</f>
        <v/>
      </c>
      <c r="B426" s="71" t="str">
        <f t="array" ref="B426">IF(OR(INDEX('Bán nhanh'!$D$3:$M$3,1,MOD(ROW()-4,10)+1)="",INDEX('Bán nhanh'!$D$4:$M$103,INT((ROW()-4)/10)+1,MOD(ROW()-4,10)+1)&lt;=0),"",INDEX('Bán nhanh'!$D$3:$M$3,1,MOD(ROW()-4,10)+1))</f>
        <v/>
      </c>
      <c r="C426" s="58" t="str">
        <f t="array" ref="C426">IFERROR(INDEX('Sản phẩm'!$A$4:$A$103,MATCH(B426,'Sản phẩm'!$D$4:$D$103,0)),"")</f>
        <v/>
      </c>
      <c r="D426" s="71" t="str">
        <f t="array" ref="D426">IF(B426="","",INDEX('Bán nhanh'!$B$4:$B$103,INT((ROW()-4)/10)+1))</f>
        <v/>
      </c>
      <c r="E426" s="58" t="str">
        <f t="array" ref="E426">IFERROR(INDEX('Mẻ sữa'!$B$4:$B$203,MATCH(D426,'Mẻ sữa'!$C$4:$C$203,0)),"")</f>
        <v/>
      </c>
      <c r="F426" s="66">
        <f t="array" ref="F426">IF(B426="",0,INDEX('Bán nhanh'!$D$4:$M$103,INT((ROW()-4)/10)+1,MOD(ROW()-4,10)+1))</f>
        <v>0</v>
      </c>
      <c r="G426" s="46">
        <f t="array" ref="G426">IFERROR(INDEX('Sản phẩm'!$F$4:$F$103,MATCH(B426,'Sản phẩm'!$D$4:$D$103,0)),0)</f>
        <v>0</v>
      </c>
      <c r="H426" s="67">
        <f t="shared" si="5"/>
        <v>0</v>
      </c>
      <c r="I426" s="46">
        <f t="shared" si="1"/>
        <v>0</v>
      </c>
      <c r="J426" s="46">
        <f t="array" ref="J426">IFERROR(INDEX('Sản phẩm'!$G$4:$G$103,MATCH(B426,'Sản phẩm'!$D$4:$D$103,0)),0)</f>
        <v>0</v>
      </c>
      <c r="K426" s="46">
        <f t="array" ref="K426">IFERROR(J426*INDEX('Mẻ sữa'!$N$4:$N$203,MATCH(D426,'Mẻ sữa'!$C$4:$C$203,0)),0)</f>
        <v>0</v>
      </c>
      <c r="L426" s="46">
        <f t="array" ref="L426">IFERROR(INDEX('Sản phẩm'!$I$4:$I$103,MATCH(B426,'Sản phẩm'!$D$4:$D$103,0)),0)</f>
        <v>0</v>
      </c>
      <c r="M426" s="72" t="str">
        <f t="array" ref="M426">IFERROR(INDEX('Sản phẩm'!$J$4:$J$103,MATCH(B426,'Sản phẩm'!$D$4:$D$103,0)),0)</f>
        <v/>
      </c>
      <c r="N426" s="46">
        <f>IF(B426="",0,(K426+L426+M426)*'Thiết lập'!$B$8)</f>
        <v>0</v>
      </c>
      <c r="O426" s="46">
        <f t="shared" si="2"/>
        <v>0</v>
      </c>
      <c r="P426" s="46">
        <f t="shared" si="3"/>
        <v>0</v>
      </c>
      <c r="Q426" s="46">
        <f t="shared" si="4"/>
        <v>0</v>
      </c>
      <c r="R426" s="71" t="str">
        <f t="array" ref="R426">IF(B426="","",INDEX('Bán nhanh'!$C$4:$C$103,INT((ROW()-4)/10)+1))</f>
        <v/>
      </c>
      <c r="S426" s="71" t="str">
        <f t="array" ref="S426">IF(B426="","",INDEX('Bán nhanh'!$P$4:$P$103,INT((ROW()-4)/10)+1))</f>
        <v/>
      </c>
      <c r="T426" s="58"/>
      <c r="U426" s="36"/>
      <c r="V426" s="36"/>
      <c r="W426" s="58"/>
      <c r="X426" s="36"/>
      <c r="Y426" s="36"/>
      <c r="Z426" s="36"/>
    </row>
    <row r="427" ht="15.75" customHeight="1">
      <c r="A427" s="70" t="str">
        <f t="array" ref="A427">IF(B427="","",INDEX('Bán nhanh'!$A$4:$A$103,INT((ROW()-4)/10)+1))</f>
        <v/>
      </c>
      <c r="B427" s="71" t="str">
        <f t="array" ref="B427">IF(OR(INDEX('Bán nhanh'!$D$3:$M$3,1,MOD(ROW()-4,10)+1)="",INDEX('Bán nhanh'!$D$4:$M$103,INT((ROW()-4)/10)+1,MOD(ROW()-4,10)+1)&lt;=0),"",INDEX('Bán nhanh'!$D$3:$M$3,1,MOD(ROW()-4,10)+1))</f>
        <v/>
      </c>
      <c r="C427" s="58" t="str">
        <f t="array" ref="C427">IFERROR(INDEX('Sản phẩm'!$A$4:$A$103,MATCH(B427,'Sản phẩm'!$D$4:$D$103,0)),"")</f>
        <v/>
      </c>
      <c r="D427" s="71" t="str">
        <f t="array" ref="D427">IF(B427="","",INDEX('Bán nhanh'!$B$4:$B$103,INT((ROW()-4)/10)+1))</f>
        <v/>
      </c>
      <c r="E427" s="58" t="str">
        <f t="array" ref="E427">IFERROR(INDEX('Mẻ sữa'!$B$4:$B$203,MATCH(D427,'Mẻ sữa'!$C$4:$C$203,0)),"")</f>
        <v/>
      </c>
      <c r="F427" s="66">
        <f t="array" ref="F427">IF(B427="",0,INDEX('Bán nhanh'!$D$4:$M$103,INT((ROW()-4)/10)+1,MOD(ROW()-4,10)+1))</f>
        <v>0</v>
      </c>
      <c r="G427" s="46">
        <f t="array" ref="G427">IFERROR(INDEX('Sản phẩm'!$F$4:$F$103,MATCH(B427,'Sản phẩm'!$D$4:$D$103,0)),0)</f>
        <v>0</v>
      </c>
      <c r="H427" s="67">
        <f t="shared" si="5"/>
        <v>0</v>
      </c>
      <c r="I427" s="46">
        <f t="shared" si="1"/>
        <v>0</v>
      </c>
      <c r="J427" s="46">
        <f t="array" ref="J427">IFERROR(INDEX('Sản phẩm'!$G$4:$G$103,MATCH(B427,'Sản phẩm'!$D$4:$D$103,0)),0)</f>
        <v>0</v>
      </c>
      <c r="K427" s="46">
        <f t="array" ref="K427">IFERROR(J427*INDEX('Mẻ sữa'!$N$4:$N$203,MATCH(D427,'Mẻ sữa'!$C$4:$C$203,0)),0)</f>
        <v>0</v>
      </c>
      <c r="L427" s="46">
        <f t="array" ref="L427">IFERROR(INDEX('Sản phẩm'!$I$4:$I$103,MATCH(B427,'Sản phẩm'!$D$4:$D$103,0)),0)</f>
        <v>0</v>
      </c>
      <c r="M427" s="72" t="str">
        <f t="array" ref="M427">IFERROR(INDEX('Sản phẩm'!$J$4:$J$103,MATCH(B427,'Sản phẩm'!$D$4:$D$103,0)),0)</f>
        <v/>
      </c>
      <c r="N427" s="46">
        <f>IF(B427="",0,(K427+L427+M427)*'Thiết lập'!$B$8)</f>
        <v>0</v>
      </c>
      <c r="O427" s="46">
        <f t="shared" si="2"/>
        <v>0</v>
      </c>
      <c r="P427" s="46">
        <f t="shared" si="3"/>
        <v>0</v>
      </c>
      <c r="Q427" s="46">
        <f t="shared" si="4"/>
        <v>0</v>
      </c>
      <c r="R427" s="71" t="str">
        <f t="array" ref="R427">IF(B427="","",INDEX('Bán nhanh'!$C$4:$C$103,INT((ROW()-4)/10)+1))</f>
        <v/>
      </c>
      <c r="S427" s="71" t="str">
        <f t="array" ref="S427">IF(B427="","",INDEX('Bán nhanh'!$P$4:$P$103,INT((ROW()-4)/10)+1))</f>
        <v/>
      </c>
      <c r="T427" s="58"/>
      <c r="U427" s="36"/>
      <c r="V427" s="36"/>
      <c r="W427" s="58"/>
      <c r="X427" s="36"/>
      <c r="Y427" s="36"/>
      <c r="Z427" s="36"/>
    </row>
    <row r="428" ht="15.75" customHeight="1">
      <c r="A428" s="70" t="str">
        <f t="array" ref="A428">IF(B428="","",INDEX('Bán nhanh'!$A$4:$A$103,INT((ROW()-4)/10)+1))</f>
        <v/>
      </c>
      <c r="B428" s="71" t="str">
        <f t="array" ref="B428">IF(OR(INDEX('Bán nhanh'!$D$3:$M$3,1,MOD(ROW()-4,10)+1)="",INDEX('Bán nhanh'!$D$4:$M$103,INT((ROW()-4)/10)+1,MOD(ROW()-4,10)+1)&lt;=0),"",INDEX('Bán nhanh'!$D$3:$M$3,1,MOD(ROW()-4,10)+1))</f>
        <v/>
      </c>
      <c r="C428" s="58" t="str">
        <f t="array" ref="C428">IFERROR(INDEX('Sản phẩm'!$A$4:$A$103,MATCH(B428,'Sản phẩm'!$D$4:$D$103,0)),"")</f>
        <v/>
      </c>
      <c r="D428" s="71" t="str">
        <f t="array" ref="D428">IF(B428="","",INDEX('Bán nhanh'!$B$4:$B$103,INT((ROW()-4)/10)+1))</f>
        <v/>
      </c>
      <c r="E428" s="58" t="str">
        <f t="array" ref="E428">IFERROR(INDEX('Mẻ sữa'!$B$4:$B$203,MATCH(D428,'Mẻ sữa'!$C$4:$C$203,0)),"")</f>
        <v/>
      </c>
      <c r="F428" s="66">
        <f t="array" ref="F428">IF(B428="",0,INDEX('Bán nhanh'!$D$4:$M$103,INT((ROW()-4)/10)+1,MOD(ROW()-4,10)+1))</f>
        <v>0</v>
      </c>
      <c r="G428" s="46">
        <f t="array" ref="G428">IFERROR(INDEX('Sản phẩm'!$F$4:$F$103,MATCH(B428,'Sản phẩm'!$D$4:$D$103,0)),0)</f>
        <v>0</v>
      </c>
      <c r="H428" s="67">
        <f t="shared" si="5"/>
        <v>0</v>
      </c>
      <c r="I428" s="46">
        <f t="shared" si="1"/>
        <v>0</v>
      </c>
      <c r="J428" s="46">
        <f t="array" ref="J428">IFERROR(INDEX('Sản phẩm'!$G$4:$G$103,MATCH(B428,'Sản phẩm'!$D$4:$D$103,0)),0)</f>
        <v>0</v>
      </c>
      <c r="K428" s="46">
        <f t="array" ref="K428">IFERROR(J428*INDEX('Mẻ sữa'!$N$4:$N$203,MATCH(D428,'Mẻ sữa'!$C$4:$C$203,0)),0)</f>
        <v>0</v>
      </c>
      <c r="L428" s="46">
        <f t="array" ref="L428">IFERROR(INDEX('Sản phẩm'!$I$4:$I$103,MATCH(B428,'Sản phẩm'!$D$4:$D$103,0)),0)</f>
        <v>0</v>
      </c>
      <c r="M428" s="72" t="str">
        <f t="array" ref="M428">IFERROR(INDEX('Sản phẩm'!$J$4:$J$103,MATCH(B428,'Sản phẩm'!$D$4:$D$103,0)),0)</f>
        <v/>
      </c>
      <c r="N428" s="46">
        <f>IF(B428="",0,(K428+L428+M428)*'Thiết lập'!$B$8)</f>
        <v>0</v>
      </c>
      <c r="O428" s="46">
        <f t="shared" si="2"/>
        <v>0</v>
      </c>
      <c r="P428" s="46">
        <f t="shared" si="3"/>
        <v>0</v>
      </c>
      <c r="Q428" s="46">
        <f t="shared" si="4"/>
        <v>0</v>
      </c>
      <c r="R428" s="71" t="str">
        <f t="array" ref="R428">IF(B428="","",INDEX('Bán nhanh'!$C$4:$C$103,INT((ROW()-4)/10)+1))</f>
        <v/>
      </c>
      <c r="S428" s="71" t="str">
        <f t="array" ref="S428">IF(B428="","",INDEX('Bán nhanh'!$P$4:$P$103,INT((ROW()-4)/10)+1))</f>
        <v/>
      </c>
      <c r="T428" s="58"/>
      <c r="U428" s="36"/>
      <c r="V428" s="36"/>
      <c r="W428" s="58"/>
      <c r="X428" s="36"/>
      <c r="Y428" s="36"/>
      <c r="Z428" s="36"/>
    </row>
    <row r="429" ht="15.75" customHeight="1">
      <c r="A429" s="70" t="str">
        <f t="array" ref="A429">IF(B429="","",INDEX('Bán nhanh'!$A$4:$A$103,INT((ROW()-4)/10)+1))</f>
        <v/>
      </c>
      <c r="B429" s="71" t="str">
        <f t="array" ref="B429">IF(OR(INDEX('Bán nhanh'!$D$3:$M$3,1,MOD(ROW()-4,10)+1)="",INDEX('Bán nhanh'!$D$4:$M$103,INT((ROW()-4)/10)+1,MOD(ROW()-4,10)+1)&lt;=0),"",INDEX('Bán nhanh'!$D$3:$M$3,1,MOD(ROW()-4,10)+1))</f>
        <v/>
      </c>
      <c r="C429" s="58" t="str">
        <f t="array" ref="C429">IFERROR(INDEX('Sản phẩm'!$A$4:$A$103,MATCH(B429,'Sản phẩm'!$D$4:$D$103,0)),"")</f>
        <v/>
      </c>
      <c r="D429" s="71" t="str">
        <f t="array" ref="D429">IF(B429="","",INDEX('Bán nhanh'!$B$4:$B$103,INT((ROW()-4)/10)+1))</f>
        <v/>
      </c>
      <c r="E429" s="58" t="str">
        <f t="array" ref="E429">IFERROR(INDEX('Mẻ sữa'!$B$4:$B$203,MATCH(D429,'Mẻ sữa'!$C$4:$C$203,0)),"")</f>
        <v/>
      </c>
      <c r="F429" s="66">
        <f t="array" ref="F429">IF(B429="",0,INDEX('Bán nhanh'!$D$4:$M$103,INT((ROW()-4)/10)+1,MOD(ROW()-4,10)+1))</f>
        <v>0</v>
      </c>
      <c r="G429" s="46">
        <f t="array" ref="G429">IFERROR(INDEX('Sản phẩm'!$F$4:$F$103,MATCH(B429,'Sản phẩm'!$D$4:$D$103,0)),0)</f>
        <v>0</v>
      </c>
      <c r="H429" s="67">
        <f t="shared" si="5"/>
        <v>0</v>
      </c>
      <c r="I429" s="46">
        <f t="shared" si="1"/>
        <v>0</v>
      </c>
      <c r="J429" s="46">
        <f t="array" ref="J429">IFERROR(INDEX('Sản phẩm'!$G$4:$G$103,MATCH(B429,'Sản phẩm'!$D$4:$D$103,0)),0)</f>
        <v>0</v>
      </c>
      <c r="K429" s="46">
        <f t="array" ref="K429">IFERROR(J429*INDEX('Mẻ sữa'!$N$4:$N$203,MATCH(D429,'Mẻ sữa'!$C$4:$C$203,0)),0)</f>
        <v>0</v>
      </c>
      <c r="L429" s="46">
        <f t="array" ref="L429">IFERROR(INDEX('Sản phẩm'!$I$4:$I$103,MATCH(B429,'Sản phẩm'!$D$4:$D$103,0)),0)</f>
        <v>0</v>
      </c>
      <c r="M429" s="72" t="str">
        <f t="array" ref="M429">IFERROR(INDEX('Sản phẩm'!$J$4:$J$103,MATCH(B429,'Sản phẩm'!$D$4:$D$103,0)),0)</f>
        <v/>
      </c>
      <c r="N429" s="46">
        <f>IF(B429="",0,(K429+L429+M429)*'Thiết lập'!$B$8)</f>
        <v>0</v>
      </c>
      <c r="O429" s="46">
        <f t="shared" si="2"/>
        <v>0</v>
      </c>
      <c r="P429" s="46">
        <f t="shared" si="3"/>
        <v>0</v>
      </c>
      <c r="Q429" s="46">
        <f t="shared" si="4"/>
        <v>0</v>
      </c>
      <c r="R429" s="71" t="str">
        <f t="array" ref="R429">IF(B429="","",INDEX('Bán nhanh'!$C$4:$C$103,INT((ROW()-4)/10)+1))</f>
        <v/>
      </c>
      <c r="S429" s="71" t="str">
        <f t="array" ref="S429">IF(B429="","",INDEX('Bán nhanh'!$P$4:$P$103,INT((ROW()-4)/10)+1))</f>
        <v/>
      </c>
      <c r="T429" s="58"/>
      <c r="U429" s="36"/>
      <c r="V429" s="36"/>
      <c r="W429" s="58"/>
      <c r="X429" s="36"/>
      <c r="Y429" s="36"/>
      <c r="Z429" s="36"/>
    </row>
    <row r="430" ht="15.75" customHeight="1">
      <c r="A430" s="70" t="str">
        <f t="array" ref="A430">IF(B430="","",INDEX('Bán nhanh'!$A$4:$A$103,INT((ROW()-4)/10)+1))</f>
        <v/>
      </c>
      <c r="B430" s="71" t="str">
        <f t="array" ref="B430">IF(OR(INDEX('Bán nhanh'!$D$3:$M$3,1,MOD(ROW()-4,10)+1)="",INDEX('Bán nhanh'!$D$4:$M$103,INT((ROW()-4)/10)+1,MOD(ROW()-4,10)+1)&lt;=0),"",INDEX('Bán nhanh'!$D$3:$M$3,1,MOD(ROW()-4,10)+1))</f>
        <v/>
      </c>
      <c r="C430" s="58" t="str">
        <f t="array" ref="C430">IFERROR(INDEX('Sản phẩm'!$A$4:$A$103,MATCH(B430,'Sản phẩm'!$D$4:$D$103,0)),"")</f>
        <v/>
      </c>
      <c r="D430" s="71" t="str">
        <f t="array" ref="D430">IF(B430="","",INDEX('Bán nhanh'!$B$4:$B$103,INT((ROW()-4)/10)+1))</f>
        <v/>
      </c>
      <c r="E430" s="58" t="str">
        <f t="array" ref="E430">IFERROR(INDEX('Mẻ sữa'!$B$4:$B$203,MATCH(D430,'Mẻ sữa'!$C$4:$C$203,0)),"")</f>
        <v/>
      </c>
      <c r="F430" s="66">
        <f t="array" ref="F430">IF(B430="",0,INDEX('Bán nhanh'!$D$4:$M$103,INT((ROW()-4)/10)+1,MOD(ROW()-4,10)+1))</f>
        <v>0</v>
      </c>
      <c r="G430" s="46">
        <f t="array" ref="G430">IFERROR(INDEX('Sản phẩm'!$F$4:$F$103,MATCH(B430,'Sản phẩm'!$D$4:$D$103,0)),0)</f>
        <v>0</v>
      </c>
      <c r="H430" s="67">
        <f t="shared" si="5"/>
        <v>0</v>
      </c>
      <c r="I430" s="46">
        <f t="shared" si="1"/>
        <v>0</v>
      </c>
      <c r="J430" s="46">
        <f t="array" ref="J430">IFERROR(INDEX('Sản phẩm'!$G$4:$G$103,MATCH(B430,'Sản phẩm'!$D$4:$D$103,0)),0)</f>
        <v>0</v>
      </c>
      <c r="K430" s="46">
        <f t="array" ref="K430">IFERROR(J430*INDEX('Mẻ sữa'!$N$4:$N$203,MATCH(D430,'Mẻ sữa'!$C$4:$C$203,0)),0)</f>
        <v>0</v>
      </c>
      <c r="L430" s="46">
        <f t="array" ref="L430">IFERROR(INDEX('Sản phẩm'!$I$4:$I$103,MATCH(B430,'Sản phẩm'!$D$4:$D$103,0)),0)</f>
        <v>0</v>
      </c>
      <c r="M430" s="72" t="str">
        <f t="array" ref="M430">IFERROR(INDEX('Sản phẩm'!$J$4:$J$103,MATCH(B430,'Sản phẩm'!$D$4:$D$103,0)),0)</f>
        <v/>
      </c>
      <c r="N430" s="46">
        <f>IF(B430="",0,(K430+L430+M430)*'Thiết lập'!$B$8)</f>
        <v>0</v>
      </c>
      <c r="O430" s="46">
        <f t="shared" si="2"/>
        <v>0</v>
      </c>
      <c r="P430" s="46">
        <f t="shared" si="3"/>
        <v>0</v>
      </c>
      <c r="Q430" s="46">
        <f t="shared" si="4"/>
        <v>0</v>
      </c>
      <c r="R430" s="71" t="str">
        <f t="array" ref="R430">IF(B430="","",INDEX('Bán nhanh'!$C$4:$C$103,INT((ROW()-4)/10)+1))</f>
        <v/>
      </c>
      <c r="S430" s="71" t="str">
        <f t="array" ref="S430">IF(B430="","",INDEX('Bán nhanh'!$P$4:$P$103,INT((ROW()-4)/10)+1))</f>
        <v/>
      </c>
      <c r="T430" s="58"/>
      <c r="U430" s="36"/>
      <c r="V430" s="36"/>
      <c r="W430" s="58"/>
      <c r="X430" s="36"/>
      <c r="Y430" s="36"/>
      <c r="Z430" s="36"/>
    </row>
    <row r="431" ht="15.75" customHeight="1">
      <c r="A431" s="70" t="str">
        <f t="array" ref="A431">IF(B431="","",INDEX('Bán nhanh'!$A$4:$A$103,INT((ROW()-4)/10)+1))</f>
        <v/>
      </c>
      <c r="B431" s="71" t="str">
        <f t="array" ref="B431">IF(OR(INDEX('Bán nhanh'!$D$3:$M$3,1,MOD(ROW()-4,10)+1)="",INDEX('Bán nhanh'!$D$4:$M$103,INT((ROW()-4)/10)+1,MOD(ROW()-4,10)+1)&lt;=0),"",INDEX('Bán nhanh'!$D$3:$M$3,1,MOD(ROW()-4,10)+1))</f>
        <v/>
      </c>
      <c r="C431" s="58" t="str">
        <f t="array" ref="C431">IFERROR(INDEX('Sản phẩm'!$A$4:$A$103,MATCH(B431,'Sản phẩm'!$D$4:$D$103,0)),"")</f>
        <v/>
      </c>
      <c r="D431" s="71" t="str">
        <f t="array" ref="D431">IF(B431="","",INDEX('Bán nhanh'!$B$4:$B$103,INT((ROW()-4)/10)+1))</f>
        <v/>
      </c>
      <c r="E431" s="58" t="str">
        <f t="array" ref="E431">IFERROR(INDEX('Mẻ sữa'!$B$4:$B$203,MATCH(D431,'Mẻ sữa'!$C$4:$C$203,0)),"")</f>
        <v/>
      </c>
      <c r="F431" s="66">
        <f t="array" ref="F431">IF(B431="",0,INDEX('Bán nhanh'!$D$4:$M$103,INT((ROW()-4)/10)+1,MOD(ROW()-4,10)+1))</f>
        <v>0</v>
      </c>
      <c r="G431" s="46">
        <f t="array" ref="G431">IFERROR(INDEX('Sản phẩm'!$F$4:$F$103,MATCH(B431,'Sản phẩm'!$D$4:$D$103,0)),0)</f>
        <v>0</v>
      </c>
      <c r="H431" s="67">
        <f t="shared" si="5"/>
        <v>0</v>
      </c>
      <c r="I431" s="46">
        <f t="shared" si="1"/>
        <v>0</v>
      </c>
      <c r="J431" s="46">
        <f t="array" ref="J431">IFERROR(INDEX('Sản phẩm'!$G$4:$G$103,MATCH(B431,'Sản phẩm'!$D$4:$D$103,0)),0)</f>
        <v>0</v>
      </c>
      <c r="K431" s="46">
        <f t="array" ref="K431">IFERROR(J431*INDEX('Mẻ sữa'!$N$4:$N$203,MATCH(D431,'Mẻ sữa'!$C$4:$C$203,0)),0)</f>
        <v>0</v>
      </c>
      <c r="L431" s="46">
        <f t="array" ref="L431">IFERROR(INDEX('Sản phẩm'!$I$4:$I$103,MATCH(B431,'Sản phẩm'!$D$4:$D$103,0)),0)</f>
        <v>0</v>
      </c>
      <c r="M431" s="72" t="str">
        <f t="array" ref="M431">IFERROR(INDEX('Sản phẩm'!$J$4:$J$103,MATCH(B431,'Sản phẩm'!$D$4:$D$103,0)),0)</f>
        <v/>
      </c>
      <c r="N431" s="46">
        <f>IF(B431="",0,(K431+L431+M431)*'Thiết lập'!$B$8)</f>
        <v>0</v>
      </c>
      <c r="O431" s="46">
        <f t="shared" si="2"/>
        <v>0</v>
      </c>
      <c r="P431" s="46">
        <f t="shared" si="3"/>
        <v>0</v>
      </c>
      <c r="Q431" s="46">
        <f t="shared" si="4"/>
        <v>0</v>
      </c>
      <c r="R431" s="71" t="str">
        <f t="array" ref="R431">IF(B431="","",INDEX('Bán nhanh'!$C$4:$C$103,INT((ROW()-4)/10)+1))</f>
        <v/>
      </c>
      <c r="S431" s="71" t="str">
        <f t="array" ref="S431">IF(B431="","",INDEX('Bán nhanh'!$P$4:$P$103,INT((ROW()-4)/10)+1))</f>
        <v/>
      </c>
      <c r="T431" s="58"/>
      <c r="U431" s="36"/>
      <c r="V431" s="36"/>
      <c r="W431" s="58"/>
      <c r="X431" s="36"/>
      <c r="Y431" s="36"/>
      <c r="Z431" s="36"/>
    </row>
    <row r="432" ht="15.75" customHeight="1">
      <c r="A432" s="70" t="str">
        <f t="array" ref="A432">IF(B432="","",INDEX('Bán nhanh'!$A$4:$A$103,INT((ROW()-4)/10)+1))</f>
        <v/>
      </c>
      <c r="B432" s="71" t="str">
        <f t="array" ref="B432">IF(OR(INDEX('Bán nhanh'!$D$3:$M$3,1,MOD(ROW()-4,10)+1)="",INDEX('Bán nhanh'!$D$4:$M$103,INT((ROW()-4)/10)+1,MOD(ROW()-4,10)+1)&lt;=0),"",INDEX('Bán nhanh'!$D$3:$M$3,1,MOD(ROW()-4,10)+1))</f>
        <v/>
      </c>
      <c r="C432" s="58" t="str">
        <f t="array" ref="C432">IFERROR(INDEX('Sản phẩm'!$A$4:$A$103,MATCH(B432,'Sản phẩm'!$D$4:$D$103,0)),"")</f>
        <v/>
      </c>
      <c r="D432" s="71" t="str">
        <f t="array" ref="D432">IF(B432="","",INDEX('Bán nhanh'!$B$4:$B$103,INT((ROW()-4)/10)+1))</f>
        <v/>
      </c>
      <c r="E432" s="58" t="str">
        <f t="array" ref="E432">IFERROR(INDEX('Mẻ sữa'!$B$4:$B$203,MATCH(D432,'Mẻ sữa'!$C$4:$C$203,0)),"")</f>
        <v/>
      </c>
      <c r="F432" s="66">
        <f t="array" ref="F432">IF(B432="",0,INDEX('Bán nhanh'!$D$4:$M$103,INT((ROW()-4)/10)+1,MOD(ROW()-4,10)+1))</f>
        <v>0</v>
      </c>
      <c r="G432" s="46">
        <f t="array" ref="G432">IFERROR(INDEX('Sản phẩm'!$F$4:$F$103,MATCH(B432,'Sản phẩm'!$D$4:$D$103,0)),0)</f>
        <v>0</v>
      </c>
      <c r="H432" s="67">
        <f t="shared" si="5"/>
        <v>0</v>
      </c>
      <c r="I432" s="46">
        <f t="shared" si="1"/>
        <v>0</v>
      </c>
      <c r="J432" s="46">
        <f t="array" ref="J432">IFERROR(INDEX('Sản phẩm'!$G$4:$G$103,MATCH(B432,'Sản phẩm'!$D$4:$D$103,0)),0)</f>
        <v>0</v>
      </c>
      <c r="K432" s="46">
        <f t="array" ref="K432">IFERROR(J432*INDEX('Mẻ sữa'!$N$4:$N$203,MATCH(D432,'Mẻ sữa'!$C$4:$C$203,0)),0)</f>
        <v>0</v>
      </c>
      <c r="L432" s="46">
        <f t="array" ref="L432">IFERROR(INDEX('Sản phẩm'!$I$4:$I$103,MATCH(B432,'Sản phẩm'!$D$4:$D$103,0)),0)</f>
        <v>0</v>
      </c>
      <c r="M432" s="72" t="str">
        <f t="array" ref="M432">IFERROR(INDEX('Sản phẩm'!$J$4:$J$103,MATCH(B432,'Sản phẩm'!$D$4:$D$103,0)),0)</f>
        <v/>
      </c>
      <c r="N432" s="46">
        <f>IF(B432="",0,(K432+L432+M432)*'Thiết lập'!$B$8)</f>
        <v>0</v>
      </c>
      <c r="O432" s="46">
        <f t="shared" si="2"/>
        <v>0</v>
      </c>
      <c r="P432" s="46">
        <f t="shared" si="3"/>
        <v>0</v>
      </c>
      <c r="Q432" s="46">
        <f t="shared" si="4"/>
        <v>0</v>
      </c>
      <c r="R432" s="71" t="str">
        <f t="array" ref="R432">IF(B432="","",INDEX('Bán nhanh'!$C$4:$C$103,INT((ROW()-4)/10)+1))</f>
        <v/>
      </c>
      <c r="S432" s="71" t="str">
        <f t="array" ref="S432">IF(B432="","",INDEX('Bán nhanh'!$P$4:$P$103,INT((ROW()-4)/10)+1))</f>
        <v/>
      </c>
      <c r="T432" s="58"/>
      <c r="U432" s="36"/>
      <c r="V432" s="36"/>
      <c r="W432" s="58"/>
      <c r="X432" s="36"/>
      <c r="Y432" s="36"/>
      <c r="Z432" s="36"/>
    </row>
    <row r="433" ht="15.75" customHeight="1">
      <c r="A433" s="70" t="str">
        <f t="array" ref="A433">IF(B433="","",INDEX('Bán nhanh'!$A$4:$A$103,INT((ROW()-4)/10)+1))</f>
        <v/>
      </c>
      <c r="B433" s="71" t="str">
        <f t="array" ref="B433">IF(OR(INDEX('Bán nhanh'!$D$3:$M$3,1,MOD(ROW()-4,10)+1)="",INDEX('Bán nhanh'!$D$4:$M$103,INT((ROW()-4)/10)+1,MOD(ROW()-4,10)+1)&lt;=0),"",INDEX('Bán nhanh'!$D$3:$M$3,1,MOD(ROW()-4,10)+1))</f>
        <v/>
      </c>
      <c r="C433" s="58" t="str">
        <f t="array" ref="C433">IFERROR(INDEX('Sản phẩm'!$A$4:$A$103,MATCH(B433,'Sản phẩm'!$D$4:$D$103,0)),"")</f>
        <v/>
      </c>
      <c r="D433" s="71" t="str">
        <f t="array" ref="D433">IF(B433="","",INDEX('Bán nhanh'!$B$4:$B$103,INT((ROW()-4)/10)+1))</f>
        <v/>
      </c>
      <c r="E433" s="58" t="str">
        <f t="array" ref="E433">IFERROR(INDEX('Mẻ sữa'!$B$4:$B$203,MATCH(D433,'Mẻ sữa'!$C$4:$C$203,0)),"")</f>
        <v/>
      </c>
      <c r="F433" s="66">
        <f t="array" ref="F433">IF(B433="",0,INDEX('Bán nhanh'!$D$4:$M$103,INT((ROW()-4)/10)+1,MOD(ROW()-4,10)+1))</f>
        <v>0</v>
      </c>
      <c r="G433" s="46">
        <f t="array" ref="G433">IFERROR(INDEX('Sản phẩm'!$F$4:$F$103,MATCH(B433,'Sản phẩm'!$D$4:$D$103,0)),0)</f>
        <v>0</v>
      </c>
      <c r="H433" s="67">
        <f t="shared" si="5"/>
        <v>0</v>
      </c>
      <c r="I433" s="46">
        <f t="shared" si="1"/>
        <v>0</v>
      </c>
      <c r="J433" s="46">
        <f t="array" ref="J433">IFERROR(INDEX('Sản phẩm'!$G$4:$G$103,MATCH(B433,'Sản phẩm'!$D$4:$D$103,0)),0)</f>
        <v>0</v>
      </c>
      <c r="K433" s="46">
        <f t="array" ref="K433">IFERROR(J433*INDEX('Mẻ sữa'!$N$4:$N$203,MATCH(D433,'Mẻ sữa'!$C$4:$C$203,0)),0)</f>
        <v>0</v>
      </c>
      <c r="L433" s="46">
        <f t="array" ref="L433">IFERROR(INDEX('Sản phẩm'!$I$4:$I$103,MATCH(B433,'Sản phẩm'!$D$4:$D$103,0)),0)</f>
        <v>0</v>
      </c>
      <c r="M433" s="72" t="str">
        <f t="array" ref="M433">IFERROR(INDEX('Sản phẩm'!$J$4:$J$103,MATCH(B433,'Sản phẩm'!$D$4:$D$103,0)),0)</f>
        <v/>
      </c>
      <c r="N433" s="46">
        <f>IF(B433="",0,(K433+L433+M433)*'Thiết lập'!$B$8)</f>
        <v>0</v>
      </c>
      <c r="O433" s="46">
        <f t="shared" si="2"/>
        <v>0</v>
      </c>
      <c r="P433" s="46">
        <f t="shared" si="3"/>
        <v>0</v>
      </c>
      <c r="Q433" s="46">
        <f t="shared" si="4"/>
        <v>0</v>
      </c>
      <c r="R433" s="71" t="str">
        <f t="array" ref="R433">IF(B433="","",INDEX('Bán nhanh'!$C$4:$C$103,INT((ROW()-4)/10)+1))</f>
        <v/>
      </c>
      <c r="S433" s="71" t="str">
        <f t="array" ref="S433">IF(B433="","",INDEX('Bán nhanh'!$P$4:$P$103,INT((ROW()-4)/10)+1))</f>
        <v/>
      </c>
      <c r="T433" s="58"/>
      <c r="U433" s="36"/>
      <c r="V433" s="36"/>
      <c r="W433" s="58"/>
      <c r="X433" s="36"/>
      <c r="Y433" s="36"/>
      <c r="Z433" s="36"/>
    </row>
    <row r="434" ht="15.75" customHeight="1">
      <c r="A434" s="70" t="str">
        <f t="array" ref="A434">IF(B434="","",INDEX('Bán nhanh'!$A$4:$A$103,INT((ROW()-4)/10)+1))</f>
        <v/>
      </c>
      <c r="B434" s="71" t="str">
        <f t="array" ref="B434">IF(OR(INDEX('Bán nhanh'!$D$3:$M$3,1,MOD(ROW()-4,10)+1)="",INDEX('Bán nhanh'!$D$4:$M$103,INT((ROW()-4)/10)+1,MOD(ROW()-4,10)+1)&lt;=0),"",INDEX('Bán nhanh'!$D$3:$M$3,1,MOD(ROW()-4,10)+1))</f>
        <v/>
      </c>
      <c r="C434" s="58" t="str">
        <f t="array" ref="C434">IFERROR(INDEX('Sản phẩm'!$A$4:$A$103,MATCH(B434,'Sản phẩm'!$D$4:$D$103,0)),"")</f>
        <v/>
      </c>
      <c r="D434" s="71" t="str">
        <f t="array" ref="D434">IF(B434="","",INDEX('Bán nhanh'!$B$4:$B$103,INT((ROW()-4)/10)+1))</f>
        <v/>
      </c>
      <c r="E434" s="58" t="str">
        <f t="array" ref="E434">IFERROR(INDEX('Mẻ sữa'!$B$4:$B$203,MATCH(D434,'Mẻ sữa'!$C$4:$C$203,0)),"")</f>
        <v/>
      </c>
      <c r="F434" s="66">
        <f t="array" ref="F434">IF(B434="",0,INDEX('Bán nhanh'!$D$4:$M$103,INT((ROW()-4)/10)+1,MOD(ROW()-4,10)+1))</f>
        <v>0</v>
      </c>
      <c r="G434" s="46">
        <f t="array" ref="G434">IFERROR(INDEX('Sản phẩm'!$F$4:$F$103,MATCH(B434,'Sản phẩm'!$D$4:$D$103,0)),0)</f>
        <v>0</v>
      </c>
      <c r="H434" s="67">
        <f t="shared" si="5"/>
        <v>0</v>
      </c>
      <c r="I434" s="46">
        <f t="shared" si="1"/>
        <v>0</v>
      </c>
      <c r="J434" s="46">
        <f t="array" ref="J434">IFERROR(INDEX('Sản phẩm'!$G$4:$G$103,MATCH(B434,'Sản phẩm'!$D$4:$D$103,0)),0)</f>
        <v>0</v>
      </c>
      <c r="K434" s="46">
        <f t="array" ref="K434">IFERROR(J434*INDEX('Mẻ sữa'!$N$4:$N$203,MATCH(D434,'Mẻ sữa'!$C$4:$C$203,0)),0)</f>
        <v>0</v>
      </c>
      <c r="L434" s="46">
        <f t="array" ref="L434">IFERROR(INDEX('Sản phẩm'!$I$4:$I$103,MATCH(B434,'Sản phẩm'!$D$4:$D$103,0)),0)</f>
        <v>0</v>
      </c>
      <c r="M434" s="72" t="str">
        <f t="array" ref="M434">IFERROR(INDEX('Sản phẩm'!$J$4:$J$103,MATCH(B434,'Sản phẩm'!$D$4:$D$103,0)),0)</f>
        <v/>
      </c>
      <c r="N434" s="46">
        <f>IF(B434="",0,(K434+L434+M434)*'Thiết lập'!$B$8)</f>
        <v>0</v>
      </c>
      <c r="O434" s="46">
        <f t="shared" si="2"/>
        <v>0</v>
      </c>
      <c r="P434" s="46">
        <f t="shared" si="3"/>
        <v>0</v>
      </c>
      <c r="Q434" s="46">
        <f t="shared" si="4"/>
        <v>0</v>
      </c>
      <c r="R434" s="71" t="str">
        <f t="array" ref="R434">IF(B434="","",INDEX('Bán nhanh'!$C$4:$C$103,INT((ROW()-4)/10)+1))</f>
        <v/>
      </c>
      <c r="S434" s="71" t="str">
        <f t="array" ref="S434">IF(B434="","",INDEX('Bán nhanh'!$P$4:$P$103,INT((ROW()-4)/10)+1))</f>
        <v/>
      </c>
      <c r="T434" s="58"/>
      <c r="U434" s="36"/>
      <c r="V434" s="36"/>
      <c r="W434" s="58"/>
      <c r="X434" s="36"/>
      <c r="Y434" s="36"/>
      <c r="Z434" s="36"/>
    </row>
    <row r="435" ht="15.75" customHeight="1">
      <c r="A435" s="70" t="str">
        <f t="array" ref="A435">IF(B435="","",INDEX('Bán nhanh'!$A$4:$A$103,INT((ROW()-4)/10)+1))</f>
        <v/>
      </c>
      <c r="B435" s="71" t="str">
        <f t="array" ref="B435">IF(OR(INDEX('Bán nhanh'!$D$3:$M$3,1,MOD(ROW()-4,10)+1)="",INDEX('Bán nhanh'!$D$4:$M$103,INT((ROW()-4)/10)+1,MOD(ROW()-4,10)+1)&lt;=0),"",INDEX('Bán nhanh'!$D$3:$M$3,1,MOD(ROW()-4,10)+1))</f>
        <v/>
      </c>
      <c r="C435" s="58" t="str">
        <f t="array" ref="C435">IFERROR(INDEX('Sản phẩm'!$A$4:$A$103,MATCH(B435,'Sản phẩm'!$D$4:$D$103,0)),"")</f>
        <v/>
      </c>
      <c r="D435" s="71" t="str">
        <f t="array" ref="D435">IF(B435="","",INDEX('Bán nhanh'!$B$4:$B$103,INT((ROW()-4)/10)+1))</f>
        <v/>
      </c>
      <c r="E435" s="58" t="str">
        <f t="array" ref="E435">IFERROR(INDEX('Mẻ sữa'!$B$4:$B$203,MATCH(D435,'Mẻ sữa'!$C$4:$C$203,0)),"")</f>
        <v/>
      </c>
      <c r="F435" s="66">
        <f t="array" ref="F435">IF(B435="",0,INDEX('Bán nhanh'!$D$4:$M$103,INT((ROW()-4)/10)+1,MOD(ROW()-4,10)+1))</f>
        <v>0</v>
      </c>
      <c r="G435" s="46">
        <f t="array" ref="G435">IFERROR(INDEX('Sản phẩm'!$F$4:$F$103,MATCH(B435,'Sản phẩm'!$D$4:$D$103,0)),0)</f>
        <v>0</v>
      </c>
      <c r="H435" s="67">
        <f t="shared" si="5"/>
        <v>0</v>
      </c>
      <c r="I435" s="46">
        <f t="shared" si="1"/>
        <v>0</v>
      </c>
      <c r="J435" s="46">
        <f t="array" ref="J435">IFERROR(INDEX('Sản phẩm'!$G$4:$G$103,MATCH(B435,'Sản phẩm'!$D$4:$D$103,0)),0)</f>
        <v>0</v>
      </c>
      <c r="K435" s="46">
        <f t="array" ref="K435">IFERROR(J435*INDEX('Mẻ sữa'!$N$4:$N$203,MATCH(D435,'Mẻ sữa'!$C$4:$C$203,0)),0)</f>
        <v>0</v>
      </c>
      <c r="L435" s="46">
        <f t="array" ref="L435">IFERROR(INDEX('Sản phẩm'!$I$4:$I$103,MATCH(B435,'Sản phẩm'!$D$4:$D$103,0)),0)</f>
        <v>0</v>
      </c>
      <c r="M435" s="72" t="str">
        <f t="array" ref="M435">IFERROR(INDEX('Sản phẩm'!$J$4:$J$103,MATCH(B435,'Sản phẩm'!$D$4:$D$103,0)),0)</f>
        <v/>
      </c>
      <c r="N435" s="46">
        <f>IF(B435="",0,(K435+L435+M435)*'Thiết lập'!$B$8)</f>
        <v>0</v>
      </c>
      <c r="O435" s="46">
        <f t="shared" si="2"/>
        <v>0</v>
      </c>
      <c r="P435" s="46">
        <f t="shared" si="3"/>
        <v>0</v>
      </c>
      <c r="Q435" s="46">
        <f t="shared" si="4"/>
        <v>0</v>
      </c>
      <c r="R435" s="71" t="str">
        <f t="array" ref="R435">IF(B435="","",INDEX('Bán nhanh'!$C$4:$C$103,INT((ROW()-4)/10)+1))</f>
        <v/>
      </c>
      <c r="S435" s="71" t="str">
        <f t="array" ref="S435">IF(B435="","",INDEX('Bán nhanh'!$P$4:$P$103,INT((ROW()-4)/10)+1))</f>
        <v/>
      </c>
      <c r="T435" s="58"/>
      <c r="U435" s="36"/>
      <c r="V435" s="36"/>
      <c r="W435" s="58"/>
      <c r="X435" s="36"/>
      <c r="Y435" s="36"/>
      <c r="Z435" s="36"/>
    </row>
    <row r="436" ht="15.75" customHeight="1">
      <c r="A436" s="70" t="str">
        <f t="array" ref="A436">IF(B436="","",INDEX('Bán nhanh'!$A$4:$A$103,INT((ROW()-4)/10)+1))</f>
        <v/>
      </c>
      <c r="B436" s="71" t="str">
        <f t="array" ref="B436">IF(OR(INDEX('Bán nhanh'!$D$3:$M$3,1,MOD(ROW()-4,10)+1)="",INDEX('Bán nhanh'!$D$4:$M$103,INT((ROW()-4)/10)+1,MOD(ROW()-4,10)+1)&lt;=0),"",INDEX('Bán nhanh'!$D$3:$M$3,1,MOD(ROW()-4,10)+1))</f>
        <v/>
      </c>
      <c r="C436" s="58" t="str">
        <f t="array" ref="C436">IFERROR(INDEX('Sản phẩm'!$A$4:$A$103,MATCH(B436,'Sản phẩm'!$D$4:$D$103,0)),"")</f>
        <v/>
      </c>
      <c r="D436" s="71" t="str">
        <f t="array" ref="D436">IF(B436="","",INDEX('Bán nhanh'!$B$4:$B$103,INT((ROW()-4)/10)+1))</f>
        <v/>
      </c>
      <c r="E436" s="58" t="str">
        <f t="array" ref="E436">IFERROR(INDEX('Mẻ sữa'!$B$4:$B$203,MATCH(D436,'Mẻ sữa'!$C$4:$C$203,0)),"")</f>
        <v/>
      </c>
      <c r="F436" s="66">
        <f t="array" ref="F436">IF(B436="",0,INDEX('Bán nhanh'!$D$4:$M$103,INT((ROW()-4)/10)+1,MOD(ROW()-4,10)+1))</f>
        <v>0</v>
      </c>
      <c r="G436" s="46">
        <f t="array" ref="G436">IFERROR(INDEX('Sản phẩm'!$F$4:$F$103,MATCH(B436,'Sản phẩm'!$D$4:$D$103,0)),0)</f>
        <v>0</v>
      </c>
      <c r="H436" s="67">
        <f t="shared" si="5"/>
        <v>0</v>
      </c>
      <c r="I436" s="46">
        <f t="shared" si="1"/>
        <v>0</v>
      </c>
      <c r="J436" s="46">
        <f t="array" ref="J436">IFERROR(INDEX('Sản phẩm'!$G$4:$G$103,MATCH(B436,'Sản phẩm'!$D$4:$D$103,0)),0)</f>
        <v>0</v>
      </c>
      <c r="K436" s="46">
        <f t="array" ref="K436">IFERROR(J436*INDEX('Mẻ sữa'!$N$4:$N$203,MATCH(D436,'Mẻ sữa'!$C$4:$C$203,0)),0)</f>
        <v>0</v>
      </c>
      <c r="L436" s="46">
        <f t="array" ref="L436">IFERROR(INDEX('Sản phẩm'!$I$4:$I$103,MATCH(B436,'Sản phẩm'!$D$4:$D$103,0)),0)</f>
        <v>0</v>
      </c>
      <c r="M436" s="72" t="str">
        <f t="array" ref="M436">IFERROR(INDEX('Sản phẩm'!$J$4:$J$103,MATCH(B436,'Sản phẩm'!$D$4:$D$103,0)),0)</f>
        <v/>
      </c>
      <c r="N436" s="46">
        <f>IF(B436="",0,(K436+L436+M436)*'Thiết lập'!$B$8)</f>
        <v>0</v>
      </c>
      <c r="O436" s="46">
        <f t="shared" si="2"/>
        <v>0</v>
      </c>
      <c r="P436" s="46">
        <f t="shared" si="3"/>
        <v>0</v>
      </c>
      <c r="Q436" s="46">
        <f t="shared" si="4"/>
        <v>0</v>
      </c>
      <c r="R436" s="71" t="str">
        <f t="array" ref="R436">IF(B436="","",INDEX('Bán nhanh'!$C$4:$C$103,INT((ROW()-4)/10)+1))</f>
        <v/>
      </c>
      <c r="S436" s="71" t="str">
        <f t="array" ref="S436">IF(B436="","",INDEX('Bán nhanh'!$P$4:$P$103,INT((ROW()-4)/10)+1))</f>
        <v/>
      </c>
      <c r="T436" s="58"/>
      <c r="U436" s="36"/>
      <c r="V436" s="36"/>
      <c r="W436" s="58"/>
      <c r="X436" s="36"/>
      <c r="Y436" s="36"/>
      <c r="Z436" s="36"/>
    </row>
    <row r="437" ht="15.75" customHeight="1">
      <c r="A437" s="70" t="str">
        <f t="array" ref="A437">IF(B437="","",INDEX('Bán nhanh'!$A$4:$A$103,INT((ROW()-4)/10)+1))</f>
        <v/>
      </c>
      <c r="B437" s="71" t="str">
        <f t="array" ref="B437">IF(OR(INDEX('Bán nhanh'!$D$3:$M$3,1,MOD(ROW()-4,10)+1)="",INDEX('Bán nhanh'!$D$4:$M$103,INT((ROW()-4)/10)+1,MOD(ROW()-4,10)+1)&lt;=0),"",INDEX('Bán nhanh'!$D$3:$M$3,1,MOD(ROW()-4,10)+1))</f>
        <v/>
      </c>
      <c r="C437" s="58" t="str">
        <f t="array" ref="C437">IFERROR(INDEX('Sản phẩm'!$A$4:$A$103,MATCH(B437,'Sản phẩm'!$D$4:$D$103,0)),"")</f>
        <v/>
      </c>
      <c r="D437" s="71" t="str">
        <f t="array" ref="D437">IF(B437="","",INDEX('Bán nhanh'!$B$4:$B$103,INT((ROW()-4)/10)+1))</f>
        <v/>
      </c>
      <c r="E437" s="58" t="str">
        <f t="array" ref="E437">IFERROR(INDEX('Mẻ sữa'!$B$4:$B$203,MATCH(D437,'Mẻ sữa'!$C$4:$C$203,0)),"")</f>
        <v/>
      </c>
      <c r="F437" s="66">
        <f t="array" ref="F437">IF(B437="",0,INDEX('Bán nhanh'!$D$4:$M$103,INT((ROW()-4)/10)+1,MOD(ROW()-4,10)+1))</f>
        <v>0</v>
      </c>
      <c r="G437" s="46">
        <f t="array" ref="G437">IFERROR(INDEX('Sản phẩm'!$F$4:$F$103,MATCH(B437,'Sản phẩm'!$D$4:$D$103,0)),0)</f>
        <v>0</v>
      </c>
      <c r="H437" s="67">
        <f t="shared" si="5"/>
        <v>0</v>
      </c>
      <c r="I437" s="46">
        <f t="shared" si="1"/>
        <v>0</v>
      </c>
      <c r="J437" s="46">
        <f t="array" ref="J437">IFERROR(INDEX('Sản phẩm'!$G$4:$G$103,MATCH(B437,'Sản phẩm'!$D$4:$D$103,0)),0)</f>
        <v>0</v>
      </c>
      <c r="K437" s="46">
        <f t="array" ref="K437">IFERROR(J437*INDEX('Mẻ sữa'!$N$4:$N$203,MATCH(D437,'Mẻ sữa'!$C$4:$C$203,0)),0)</f>
        <v>0</v>
      </c>
      <c r="L437" s="46">
        <f t="array" ref="L437">IFERROR(INDEX('Sản phẩm'!$I$4:$I$103,MATCH(B437,'Sản phẩm'!$D$4:$D$103,0)),0)</f>
        <v>0</v>
      </c>
      <c r="M437" s="72" t="str">
        <f t="array" ref="M437">IFERROR(INDEX('Sản phẩm'!$J$4:$J$103,MATCH(B437,'Sản phẩm'!$D$4:$D$103,0)),0)</f>
        <v/>
      </c>
      <c r="N437" s="46">
        <f>IF(B437="",0,(K437+L437+M437)*'Thiết lập'!$B$8)</f>
        <v>0</v>
      </c>
      <c r="O437" s="46">
        <f t="shared" si="2"/>
        <v>0</v>
      </c>
      <c r="P437" s="46">
        <f t="shared" si="3"/>
        <v>0</v>
      </c>
      <c r="Q437" s="46">
        <f t="shared" si="4"/>
        <v>0</v>
      </c>
      <c r="R437" s="71" t="str">
        <f t="array" ref="R437">IF(B437="","",INDEX('Bán nhanh'!$C$4:$C$103,INT((ROW()-4)/10)+1))</f>
        <v/>
      </c>
      <c r="S437" s="71" t="str">
        <f t="array" ref="S437">IF(B437="","",INDEX('Bán nhanh'!$P$4:$P$103,INT((ROW()-4)/10)+1))</f>
        <v/>
      </c>
      <c r="T437" s="58"/>
      <c r="U437" s="36"/>
      <c r="V437" s="36"/>
      <c r="W437" s="58"/>
      <c r="X437" s="36"/>
      <c r="Y437" s="36"/>
      <c r="Z437" s="36"/>
    </row>
    <row r="438" ht="15.75" customHeight="1">
      <c r="A438" s="70" t="str">
        <f t="array" ref="A438">IF(B438="","",INDEX('Bán nhanh'!$A$4:$A$103,INT((ROW()-4)/10)+1))</f>
        <v/>
      </c>
      <c r="B438" s="71" t="str">
        <f t="array" ref="B438">IF(OR(INDEX('Bán nhanh'!$D$3:$M$3,1,MOD(ROW()-4,10)+1)="",INDEX('Bán nhanh'!$D$4:$M$103,INT((ROW()-4)/10)+1,MOD(ROW()-4,10)+1)&lt;=0),"",INDEX('Bán nhanh'!$D$3:$M$3,1,MOD(ROW()-4,10)+1))</f>
        <v/>
      </c>
      <c r="C438" s="58" t="str">
        <f t="array" ref="C438">IFERROR(INDEX('Sản phẩm'!$A$4:$A$103,MATCH(B438,'Sản phẩm'!$D$4:$D$103,0)),"")</f>
        <v/>
      </c>
      <c r="D438" s="71" t="str">
        <f t="array" ref="D438">IF(B438="","",INDEX('Bán nhanh'!$B$4:$B$103,INT((ROW()-4)/10)+1))</f>
        <v/>
      </c>
      <c r="E438" s="58" t="str">
        <f t="array" ref="E438">IFERROR(INDEX('Mẻ sữa'!$B$4:$B$203,MATCH(D438,'Mẻ sữa'!$C$4:$C$203,0)),"")</f>
        <v/>
      </c>
      <c r="F438" s="66">
        <f t="array" ref="F438">IF(B438="",0,INDEX('Bán nhanh'!$D$4:$M$103,INT((ROW()-4)/10)+1,MOD(ROW()-4,10)+1))</f>
        <v>0</v>
      </c>
      <c r="G438" s="46">
        <f t="array" ref="G438">IFERROR(INDEX('Sản phẩm'!$F$4:$F$103,MATCH(B438,'Sản phẩm'!$D$4:$D$103,0)),0)</f>
        <v>0</v>
      </c>
      <c r="H438" s="67">
        <f t="shared" si="5"/>
        <v>0</v>
      </c>
      <c r="I438" s="46">
        <f t="shared" si="1"/>
        <v>0</v>
      </c>
      <c r="J438" s="46">
        <f t="array" ref="J438">IFERROR(INDEX('Sản phẩm'!$G$4:$G$103,MATCH(B438,'Sản phẩm'!$D$4:$D$103,0)),0)</f>
        <v>0</v>
      </c>
      <c r="K438" s="46">
        <f t="array" ref="K438">IFERROR(J438*INDEX('Mẻ sữa'!$N$4:$N$203,MATCH(D438,'Mẻ sữa'!$C$4:$C$203,0)),0)</f>
        <v>0</v>
      </c>
      <c r="L438" s="46">
        <f t="array" ref="L438">IFERROR(INDEX('Sản phẩm'!$I$4:$I$103,MATCH(B438,'Sản phẩm'!$D$4:$D$103,0)),0)</f>
        <v>0</v>
      </c>
      <c r="M438" s="72" t="str">
        <f t="array" ref="M438">IFERROR(INDEX('Sản phẩm'!$J$4:$J$103,MATCH(B438,'Sản phẩm'!$D$4:$D$103,0)),0)</f>
        <v/>
      </c>
      <c r="N438" s="46">
        <f>IF(B438="",0,(K438+L438+M438)*'Thiết lập'!$B$8)</f>
        <v>0</v>
      </c>
      <c r="O438" s="46">
        <f t="shared" si="2"/>
        <v>0</v>
      </c>
      <c r="P438" s="46">
        <f t="shared" si="3"/>
        <v>0</v>
      </c>
      <c r="Q438" s="46">
        <f t="shared" si="4"/>
        <v>0</v>
      </c>
      <c r="R438" s="71" t="str">
        <f t="array" ref="R438">IF(B438="","",INDEX('Bán nhanh'!$C$4:$C$103,INT((ROW()-4)/10)+1))</f>
        <v/>
      </c>
      <c r="S438" s="71" t="str">
        <f t="array" ref="S438">IF(B438="","",INDEX('Bán nhanh'!$P$4:$P$103,INT((ROW()-4)/10)+1))</f>
        <v/>
      </c>
      <c r="T438" s="58"/>
      <c r="U438" s="36"/>
      <c r="V438" s="36"/>
      <c r="W438" s="58"/>
      <c r="X438" s="36"/>
      <c r="Y438" s="36"/>
      <c r="Z438" s="36"/>
    </row>
    <row r="439" ht="15.75" customHeight="1">
      <c r="A439" s="70" t="str">
        <f t="array" ref="A439">IF(B439="","",INDEX('Bán nhanh'!$A$4:$A$103,INT((ROW()-4)/10)+1))</f>
        <v/>
      </c>
      <c r="B439" s="71" t="str">
        <f t="array" ref="B439">IF(OR(INDEX('Bán nhanh'!$D$3:$M$3,1,MOD(ROW()-4,10)+1)="",INDEX('Bán nhanh'!$D$4:$M$103,INT((ROW()-4)/10)+1,MOD(ROW()-4,10)+1)&lt;=0),"",INDEX('Bán nhanh'!$D$3:$M$3,1,MOD(ROW()-4,10)+1))</f>
        <v/>
      </c>
      <c r="C439" s="58" t="str">
        <f t="array" ref="C439">IFERROR(INDEX('Sản phẩm'!$A$4:$A$103,MATCH(B439,'Sản phẩm'!$D$4:$D$103,0)),"")</f>
        <v/>
      </c>
      <c r="D439" s="71" t="str">
        <f t="array" ref="D439">IF(B439="","",INDEX('Bán nhanh'!$B$4:$B$103,INT((ROW()-4)/10)+1))</f>
        <v/>
      </c>
      <c r="E439" s="58" t="str">
        <f t="array" ref="E439">IFERROR(INDEX('Mẻ sữa'!$B$4:$B$203,MATCH(D439,'Mẻ sữa'!$C$4:$C$203,0)),"")</f>
        <v/>
      </c>
      <c r="F439" s="66">
        <f t="array" ref="F439">IF(B439="",0,INDEX('Bán nhanh'!$D$4:$M$103,INT((ROW()-4)/10)+1,MOD(ROW()-4,10)+1))</f>
        <v>0</v>
      </c>
      <c r="G439" s="46">
        <f t="array" ref="G439">IFERROR(INDEX('Sản phẩm'!$F$4:$F$103,MATCH(B439,'Sản phẩm'!$D$4:$D$103,0)),0)</f>
        <v>0</v>
      </c>
      <c r="H439" s="67">
        <f t="shared" si="5"/>
        <v>0</v>
      </c>
      <c r="I439" s="46">
        <f t="shared" si="1"/>
        <v>0</v>
      </c>
      <c r="J439" s="46">
        <f t="array" ref="J439">IFERROR(INDEX('Sản phẩm'!$G$4:$G$103,MATCH(B439,'Sản phẩm'!$D$4:$D$103,0)),0)</f>
        <v>0</v>
      </c>
      <c r="K439" s="46">
        <f t="array" ref="K439">IFERROR(J439*INDEX('Mẻ sữa'!$N$4:$N$203,MATCH(D439,'Mẻ sữa'!$C$4:$C$203,0)),0)</f>
        <v>0</v>
      </c>
      <c r="L439" s="46">
        <f t="array" ref="L439">IFERROR(INDEX('Sản phẩm'!$I$4:$I$103,MATCH(B439,'Sản phẩm'!$D$4:$D$103,0)),0)</f>
        <v>0</v>
      </c>
      <c r="M439" s="72" t="str">
        <f t="array" ref="M439">IFERROR(INDEX('Sản phẩm'!$J$4:$J$103,MATCH(B439,'Sản phẩm'!$D$4:$D$103,0)),0)</f>
        <v/>
      </c>
      <c r="N439" s="46">
        <f>IF(B439="",0,(K439+L439+M439)*'Thiết lập'!$B$8)</f>
        <v>0</v>
      </c>
      <c r="O439" s="46">
        <f t="shared" si="2"/>
        <v>0</v>
      </c>
      <c r="P439" s="46">
        <f t="shared" si="3"/>
        <v>0</v>
      </c>
      <c r="Q439" s="46">
        <f t="shared" si="4"/>
        <v>0</v>
      </c>
      <c r="R439" s="71" t="str">
        <f t="array" ref="R439">IF(B439="","",INDEX('Bán nhanh'!$C$4:$C$103,INT((ROW()-4)/10)+1))</f>
        <v/>
      </c>
      <c r="S439" s="71" t="str">
        <f t="array" ref="S439">IF(B439="","",INDEX('Bán nhanh'!$P$4:$P$103,INT((ROW()-4)/10)+1))</f>
        <v/>
      </c>
      <c r="T439" s="58"/>
      <c r="U439" s="36"/>
      <c r="V439" s="36"/>
      <c r="W439" s="58"/>
      <c r="X439" s="36"/>
      <c r="Y439" s="36"/>
      <c r="Z439" s="36"/>
    </row>
    <row r="440" ht="15.75" customHeight="1">
      <c r="A440" s="70" t="str">
        <f t="array" ref="A440">IF(B440="","",INDEX('Bán nhanh'!$A$4:$A$103,INT((ROW()-4)/10)+1))</f>
        <v/>
      </c>
      <c r="B440" s="71" t="str">
        <f t="array" ref="B440">IF(OR(INDEX('Bán nhanh'!$D$3:$M$3,1,MOD(ROW()-4,10)+1)="",INDEX('Bán nhanh'!$D$4:$M$103,INT((ROW()-4)/10)+1,MOD(ROW()-4,10)+1)&lt;=0),"",INDEX('Bán nhanh'!$D$3:$M$3,1,MOD(ROW()-4,10)+1))</f>
        <v/>
      </c>
      <c r="C440" s="58" t="str">
        <f t="array" ref="C440">IFERROR(INDEX('Sản phẩm'!$A$4:$A$103,MATCH(B440,'Sản phẩm'!$D$4:$D$103,0)),"")</f>
        <v/>
      </c>
      <c r="D440" s="71" t="str">
        <f t="array" ref="D440">IF(B440="","",INDEX('Bán nhanh'!$B$4:$B$103,INT((ROW()-4)/10)+1))</f>
        <v/>
      </c>
      <c r="E440" s="58" t="str">
        <f t="array" ref="E440">IFERROR(INDEX('Mẻ sữa'!$B$4:$B$203,MATCH(D440,'Mẻ sữa'!$C$4:$C$203,0)),"")</f>
        <v/>
      </c>
      <c r="F440" s="66">
        <f t="array" ref="F440">IF(B440="",0,INDEX('Bán nhanh'!$D$4:$M$103,INT((ROW()-4)/10)+1,MOD(ROW()-4,10)+1))</f>
        <v>0</v>
      </c>
      <c r="G440" s="46">
        <f t="array" ref="G440">IFERROR(INDEX('Sản phẩm'!$F$4:$F$103,MATCH(B440,'Sản phẩm'!$D$4:$D$103,0)),0)</f>
        <v>0</v>
      </c>
      <c r="H440" s="67">
        <f t="shared" si="5"/>
        <v>0</v>
      </c>
      <c r="I440" s="46">
        <f t="shared" si="1"/>
        <v>0</v>
      </c>
      <c r="J440" s="46">
        <f t="array" ref="J440">IFERROR(INDEX('Sản phẩm'!$G$4:$G$103,MATCH(B440,'Sản phẩm'!$D$4:$D$103,0)),0)</f>
        <v>0</v>
      </c>
      <c r="K440" s="46">
        <f t="array" ref="K440">IFERROR(J440*INDEX('Mẻ sữa'!$N$4:$N$203,MATCH(D440,'Mẻ sữa'!$C$4:$C$203,0)),0)</f>
        <v>0</v>
      </c>
      <c r="L440" s="46">
        <f t="array" ref="L440">IFERROR(INDEX('Sản phẩm'!$I$4:$I$103,MATCH(B440,'Sản phẩm'!$D$4:$D$103,0)),0)</f>
        <v>0</v>
      </c>
      <c r="M440" s="72" t="str">
        <f t="array" ref="M440">IFERROR(INDEX('Sản phẩm'!$J$4:$J$103,MATCH(B440,'Sản phẩm'!$D$4:$D$103,0)),0)</f>
        <v/>
      </c>
      <c r="N440" s="46">
        <f>IF(B440="",0,(K440+L440+M440)*'Thiết lập'!$B$8)</f>
        <v>0</v>
      </c>
      <c r="O440" s="46">
        <f t="shared" si="2"/>
        <v>0</v>
      </c>
      <c r="P440" s="46">
        <f t="shared" si="3"/>
        <v>0</v>
      </c>
      <c r="Q440" s="46">
        <f t="shared" si="4"/>
        <v>0</v>
      </c>
      <c r="R440" s="71" t="str">
        <f t="array" ref="R440">IF(B440="","",INDEX('Bán nhanh'!$C$4:$C$103,INT((ROW()-4)/10)+1))</f>
        <v/>
      </c>
      <c r="S440" s="71" t="str">
        <f t="array" ref="S440">IF(B440="","",INDEX('Bán nhanh'!$P$4:$P$103,INT((ROW()-4)/10)+1))</f>
        <v/>
      </c>
      <c r="T440" s="58"/>
      <c r="U440" s="36"/>
      <c r="V440" s="36"/>
      <c r="W440" s="58"/>
      <c r="X440" s="36"/>
      <c r="Y440" s="36"/>
      <c r="Z440" s="36"/>
    </row>
    <row r="441" ht="15.75" customHeight="1">
      <c r="A441" s="70" t="str">
        <f t="array" ref="A441">IF(B441="","",INDEX('Bán nhanh'!$A$4:$A$103,INT((ROW()-4)/10)+1))</f>
        <v/>
      </c>
      <c r="B441" s="71" t="str">
        <f t="array" ref="B441">IF(OR(INDEX('Bán nhanh'!$D$3:$M$3,1,MOD(ROW()-4,10)+1)="",INDEX('Bán nhanh'!$D$4:$M$103,INT((ROW()-4)/10)+1,MOD(ROW()-4,10)+1)&lt;=0),"",INDEX('Bán nhanh'!$D$3:$M$3,1,MOD(ROW()-4,10)+1))</f>
        <v/>
      </c>
      <c r="C441" s="58" t="str">
        <f t="array" ref="C441">IFERROR(INDEX('Sản phẩm'!$A$4:$A$103,MATCH(B441,'Sản phẩm'!$D$4:$D$103,0)),"")</f>
        <v/>
      </c>
      <c r="D441" s="71" t="str">
        <f t="array" ref="D441">IF(B441="","",INDEX('Bán nhanh'!$B$4:$B$103,INT((ROW()-4)/10)+1))</f>
        <v/>
      </c>
      <c r="E441" s="58" t="str">
        <f t="array" ref="E441">IFERROR(INDEX('Mẻ sữa'!$B$4:$B$203,MATCH(D441,'Mẻ sữa'!$C$4:$C$203,0)),"")</f>
        <v/>
      </c>
      <c r="F441" s="66">
        <f t="array" ref="F441">IF(B441="",0,INDEX('Bán nhanh'!$D$4:$M$103,INT((ROW()-4)/10)+1,MOD(ROW()-4,10)+1))</f>
        <v>0</v>
      </c>
      <c r="G441" s="46">
        <f t="array" ref="G441">IFERROR(INDEX('Sản phẩm'!$F$4:$F$103,MATCH(B441,'Sản phẩm'!$D$4:$D$103,0)),0)</f>
        <v>0</v>
      </c>
      <c r="H441" s="67">
        <f t="shared" si="5"/>
        <v>0</v>
      </c>
      <c r="I441" s="46">
        <f t="shared" si="1"/>
        <v>0</v>
      </c>
      <c r="J441" s="46">
        <f t="array" ref="J441">IFERROR(INDEX('Sản phẩm'!$G$4:$G$103,MATCH(B441,'Sản phẩm'!$D$4:$D$103,0)),0)</f>
        <v>0</v>
      </c>
      <c r="K441" s="46">
        <f t="array" ref="K441">IFERROR(J441*INDEX('Mẻ sữa'!$N$4:$N$203,MATCH(D441,'Mẻ sữa'!$C$4:$C$203,0)),0)</f>
        <v>0</v>
      </c>
      <c r="L441" s="46">
        <f t="array" ref="L441">IFERROR(INDEX('Sản phẩm'!$I$4:$I$103,MATCH(B441,'Sản phẩm'!$D$4:$D$103,0)),0)</f>
        <v>0</v>
      </c>
      <c r="M441" s="72" t="str">
        <f t="array" ref="M441">IFERROR(INDEX('Sản phẩm'!$J$4:$J$103,MATCH(B441,'Sản phẩm'!$D$4:$D$103,0)),0)</f>
        <v/>
      </c>
      <c r="N441" s="46">
        <f>IF(B441="",0,(K441+L441+M441)*'Thiết lập'!$B$8)</f>
        <v>0</v>
      </c>
      <c r="O441" s="46">
        <f t="shared" si="2"/>
        <v>0</v>
      </c>
      <c r="P441" s="46">
        <f t="shared" si="3"/>
        <v>0</v>
      </c>
      <c r="Q441" s="46">
        <f t="shared" si="4"/>
        <v>0</v>
      </c>
      <c r="R441" s="71" t="str">
        <f t="array" ref="R441">IF(B441="","",INDEX('Bán nhanh'!$C$4:$C$103,INT((ROW()-4)/10)+1))</f>
        <v/>
      </c>
      <c r="S441" s="71" t="str">
        <f t="array" ref="S441">IF(B441="","",INDEX('Bán nhanh'!$P$4:$P$103,INT((ROW()-4)/10)+1))</f>
        <v/>
      </c>
      <c r="T441" s="58"/>
      <c r="U441" s="36"/>
      <c r="V441" s="36"/>
      <c r="W441" s="58"/>
      <c r="X441" s="36"/>
      <c r="Y441" s="36"/>
      <c r="Z441" s="36"/>
    </row>
    <row r="442" ht="15.75" customHeight="1">
      <c r="A442" s="70" t="str">
        <f t="array" ref="A442">IF(B442="","",INDEX('Bán nhanh'!$A$4:$A$103,INT((ROW()-4)/10)+1))</f>
        <v/>
      </c>
      <c r="B442" s="71" t="str">
        <f t="array" ref="B442">IF(OR(INDEX('Bán nhanh'!$D$3:$M$3,1,MOD(ROW()-4,10)+1)="",INDEX('Bán nhanh'!$D$4:$M$103,INT((ROW()-4)/10)+1,MOD(ROW()-4,10)+1)&lt;=0),"",INDEX('Bán nhanh'!$D$3:$M$3,1,MOD(ROW()-4,10)+1))</f>
        <v/>
      </c>
      <c r="C442" s="58" t="str">
        <f t="array" ref="C442">IFERROR(INDEX('Sản phẩm'!$A$4:$A$103,MATCH(B442,'Sản phẩm'!$D$4:$D$103,0)),"")</f>
        <v/>
      </c>
      <c r="D442" s="71" t="str">
        <f t="array" ref="D442">IF(B442="","",INDEX('Bán nhanh'!$B$4:$B$103,INT((ROW()-4)/10)+1))</f>
        <v/>
      </c>
      <c r="E442" s="58" t="str">
        <f t="array" ref="E442">IFERROR(INDEX('Mẻ sữa'!$B$4:$B$203,MATCH(D442,'Mẻ sữa'!$C$4:$C$203,0)),"")</f>
        <v/>
      </c>
      <c r="F442" s="66">
        <f t="array" ref="F442">IF(B442="",0,INDEX('Bán nhanh'!$D$4:$M$103,INT((ROW()-4)/10)+1,MOD(ROW()-4,10)+1))</f>
        <v>0</v>
      </c>
      <c r="G442" s="46">
        <f t="array" ref="G442">IFERROR(INDEX('Sản phẩm'!$F$4:$F$103,MATCH(B442,'Sản phẩm'!$D$4:$D$103,0)),0)</f>
        <v>0</v>
      </c>
      <c r="H442" s="67">
        <f t="shared" si="5"/>
        <v>0</v>
      </c>
      <c r="I442" s="46">
        <f t="shared" si="1"/>
        <v>0</v>
      </c>
      <c r="J442" s="46">
        <f t="array" ref="J442">IFERROR(INDEX('Sản phẩm'!$G$4:$G$103,MATCH(B442,'Sản phẩm'!$D$4:$D$103,0)),0)</f>
        <v>0</v>
      </c>
      <c r="K442" s="46">
        <f t="array" ref="K442">IFERROR(J442*INDEX('Mẻ sữa'!$N$4:$N$203,MATCH(D442,'Mẻ sữa'!$C$4:$C$203,0)),0)</f>
        <v>0</v>
      </c>
      <c r="L442" s="46">
        <f t="array" ref="L442">IFERROR(INDEX('Sản phẩm'!$I$4:$I$103,MATCH(B442,'Sản phẩm'!$D$4:$D$103,0)),0)</f>
        <v>0</v>
      </c>
      <c r="M442" s="72" t="str">
        <f t="array" ref="M442">IFERROR(INDEX('Sản phẩm'!$J$4:$J$103,MATCH(B442,'Sản phẩm'!$D$4:$D$103,0)),0)</f>
        <v/>
      </c>
      <c r="N442" s="46">
        <f>IF(B442="",0,(K442+L442+M442)*'Thiết lập'!$B$8)</f>
        <v>0</v>
      </c>
      <c r="O442" s="46">
        <f t="shared" si="2"/>
        <v>0</v>
      </c>
      <c r="P442" s="46">
        <f t="shared" si="3"/>
        <v>0</v>
      </c>
      <c r="Q442" s="46">
        <f t="shared" si="4"/>
        <v>0</v>
      </c>
      <c r="R442" s="71" t="str">
        <f t="array" ref="R442">IF(B442="","",INDEX('Bán nhanh'!$C$4:$C$103,INT((ROW()-4)/10)+1))</f>
        <v/>
      </c>
      <c r="S442" s="71" t="str">
        <f t="array" ref="S442">IF(B442="","",INDEX('Bán nhanh'!$P$4:$P$103,INT((ROW()-4)/10)+1))</f>
        <v/>
      </c>
      <c r="T442" s="58"/>
      <c r="U442" s="36"/>
      <c r="V442" s="36"/>
      <c r="W442" s="58"/>
      <c r="X442" s="36"/>
      <c r="Y442" s="36"/>
      <c r="Z442" s="36"/>
    </row>
    <row r="443" ht="15.75" customHeight="1">
      <c r="A443" s="70" t="str">
        <f t="array" ref="A443">IF(B443="","",INDEX('Bán nhanh'!$A$4:$A$103,INT((ROW()-4)/10)+1))</f>
        <v/>
      </c>
      <c r="B443" s="71" t="str">
        <f t="array" ref="B443">IF(OR(INDEX('Bán nhanh'!$D$3:$M$3,1,MOD(ROW()-4,10)+1)="",INDEX('Bán nhanh'!$D$4:$M$103,INT((ROW()-4)/10)+1,MOD(ROW()-4,10)+1)&lt;=0),"",INDEX('Bán nhanh'!$D$3:$M$3,1,MOD(ROW()-4,10)+1))</f>
        <v/>
      </c>
      <c r="C443" s="58" t="str">
        <f t="array" ref="C443">IFERROR(INDEX('Sản phẩm'!$A$4:$A$103,MATCH(B443,'Sản phẩm'!$D$4:$D$103,0)),"")</f>
        <v/>
      </c>
      <c r="D443" s="71" t="str">
        <f t="array" ref="D443">IF(B443="","",INDEX('Bán nhanh'!$B$4:$B$103,INT((ROW()-4)/10)+1))</f>
        <v/>
      </c>
      <c r="E443" s="58" t="str">
        <f t="array" ref="E443">IFERROR(INDEX('Mẻ sữa'!$B$4:$B$203,MATCH(D443,'Mẻ sữa'!$C$4:$C$203,0)),"")</f>
        <v/>
      </c>
      <c r="F443" s="66">
        <f t="array" ref="F443">IF(B443="",0,INDEX('Bán nhanh'!$D$4:$M$103,INT((ROW()-4)/10)+1,MOD(ROW()-4,10)+1))</f>
        <v>0</v>
      </c>
      <c r="G443" s="46">
        <f t="array" ref="G443">IFERROR(INDEX('Sản phẩm'!$F$4:$F$103,MATCH(B443,'Sản phẩm'!$D$4:$D$103,0)),0)</f>
        <v>0</v>
      </c>
      <c r="H443" s="67">
        <f t="shared" si="5"/>
        <v>0</v>
      </c>
      <c r="I443" s="46">
        <f t="shared" si="1"/>
        <v>0</v>
      </c>
      <c r="J443" s="46">
        <f t="array" ref="J443">IFERROR(INDEX('Sản phẩm'!$G$4:$G$103,MATCH(B443,'Sản phẩm'!$D$4:$D$103,0)),0)</f>
        <v>0</v>
      </c>
      <c r="K443" s="46">
        <f t="array" ref="K443">IFERROR(J443*INDEX('Mẻ sữa'!$N$4:$N$203,MATCH(D443,'Mẻ sữa'!$C$4:$C$203,0)),0)</f>
        <v>0</v>
      </c>
      <c r="L443" s="46">
        <f t="array" ref="L443">IFERROR(INDEX('Sản phẩm'!$I$4:$I$103,MATCH(B443,'Sản phẩm'!$D$4:$D$103,0)),0)</f>
        <v>0</v>
      </c>
      <c r="M443" s="72" t="str">
        <f t="array" ref="M443">IFERROR(INDEX('Sản phẩm'!$J$4:$J$103,MATCH(B443,'Sản phẩm'!$D$4:$D$103,0)),0)</f>
        <v/>
      </c>
      <c r="N443" s="46">
        <f>IF(B443="",0,(K443+L443+M443)*'Thiết lập'!$B$8)</f>
        <v>0</v>
      </c>
      <c r="O443" s="46">
        <f t="shared" si="2"/>
        <v>0</v>
      </c>
      <c r="P443" s="46">
        <f t="shared" si="3"/>
        <v>0</v>
      </c>
      <c r="Q443" s="46">
        <f t="shared" si="4"/>
        <v>0</v>
      </c>
      <c r="R443" s="71" t="str">
        <f t="array" ref="R443">IF(B443="","",INDEX('Bán nhanh'!$C$4:$C$103,INT((ROW()-4)/10)+1))</f>
        <v/>
      </c>
      <c r="S443" s="71" t="str">
        <f t="array" ref="S443">IF(B443="","",INDEX('Bán nhanh'!$P$4:$P$103,INT((ROW()-4)/10)+1))</f>
        <v/>
      </c>
      <c r="T443" s="58"/>
      <c r="U443" s="36"/>
      <c r="V443" s="36"/>
      <c r="W443" s="58"/>
      <c r="X443" s="36"/>
      <c r="Y443" s="36"/>
      <c r="Z443" s="36"/>
    </row>
    <row r="444" ht="15.75" customHeight="1">
      <c r="A444" s="70" t="str">
        <f t="array" ref="A444">IF(B444="","",INDEX('Bán nhanh'!$A$4:$A$103,INT((ROW()-4)/10)+1))</f>
        <v/>
      </c>
      <c r="B444" s="71" t="str">
        <f t="array" ref="B444">IF(OR(INDEX('Bán nhanh'!$D$3:$M$3,1,MOD(ROW()-4,10)+1)="",INDEX('Bán nhanh'!$D$4:$M$103,INT((ROW()-4)/10)+1,MOD(ROW()-4,10)+1)&lt;=0),"",INDEX('Bán nhanh'!$D$3:$M$3,1,MOD(ROW()-4,10)+1))</f>
        <v/>
      </c>
      <c r="C444" s="58" t="str">
        <f t="array" ref="C444">IFERROR(INDEX('Sản phẩm'!$A$4:$A$103,MATCH(B444,'Sản phẩm'!$D$4:$D$103,0)),"")</f>
        <v/>
      </c>
      <c r="D444" s="71" t="str">
        <f t="array" ref="D444">IF(B444="","",INDEX('Bán nhanh'!$B$4:$B$103,INT((ROW()-4)/10)+1))</f>
        <v/>
      </c>
      <c r="E444" s="58" t="str">
        <f t="array" ref="E444">IFERROR(INDEX('Mẻ sữa'!$B$4:$B$203,MATCH(D444,'Mẻ sữa'!$C$4:$C$203,0)),"")</f>
        <v/>
      </c>
      <c r="F444" s="66">
        <f t="array" ref="F444">IF(B444="",0,INDEX('Bán nhanh'!$D$4:$M$103,INT((ROW()-4)/10)+1,MOD(ROW()-4,10)+1))</f>
        <v>0</v>
      </c>
      <c r="G444" s="46">
        <f t="array" ref="G444">IFERROR(INDEX('Sản phẩm'!$F$4:$F$103,MATCH(B444,'Sản phẩm'!$D$4:$D$103,0)),0)</f>
        <v>0</v>
      </c>
      <c r="H444" s="67">
        <f t="shared" si="5"/>
        <v>0</v>
      </c>
      <c r="I444" s="46">
        <f t="shared" si="1"/>
        <v>0</v>
      </c>
      <c r="J444" s="46">
        <f t="array" ref="J444">IFERROR(INDEX('Sản phẩm'!$G$4:$G$103,MATCH(B444,'Sản phẩm'!$D$4:$D$103,0)),0)</f>
        <v>0</v>
      </c>
      <c r="K444" s="46">
        <f t="array" ref="K444">IFERROR(J444*INDEX('Mẻ sữa'!$N$4:$N$203,MATCH(D444,'Mẻ sữa'!$C$4:$C$203,0)),0)</f>
        <v>0</v>
      </c>
      <c r="L444" s="46">
        <f t="array" ref="L444">IFERROR(INDEX('Sản phẩm'!$I$4:$I$103,MATCH(B444,'Sản phẩm'!$D$4:$D$103,0)),0)</f>
        <v>0</v>
      </c>
      <c r="M444" s="72" t="str">
        <f t="array" ref="M444">IFERROR(INDEX('Sản phẩm'!$J$4:$J$103,MATCH(B444,'Sản phẩm'!$D$4:$D$103,0)),0)</f>
        <v/>
      </c>
      <c r="N444" s="46">
        <f>IF(B444="",0,(K444+L444+M444)*'Thiết lập'!$B$8)</f>
        <v>0</v>
      </c>
      <c r="O444" s="46">
        <f t="shared" si="2"/>
        <v>0</v>
      </c>
      <c r="P444" s="46">
        <f t="shared" si="3"/>
        <v>0</v>
      </c>
      <c r="Q444" s="46">
        <f t="shared" si="4"/>
        <v>0</v>
      </c>
      <c r="R444" s="71" t="str">
        <f t="array" ref="R444">IF(B444="","",INDEX('Bán nhanh'!$C$4:$C$103,INT((ROW()-4)/10)+1))</f>
        <v/>
      </c>
      <c r="S444" s="71" t="str">
        <f t="array" ref="S444">IF(B444="","",INDEX('Bán nhanh'!$P$4:$P$103,INT((ROW()-4)/10)+1))</f>
        <v/>
      </c>
      <c r="T444" s="58"/>
      <c r="U444" s="36"/>
      <c r="V444" s="36"/>
      <c r="W444" s="58"/>
      <c r="X444" s="36"/>
      <c r="Y444" s="36"/>
      <c r="Z444" s="36"/>
    </row>
    <row r="445" ht="15.75" customHeight="1">
      <c r="A445" s="70" t="str">
        <f t="array" ref="A445">IF(B445="","",INDEX('Bán nhanh'!$A$4:$A$103,INT((ROW()-4)/10)+1))</f>
        <v/>
      </c>
      <c r="B445" s="71" t="str">
        <f t="array" ref="B445">IF(OR(INDEX('Bán nhanh'!$D$3:$M$3,1,MOD(ROW()-4,10)+1)="",INDEX('Bán nhanh'!$D$4:$M$103,INT((ROW()-4)/10)+1,MOD(ROW()-4,10)+1)&lt;=0),"",INDEX('Bán nhanh'!$D$3:$M$3,1,MOD(ROW()-4,10)+1))</f>
        <v/>
      </c>
      <c r="C445" s="58" t="str">
        <f t="array" ref="C445">IFERROR(INDEX('Sản phẩm'!$A$4:$A$103,MATCH(B445,'Sản phẩm'!$D$4:$D$103,0)),"")</f>
        <v/>
      </c>
      <c r="D445" s="71" t="str">
        <f t="array" ref="D445">IF(B445="","",INDEX('Bán nhanh'!$B$4:$B$103,INT((ROW()-4)/10)+1))</f>
        <v/>
      </c>
      <c r="E445" s="58" t="str">
        <f t="array" ref="E445">IFERROR(INDEX('Mẻ sữa'!$B$4:$B$203,MATCH(D445,'Mẻ sữa'!$C$4:$C$203,0)),"")</f>
        <v/>
      </c>
      <c r="F445" s="66">
        <f t="array" ref="F445">IF(B445="",0,INDEX('Bán nhanh'!$D$4:$M$103,INT((ROW()-4)/10)+1,MOD(ROW()-4,10)+1))</f>
        <v>0</v>
      </c>
      <c r="G445" s="46">
        <f t="array" ref="G445">IFERROR(INDEX('Sản phẩm'!$F$4:$F$103,MATCH(B445,'Sản phẩm'!$D$4:$D$103,0)),0)</f>
        <v>0</v>
      </c>
      <c r="H445" s="67">
        <f t="shared" si="5"/>
        <v>0</v>
      </c>
      <c r="I445" s="46">
        <f t="shared" si="1"/>
        <v>0</v>
      </c>
      <c r="J445" s="46">
        <f t="array" ref="J445">IFERROR(INDEX('Sản phẩm'!$G$4:$G$103,MATCH(B445,'Sản phẩm'!$D$4:$D$103,0)),0)</f>
        <v>0</v>
      </c>
      <c r="K445" s="46">
        <f t="array" ref="K445">IFERROR(J445*INDEX('Mẻ sữa'!$N$4:$N$203,MATCH(D445,'Mẻ sữa'!$C$4:$C$203,0)),0)</f>
        <v>0</v>
      </c>
      <c r="L445" s="46">
        <f t="array" ref="L445">IFERROR(INDEX('Sản phẩm'!$I$4:$I$103,MATCH(B445,'Sản phẩm'!$D$4:$D$103,0)),0)</f>
        <v>0</v>
      </c>
      <c r="M445" s="72" t="str">
        <f t="array" ref="M445">IFERROR(INDEX('Sản phẩm'!$J$4:$J$103,MATCH(B445,'Sản phẩm'!$D$4:$D$103,0)),0)</f>
        <v/>
      </c>
      <c r="N445" s="46">
        <f>IF(B445="",0,(K445+L445+M445)*'Thiết lập'!$B$8)</f>
        <v>0</v>
      </c>
      <c r="O445" s="46">
        <f t="shared" si="2"/>
        <v>0</v>
      </c>
      <c r="P445" s="46">
        <f t="shared" si="3"/>
        <v>0</v>
      </c>
      <c r="Q445" s="46">
        <f t="shared" si="4"/>
        <v>0</v>
      </c>
      <c r="R445" s="71" t="str">
        <f t="array" ref="R445">IF(B445="","",INDEX('Bán nhanh'!$C$4:$C$103,INT((ROW()-4)/10)+1))</f>
        <v/>
      </c>
      <c r="S445" s="71" t="str">
        <f t="array" ref="S445">IF(B445="","",INDEX('Bán nhanh'!$P$4:$P$103,INT((ROW()-4)/10)+1))</f>
        <v/>
      </c>
      <c r="T445" s="58"/>
      <c r="U445" s="36"/>
      <c r="V445" s="36"/>
      <c r="W445" s="58"/>
      <c r="X445" s="36"/>
      <c r="Y445" s="36"/>
      <c r="Z445" s="36"/>
    </row>
    <row r="446" ht="15.75" customHeight="1">
      <c r="A446" s="70" t="str">
        <f t="array" ref="A446">IF(B446="","",INDEX('Bán nhanh'!$A$4:$A$103,INT((ROW()-4)/10)+1))</f>
        <v/>
      </c>
      <c r="B446" s="71" t="str">
        <f t="array" ref="B446">IF(OR(INDEX('Bán nhanh'!$D$3:$M$3,1,MOD(ROW()-4,10)+1)="",INDEX('Bán nhanh'!$D$4:$M$103,INT((ROW()-4)/10)+1,MOD(ROW()-4,10)+1)&lt;=0),"",INDEX('Bán nhanh'!$D$3:$M$3,1,MOD(ROW()-4,10)+1))</f>
        <v/>
      </c>
      <c r="C446" s="58" t="str">
        <f t="array" ref="C446">IFERROR(INDEX('Sản phẩm'!$A$4:$A$103,MATCH(B446,'Sản phẩm'!$D$4:$D$103,0)),"")</f>
        <v/>
      </c>
      <c r="D446" s="71" t="str">
        <f t="array" ref="D446">IF(B446="","",INDEX('Bán nhanh'!$B$4:$B$103,INT((ROW()-4)/10)+1))</f>
        <v/>
      </c>
      <c r="E446" s="58" t="str">
        <f t="array" ref="E446">IFERROR(INDEX('Mẻ sữa'!$B$4:$B$203,MATCH(D446,'Mẻ sữa'!$C$4:$C$203,0)),"")</f>
        <v/>
      </c>
      <c r="F446" s="66">
        <f t="array" ref="F446">IF(B446="",0,INDEX('Bán nhanh'!$D$4:$M$103,INT((ROW()-4)/10)+1,MOD(ROW()-4,10)+1))</f>
        <v>0</v>
      </c>
      <c r="G446" s="46">
        <f t="array" ref="G446">IFERROR(INDEX('Sản phẩm'!$F$4:$F$103,MATCH(B446,'Sản phẩm'!$D$4:$D$103,0)),0)</f>
        <v>0</v>
      </c>
      <c r="H446" s="67">
        <f t="shared" si="5"/>
        <v>0</v>
      </c>
      <c r="I446" s="46">
        <f t="shared" si="1"/>
        <v>0</v>
      </c>
      <c r="J446" s="46">
        <f t="array" ref="J446">IFERROR(INDEX('Sản phẩm'!$G$4:$G$103,MATCH(B446,'Sản phẩm'!$D$4:$D$103,0)),0)</f>
        <v>0</v>
      </c>
      <c r="K446" s="46">
        <f t="array" ref="K446">IFERROR(J446*INDEX('Mẻ sữa'!$N$4:$N$203,MATCH(D446,'Mẻ sữa'!$C$4:$C$203,0)),0)</f>
        <v>0</v>
      </c>
      <c r="L446" s="46">
        <f t="array" ref="L446">IFERROR(INDEX('Sản phẩm'!$I$4:$I$103,MATCH(B446,'Sản phẩm'!$D$4:$D$103,0)),0)</f>
        <v>0</v>
      </c>
      <c r="M446" s="72" t="str">
        <f t="array" ref="M446">IFERROR(INDEX('Sản phẩm'!$J$4:$J$103,MATCH(B446,'Sản phẩm'!$D$4:$D$103,0)),0)</f>
        <v/>
      </c>
      <c r="N446" s="46">
        <f>IF(B446="",0,(K446+L446+M446)*'Thiết lập'!$B$8)</f>
        <v>0</v>
      </c>
      <c r="O446" s="46">
        <f t="shared" si="2"/>
        <v>0</v>
      </c>
      <c r="P446" s="46">
        <f t="shared" si="3"/>
        <v>0</v>
      </c>
      <c r="Q446" s="46">
        <f t="shared" si="4"/>
        <v>0</v>
      </c>
      <c r="R446" s="71" t="str">
        <f t="array" ref="R446">IF(B446="","",INDEX('Bán nhanh'!$C$4:$C$103,INT((ROW()-4)/10)+1))</f>
        <v/>
      </c>
      <c r="S446" s="71" t="str">
        <f t="array" ref="S446">IF(B446="","",INDEX('Bán nhanh'!$P$4:$P$103,INT((ROW()-4)/10)+1))</f>
        <v/>
      </c>
      <c r="T446" s="58"/>
      <c r="U446" s="36"/>
      <c r="V446" s="36"/>
      <c r="W446" s="58"/>
      <c r="X446" s="36"/>
      <c r="Y446" s="36"/>
      <c r="Z446" s="36"/>
    </row>
    <row r="447" ht="15.75" customHeight="1">
      <c r="A447" s="70" t="str">
        <f t="array" ref="A447">IF(B447="","",INDEX('Bán nhanh'!$A$4:$A$103,INT((ROW()-4)/10)+1))</f>
        <v/>
      </c>
      <c r="B447" s="71" t="str">
        <f t="array" ref="B447">IF(OR(INDEX('Bán nhanh'!$D$3:$M$3,1,MOD(ROW()-4,10)+1)="",INDEX('Bán nhanh'!$D$4:$M$103,INT((ROW()-4)/10)+1,MOD(ROW()-4,10)+1)&lt;=0),"",INDEX('Bán nhanh'!$D$3:$M$3,1,MOD(ROW()-4,10)+1))</f>
        <v/>
      </c>
      <c r="C447" s="58" t="str">
        <f t="array" ref="C447">IFERROR(INDEX('Sản phẩm'!$A$4:$A$103,MATCH(B447,'Sản phẩm'!$D$4:$D$103,0)),"")</f>
        <v/>
      </c>
      <c r="D447" s="71" t="str">
        <f t="array" ref="D447">IF(B447="","",INDEX('Bán nhanh'!$B$4:$B$103,INT((ROW()-4)/10)+1))</f>
        <v/>
      </c>
      <c r="E447" s="58" t="str">
        <f t="array" ref="E447">IFERROR(INDEX('Mẻ sữa'!$B$4:$B$203,MATCH(D447,'Mẻ sữa'!$C$4:$C$203,0)),"")</f>
        <v/>
      </c>
      <c r="F447" s="66">
        <f t="array" ref="F447">IF(B447="",0,INDEX('Bán nhanh'!$D$4:$M$103,INT((ROW()-4)/10)+1,MOD(ROW()-4,10)+1))</f>
        <v>0</v>
      </c>
      <c r="G447" s="46">
        <f t="array" ref="G447">IFERROR(INDEX('Sản phẩm'!$F$4:$F$103,MATCH(B447,'Sản phẩm'!$D$4:$D$103,0)),0)</f>
        <v>0</v>
      </c>
      <c r="H447" s="67">
        <f t="shared" si="5"/>
        <v>0</v>
      </c>
      <c r="I447" s="46">
        <f t="shared" si="1"/>
        <v>0</v>
      </c>
      <c r="J447" s="46">
        <f t="array" ref="J447">IFERROR(INDEX('Sản phẩm'!$G$4:$G$103,MATCH(B447,'Sản phẩm'!$D$4:$D$103,0)),0)</f>
        <v>0</v>
      </c>
      <c r="K447" s="46">
        <f t="array" ref="K447">IFERROR(J447*INDEX('Mẻ sữa'!$N$4:$N$203,MATCH(D447,'Mẻ sữa'!$C$4:$C$203,0)),0)</f>
        <v>0</v>
      </c>
      <c r="L447" s="46">
        <f t="array" ref="L447">IFERROR(INDEX('Sản phẩm'!$I$4:$I$103,MATCH(B447,'Sản phẩm'!$D$4:$D$103,0)),0)</f>
        <v>0</v>
      </c>
      <c r="M447" s="72" t="str">
        <f t="array" ref="M447">IFERROR(INDEX('Sản phẩm'!$J$4:$J$103,MATCH(B447,'Sản phẩm'!$D$4:$D$103,0)),0)</f>
        <v/>
      </c>
      <c r="N447" s="46">
        <f>IF(B447="",0,(K447+L447+M447)*'Thiết lập'!$B$8)</f>
        <v>0</v>
      </c>
      <c r="O447" s="46">
        <f t="shared" si="2"/>
        <v>0</v>
      </c>
      <c r="P447" s="46">
        <f t="shared" si="3"/>
        <v>0</v>
      </c>
      <c r="Q447" s="46">
        <f t="shared" si="4"/>
        <v>0</v>
      </c>
      <c r="R447" s="71" t="str">
        <f t="array" ref="R447">IF(B447="","",INDEX('Bán nhanh'!$C$4:$C$103,INT((ROW()-4)/10)+1))</f>
        <v/>
      </c>
      <c r="S447" s="71" t="str">
        <f t="array" ref="S447">IF(B447="","",INDEX('Bán nhanh'!$P$4:$P$103,INT((ROW()-4)/10)+1))</f>
        <v/>
      </c>
      <c r="T447" s="58"/>
      <c r="U447" s="36"/>
      <c r="V447" s="36"/>
      <c r="W447" s="58"/>
      <c r="X447" s="36"/>
      <c r="Y447" s="36"/>
      <c r="Z447" s="36"/>
    </row>
    <row r="448" ht="15.75" customHeight="1">
      <c r="A448" s="70" t="str">
        <f t="array" ref="A448">IF(B448="","",INDEX('Bán nhanh'!$A$4:$A$103,INT((ROW()-4)/10)+1))</f>
        <v/>
      </c>
      <c r="B448" s="71" t="str">
        <f t="array" ref="B448">IF(OR(INDEX('Bán nhanh'!$D$3:$M$3,1,MOD(ROW()-4,10)+1)="",INDEX('Bán nhanh'!$D$4:$M$103,INT((ROW()-4)/10)+1,MOD(ROW()-4,10)+1)&lt;=0),"",INDEX('Bán nhanh'!$D$3:$M$3,1,MOD(ROW()-4,10)+1))</f>
        <v/>
      </c>
      <c r="C448" s="58" t="str">
        <f t="array" ref="C448">IFERROR(INDEX('Sản phẩm'!$A$4:$A$103,MATCH(B448,'Sản phẩm'!$D$4:$D$103,0)),"")</f>
        <v/>
      </c>
      <c r="D448" s="71" t="str">
        <f t="array" ref="D448">IF(B448="","",INDEX('Bán nhanh'!$B$4:$B$103,INT((ROW()-4)/10)+1))</f>
        <v/>
      </c>
      <c r="E448" s="58" t="str">
        <f t="array" ref="E448">IFERROR(INDEX('Mẻ sữa'!$B$4:$B$203,MATCH(D448,'Mẻ sữa'!$C$4:$C$203,0)),"")</f>
        <v/>
      </c>
      <c r="F448" s="66">
        <f t="array" ref="F448">IF(B448="",0,INDEX('Bán nhanh'!$D$4:$M$103,INT((ROW()-4)/10)+1,MOD(ROW()-4,10)+1))</f>
        <v>0</v>
      </c>
      <c r="G448" s="46">
        <f t="array" ref="G448">IFERROR(INDEX('Sản phẩm'!$F$4:$F$103,MATCH(B448,'Sản phẩm'!$D$4:$D$103,0)),0)</f>
        <v>0</v>
      </c>
      <c r="H448" s="67">
        <f t="shared" si="5"/>
        <v>0</v>
      </c>
      <c r="I448" s="46">
        <f t="shared" si="1"/>
        <v>0</v>
      </c>
      <c r="J448" s="46">
        <f t="array" ref="J448">IFERROR(INDEX('Sản phẩm'!$G$4:$G$103,MATCH(B448,'Sản phẩm'!$D$4:$D$103,0)),0)</f>
        <v>0</v>
      </c>
      <c r="K448" s="46">
        <f t="array" ref="K448">IFERROR(J448*INDEX('Mẻ sữa'!$N$4:$N$203,MATCH(D448,'Mẻ sữa'!$C$4:$C$203,0)),0)</f>
        <v>0</v>
      </c>
      <c r="L448" s="46">
        <f t="array" ref="L448">IFERROR(INDEX('Sản phẩm'!$I$4:$I$103,MATCH(B448,'Sản phẩm'!$D$4:$D$103,0)),0)</f>
        <v>0</v>
      </c>
      <c r="M448" s="72" t="str">
        <f t="array" ref="M448">IFERROR(INDEX('Sản phẩm'!$J$4:$J$103,MATCH(B448,'Sản phẩm'!$D$4:$D$103,0)),0)</f>
        <v/>
      </c>
      <c r="N448" s="46">
        <f>IF(B448="",0,(K448+L448+M448)*'Thiết lập'!$B$8)</f>
        <v>0</v>
      </c>
      <c r="O448" s="46">
        <f t="shared" si="2"/>
        <v>0</v>
      </c>
      <c r="P448" s="46">
        <f t="shared" si="3"/>
        <v>0</v>
      </c>
      <c r="Q448" s="46">
        <f t="shared" si="4"/>
        <v>0</v>
      </c>
      <c r="R448" s="71" t="str">
        <f t="array" ref="R448">IF(B448="","",INDEX('Bán nhanh'!$C$4:$C$103,INT((ROW()-4)/10)+1))</f>
        <v/>
      </c>
      <c r="S448" s="71" t="str">
        <f t="array" ref="S448">IF(B448="","",INDEX('Bán nhanh'!$P$4:$P$103,INT((ROW()-4)/10)+1))</f>
        <v/>
      </c>
      <c r="T448" s="58"/>
      <c r="U448" s="36"/>
      <c r="V448" s="36"/>
      <c r="W448" s="58"/>
      <c r="X448" s="36"/>
      <c r="Y448" s="36"/>
      <c r="Z448" s="36"/>
    </row>
    <row r="449" ht="15.75" customHeight="1">
      <c r="A449" s="70" t="str">
        <f t="array" ref="A449">IF(B449="","",INDEX('Bán nhanh'!$A$4:$A$103,INT((ROW()-4)/10)+1))</f>
        <v/>
      </c>
      <c r="B449" s="71" t="str">
        <f t="array" ref="B449">IF(OR(INDEX('Bán nhanh'!$D$3:$M$3,1,MOD(ROW()-4,10)+1)="",INDEX('Bán nhanh'!$D$4:$M$103,INT((ROW()-4)/10)+1,MOD(ROW()-4,10)+1)&lt;=0),"",INDEX('Bán nhanh'!$D$3:$M$3,1,MOD(ROW()-4,10)+1))</f>
        <v/>
      </c>
      <c r="C449" s="58" t="str">
        <f t="array" ref="C449">IFERROR(INDEX('Sản phẩm'!$A$4:$A$103,MATCH(B449,'Sản phẩm'!$D$4:$D$103,0)),"")</f>
        <v/>
      </c>
      <c r="D449" s="71" t="str">
        <f t="array" ref="D449">IF(B449="","",INDEX('Bán nhanh'!$B$4:$B$103,INT((ROW()-4)/10)+1))</f>
        <v/>
      </c>
      <c r="E449" s="58" t="str">
        <f t="array" ref="E449">IFERROR(INDEX('Mẻ sữa'!$B$4:$B$203,MATCH(D449,'Mẻ sữa'!$C$4:$C$203,0)),"")</f>
        <v/>
      </c>
      <c r="F449" s="66">
        <f t="array" ref="F449">IF(B449="",0,INDEX('Bán nhanh'!$D$4:$M$103,INT((ROW()-4)/10)+1,MOD(ROW()-4,10)+1))</f>
        <v>0</v>
      </c>
      <c r="G449" s="46">
        <f t="array" ref="G449">IFERROR(INDEX('Sản phẩm'!$F$4:$F$103,MATCH(B449,'Sản phẩm'!$D$4:$D$103,0)),0)</f>
        <v>0</v>
      </c>
      <c r="H449" s="67">
        <f t="shared" si="5"/>
        <v>0</v>
      </c>
      <c r="I449" s="46">
        <f t="shared" si="1"/>
        <v>0</v>
      </c>
      <c r="J449" s="46">
        <f t="array" ref="J449">IFERROR(INDEX('Sản phẩm'!$G$4:$G$103,MATCH(B449,'Sản phẩm'!$D$4:$D$103,0)),0)</f>
        <v>0</v>
      </c>
      <c r="K449" s="46">
        <f t="array" ref="K449">IFERROR(J449*INDEX('Mẻ sữa'!$N$4:$N$203,MATCH(D449,'Mẻ sữa'!$C$4:$C$203,0)),0)</f>
        <v>0</v>
      </c>
      <c r="L449" s="46">
        <f t="array" ref="L449">IFERROR(INDEX('Sản phẩm'!$I$4:$I$103,MATCH(B449,'Sản phẩm'!$D$4:$D$103,0)),0)</f>
        <v>0</v>
      </c>
      <c r="M449" s="72" t="str">
        <f t="array" ref="M449">IFERROR(INDEX('Sản phẩm'!$J$4:$J$103,MATCH(B449,'Sản phẩm'!$D$4:$D$103,0)),0)</f>
        <v/>
      </c>
      <c r="N449" s="46">
        <f>IF(B449="",0,(K449+L449+M449)*'Thiết lập'!$B$8)</f>
        <v>0</v>
      </c>
      <c r="O449" s="46">
        <f t="shared" si="2"/>
        <v>0</v>
      </c>
      <c r="P449" s="46">
        <f t="shared" si="3"/>
        <v>0</v>
      </c>
      <c r="Q449" s="46">
        <f t="shared" si="4"/>
        <v>0</v>
      </c>
      <c r="R449" s="71" t="str">
        <f t="array" ref="R449">IF(B449="","",INDEX('Bán nhanh'!$C$4:$C$103,INT((ROW()-4)/10)+1))</f>
        <v/>
      </c>
      <c r="S449" s="71" t="str">
        <f t="array" ref="S449">IF(B449="","",INDEX('Bán nhanh'!$P$4:$P$103,INT((ROW()-4)/10)+1))</f>
        <v/>
      </c>
      <c r="T449" s="58"/>
      <c r="U449" s="36"/>
      <c r="V449" s="36"/>
      <c r="W449" s="58"/>
      <c r="X449" s="36"/>
      <c r="Y449" s="36"/>
      <c r="Z449" s="36"/>
    </row>
    <row r="450" ht="15.75" customHeight="1">
      <c r="A450" s="70" t="str">
        <f t="array" ref="A450">IF(B450="","",INDEX('Bán nhanh'!$A$4:$A$103,INT((ROW()-4)/10)+1))</f>
        <v/>
      </c>
      <c r="B450" s="71" t="str">
        <f t="array" ref="B450">IF(OR(INDEX('Bán nhanh'!$D$3:$M$3,1,MOD(ROW()-4,10)+1)="",INDEX('Bán nhanh'!$D$4:$M$103,INT((ROW()-4)/10)+1,MOD(ROW()-4,10)+1)&lt;=0),"",INDEX('Bán nhanh'!$D$3:$M$3,1,MOD(ROW()-4,10)+1))</f>
        <v/>
      </c>
      <c r="C450" s="58" t="str">
        <f t="array" ref="C450">IFERROR(INDEX('Sản phẩm'!$A$4:$A$103,MATCH(B450,'Sản phẩm'!$D$4:$D$103,0)),"")</f>
        <v/>
      </c>
      <c r="D450" s="71" t="str">
        <f t="array" ref="D450">IF(B450="","",INDEX('Bán nhanh'!$B$4:$B$103,INT((ROW()-4)/10)+1))</f>
        <v/>
      </c>
      <c r="E450" s="58" t="str">
        <f t="array" ref="E450">IFERROR(INDEX('Mẻ sữa'!$B$4:$B$203,MATCH(D450,'Mẻ sữa'!$C$4:$C$203,0)),"")</f>
        <v/>
      </c>
      <c r="F450" s="66">
        <f t="array" ref="F450">IF(B450="",0,INDEX('Bán nhanh'!$D$4:$M$103,INT((ROW()-4)/10)+1,MOD(ROW()-4,10)+1))</f>
        <v>0</v>
      </c>
      <c r="G450" s="46">
        <f t="array" ref="G450">IFERROR(INDEX('Sản phẩm'!$F$4:$F$103,MATCH(B450,'Sản phẩm'!$D$4:$D$103,0)),0)</f>
        <v>0</v>
      </c>
      <c r="H450" s="67">
        <f t="shared" si="5"/>
        <v>0</v>
      </c>
      <c r="I450" s="46">
        <f t="shared" si="1"/>
        <v>0</v>
      </c>
      <c r="J450" s="46">
        <f t="array" ref="J450">IFERROR(INDEX('Sản phẩm'!$G$4:$G$103,MATCH(B450,'Sản phẩm'!$D$4:$D$103,0)),0)</f>
        <v>0</v>
      </c>
      <c r="K450" s="46">
        <f t="array" ref="K450">IFERROR(J450*INDEX('Mẻ sữa'!$N$4:$N$203,MATCH(D450,'Mẻ sữa'!$C$4:$C$203,0)),0)</f>
        <v>0</v>
      </c>
      <c r="L450" s="46">
        <f t="array" ref="L450">IFERROR(INDEX('Sản phẩm'!$I$4:$I$103,MATCH(B450,'Sản phẩm'!$D$4:$D$103,0)),0)</f>
        <v>0</v>
      </c>
      <c r="M450" s="72" t="str">
        <f t="array" ref="M450">IFERROR(INDEX('Sản phẩm'!$J$4:$J$103,MATCH(B450,'Sản phẩm'!$D$4:$D$103,0)),0)</f>
        <v/>
      </c>
      <c r="N450" s="46">
        <f>IF(B450="",0,(K450+L450+M450)*'Thiết lập'!$B$8)</f>
        <v>0</v>
      </c>
      <c r="O450" s="46">
        <f t="shared" si="2"/>
        <v>0</v>
      </c>
      <c r="P450" s="46">
        <f t="shared" si="3"/>
        <v>0</v>
      </c>
      <c r="Q450" s="46">
        <f t="shared" si="4"/>
        <v>0</v>
      </c>
      <c r="R450" s="71" t="str">
        <f t="array" ref="R450">IF(B450="","",INDEX('Bán nhanh'!$C$4:$C$103,INT((ROW()-4)/10)+1))</f>
        <v/>
      </c>
      <c r="S450" s="71" t="str">
        <f t="array" ref="S450">IF(B450="","",INDEX('Bán nhanh'!$P$4:$P$103,INT((ROW()-4)/10)+1))</f>
        <v/>
      </c>
      <c r="T450" s="58"/>
      <c r="U450" s="36"/>
      <c r="V450" s="36"/>
      <c r="W450" s="58"/>
      <c r="X450" s="36"/>
      <c r="Y450" s="36"/>
      <c r="Z450" s="36"/>
    </row>
    <row r="451" ht="15.75" customHeight="1">
      <c r="A451" s="70" t="str">
        <f t="array" ref="A451">IF(B451="","",INDEX('Bán nhanh'!$A$4:$A$103,INT((ROW()-4)/10)+1))</f>
        <v/>
      </c>
      <c r="B451" s="71" t="str">
        <f t="array" ref="B451">IF(OR(INDEX('Bán nhanh'!$D$3:$M$3,1,MOD(ROW()-4,10)+1)="",INDEX('Bán nhanh'!$D$4:$M$103,INT((ROW()-4)/10)+1,MOD(ROW()-4,10)+1)&lt;=0),"",INDEX('Bán nhanh'!$D$3:$M$3,1,MOD(ROW()-4,10)+1))</f>
        <v/>
      </c>
      <c r="C451" s="58" t="str">
        <f t="array" ref="C451">IFERROR(INDEX('Sản phẩm'!$A$4:$A$103,MATCH(B451,'Sản phẩm'!$D$4:$D$103,0)),"")</f>
        <v/>
      </c>
      <c r="D451" s="71" t="str">
        <f t="array" ref="D451">IF(B451="","",INDEX('Bán nhanh'!$B$4:$B$103,INT((ROW()-4)/10)+1))</f>
        <v/>
      </c>
      <c r="E451" s="58" t="str">
        <f t="array" ref="E451">IFERROR(INDEX('Mẻ sữa'!$B$4:$B$203,MATCH(D451,'Mẻ sữa'!$C$4:$C$203,0)),"")</f>
        <v/>
      </c>
      <c r="F451" s="66">
        <f t="array" ref="F451">IF(B451="",0,INDEX('Bán nhanh'!$D$4:$M$103,INT((ROW()-4)/10)+1,MOD(ROW()-4,10)+1))</f>
        <v>0</v>
      </c>
      <c r="G451" s="46">
        <f t="array" ref="G451">IFERROR(INDEX('Sản phẩm'!$F$4:$F$103,MATCH(B451,'Sản phẩm'!$D$4:$D$103,0)),0)</f>
        <v>0</v>
      </c>
      <c r="H451" s="67">
        <f t="shared" si="5"/>
        <v>0</v>
      </c>
      <c r="I451" s="46">
        <f t="shared" si="1"/>
        <v>0</v>
      </c>
      <c r="J451" s="46">
        <f t="array" ref="J451">IFERROR(INDEX('Sản phẩm'!$G$4:$G$103,MATCH(B451,'Sản phẩm'!$D$4:$D$103,0)),0)</f>
        <v>0</v>
      </c>
      <c r="K451" s="46">
        <f t="array" ref="K451">IFERROR(J451*INDEX('Mẻ sữa'!$N$4:$N$203,MATCH(D451,'Mẻ sữa'!$C$4:$C$203,0)),0)</f>
        <v>0</v>
      </c>
      <c r="L451" s="46">
        <f t="array" ref="L451">IFERROR(INDEX('Sản phẩm'!$I$4:$I$103,MATCH(B451,'Sản phẩm'!$D$4:$D$103,0)),0)</f>
        <v>0</v>
      </c>
      <c r="M451" s="72" t="str">
        <f t="array" ref="M451">IFERROR(INDEX('Sản phẩm'!$J$4:$J$103,MATCH(B451,'Sản phẩm'!$D$4:$D$103,0)),0)</f>
        <v/>
      </c>
      <c r="N451" s="46">
        <f>IF(B451="",0,(K451+L451+M451)*'Thiết lập'!$B$8)</f>
        <v>0</v>
      </c>
      <c r="O451" s="46">
        <f t="shared" si="2"/>
        <v>0</v>
      </c>
      <c r="P451" s="46">
        <f t="shared" si="3"/>
        <v>0</v>
      </c>
      <c r="Q451" s="46">
        <f t="shared" si="4"/>
        <v>0</v>
      </c>
      <c r="R451" s="71" t="str">
        <f t="array" ref="R451">IF(B451="","",INDEX('Bán nhanh'!$C$4:$C$103,INT((ROW()-4)/10)+1))</f>
        <v/>
      </c>
      <c r="S451" s="71" t="str">
        <f t="array" ref="S451">IF(B451="","",INDEX('Bán nhanh'!$P$4:$P$103,INT((ROW()-4)/10)+1))</f>
        <v/>
      </c>
      <c r="T451" s="58"/>
      <c r="U451" s="36"/>
      <c r="V451" s="36"/>
      <c r="W451" s="58"/>
      <c r="X451" s="36"/>
      <c r="Y451" s="36"/>
      <c r="Z451" s="36"/>
    </row>
    <row r="452" ht="15.75" customHeight="1">
      <c r="A452" s="70" t="str">
        <f t="array" ref="A452">IF(B452="","",INDEX('Bán nhanh'!$A$4:$A$103,INT((ROW()-4)/10)+1))</f>
        <v/>
      </c>
      <c r="B452" s="71" t="str">
        <f t="array" ref="B452">IF(OR(INDEX('Bán nhanh'!$D$3:$M$3,1,MOD(ROW()-4,10)+1)="",INDEX('Bán nhanh'!$D$4:$M$103,INT((ROW()-4)/10)+1,MOD(ROW()-4,10)+1)&lt;=0),"",INDEX('Bán nhanh'!$D$3:$M$3,1,MOD(ROW()-4,10)+1))</f>
        <v/>
      </c>
      <c r="C452" s="58" t="str">
        <f t="array" ref="C452">IFERROR(INDEX('Sản phẩm'!$A$4:$A$103,MATCH(B452,'Sản phẩm'!$D$4:$D$103,0)),"")</f>
        <v/>
      </c>
      <c r="D452" s="71" t="str">
        <f t="array" ref="D452">IF(B452="","",INDEX('Bán nhanh'!$B$4:$B$103,INT((ROW()-4)/10)+1))</f>
        <v/>
      </c>
      <c r="E452" s="58" t="str">
        <f t="array" ref="E452">IFERROR(INDEX('Mẻ sữa'!$B$4:$B$203,MATCH(D452,'Mẻ sữa'!$C$4:$C$203,0)),"")</f>
        <v/>
      </c>
      <c r="F452" s="66">
        <f t="array" ref="F452">IF(B452="",0,INDEX('Bán nhanh'!$D$4:$M$103,INT((ROW()-4)/10)+1,MOD(ROW()-4,10)+1))</f>
        <v>0</v>
      </c>
      <c r="G452" s="46">
        <f t="array" ref="G452">IFERROR(INDEX('Sản phẩm'!$F$4:$F$103,MATCH(B452,'Sản phẩm'!$D$4:$D$103,0)),0)</f>
        <v>0</v>
      </c>
      <c r="H452" s="67">
        <f t="shared" si="5"/>
        <v>0</v>
      </c>
      <c r="I452" s="46">
        <f t="shared" si="1"/>
        <v>0</v>
      </c>
      <c r="J452" s="46">
        <f t="array" ref="J452">IFERROR(INDEX('Sản phẩm'!$G$4:$G$103,MATCH(B452,'Sản phẩm'!$D$4:$D$103,0)),0)</f>
        <v>0</v>
      </c>
      <c r="K452" s="46">
        <f t="array" ref="K452">IFERROR(J452*INDEX('Mẻ sữa'!$N$4:$N$203,MATCH(D452,'Mẻ sữa'!$C$4:$C$203,0)),0)</f>
        <v>0</v>
      </c>
      <c r="L452" s="46">
        <f t="array" ref="L452">IFERROR(INDEX('Sản phẩm'!$I$4:$I$103,MATCH(B452,'Sản phẩm'!$D$4:$D$103,0)),0)</f>
        <v>0</v>
      </c>
      <c r="M452" s="72" t="str">
        <f t="array" ref="M452">IFERROR(INDEX('Sản phẩm'!$J$4:$J$103,MATCH(B452,'Sản phẩm'!$D$4:$D$103,0)),0)</f>
        <v/>
      </c>
      <c r="N452" s="46">
        <f>IF(B452="",0,(K452+L452+M452)*'Thiết lập'!$B$8)</f>
        <v>0</v>
      </c>
      <c r="O452" s="46">
        <f t="shared" si="2"/>
        <v>0</v>
      </c>
      <c r="P452" s="46">
        <f t="shared" si="3"/>
        <v>0</v>
      </c>
      <c r="Q452" s="46">
        <f t="shared" si="4"/>
        <v>0</v>
      </c>
      <c r="R452" s="71" t="str">
        <f t="array" ref="R452">IF(B452="","",INDEX('Bán nhanh'!$C$4:$C$103,INT((ROW()-4)/10)+1))</f>
        <v/>
      </c>
      <c r="S452" s="71" t="str">
        <f t="array" ref="S452">IF(B452="","",INDEX('Bán nhanh'!$P$4:$P$103,INT((ROW()-4)/10)+1))</f>
        <v/>
      </c>
      <c r="T452" s="58"/>
      <c r="U452" s="36"/>
      <c r="V452" s="36"/>
      <c r="W452" s="58"/>
      <c r="X452" s="36"/>
      <c r="Y452" s="36"/>
      <c r="Z452" s="36"/>
    </row>
    <row r="453" ht="15.75" customHeight="1">
      <c r="A453" s="70" t="str">
        <f t="array" ref="A453">IF(B453="","",INDEX('Bán nhanh'!$A$4:$A$103,INT((ROW()-4)/10)+1))</f>
        <v/>
      </c>
      <c r="B453" s="71" t="str">
        <f t="array" ref="B453">IF(OR(INDEX('Bán nhanh'!$D$3:$M$3,1,MOD(ROW()-4,10)+1)="",INDEX('Bán nhanh'!$D$4:$M$103,INT((ROW()-4)/10)+1,MOD(ROW()-4,10)+1)&lt;=0),"",INDEX('Bán nhanh'!$D$3:$M$3,1,MOD(ROW()-4,10)+1))</f>
        <v/>
      </c>
      <c r="C453" s="58" t="str">
        <f t="array" ref="C453">IFERROR(INDEX('Sản phẩm'!$A$4:$A$103,MATCH(B453,'Sản phẩm'!$D$4:$D$103,0)),"")</f>
        <v/>
      </c>
      <c r="D453" s="71" t="str">
        <f t="array" ref="D453">IF(B453="","",INDEX('Bán nhanh'!$B$4:$B$103,INT((ROW()-4)/10)+1))</f>
        <v/>
      </c>
      <c r="E453" s="58" t="str">
        <f t="array" ref="E453">IFERROR(INDEX('Mẻ sữa'!$B$4:$B$203,MATCH(D453,'Mẻ sữa'!$C$4:$C$203,0)),"")</f>
        <v/>
      </c>
      <c r="F453" s="66">
        <f t="array" ref="F453">IF(B453="",0,INDEX('Bán nhanh'!$D$4:$M$103,INT((ROW()-4)/10)+1,MOD(ROW()-4,10)+1))</f>
        <v>0</v>
      </c>
      <c r="G453" s="46">
        <f t="array" ref="G453">IFERROR(INDEX('Sản phẩm'!$F$4:$F$103,MATCH(B453,'Sản phẩm'!$D$4:$D$103,0)),0)</f>
        <v>0</v>
      </c>
      <c r="H453" s="67">
        <f t="shared" si="5"/>
        <v>0</v>
      </c>
      <c r="I453" s="46">
        <f t="shared" si="1"/>
        <v>0</v>
      </c>
      <c r="J453" s="46">
        <f t="array" ref="J453">IFERROR(INDEX('Sản phẩm'!$G$4:$G$103,MATCH(B453,'Sản phẩm'!$D$4:$D$103,0)),0)</f>
        <v>0</v>
      </c>
      <c r="K453" s="46">
        <f t="array" ref="K453">IFERROR(J453*INDEX('Mẻ sữa'!$N$4:$N$203,MATCH(D453,'Mẻ sữa'!$C$4:$C$203,0)),0)</f>
        <v>0</v>
      </c>
      <c r="L453" s="46">
        <f t="array" ref="L453">IFERROR(INDEX('Sản phẩm'!$I$4:$I$103,MATCH(B453,'Sản phẩm'!$D$4:$D$103,0)),0)</f>
        <v>0</v>
      </c>
      <c r="M453" s="72" t="str">
        <f t="array" ref="M453">IFERROR(INDEX('Sản phẩm'!$J$4:$J$103,MATCH(B453,'Sản phẩm'!$D$4:$D$103,0)),0)</f>
        <v/>
      </c>
      <c r="N453" s="46">
        <f>IF(B453="",0,(K453+L453+M453)*'Thiết lập'!$B$8)</f>
        <v>0</v>
      </c>
      <c r="O453" s="46">
        <f t="shared" si="2"/>
        <v>0</v>
      </c>
      <c r="P453" s="46">
        <f t="shared" si="3"/>
        <v>0</v>
      </c>
      <c r="Q453" s="46">
        <f t="shared" si="4"/>
        <v>0</v>
      </c>
      <c r="R453" s="71" t="str">
        <f t="array" ref="R453">IF(B453="","",INDEX('Bán nhanh'!$C$4:$C$103,INT((ROW()-4)/10)+1))</f>
        <v/>
      </c>
      <c r="S453" s="71" t="str">
        <f t="array" ref="S453">IF(B453="","",INDEX('Bán nhanh'!$P$4:$P$103,INT((ROW()-4)/10)+1))</f>
        <v/>
      </c>
      <c r="T453" s="58"/>
      <c r="U453" s="36"/>
      <c r="V453" s="36"/>
      <c r="W453" s="58"/>
      <c r="X453" s="36"/>
      <c r="Y453" s="36"/>
      <c r="Z453" s="36"/>
    </row>
    <row r="454" ht="15.75" customHeight="1">
      <c r="A454" s="70" t="str">
        <f t="array" ref="A454">IF(B454="","",INDEX('Bán nhanh'!$A$4:$A$103,INT((ROW()-4)/10)+1))</f>
        <v/>
      </c>
      <c r="B454" s="71" t="str">
        <f t="array" ref="B454">IF(OR(INDEX('Bán nhanh'!$D$3:$M$3,1,MOD(ROW()-4,10)+1)="",INDEX('Bán nhanh'!$D$4:$M$103,INT((ROW()-4)/10)+1,MOD(ROW()-4,10)+1)&lt;=0),"",INDEX('Bán nhanh'!$D$3:$M$3,1,MOD(ROW()-4,10)+1))</f>
        <v/>
      </c>
      <c r="C454" s="58" t="str">
        <f t="array" ref="C454">IFERROR(INDEX('Sản phẩm'!$A$4:$A$103,MATCH(B454,'Sản phẩm'!$D$4:$D$103,0)),"")</f>
        <v/>
      </c>
      <c r="D454" s="71" t="str">
        <f t="array" ref="D454">IF(B454="","",INDEX('Bán nhanh'!$B$4:$B$103,INT((ROW()-4)/10)+1))</f>
        <v/>
      </c>
      <c r="E454" s="58" t="str">
        <f t="array" ref="E454">IFERROR(INDEX('Mẻ sữa'!$B$4:$B$203,MATCH(D454,'Mẻ sữa'!$C$4:$C$203,0)),"")</f>
        <v/>
      </c>
      <c r="F454" s="66">
        <f t="array" ref="F454">IF(B454="",0,INDEX('Bán nhanh'!$D$4:$M$103,INT((ROW()-4)/10)+1,MOD(ROW()-4,10)+1))</f>
        <v>0</v>
      </c>
      <c r="G454" s="46">
        <f t="array" ref="G454">IFERROR(INDEX('Sản phẩm'!$F$4:$F$103,MATCH(B454,'Sản phẩm'!$D$4:$D$103,0)),0)</f>
        <v>0</v>
      </c>
      <c r="H454" s="67">
        <f t="shared" si="5"/>
        <v>0</v>
      </c>
      <c r="I454" s="46">
        <f t="shared" si="1"/>
        <v>0</v>
      </c>
      <c r="J454" s="46">
        <f t="array" ref="J454">IFERROR(INDEX('Sản phẩm'!$G$4:$G$103,MATCH(B454,'Sản phẩm'!$D$4:$D$103,0)),0)</f>
        <v>0</v>
      </c>
      <c r="K454" s="46">
        <f t="array" ref="K454">IFERROR(J454*INDEX('Mẻ sữa'!$N$4:$N$203,MATCH(D454,'Mẻ sữa'!$C$4:$C$203,0)),0)</f>
        <v>0</v>
      </c>
      <c r="L454" s="46">
        <f t="array" ref="L454">IFERROR(INDEX('Sản phẩm'!$I$4:$I$103,MATCH(B454,'Sản phẩm'!$D$4:$D$103,0)),0)</f>
        <v>0</v>
      </c>
      <c r="M454" s="72" t="str">
        <f t="array" ref="M454">IFERROR(INDEX('Sản phẩm'!$J$4:$J$103,MATCH(B454,'Sản phẩm'!$D$4:$D$103,0)),0)</f>
        <v/>
      </c>
      <c r="N454" s="46">
        <f>IF(B454="",0,(K454+L454+M454)*'Thiết lập'!$B$8)</f>
        <v>0</v>
      </c>
      <c r="O454" s="46">
        <f t="shared" si="2"/>
        <v>0</v>
      </c>
      <c r="P454" s="46">
        <f t="shared" si="3"/>
        <v>0</v>
      </c>
      <c r="Q454" s="46">
        <f t="shared" si="4"/>
        <v>0</v>
      </c>
      <c r="R454" s="71" t="str">
        <f t="array" ref="R454">IF(B454="","",INDEX('Bán nhanh'!$C$4:$C$103,INT((ROW()-4)/10)+1))</f>
        <v/>
      </c>
      <c r="S454" s="71" t="str">
        <f t="array" ref="S454">IF(B454="","",INDEX('Bán nhanh'!$P$4:$P$103,INT((ROW()-4)/10)+1))</f>
        <v/>
      </c>
      <c r="T454" s="58"/>
      <c r="U454" s="36"/>
      <c r="V454" s="36"/>
      <c r="W454" s="58"/>
      <c r="X454" s="36"/>
      <c r="Y454" s="36"/>
      <c r="Z454" s="36"/>
    </row>
    <row r="455" ht="15.75" customHeight="1">
      <c r="A455" s="70" t="str">
        <f t="array" ref="A455">IF(B455="","",INDEX('Bán nhanh'!$A$4:$A$103,INT((ROW()-4)/10)+1))</f>
        <v/>
      </c>
      <c r="B455" s="71" t="str">
        <f t="array" ref="B455">IF(OR(INDEX('Bán nhanh'!$D$3:$M$3,1,MOD(ROW()-4,10)+1)="",INDEX('Bán nhanh'!$D$4:$M$103,INT((ROW()-4)/10)+1,MOD(ROW()-4,10)+1)&lt;=0),"",INDEX('Bán nhanh'!$D$3:$M$3,1,MOD(ROW()-4,10)+1))</f>
        <v/>
      </c>
      <c r="C455" s="58" t="str">
        <f t="array" ref="C455">IFERROR(INDEX('Sản phẩm'!$A$4:$A$103,MATCH(B455,'Sản phẩm'!$D$4:$D$103,0)),"")</f>
        <v/>
      </c>
      <c r="D455" s="71" t="str">
        <f t="array" ref="D455">IF(B455="","",INDEX('Bán nhanh'!$B$4:$B$103,INT((ROW()-4)/10)+1))</f>
        <v/>
      </c>
      <c r="E455" s="58" t="str">
        <f t="array" ref="E455">IFERROR(INDEX('Mẻ sữa'!$B$4:$B$203,MATCH(D455,'Mẻ sữa'!$C$4:$C$203,0)),"")</f>
        <v/>
      </c>
      <c r="F455" s="66">
        <f t="array" ref="F455">IF(B455="",0,INDEX('Bán nhanh'!$D$4:$M$103,INT((ROW()-4)/10)+1,MOD(ROW()-4,10)+1))</f>
        <v>0</v>
      </c>
      <c r="G455" s="46">
        <f t="array" ref="G455">IFERROR(INDEX('Sản phẩm'!$F$4:$F$103,MATCH(B455,'Sản phẩm'!$D$4:$D$103,0)),0)</f>
        <v>0</v>
      </c>
      <c r="H455" s="67">
        <f t="shared" si="5"/>
        <v>0</v>
      </c>
      <c r="I455" s="46">
        <f t="shared" si="1"/>
        <v>0</v>
      </c>
      <c r="J455" s="46">
        <f t="array" ref="J455">IFERROR(INDEX('Sản phẩm'!$G$4:$G$103,MATCH(B455,'Sản phẩm'!$D$4:$D$103,0)),0)</f>
        <v>0</v>
      </c>
      <c r="K455" s="46">
        <f t="array" ref="K455">IFERROR(J455*INDEX('Mẻ sữa'!$N$4:$N$203,MATCH(D455,'Mẻ sữa'!$C$4:$C$203,0)),0)</f>
        <v>0</v>
      </c>
      <c r="L455" s="46">
        <f t="array" ref="L455">IFERROR(INDEX('Sản phẩm'!$I$4:$I$103,MATCH(B455,'Sản phẩm'!$D$4:$D$103,0)),0)</f>
        <v>0</v>
      </c>
      <c r="M455" s="72" t="str">
        <f t="array" ref="M455">IFERROR(INDEX('Sản phẩm'!$J$4:$J$103,MATCH(B455,'Sản phẩm'!$D$4:$D$103,0)),0)</f>
        <v/>
      </c>
      <c r="N455" s="46">
        <f>IF(B455="",0,(K455+L455+M455)*'Thiết lập'!$B$8)</f>
        <v>0</v>
      </c>
      <c r="O455" s="46">
        <f t="shared" si="2"/>
        <v>0</v>
      </c>
      <c r="P455" s="46">
        <f t="shared" si="3"/>
        <v>0</v>
      </c>
      <c r="Q455" s="46">
        <f t="shared" si="4"/>
        <v>0</v>
      </c>
      <c r="R455" s="71" t="str">
        <f t="array" ref="R455">IF(B455="","",INDEX('Bán nhanh'!$C$4:$C$103,INT((ROW()-4)/10)+1))</f>
        <v/>
      </c>
      <c r="S455" s="71" t="str">
        <f t="array" ref="S455">IF(B455="","",INDEX('Bán nhanh'!$P$4:$P$103,INT((ROW()-4)/10)+1))</f>
        <v/>
      </c>
      <c r="T455" s="58"/>
      <c r="U455" s="36"/>
      <c r="V455" s="36"/>
      <c r="W455" s="58"/>
      <c r="X455" s="36"/>
      <c r="Y455" s="36"/>
      <c r="Z455" s="36"/>
    </row>
    <row r="456" ht="15.75" customHeight="1">
      <c r="A456" s="70" t="str">
        <f t="array" ref="A456">IF(B456="","",INDEX('Bán nhanh'!$A$4:$A$103,INT((ROW()-4)/10)+1))</f>
        <v/>
      </c>
      <c r="B456" s="71" t="str">
        <f t="array" ref="B456">IF(OR(INDEX('Bán nhanh'!$D$3:$M$3,1,MOD(ROW()-4,10)+1)="",INDEX('Bán nhanh'!$D$4:$M$103,INT((ROW()-4)/10)+1,MOD(ROW()-4,10)+1)&lt;=0),"",INDEX('Bán nhanh'!$D$3:$M$3,1,MOD(ROW()-4,10)+1))</f>
        <v/>
      </c>
      <c r="C456" s="58" t="str">
        <f t="array" ref="C456">IFERROR(INDEX('Sản phẩm'!$A$4:$A$103,MATCH(B456,'Sản phẩm'!$D$4:$D$103,0)),"")</f>
        <v/>
      </c>
      <c r="D456" s="71" t="str">
        <f t="array" ref="D456">IF(B456="","",INDEX('Bán nhanh'!$B$4:$B$103,INT((ROW()-4)/10)+1))</f>
        <v/>
      </c>
      <c r="E456" s="58" t="str">
        <f t="array" ref="E456">IFERROR(INDEX('Mẻ sữa'!$B$4:$B$203,MATCH(D456,'Mẻ sữa'!$C$4:$C$203,0)),"")</f>
        <v/>
      </c>
      <c r="F456" s="66">
        <f t="array" ref="F456">IF(B456="",0,INDEX('Bán nhanh'!$D$4:$M$103,INT((ROW()-4)/10)+1,MOD(ROW()-4,10)+1))</f>
        <v>0</v>
      </c>
      <c r="G456" s="46">
        <f t="array" ref="G456">IFERROR(INDEX('Sản phẩm'!$F$4:$F$103,MATCH(B456,'Sản phẩm'!$D$4:$D$103,0)),0)</f>
        <v>0</v>
      </c>
      <c r="H456" s="67">
        <f t="shared" si="5"/>
        <v>0</v>
      </c>
      <c r="I456" s="46">
        <f t="shared" si="1"/>
        <v>0</v>
      </c>
      <c r="J456" s="46">
        <f t="array" ref="J456">IFERROR(INDEX('Sản phẩm'!$G$4:$G$103,MATCH(B456,'Sản phẩm'!$D$4:$D$103,0)),0)</f>
        <v>0</v>
      </c>
      <c r="K456" s="46">
        <f t="array" ref="K456">IFERROR(J456*INDEX('Mẻ sữa'!$N$4:$N$203,MATCH(D456,'Mẻ sữa'!$C$4:$C$203,0)),0)</f>
        <v>0</v>
      </c>
      <c r="L456" s="46">
        <f t="array" ref="L456">IFERROR(INDEX('Sản phẩm'!$I$4:$I$103,MATCH(B456,'Sản phẩm'!$D$4:$D$103,0)),0)</f>
        <v>0</v>
      </c>
      <c r="M456" s="72" t="str">
        <f t="array" ref="M456">IFERROR(INDEX('Sản phẩm'!$J$4:$J$103,MATCH(B456,'Sản phẩm'!$D$4:$D$103,0)),0)</f>
        <v/>
      </c>
      <c r="N456" s="46">
        <f>IF(B456="",0,(K456+L456+M456)*'Thiết lập'!$B$8)</f>
        <v>0</v>
      </c>
      <c r="O456" s="46">
        <f t="shared" si="2"/>
        <v>0</v>
      </c>
      <c r="P456" s="46">
        <f t="shared" si="3"/>
        <v>0</v>
      </c>
      <c r="Q456" s="46">
        <f t="shared" si="4"/>
        <v>0</v>
      </c>
      <c r="R456" s="71" t="str">
        <f t="array" ref="R456">IF(B456="","",INDEX('Bán nhanh'!$C$4:$C$103,INT((ROW()-4)/10)+1))</f>
        <v/>
      </c>
      <c r="S456" s="71" t="str">
        <f t="array" ref="S456">IF(B456="","",INDEX('Bán nhanh'!$P$4:$P$103,INT((ROW()-4)/10)+1))</f>
        <v/>
      </c>
      <c r="T456" s="58"/>
      <c r="U456" s="36"/>
      <c r="V456" s="36"/>
      <c r="W456" s="58"/>
      <c r="X456" s="36"/>
      <c r="Y456" s="36"/>
      <c r="Z456" s="36"/>
    </row>
    <row r="457" ht="15.75" customHeight="1">
      <c r="A457" s="70" t="str">
        <f t="array" ref="A457">IF(B457="","",INDEX('Bán nhanh'!$A$4:$A$103,INT((ROW()-4)/10)+1))</f>
        <v/>
      </c>
      <c r="B457" s="71" t="str">
        <f t="array" ref="B457">IF(OR(INDEX('Bán nhanh'!$D$3:$M$3,1,MOD(ROW()-4,10)+1)="",INDEX('Bán nhanh'!$D$4:$M$103,INT((ROW()-4)/10)+1,MOD(ROW()-4,10)+1)&lt;=0),"",INDEX('Bán nhanh'!$D$3:$M$3,1,MOD(ROW()-4,10)+1))</f>
        <v/>
      </c>
      <c r="C457" s="58" t="str">
        <f t="array" ref="C457">IFERROR(INDEX('Sản phẩm'!$A$4:$A$103,MATCH(B457,'Sản phẩm'!$D$4:$D$103,0)),"")</f>
        <v/>
      </c>
      <c r="D457" s="71" t="str">
        <f t="array" ref="D457">IF(B457="","",INDEX('Bán nhanh'!$B$4:$B$103,INT((ROW()-4)/10)+1))</f>
        <v/>
      </c>
      <c r="E457" s="58" t="str">
        <f t="array" ref="E457">IFERROR(INDEX('Mẻ sữa'!$B$4:$B$203,MATCH(D457,'Mẻ sữa'!$C$4:$C$203,0)),"")</f>
        <v/>
      </c>
      <c r="F457" s="66">
        <f t="array" ref="F457">IF(B457="",0,INDEX('Bán nhanh'!$D$4:$M$103,INT((ROW()-4)/10)+1,MOD(ROW()-4,10)+1))</f>
        <v>0</v>
      </c>
      <c r="G457" s="46">
        <f t="array" ref="G457">IFERROR(INDEX('Sản phẩm'!$F$4:$F$103,MATCH(B457,'Sản phẩm'!$D$4:$D$103,0)),0)</f>
        <v>0</v>
      </c>
      <c r="H457" s="67">
        <f t="shared" si="5"/>
        <v>0</v>
      </c>
      <c r="I457" s="46">
        <f t="shared" si="1"/>
        <v>0</v>
      </c>
      <c r="J457" s="46">
        <f t="array" ref="J457">IFERROR(INDEX('Sản phẩm'!$G$4:$G$103,MATCH(B457,'Sản phẩm'!$D$4:$D$103,0)),0)</f>
        <v>0</v>
      </c>
      <c r="K457" s="46">
        <f t="array" ref="K457">IFERROR(J457*INDEX('Mẻ sữa'!$N$4:$N$203,MATCH(D457,'Mẻ sữa'!$C$4:$C$203,0)),0)</f>
        <v>0</v>
      </c>
      <c r="L457" s="46">
        <f t="array" ref="L457">IFERROR(INDEX('Sản phẩm'!$I$4:$I$103,MATCH(B457,'Sản phẩm'!$D$4:$D$103,0)),0)</f>
        <v>0</v>
      </c>
      <c r="M457" s="72" t="str">
        <f t="array" ref="M457">IFERROR(INDEX('Sản phẩm'!$J$4:$J$103,MATCH(B457,'Sản phẩm'!$D$4:$D$103,0)),0)</f>
        <v/>
      </c>
      <c r="N457" s="46">
        <f>IF(B457="",0,(K457+L457+M457)*'Thiết lập'!$B$8)</f>
        <v>0</v>
      </c>
      <c r="O457" s="46">
        <f t="shared" si="2"/>
        <v>0</v>
      </c>
      <c r="P457" s="46">
        <f t="shared" si="3"/>
        <v>0</v>
      </c>
      <c r="Q457" s="46">
        <f t="shared" si="4"/>
        <v>0</v>
      </c>
      <c r="R457" s="71" t="str">
        <f t="array" ref="R457">IF(B457="","",INDEX('Bán nhanh'!$C$4:$C$103,INT((ROW()-4)/10)+1))</f>
        <v/>
      </c>
      <c r="S457" s="71" t="str">
        <f t="array" ref="S457">IF(B457="","",INDEX('Bán nhanh'!$P$4:$P$103,INT((ROW()-4)/10)+1))</f>
        <v/>
      </c>
      <c r="T457" s="58"/>
      <c r="U457" s="36"/>
      <c r="V457" s="36"/>
      <c r="W457" s="58"/>
      <c r="X457" s="36"/>
      <c r="Y457" s="36"/>
      <c r="Z457" s="36"/>
    </row>
    <row r="458" ht="15.75" customHeight="1">
      <c r="A458" s="70" t="str">
        <f t="array" ref="A458">IF(B458="","",INDEX('Bán nhanh'!$A$4:$A$103,INT((ROW()-4)/10)+1))</f>
        <v/>
      </c>
      <c r="B458" s="71" t="str">
        <f t="array" ref="B458">IF(OR(INDEX('Bán nhanh'!$D$3:$M$3,1,MOD(ROW()-4,10)+1)="",INDEX('Bán nhanh'!$D$4:$M$103,INT((ROW()-4)/10)+1,MOD(ROW()-4,10)+1)&lt;=0),"",INDEX('Bán nhanh'!$D$3:$M$3,1,MOD(ROW()-4,10)+1))</f>
        <v/>
      </c>
      <c r="C458" s="58" t="str">
        <f t="array" ref="C458">IFERROR(INDEX('Sản phẩm'!$A$4:$A$103,MATCH(B458,'Sản phẩm'!$D$4:$D$103,0)),"")</f>
        <v/>
      </c>
      <c r="D458" s="71" t="str">
        <f t="array" ref="D458">IF(B458="","",INDEX('Bán nhanh'!$B$4:$B$103,INT((ROW()-4)/10)+1))</f>
        <v/>
      </c>
      <c r="E458" s="58" t="str">
        <f t="array" ref="E458">IFERROR(INDEX('Mẻ sữa'!$B$4:$B$203,MATCH(D458,'Mẻ sữa'!$C$4:$C$203,0)),"")</f>
        <v/>
      </c>
      <c r="F458" s="66">
        <f t="array" ref="F458">IF(B458="",0,INDEX('Bán nhanh'!$D$4:$M$103,INT((ROW()-4)/10)+1,MOD(ROW()-4,10)+1))</f>
        <v>0</v>
      </c>
      <c r="G458" s="46">
        <f t="array" ref="G458">IFERROR(INDEX('Sản phẩm'!$F$4:$F$103,MATCH(B458,'Sản phẩm'!$D$4:$D$103,0)),0)</f>
        <v>0</v>
      </c>
      <c r="H458" s="67">
        <f t="shared" si="5"/>
        <v>0</v>
      </c>
      <c r="I458" s="46">
        <f t="shared" si="1"/>
        <v>0</v>
      </c>
      <c r="J458" s="46">
        <f t="array" ref="J458">IFERROR(INDEX('Sản phẩm'!$G$4:$G$103,MATCH(B458,'Sản phẩm'!$D$4:$D$103,0)),0)</f>
        <v>0</v>
      </c>
      <c r="K458" s="46">
        <f t="array" ref="K458">IFERROR(J458*INDEX('Mẻ sữa'!$N$4:$N$203,MATCH(D458,'Mẻ sữa'!$C$4:$C$203,0)),0)</f>
        <v>0</v>
      </c>
      <c r="L458" s="46">
        <f t="array" ref="L458">IFERROR(INDEX('Sản phẩm'!$I$4:$I$103,MATCH(B458,'Sản phẩm'!$D$4:$D$103,0)),0)</f>
        <v>0</v>
      </c>
      <c r="M458" s="72" t="str">
        <f t="array" ref="M458">IFERROR(INDEX('Sản phẩm'!$J$4:$J$103,MATCH(B458,'Sản phẩm'!$D$4:$D$103,0)),0)</f>
        <v/>
      </c>
      <c r="N458" s="46">
        <f>IF(B458="",0,(K458+L458+M458)*'Thiết lập'!$B$8)</f>
        <v>0</v>
      </c>
      <c r="O458" s="46">
        <f t="shared" si="2"/>
        <v>0</v>
      </c>
      <c r="P458" s="46">
        <f t="shared" si="3"/>
        <v>0</v>
      </c>
      <c r="Q458" s="46">
        <f t="shared" si="4"/>
        <v>0</v>
      </c>
      <c r="R458" s="71" t="str">
        <f t="array" ref="R458">IF(B458="","",INDEX('Bán nhanh'!$C$4:$C$103,INT((ROW()-4)/10)+1))</f>
        <v/>
      </c>
      <c r="S458" s="71" t="str">
        <f t="array" ref="S458">IF(B458="","",INDEX('Bán nhanh'!$P$4:$P$103,INT((ROW()-4)/10)+1))</f>
        <v/>
      </c>
      <c r="T458" s="58"/>
      <c r="U458" s="36"/>
      <c r="V458" s="36"/>
      <c r="W458" s="58"/>
      <c r="X458" s="36"/>
      <c r="Y458" s="36"/>
      <c r="Z458" s="36"/>
    </row>
    <row r="459" ht="15.75" customHeight="1">
      <c r="A459" s="70" t="str">
        <f t="array" ref="A459">IF(B459="","",INDEX('Bán nhanh'!$A$4:$A$103,INT((ROW()-4)/10)+1))</f>
        <v/>
      </c>
      <c r="B459" s="71" t="str">
        <f t="array" ref="B459">IF(OR(INDEX('Bán nhanh'!$D$3:$M$3,1,MOD(ROW()-4,10)+1)="",INDEX('Bán nhanh'!$D$4:$M$103,INT((ROW()-4)/10)+1,MOD(ROW()-4,10)+1)&lt;=0),"",INDEX('Bán nhanh'!$D$3:$M$3,1,MOD(ROW()-4,10)+1))</f>
        <v/>
      </c>
      <c r="C459" s="58" t="str">
        <f t="array" ref="C459">IFERROR(INDEX('Sản phẩm'!$A$4:$A$103,MATCH(B459,'Sản phẩm'!$D$4:$D$103,0)),"")</f>
        <v/>
      </c>
      <c r="D459" s="71" t="str">
        <f t="array" ref="D459">IF(B459="","",INDEX('Bán nhanh'!$B$4:$B$103,INT((ROW()-4)/10)+1))</f>
        <v/>
      </c>
      <c r="E459" s="58" t="str">
        <f t="array" ref="E459">IFERROR(INDEX('Mẻ sữa'!$B$4:$B$203,MATCH(D459,'Mẻ sữa'!$C$4:$C$203,0)),"")</f>
        <v/>
      </c>
      <c r="F459" s="66">
        <f t="array" ref="F459">IF(B459="",0,INDEX('Bán nhanh'!$D$4:$M$103,INT((ROW()-4)/10)+1,MOD(ROW()-4,10)+1))</f>
        <v>0</v>
      </c>
      <c r="G459" s="46">
        <f t="array" ref="G459">IFERROR(INDEX('Sản phẩm'!$F$4:$F$103,MATCH(B459,'Sản phẩm'!$D$4:$D$103,0)),0)</f>
        <v>0</v>
      </c>
      <c r="H459" s="67">
        <f t="shared" si="5"/>
        <v>0</v>
      </c>
      <c r="I459" s="46">
        <f t="shared" si="1"/>
        <v>0</v>
      </c>
      <c r="J459" s="46">
        <f t="array" ref="J459">IFERROR(INDEX('Sản phẩm'!$G$4:$G$103,MATCH(B459,'Sản phẩm'!$D$4:$D$103,0)),0)</f>
        <v>0</v>
      </c>
      <c r="K459" s="46">
        <f t="array" ref="K459">IFERROR(J459*INDEX('Mẻ sữa'!$N$4:$N$203,MATCH(D459,'Mẻ sữa'!$C$4:$C$203,0)),0)</f>
        <v>0</v>
      </c>
      <c r="L459" s="46">
        <f t="array" ref="L459">IFERROR(INDEX('Sản phẩm'!$I$4:$I$103,MATCH(B459,'Sản phẩm'!$D$4:$D$103,0)),0)</f>
        <v>0</v>
      </c>
      <c r="M459" s="72" t="str">
        <f t="array" ref="M459">IFERROR(INDEX('Sản phẩm'!$J$4:$J$103,MATCH(B459,'Sản phẩm'!$D$4:$D$103,0)),0)</f>
        <v/>
      </c>
      <c r="N459" s="46">
        <f>IF(B459="",0,(K459+L459+M459)*'Thiết lập'!$B$8)</f>
        <v>0</v>
      </c>
      <c r="O459" s="46">
        <f t="shared" si="2"/>
        <v>0</v>
      </c>
      <c r="P459" s="46">
        <f t="shared" si="3"/>
        <v>0</v>
      </c>
      <c r="Q459" s="46">
        <f t="shared" si="4"/>
        <v>0</v>
      </c>
      <c r="R459" s="71" t="str">
        <f t="array" ref="R459">IF(B459="","",INDEX('Bán nhanh'!$C$4:$C$103,INT((ROW()-4)/10)+1))</f>
        <v/>
      </c>
      <c r="S459" s="71" t="str">
        <f t="array" ref="S459">IF(B459="","",INDEX('Bán nhanh'!$P$4:$P$103,INT((ROW()-4)/10)+1))</f>
        <v/>
      </c>
      <c r="T459" s="58"/>
      <c r="U459" s="36"/>
      <c r="V459" s="36"/>
      <c r="W459" s="58"/>
      <c r="X459" s="36"/>
      <c r="Y459" s="36"/>
      <c r="Z459" s="36"/>
    </row>
    <row r="460" ht="15.75" customHeight="1">
      <c r="A460" s="70" t="str">
        <f t="array" ref="A460">IF(B460="","",INDEX('Bán nhanh'!$A$4:$A$103,INT((ROW()-4)/10)+1))</f>
        <v/>
      </c>
      <c r="B460" s="71" t="str">
        <f t="array" ref="B460">IF(OR(INDEX('Bán nhanh'!$D$3:$M$3,1,MOD(ROW()-4,10)+1)="",INDEX('Bán nhanh'!$D$4:$M$103,INT((ROW()-4)/10)+1,MOD(ROW()-4,10)+1)&lt;=0),"",INDEX('Bán nhanh'!$D$3:$M$3,1,MOD(ROW()-4,10)+1))</f>
        <v/>
      </c>
      <c r="C460" s="58" t="str">
        <f t="array" ref="C460">IFERROR(INDEX('Sản phẩm'!$A$4:$A$103,MATCH(B460,'Sản phẩm'!$D$4:$D$103,0)),"")</f>
        <v/>
      </c>
      <c r="D460" s="71" t="str">
        <f t="array" ref="D460">IF(B460="","",INDEX('Bán nhanh'!$B$4:$B$103,INT((ROW()-4)/10)+1))</f>
        <v/>
      </c>
      <c r="E460" s="58" t="str">
        <f t="array" ref="E460">IFERROR(INDEX('Mẻ sữa'!$B$4:$B$203,MATCH(D460,'Mẻ sữa'!$C$4:$C$203,0)),"")</f>
        <v/>
      </c>
      <c r="F460" s="66">
        <f t="array" ref="F460">IF(B460="",0,INDEX('Bán nhanh'!$D$4:$M$103,INT((ROW()-4)/10)+1,MOD(ROW()-4,10)+1))</f>
        <v>0</v>
      </c>
      <c r="G460" s="46">
        <f t="array" ref="G460">IFERROR(INDEX('Sản phẩm'!$F$4:$F$103,MATCH(B460,'Sản phẩm'!$D$4:$D$103,0)),0)</f>
        <v>0</v>
      </c>
      <c r="H460" s="67">
        <f t="shared" si="5"/>
        <v>0</v>
      </c>
      <c r="I460" s="46">
        <f t="shared" si="1"/>
        <v>0</v>
      </c>
      <c r="J460" s="46">
        <f t="array" ref="J460">IFERROR(INDEX('Sản phẩm'!$G$4:$G$103,MATCH(B460,'Sản phẩm'!$D$4:$D$103,0)),0)</f>
        <v>0</v>
      </c>
      <c r="K460" s="46">
        <f t="array" ref="K460">IFERROR(J460*INDEX('Mẻ sữa'!$N$4:$N$203,MATCH(D460,'Mẻ sữa'!$C$4:$C$203,0)),0)</f>
        <v>0</v>
      </c>
      <c r="L460" s="46">
        <f t="array" ref="L460">IFERROR(INDEX('Sản phẩm'!$I$4:$I$103,MATCH(B460,'Sản phẩm'!$D$4:$D$103,0)),0)</f>
        <v>0</v>
      </c>
      <c r="M460" s="72" t="str">
        <f t="array" ref="M460">IFERROR(INDEX('Sản phẩm'!$J$4:$J$103,MATCH(B460,'Sản phẩm'!$D$4:$D$103,0)),0)</f>
        <v/>
      </c>
      <c r="N460" s="46">
        <f>IF(B460="",0,(K460+L460+M460)*'Thiết lập'!$B$8)</f>
        <v>0</v>
      </c>
      <c r="O460" s="46">
        <f t="shared" si="2"/>
        <v>0</v>
      </c>
      <c r="P460" s="46">
        <f t="shared" si="3"/>
        <v>0</v>
      </c>
      <c r="Q460" s="46">
        <f t="shared" si="4"/>
        <v>0</v>
      </c>
      <c r="R460" s="71" t="str">
        <f t="array" ref="R460">IF(B460="","",INDEX('Bán nhanh'!$C$4:$C$103,INT((ROW()-4)/10)+1))</f>
        <v/>
      </c>
      <c r="S460" s="71" t="str">
        <f t="array" ref="S460">IF(B460="","",INDEX('Bán nhanh'!$P$4:$P$103,INT((ROW()-4)/10)+1))</f>
        <v/>
      </c>
      <c r="T460" s="58"/>
      <c r="U460" s="36"/>
      <c r="V460" s="36"/>
      <c r="W460" s="58"/>
      <c r="X460" s="36"/>
      <c r="Y460" s="36"/>
      <c r="Z460" s="36"/>
    </row>
    <row r="461" ht="15.75" customHeight="1">
      <c r="A461" s="70" t="str">
        <f t="array" ref="A461">IF(B461="","",INDEX('Bán nhanh'!$A$4:$A$103,INT((ROW()-4)/10)+1))</f>
        <v/>
      </c>
      <c r="B461" s="71" t="str">
        <f t="array" ref="B461">IF(OR(INDEX('Bán nhanh'!$D$3:$M$3,1,MOD(ROW()-4,10)+1)="",INDEX('Bán nhanh'!$D$4:$M$103,INT((ROW()-4)/10)+1,MOD(ROW()-4,10)+1)&lt;=0),"",INDEX('Bán nhanh'!$D$3:$M$3,1,MOD(ROW()-4,10)+1))</f>
        <v/>
      </c>
      <c r="C461" s="58" t="str">
        <f t="array" ref="C461">IFERROR(INDEX('Sản phẩm'!$A$4:$A$103,MATCH(B461,'Sản phẩm'!$D$4:$D$103,0)),"")</f>
        <v/>
      </c>
      <c r="D461" s="71" t="str">
        <f t="array" ref="D461">IF(B461="","",INDEX('Bán nhanh'!$B$4:$B$103,INT((ROW()-4)/10)+1))</f>
        <v/>
      </c>
      <c r="E461" s="58" t="str">
        <f t="array" ref="E461">IFERROR(INDEX('Mẻ sữa'!$B$4:$B$203,MATCH(D461,'Mẻ sữa'!$C$4:$C$203,0)),"")</f>
        <v/>
      </c>
      <c r="F461" s="66">
        <f t="array" ref="F461">IF(B461="",0,INDEX('Bán nhanh'!$D$4:$M$103,INT((ROW()-4)/10)+1,MOD(ROW()-4,10)+1))</f>
        <v>0</v>
      </c>
      <c r="G461" s="46">
        <f t="array" ref="G461">IFERROR(INDEX('Sản phẩm'!$F$4:$F$103,MATCH(B461,'Sản phẩm'!$D$4:$D$103,0)),0)</f>
        <v>0</v>
      </c>
      <c r="H461" s="67">
        <f t="shared" si="5"/>
        <v>0</v>
      </c>
      <c r="I461" s="46">
        <f t="shared" si="1"/>
        <v>0</v>
      </c>
      <c r="J461" s="46">
        <f t="array" ref="J461">IFERROR(INDEX('Sản phẩm'!$G$4:$G$103,MATCH(B461,'Sản phẩm'!$D$4:$D$103,0)),0)</f>
        <v>0</v>
      </c>
      <c r="K461" s="46">
        <f t="array" ref="K461">IFERROR(J461*INDEX('Mẻ sữa'!$N$4:$N$203,MATCH(D461,'Mẻ sữa'!$C$4:$C$203,0)),0)</f>
        <v>0</v>
      </c>
      <c r="L461" s="46">
        <f t="array" ref="L461">IFERROR(INDEX('Sản phẩm'!$I$4:$I$103,MATCH(B461,'Sản phẩm'!$D$4:$D$103,0)),0)</f>
        <v>0</v>
      </c>
      <c r="M461" s="72" t="str">
        <f t="array" ref="M461">IFERROR(INDEX('Sản phẩm'!$J$4:$J$103,MATCH(B461,'Sản phẩm'!$D$4:$D$103,0)),0)</f>
        <v/>
      </c>
      <c r="N461" s="46">
        <f>IF(B461="",0,(K461+L461+M461)*'Thiết lập'!$B$8)</f>
        <v>0</v>
      </c>
      <c r="O461" s="46">
        <f t="shared" si="2"/>
        <v>0</v>
      </c>
      <c r="P461" s="46">
        <f t="shared" si="3"/>
        <v>0</v>
      </c>
      <c r="Q461" s="46">
        <f t="shared" si="4"/>
        <v>0</v>
      </c>
      <c r="R461" s="71" t="str">
        <f t="array" ref="R461">IF(B461="","",INDEX('Bán nhanh'!$C$4:$C$103,INT((ROW()-4)/10)+1))</f>
        <v/>
      </c>
      <c r="S461" s="71" t="str">
        <f t="array" ref="S461">IF(B461="","",INDEX('Bán nhanh'!$P$4:$P$103,INT((ROW()-4)/10)+1))</f>
        <v/>
      </c>
      <c r="T461" s="58"/>
      <c r="U461" s="36"/>
      <c r="V461" s="36"/>
      <c r="W461" s="58"/>
      <c r="X461" s="36"/>
      <c r="Y461" s="36"/>
      <c r="Z461" s="36"/>
    </row>
    <row r="462" ht="15.75" customHeight="1">
      <c r="A462" s="70" t="str">
        <f t="array" ref="A462">IF(B462="","",INDEX('Bán nhanh'!$A$4:$A$103,INT((ROW()-4)/10)+1))</f>
        <v/>
      </c>
      <c r="B462" s="71" t="str">
        <f t="array" ref="B462">IF(OR(INDEX('Bán nhanh'!$D$3:$M$3,1,MOD(ROW()-4,10)+1)="",INDEX('Bán nhanh'!$D$4:$M$103,INT((ROW()-4)/10)+1,MOD(ROW()-4,10)+1)&lt;=0),"",INDEX('Bán nhanh'!$D$3:$M$3,1,MOD(ROW()-4,10)+1))</f>
        <v/>
      </c>
      <c r="C462" s="58" t="str">
        <f t="array" ref="C462">IFERROR(INDEX('Sản phẩm'!$A$4:$A$103,MATCH(B462,'Sản phẩm'!$D$4:$D$103,0)),"")</f>
        <v/>
      </c>
      <c r="D462" s="71" t="str">
        <f t="array" ref="D462">IF(B462="","",INDEX('Bán nhanh'!$B$4:$B$103,INT((ROW()-4)/10)+1))</f>
        <v/>
      </c>
      <c r="E462" s="58" t="str">
        <f t="array" ref="E462">IFERROR(INDEX('Mẻ sữa'!$B$4:$B$203,MATCH(D462,'Mẻ sữa'!$C$4:$C$203,0)),"")</f>
        <v/>
      </c>
      <c r="F462" s="66">
        <f t="array" ref="F462">IF(B462="",0,INDEX('Bán nhanh'!$D$4:$M$103,INT((ROW()-4)/10)+1,MOD(ROW()-4,10)+1))</f>
        <v>0</v>
      </c>
      <c r="G462" s="46">
        <f t="array" ref="G462">IFERROR(INDEX('Sản phẩm'!$F$4:$F$103,MATCH(B462,'Sản phẩm'!$D$4:$D$103,0)),0)</f>
        <v>0</v>
      </c>
      <c r="H462" s="67">
        <f t="shared" si="5"/>
        <v>0</v>
      </c>
      <c r="I462" s="46">
        <f t="shared" si="1"/>
        <v>0</v>
      </c>
      <c r="J462" s="46">
        <f t="array" ref="J462">IFERROR(INDEX('Sản phẩm'!$G$4:$G$103,MATCH(B462,'Sản phẩm'!$D$4:$D$103,0)),0)</f>
        <v>0</v>
      </c>
      <c r="K462" s="46">
        <f t="array" ref="K462">IFERROR(J462*INDEX('Mẻ sữa'!$N$4:$N$203,MATCH(D462,'Mẻ sữa'!$C$4:$C$203,0)),0)</f>
        <v>0</v>
      </c>
      <c r="L462" s="46">
        <f t="array" ref="L462">IFERROR(INDEX('Sản phẩm'!$I$4:$I$103,MATCH(B462,'Sản phẩm'!$D$4:$D$103,0)),0)</f>
        <v>0</v>
      </c>
      <c r="M462" s="72" t="str">
        <f t="array" ref="M462">IFERROR(INDEX('Sản phẩm'!$J$4:$J$103,MATCH(B462,'Sản phẩm'!$D$4:$D$103,0)),0)</f>
        <v/>
      </c>
      <c r="N462" s="46">
        <f>IF(B462="",0,(K462+L462+M462)*'Thiết lập'!$B$8)</f>
        <v>0</v>
      </c>
      <c r="O462" s="46">
        <f t="shared" si="2"/>
        <v>0</v>
      </c>
      <c r="P462" s="46">
        <f t="shared" si="3"/>
        <v>0</v>
      </c>
      <c r="Q462" s="46">
        <f t="shared" si="4"/>
        <v>0</v>
      </c>
      <c r="R462" s="71" t="str">
        <f t="array" ref="R462">IF(B462="","",INDEX('Bán nhanh'!$C$4:$C$103,INT((ROW()-4)/10)+1))</f>
        <v/>
      </c>
      <c r="S462" s="71" t="str">
        <f t="array" ref="S462">IF(B462="","",INDEX('Bán nhanh'!$P$4:$P$103,INT((ROW()-4)/10)+1))</f>
        <v/>
      </c>
      <c r="T462" s="58"/>
      <c r="U462" s="36"/>
      <c r="V462" s="36"/>
      <c r="W462" s="58"/>
      <c r="X462" s="36"/>
      <c r="Y462" s="36"/>
      <c r="Z462" s="36"/>
    </row>
    <row r="463" ht="15.75" customHeight="1">
      <c r="A463" s="70" t="str">
        <f t="array" ref="A463">IF(B463="","",INDEX('Bán nhanh'!$A$4:$A$103,INT((ROW()-4)/10)+1))</f>
        <v/>
      </c>
      <c r="B463" s="71" t="str">
        <f t="array" ref="B463">IF(OR(INDEX('Bán nhanh'!$D$3:$M$3,1,MOD(ROW()-4,10)+1)="",INDEX('Bán nhanh'!$D$4:$M$103,INT((ROW()-4)/10)+1,MOD(ROW()-4,10)+1)&lt;=0),"",INDEX('Bán nhanh'!$D$3:$M$3,1,MOD(ROW()-4,10)+1))</f>
        <v/>
      </c>
      <c r="C463" s="58" t="str">
        <f t="array" ref="C463">IFERROR(INDEX('Sản phẩm'!$A$4:$A$103,MATCH(B463,'Sản phẩm'!$D$4:$D$103,0)),"")</f>
        <v/>
      </c>
      <c r="D463" s="71" t="str">
        <f t="array" ref="D463">IF(B463="","",INDEX('Bán nhanh'!$B$4:$B$103,INT((ROW()-4)/10)+1))</f>
        <v/>
      </c>
      <c r="E463" s="58" t="str">
        <f t="array" ref="E463">IFERROR(INDEX('Mẻ sữa'!$B$4:$B$203,MATCH(D463,'Mẻ sữa'!$C$4:$C$203,0)),"")</f>
        <v/>
      </c>
      <c r="F463" s="66">
        <f t="array" ref="F463">IF(B463="",0,INDEX('Bán nhanh'!$D$4:$M$103,INT((ROW()-4)/10)+1,MOD(ROW()-4,10)+1))</f>
        <v>0</v>
      </c>
      <c r="G463" s="46">
        <f t="array" ref="G463">IFERROR(INDEX('Sản phẩm'!$F$4:$F$103,MATCH(B463,'Sản phẩm'!$D$4:$D$103,0)),0)</f>
        <v>0</v>
      </c>
      <c r="H463" s="67">
        <f t="shared" si="5"/>
        <v>0</v>
      </c>
      <c r="I463" s="46">
        <f t="shared" si="1"/>
        <v>0</v>
      </c>
      <c r="J463" s="46">
        <f t="array" ref="J463">IFERROR(INDEX('Sản phẩm'!$G$4:$G$103,MATCH(B463,'Sản phẩm'!$D$4:$D$103,0)),0)</f>
        <v>0</v>
      </c>
      <c r="K463" s="46">
        <f t="array" ref="K463">IFERROR(J463*INDEX('Mẻ sữa'!$N$4:$N$203,MATCH(D463,'Mẻ sữa'!$C$4:$C$203,0)),0)</f>
        <v>0</v>
      </c>
      <c r="L463" s="46">
        <f t="array" ref="L463">IFERROR(INDEX('Sản phẩm'!$I$4:$I$103,MATCH(B463,'Sản phẩm'!$D$4:$D$103,0)),0)</f>
        <v>0</v>
      </c>
      <c r="M463" s="72" t="str">
        <f t="array" ref="M463">IFERROR(INDEX('Sản phẩm'!$J$4:$J$103,MATCH(B463,'Sản phẩm'!$D$4:$D$103,0)),0)</f>
        <v/>
      </c>
      <c r="N463" s="46">
        <f>IF(B463="",0,(K463+L463+M463)*'Thiết lập'!$B$8)</f>
        <v>0</v>
      </c>
      <c r="O463" s="46">
        <f t="shared" si="2"/>
        <v>0</v>
      </c>
      <c r="P463" s="46">
        <f t="shared" si="3"/>
        <v>0</v>
      </c>
      <c r="Q463" s="46">
        <f t="shared" si="4"/>
        <v>0</v>
      </c>
      <c r="R463" s="71" t="str">
        <f t="array" ref="R463">IF(B463="","",INDEX('Bán nhanh'!$C$4:$C$103,INT((ROW()-4)/10)+1))</f>
        <v/>
      </c>
      <c r="S463" s="71" t="str">
        <f t="array" ref="S463">IF(B463="","",INDEX('Bán nhanh'!$P$4:$P$103,INT((ROW()-4)/10)+1))</f>
        <v/>
      </c>
      <c r="T463" s="58"/>
      <c r="U463" s="36"/>
      <c r="V463" s="36"/>
      <c r="W463" s="58"/>
      <c r="X463" s="36"/>
      <c r="Y463" s="36"/>
      <c r="Z463" s="36"/>
    </row>
    <row r="464" ht="15.75" customHeight="1">
      <c r="A464" s="70" t="str">
        <f t="array" ref="A464">IF(B464="","",INDEX('Bán nhanh'!$A$4:$A$103,INT((ROW()-4)/10)+1))</f>
        <v/>
      </c>
      <c r="B464" s="71" t="str">
        <f t="array" ref="B464">IF(OR(INDEX('Bán nhanh'!$D$3:$M$3,1,MOD(ROW()-4,10)+1)="",INDEX('Bán nhanh'!$D$4:$M$103,INT((ROW()-4)/10)+1,MOD(ROW()-4,10)+1)&lt;=0),"",INDEX('Bán nhanh'!$D$3:$M$3,1,MOD(ROW()-4,10)+1))</f>
        <v/>
      </c>
      <c r="C464" s="58" t="str">
        <f t="array" ref="C464">IFERROR(INDEX('Sản phẩm'!$A$4:$A$103,MATCH(B464,'Sản phẩm'!$D$4:$D$103,0)),"")</f>
        <v/>
      </c>
      <c r="D464" s="71" t="str">
        <f t="array" ref="D464">IF(B464="","",INDEX('Bán nhanh'!$B$4:$B$103,INT((ROW()-4)/10)+1))</f>
        <v/>
      </c>
      <c r="E464" s="58" t="str">
        <f t="array" ref="E464">IFERROR(INDEX('Mẻ sữa'!$B$4:$B$203,MATCH(D464,'Mẻ sữa'!$C$4:$C$203,0)),"")</f>
        <v/>
      </c>
      <c r="F464" s="66">
        <f t="array" ref="F464">IF(B464="",0,INDEX('Bán nhanh'!$D$4:$M$103,INT((ROW()-4)/10)+1,MOD(ROW()-4,10)+1))</f>
        <v>0</v>
      </c>
      <c r="G464" s="46">
        <f t="array" ref="G464">IFERROR(INDEX('Sản phẩm'!$F$4:$F$103,MATCH(B464,'Sản phẩm'!$D$4:$D$103,0)),0)</f>
        <v>0</v>
      </c>
      <c r="H464" s="67">
        <f t="shared" si="5"/>
        <v>0</v>
      </c>
      <c r="I464" s="46">
        <f t="shared" si="1"/>
        <v>0</v>
      </c>
      <c r="J464" s="46">
        <f t="array" ref="J464">IFERROR(INDEX('Sản phẩm'!$G$4:$G$103,MATCH(B464,'Sản phẩm'!$D$4:$D$103,0)),0)</f>
        <v>0</v>
      </c>
      <c r="K464" s="46">
        <f t="array" ref="K464">IFERROR(J464*INDEX('Mẻ sữa'!$N$4:$N$203,MATCH(D464,'Mẻ sữa'!$C$4:$C$203,0)),0)</f>
        <v>0</v>
      </c>
      <c r="L464" s="46">
        <f t="array" ref="L464">IFERROR(INDEX('Sản phẩm'!$I$4:$I$103,MATCH(B464,'Sản phẩm'!$D$4:$D$103,0)),0)</f>
        <v>0</v>
      </c>
      <c r="M464" s="72" t="str">
        <f t="array" ref="M464">IFERROR(INDEX('Sản phẩm'!$J$4:$J$103,MATCH(B464,'Sản phẩm'!$D$4:$D$103,0)),0)</f>
        <v/>
      </c>
      <c r="N464" s="46">
        <f>IF(B464="",0,(K464+L464+M464)*'Thiết lập'!$B$8)</f>
        <v>0</v>
      </c>
      <c r="O464" s="46">
        <f t="shared" si="2"/>
        <v>0</v>
      </c>
      <c r="P464" s="46">
        <f t="shared" si="3"/>
        <v>0</v>
      </c>
      <c r="Q464" s="46">
        <f t="shared" si="4"/>
        <v>0</v>
      </c>
      <c r="R464" s="71" t="str">
        <f t="array" ref="R464">IF(B464="","",INDEX('Bán nhanh'!$C$4:$C$103,INT((ROW()-4)/10)+1))</f>
        <v/>
      </c>
      <c r="S464" s="71" t="str">
        <f t="array" ref="S464">IF(B464="","",INDEX('Bán nhanh'!$P$4:$P$103,INT((ROW()-4)/10)+1))</f>
        <v/>
      </c>
      <c r="T464" s="58"/>
      <c r="U464" s="36"/>
      <c r="V464" s="36"/>
      <c r="W464" s="58"/>
      <c r="X464" s="36"/>
      <c r="Y464" s="36"/>
      <c r="Z464" s="36"/>
    </row>
    <row r="465" ht="15.75" customHeight="1">
      <c r="A465" s="70" t="str">
        <f t="array" ref="A465">IF(B465="","",INDEX('Bán nhanh'!$A$4:$A$103,INT((ROW()-4)/10)+1))</f>
        <v/>
      </c>
      <c r="B465" s="71" t="str">
        <f t="array" ref="B465">IF(OR(INDEX('Bán nhanh'!$D$3:$M$3,1,MOD(ROW()-4,10)+1)="",INDEX('Bán nhanh'!$D$4:$M$103,INT((ROW()-4)/10)+1,MOD(ROW()-4,10)+1)&lt;=0),"",INDEX('Bán nhanh'!$D$3:$M$3,1,MOD(ROW()-4,10)+1))</f>
        <v/>
      </c>
      <c r="C465" s="58" t="str">
        <f t="array" ref="C465">IFERROR(INDEX('Sản phẩm'!$A$4:$A$103,MATCH(B465,'Sản phẩm'!$D$4:$D$103,0)),"")</f>
        <v/>
      </c>
      <c r="D465" s="71" t="str">
        <f t="array" ref="D465">IF(B465="","",INDEX('Bán nhanh'!$B$4:$B$103,INT((ROW()-4)/10)+1))</f>
        <v/>
      </c>
      <c r="E465" s="58" t="str">
        <f t="array" ref="E465">IFERROR(INDEX('Mẻ sữa'!$B$4:$B$203,MATCH(D465,'Mẻ sữa'!$C$4:$C$203,0)),"")</f>
        <v/>
      </c>
      <c r="F465" s="66">
        <f t="array" ref="F465">IF(B465="",0,INDEX('Bán nhanh'!$D$4:$M$103,INT((ROW()-4)/10)+1,MOD(ROW()-4,10)+1))</f>
        <v>0</v>
      </c>
      <c r="G465" s="46">
        <f t="array" ref="G465">IFERROR(INDEX('Sản phẩm'!$F$4:$F$103,MATCH(B465,'Sản phẩm'!$D$4:$D$103,0)),0)</f>
        <v>0</v>
      </c>
      <c r="H465" s="67">
        <f t="shared" si="5"/>
        <v>0</v>
      </c>
      <c r="I465" s="46">
        <f t="shared" si="1"/>
        <v>0</v>
      </c>
      <c r="J465" s="46">
        <f t="array" ref="J465">IFERROR(INDEX('Sản phẩm'!$G$4:$G$103,MATCH(B465,'Sản phẩm'!$D$4:$D$103,0)),0)</f>
        <v>0</v>
      </c>
      <c r="K465" s="46">
        <f t="array" ref="K465">IFERROR(J465*INDEX('Mẻ sữa'!$N$4:$N$203,MATCH(D465,'Mẻ sữa'!$C$4:$C$203,0)),0)</f>
        <v>0</v>
      </c>
      <c r="L465" s="46">
        <f t="array" ref="L465">IFERROR(INDEX('Sản phẩm'!$I$4:$I$103,MATCH(B465,'Sản phẩm'!$D$4:$D$103,0)),0)</f>
        <v>0</v>
      </c>
      <c r="M465" s="72" t="str">
        <f t="array" ref="M465">IFERROR(INDEX('Sản phẩm'!$J$4:$J$103,MATCH(B465,'Sản phẩm'!$D$4:$D$103,0)),0)</f>
        <v/>
      </c>
      <c r="N465" s="46">
        <f>IF(B465="",0,(K465+L465+M465)*'Thiết lập'!$B$8)</f>
        <v>0</v>
      </c>
      <c r="O465" s="46">
        <f t="shared" si="2"/>
        <v>0</v>
      </c>
      <c r="P465" s="46">
        <f t="shared" si="3"/>
        <v>0</v>
      </c>
      <c r="Q465" s="46">
        <f t="shared" si="4"/>
        <v>0</v>
      </c>
      <c r="R465" s="71" t="str">
        <f t="array" ref="R465">IF(B465="","",INDEX('Bán nhanh'!$C$4:$C$103,INT((ROW()-4)/10)+1))</f>
        <v/>
      </c>
      <c r="S465" s="71" t="str">
        <f t="array" ref="S465">IF(B465="","",INDEX('Bán nhanh'!$P$4:$P$103,INT((ROW()-4)/10)+1))</f>
        <v/>
      </c>
      <c r="T465" s="58"/>
      <c r="U465" s="36"/>
      <c r="V465" s="36"/>
      <c r="W465" s="58"/>
      <c r="X465" s="36"/>
      <c r="Y465" s="36"/>
      <c r="Z465" s="36"/>
    </row>
    <row r="466" ht="15.75" customHeight="1">
      <c r="A466" s="70" t="str">
        <f t="array" ref="A466">IF(B466="","",INDEX('Bán nhanh'!$A$4:$A$103,INT((ROW()-4)/10)+1))</f>
        <v/>
      </c>
      <c r="B466" s="71" t="str">
        <f t="array" ref="B466">IF(OR(INDEX('Bán nhanh'!$D$3:$M$3,1,MOD(ROW()-4,10)+1)="",INDEX('Bán nhanh'!$D$4:$M$103,INT((ROW()-4)/10)+1,MOD(ROW()-4,10)+1)&lt;=0),"",INDEX('Bán nhanh'!$D$3:$M$3,1,MOD(ROW()-4,10)+1))</f>
        <v/>
      </c>
      <c r="C466" s="58" t="str">
        <f t="array" ref="C466">IFERROR(INDEX('Sản phẩm'!$A$4:$A$103,MATCH(B466,'Sản phẩm'!$D$4:$D$103,0)),"")</f>
        <v/>
      </c>
      <c r="D466" s="71" t="str">
        <f t="array" ref="D466">IF(B466="","",INDEX('Bán nhanh'!$B$4:$B$103,INT((ROW()-4)/10)+1))</f>
        <v/>
      </c>
      <c r="E466" s="58" t="str">
        <f t="array" ref="E466">IFERROR(INDEX('Mẻ sữa'!$B$4:$B$203,MATCH(D466,'Mẻ sữa'!$C$4:$C$203,0)),"")</f>
        <v/>
      </c>
      <c r="F466" s="66">
        <f t="array" ref="F466">IF(B466="",0,INDEX('Bán nhanh'!$D$4:$M$103,INT((ROW()-4)/10)+1,MOD(ROW()-4,10)+1))</f>
        <v>0</v>
      </c>
      <c r="G466" s="46">
        <f t="array" ref="G466">IFERROR(INDEX('Sản phẩm'!$F$4:$F$103,MATCH(B466,'Sản phẩm'!$D$4:$D$103,0)),0)</f>
        <v>0</v>
      </c>
      <c r="H466" s="67">
        <f t="shared" si="5"/>
        <v>0</v>
      </c>
      <c r="I466" s="46">
        <f t="shared" si="1"/>
        <v>0</v>
      </c>
      <c r="J466" s="46">
        <f t="array" ref="J466">IFERROR(INDEX('Sản phẩm'!$G$4:$G$103,MATCH(B466,'Sản phẩm'!$D$4:$D$103,0)),0)</f>
        <v>0</v>
      </c>
      <c r="K466" s="46">
        <f t="array" ref="K466">IFERROR(J466*INDEX('Mẻ sữa'!$N$4:$N$203,MATCH(D466,'Mẻ sữa'!$C$4:$C$203,0)),0)</f>
        <v>0</v>
      </c>
      <c r="L466" s="46">
        <f t="array" ref="L466">IFERROR(INDEX('Sản phẩm'!$I$4:$I$103,MATCH(B466,'Sản phẩm'!$D$4:$D$103,0)),0)</f>
        <v>0</v>
      </c>
      <c r="M466" s="72" t="str">
        <f t="array" ref="M466">IFERROR(INDEX('Sản phẩm'!$J$4:$J$103,MATCH(B466,'Sản phẩm'!$D$4:$D$103,0)),0)</f>
        <v/>
      </c>
      <c r="N466" s="46">
        <f>IF(B466="",0,(K466+L466+M466)*'Thiết lập'!$B$8)</f>
        <v>0</v>
      </c>
      <c r="O466" s="46">
        <f t="shared" si="2"/>
        <v>0</v>
      </c>
      <c r="P466" s="46">
        <f t="shared" si="3"/>
        <v>0</v>
      </c>
      <c r="Q466" s="46">
        <f t="shared" si="4"/>
        <v>0</v>
      </c>
      <c r="R466" s="71" t="str">
        <f t="array" ref="R466">IF(B466="","",INDEX('Bán nhanh'!$C$4:$C$103,INT((ROW()-4)/10)+1))</f>
        <v/>
      </c>
      <c r="S466" s="71" t="str">
        <f t="array" ref="S466">IF(B466="","",INDEX('Bán nhanh'!$P$4:$P$103,INT((ROW()-4)/10)+1))</f>
        <v/>
      </c>
      <c r="T466" s="58"/>
      <c r="U466" s="36"/>
      <c r="V466" s="36"/>
      <c r="W466" s="58"/>
      <c r="X466" s="36"/>
      <c r="Y466" s="36"/>
      <c r="Z466" s="36"/>
    </row>
    <row r="467" ht="15.75" customHeight="1">
      <c r="A467" s="70" t="str">
        <f t="array" ref="A467">IF(B467="","",INDEX('Bán nhanh'!$A$4:$A$103,INT((ROW()-4)/10)+1))</f>
        <v/>
      </c>
      <c r="B467" s="71" t="str">
        <f t="array" ref="B467">IF(OR(INDEX('Bán nhanh'!$D$3:$M$3,1,MOD(ROW()-4,10)+1)="",INDEX('Bán nhanh'!$D$4:$M$103,INT((ROW()-4)/10)+1,MOD(ROW()-4,10)+1)&lt;=0),"",INDEX('Bán nhanh'!$D$3:$M$3,1,MOD(ROW()-4,10)+1))</f>
        <v/>
      </c>
      <c r="C467" s="58" t="str">
        <f t="array" ref="C467">IFERROR(INDEX('Sản phẩm'!$A$4:$A$103,MATCH(B467,'Sản phẩm'!$D$4:$D$103,0)),"")</f>
        <v/>
      </c>
      <c r="D467" s="71" t="str">
        <f t="array" ref="D467">IF(B467="","",INDEX('Bán nhanh'!$B$4:$B$103,INT((ROW()-4)/10)+1))</f>
        <v/>
      </c>
      <c r="E467" s="58" t="str">
        <f t="array" ref="E467">IFERROR(INDEX('Mẻ sữa'!$B$4:$B$203,MATCH(D467,'Mẻ sữa'!$C$4:$C$203,0)),"")</f>
        <v/>
      </c>
      <c r="F467" s="66">
        <f t="array" ref="F467">IF(B467="",0,INDEX('Bán nhanh'!$D$4:$M$103,INT((ROW()-4)/10)+1,MOD(ROW()-4,10)+1))</f>
        <v>0</v>
      </c>
      <c r="G467" s="46">
        <f t="array" ref="G467">IFERROR(INDEX('Sản phẩm'!$F$4:$F$103,MATCH(B467,'Sản phẩm'!$D$4:$D$103,0)),0)</f>
        <v>0</v>
      </c>
      <c r="H467" s="67">
        <f t="shared" si="5"/>
        <v>0</v>
      </c>
      <c r="I467" s="46">
        <f t="shared" si="1"/>
        <v>0</v>
      </c>
      <c r="J467" s="46">
        <f t="array" ref="J467">IFERROR(INDEX('Sản phẩm'!$G$4:$G$103,MATCH(B467,'Sản phẩm'!$D$4:$D$103,0)),0)</f>
        <v>0</v>
      </c>
      <c r="K467" s="46">
        <f t="array" ref="K467">IFERROR(J467*INDEX('Mẻ sữa'!$N$4:$N$203,MATCH(D467,'Mẻ sữa'!$C$4:$C$203,0)),0)</f>
        <v>0</v>
      </c>
      <c r="L467" s="46">
        <f t="array" ref="L467">IFERROR(INDEX('Sản phẩm'!$I$4:$I$103,MATCH(B467,'Sản phẩm'!$D$4:$D$103,0)),0)</f>
        <v>0</v>
      </c>
      <c r="M467" s="72" t="str">
        <f t="array" ref="M467">IFERROR(INDEX('Sản phẩm'!$J$4:$J$103,MATCH(B467,'Sản phẩm'!$D$4:$D$103,0)),0)</f>
        <v/>
      </c>
      <c r="N467" s="46">
        <f>IF(B467="",0,(K467+L467+M467)*'Thiết lập'!$B$8)</f>
        <v>0</v>
      </c>
      <c r="O467" s="46">
        <f t="shared" si="2"/>
        <v>0</v>
      </c>
      <c r="P467" s="46">
        <f t="shared" si="3"/>
        <v>0</v>
      </c>
      <c r="Q467" s="46">
        <f t="shared" si="4"/>
        <v>0</v>
      </c>
      <c r="R467" s="71" t="str">
        <f t="array" ref="R467">IF(B467="","",INDEX('Bán nhanh'!$C$4:$C$103,INT((ROW()-4)/10)+1))</f>
        <v/>
      </c>
      <c r="S467" s="71" t="str">
        <f t="array" ref="S467">IF(B467="","",INDEX('Bán nhanh'!$P$4:$P$103,INT((ROW()-4)/10)+1))</f>
        <v/>
      </c>
      <c r="T467" s="58"/>
      <c r="U467" s="36"/>
      <c r="V467" s="36"/>
      <c r="W467" s="58"/>
      <c r="X467" s="36"/>
      <c r="Y467" s="36"/>
      <c r="Z467" s="36"/>
    </row>
    <row r="468" ht="15.75" customHeight="1">
      <c r="A468" s="70" t="str">
        <f t="array" ref="A468">IF(B468="","",INDEX('Bán nhanh'!$A$4:$A$103,INT((ROW()-4)/10)+1))</f>
        <v/>
      </c>
      <c r="B468" s="71" t="str">
        <f t="array" ref="B468">IF(OR(INDEX('Bán nhanh'!$D$3:$M$3,1,MOD(ROW()-4,10)+1)="",INDEX('Bán nhanh'!$D$4:$M$103,INT((ROW()-4)/10)+1,MOD(ROW()-4,10)+1)&lt;=0),"",INDEX('Bán nhanh'!$D$3:$M$3,1,MOD(ROW()-4,10)+1))</f>
        <v/>
      </c>
      <c r="C468" s="58" t="str">
        <f t="array" ref="C468">IFERROR(INDEX('Sản phẩm'!$A$4:$A$103,MATCH(B468,'Sản phẩm'!$D$4:$D$103,0)),"")</f>
        <v/>
      </c>
      <c r="D468" s="71" t="str">
        <f t="array" ref="D468">IF(B468="","",INDEX('Bán nhanh'!$B$4:$B$103,INT((ROW()-4)/10)+1))</f>
        <v/>
      </c>
      <c r="E468" s="58" t="str">
        <f t="array" ref="E468">IFERROR(INDEX('Mẻ sữa'!$B$4:$B$203,MATCH(D468,'Mẻ sữa'!$C$4:$C$203,0)),"")</f>
        <v/>
      </c>
      <c r="F468" s="66">
        <f t="array" ref="F468">IF(B468="",0,INDEX('Bán nhanh'!$D$4:$M$103,INT((ROW()-4)/10)+1,MOD(ROW()-4,10)+1))</f>
        <v>0</v>
      </c>
      <c r="G468" s="46">
        <f t="array" ref="G468">IFERROR(INDEX('Sản phẩm'!$F$4:$F$103,MATCH(B468,'Sản phẩm'!$D$4:$D$103,0)),0)</f>
        <v>0</v>
      </c>
      <c r="H468" s="67">
        <f t="shared" si="5"/>
        <v>0</v>
      </c>
      <c r="I468" s="46">
        <f t="shared" si="1"/>
        <v>0</v>
      </c>
      <c r="J468" s="46">
        <f t="array" ref="J468">IFERROR(INDEX('Sản phẩm'!$G$4:$G$103,MATCH(B468,'Sản phẩm'!$D$4:$D$103,0)),0)</f>
        <v>0</v>
      </c>
      <c r="K468" s="46">
        <f t="array" ref="K468">IFERROR(J468*INDEX('Mẻ sữa'!$N$4:$N$203,MATCH(D468,'Mẻ sữa'!$C$4:$C$203,0)),0)</f>
        <v>0</v>
      </c>
      <c r="L468" s="46">
        <f t="array" ref="L468">IFERROR(INDEX('Sản phẩm'!$I$4:$I$103,MATCH(B468,'Sản phẩm'!$D$4:$D$103,0)),0)</f>
        <v>0</v>
      </c>
      <c r="M468" s="72" t="str">
        <f t="array" ref="M468">IFERROR(INDEX('Sản phẩm'!$J$4:$J$103,MATCH(B468,'Sản phẩm'!$D$4:$D$103,0)),0)</f>
        <v/>
      </c>
      <c r="N468" s="46">
        <f>IF(B468="",0,(K468+L468+M468)*'Thiết lập'!$B$8)</f>
        <v>0</v>
      </c>
      <c r="O468" s="46">
        <f t="shared" si="2"/>
        <v>0</v>
      </c>
      <c r="P468" s="46">
        <f t="shared" si="3"/>
        <v>0</v>
      </c>
      <c r="Q468" s="46">
        <f t="shared" si="4"/>
        <v>0</v>
      </c>
      <c r="R468" s="71" t="str">
        <f t="array" ref="R468">IF(B468="","",INDEX('Bán nhanh'!$C$4:$C$103,INT((ROW()-4)/10)+1))</f>
        <v/>
      </c>
      <c r="S468" s="71" t="str">
        <f t="array" ref="S468">IF(B468="","",INDEX('Bán nhanh'!$P$4:$P$103,INT((ROW()-4)/10)+1))</f>
        <v/>
      </c>
      <c r="T468" s="58"/>
      <c r="U468" s="36"/>
      <c r="V468" s="36"/>
      <c r="W468" s="58"/>
      <c r="X468" s="36"/>
      <c r="Y468" s="36"/>
      <c r="Z468" s="36"/>
    </row>
    <row r="469" ht="15.75" customHeight="1">
      <c r="A469" s="70" t="str">
        <f t="array" ref="A469">IF(B469="","",INDEX('Bán nhanh'!$A$4:$A$103,INT((ROW()-4)/10)+1))</f>
        <v/>
      </c>
      <c r="B469" s="71" t="str">
        <f t="array" ref="B469">IF(OR(INDEX('Bán nhanh'!$D$3:$M$3,1,MOD(ROW()-4,10)+1)="",INDEX('Bán nhanh'!$D$4:$M$103,INT((ROW()-4)/10)+1,MOD(ROW()-4,10)+1)&lt;=0),"",INDEX('Bán nhanh'!$D$3:$M$3,1,MOD(ROW()-4,10)+1))</f>
        <v/>
      </c>
      <c r="C469" s="58" t="str">
        <f t="array" ref="C469">IFERROR(INDEX('Sản phẩm'!$A$4:$A$103,MATCH(B469,'Sản phẩm'!$D$4:$D$103,0)),"")</f>
        <v/>
      </c>
      <c r="D469" s="71" t="str">
        <f t="array" ref="D469">IF(B469="","",INDEX('Bán nhanh'!$B$4:$B$103,INT((ROW()-4)/10)+1))</f>
        <v/>
      </c>
      <c r="E469" s="58" t="str">
        <f t="array" ref="E469">IFERROR(INDEX('Mẻ sữa'!$B$4:$B$203,MATCH(D469,'Mẻ sữa'!$C$4:$C$203,0)),"")</f>
        <v/>
      </c>
      <c r="F469" s="66">
        <f t="array" ref="F469">IF(B469="",0,INDEX('Bán nhanh'!$D$4:$M$103,INT((ROW()-4)/10)+1,MOD(ROW()-4,10)+1))</f>
        <v>0</v>
      </c>
      <c r="G469" s="46">
        <f t="array" ref="G469">IFERROR(INDEX('Sản phẩm'!$F$4:$F$103,MATCH(B469,'Sản phẩm'!$D$4:$D$103,0)),0)</f>
        <v>0</v>
      </c>
      <c r="H469" s="67">
        <f t="shared" si="5"/>
        <v>0</v>
      </c>
      <c r="I469" s="46">
        <f t="shared" si="1"/>
        <v>0</v>
      </c>
      <c r="J469" s="46">
        <f t="array" ref="J469">IFERROR(INDEX('Sản phẩm'!$G$4:$G$103,MATCH(B469,'Sản phẩm'!$D$4:$D$103,0)),0)</f>
        <v>0</v>
      </c>
      <c r="K469" s="46">
        <f t="array" ref="K469">IFERROR(J469*INDEX('Mẻ sữa'!$N$4:$N$203,MATCH(D469,'Mẻ sữa'!$C$4:$C$203,0)),0)</f>
        <v>0</v>
      </c>
      <c r="L469" s="46">
        <f t="array" ref="L469">IFERROR(INDEX('Sản phẩm'!$I$4:$I$103,MATCH(B469,'Sản phẩm'!$D$4:$D$103,0)),0)</f>
        <v>0</v>
      </c>
      <c r="M469" s="72" t="str">
        <f t="array" ref="M469">IFERROR(INDEX('Sản phẩm'!$J$4:$J$103,MATCH(B469,'Sản phẩm'!$D$4:$D$103,0)),0)</f>
        <v/>
      </c>
      <c r="N469" s="46">
        <f>IF(B469="",0,(K469+L469+M469)*'Thiết lập'!$B$8)</f>
        <v>0</v>
      </c>
      <c r="O469" s="46">
        <f t="shared" si="2"/>
        <v>0</v>
      </c>
      <c r="P469" s="46">
        <f t="shared" si="3"/>
        <v>0</v>
      </c>
      <c r="Q469" s="46">
        <f t="shared" si="4"/>
        <v>0</v>
      </c>
      <c r="R469" s="71" t="str">
        <f t="array" ref="R469">IF(B469="","",INDEX('Bán nhanh'!$C$4:$C$103,INT((ROW()-4)/10)+1))</f>
        <v/>
      </c>
      <c r="S469" s="71" t="str">
        <f t="array" ref="S469">IF(B469="","",INDEX('Bán nhanh'!$P$4:$P$103,INT((ROW()-4)/10)+1))</f>
        <v/>
      </c>
      <c r="T469" s="58"/>
      <c r="U469" s="36"/>
      <c r="V469" s="36"/>
      <c r="W469" s="58"/>
      <c r="X469" s="36"/>
      <c r="Y469" s="36"/>
      <c r="Z469" s="36"/>
    </row>
    <row r="470" ht="15.75" customHeight="1">
      <c r="A470" s="70" t="str">
        <f t="array" ref="A470">IF(B470="","",INDEX('Bán nhanh'!$A$4:$A$103,INT((ROW()-4)/10)+1))</f>
        <v/>
      </c>
      <c r="B470" s="71" t="str">
        <f t="array" ref="B470">IF(OR(INDEX('Bán nhanh'!$D$3:$M$3,1,MOD(ROW()-4,10)+1)="",INDEX('Bán nhanh'!$D$4:$M$103,INT((ROW()-4)/10)+1,MOD(ROW()-4,10)+1)&lt;=0),"",INDEX('Bán nhanh'!$D$3:$M$3,1,MOD(ROW()-4,10)+1))</f>
        <v/>
      </c>
      <c r="C470" s="58" t="str">
        <f t="array" ref="C470">IFERROR(INDEX('Sản phẩm'!$A$4:$A$103,MATCH(B470,'Sản phẩm'!$D$4:$D$103,0)),"")</f>
        <v/>
      </c>
      <c r="D470" s="71" t="str">
        <f t="array" ref="D470">IF(B470="","",INDEX('Bán nhanh'!$B$4:$B$103,INT((ROW()-4)/10)+1))</f>
        <v/>
      </c>
      <c r="E470" s="58" t="str">
        <f t="array" ref="E470">IFERROR(INDEX('Mẻ sữa'!$B$4:$B$203,MATCH(D470,'Mẻ sữa'!$C$4:$C$203,0)),"")</f>
        <v/>
      </c>
      <c r="F470" s="66">
        <f t="array" ref="F470">IF(B470="",0,INDEX('Bán nhanh'!$D$4:$M$103,INT((ROW()-4)/10)+1,MOD(ROW()-4,10)+1))</f>
        <v>0</v>
      </c>
      <c r="G470" s="46">
        <f t="array" ref="G470">IFERROR(INDEX('Sản phẩm'!$F$4:$F$103,MATCH(B470,'Sản phẩm'!$D$4:$D$103,0)),0)</f>
        <v>0</v>
      </c>
      <c r="H470" s="67">
        <f t="shared" si="5"/>
        <v>0</v>
      </c>
      <c r="I470" s="46">
        <f t="shared" si="1"/>
        <v>0</v>
      </c>
      <c r="J470" s="46">
        <f t="array" ref="J470">IFERROR(INDEX('Sản phẩm'!$G$4:$G$103,MATCH(B470,'Sản phẩm'!$D$4:$D$103,0)),0)</f>
        <v>0</v>
      </c>
      <c r="K470" s="46">
        <f t="array" ref="K470">IFERROR(J470*INDEX('Mẻ sữa'!$N$4:$N$203,MATCH(D470,'Mẻ sữa'!$C$4:$C$203,0)),0)</f>
        <v>0</v>
      </c>
      <c r="L470" s="46">
        <f t="array" ref="L470">IFERROR(INDEX('Sản phẩm'!$I$4:$I$103,MATCH(B470,'Sản phẩm'!$D$4:$D$103,0)),0)</f>
        <v>0</v>
      </c>
      <c r="M470" s="72" t="str">
        <f t="array" ref="M470">IFERROR(INDEX('Sản phẩm'!$J$4:$J$103,MATCH(B470,'Sản phẩm'!$D$4:$D$103,0)),0)</f>
        <v/>
      </c>
      <c r="N470" s="46">
        <f>IF(B470="",0,(K470+L470+M470)*'Thiết lập'!$B$8)</f>
        <v>0</v>
      </c>
      <c r="O470" s="46">
        <f t="shared" si="2"/>
        <v>0</v>
      </c>
      <c r="P470" s="46">
        <f t="shared" si="3"/>
        <v>0</v>
      </c>
      <c r="Q470" s="46">
        <f t="shared" si="4"/>
        <v>0</v>
      </c>
      <c r="R470" s="71" t="str">
        <f t="array" ref="R470">IF(B470="","",INDEX('Bán nhanh'!$C$4:$C$103,INT((ROW()-4)/10)+1))</f>
        <v/>
      </c>
      <c r="S470" s="71" t="str">
        <f t="array" ref="S470">IF(B470="","",INDEX('Bán nhanh'!$P$4:$P$103,INT((ROW()-4)/10)+1))</f>
        <v/>
      </c>
      <c r="T470" s="58"/>
      <c r="U470" s="36"/>
      <c r="V470" s="36"/>
      <c r="W470" s="58"/>
      <c r="X470" s="36"/>
      <c r="Y470" s="36"/>
      <c r="Z470" s="36"/>
    </row>
    <row r="471" ht="15.75" customHeight="1">
      <c r="A471" s="70" t="str">
        <f t="array" ref="A471">IF(B471="","",INDEX('Bán nhanh'!$A$4:$A$103,INT((ROW()-4)/10)+1))</f>
        <v/>
      </c>
      <c r="B471" s="71" t="str">
        <f t="array" ref="B471">IF(OR(INDEX('Bán nhanh'!$D$3:$M$3,1,MOD(ROW()-4,10)+1)="",INDEX('Bán nhanh'!$D$4:$M$103,INT((ROW()-4)/10)+1,MOD(ROW()-4,10)+1)&lt;=0),"",INDEX('Bán nhanh'!$D$3:$M$3,1,MOD(ROW()-4,10)+1))</f>
        <v/>
      </c>
      <c r="C471" s="58" t="str">
        <f t="array" ref="C471">IFERROR(INDEX('Sản phẩm'!$A$4:$A$103,MATCH(B471,'Sản phẩm'!$D$4:$D$103,0)),"")</f>
        <v/>
      </c>
      <c r="D471" s="71" t="str">
        <f t="array" ref="D471">IF(B471="","",INDEX('Bán nhanh'!$B$4:$B$103,INT((ROW()-4)/10)+1))</f>
        <v/>
      </c>
      <c r="E471" s="58" t="str">
        <f t="array" ref="E471">IFERROR(INDEX('Mẻ sữa'!$B$4:$B$203,MATCH(D471,'Mẻ sữa'!$C$4:$C$203,0)),"")</f>
        <v/>
      </c>
      <c r="F471" s="66">
        <f t="array" ref="F471">IF(B471="",0,INDEX('Bán nhanh'!$D$4:$M$103,INT((ROW()-4)/10)+1,MOD(ROW()-4,10)+1))</f>
        <v>0</v>
      </c>
      <c r="G471" s="46">
        <f t="array" ref="G471">IFERROR(INDEX('Sản phẩm'!$F$4:$F$103,MATCH(B471,'Sản phẩm'!$D$4:$D$103,0)),0)</f>
        <v>0</v>
      </c>
      <c r="H471" s="67">
        <f t="shared" si="5"/>
        <v>0</v>
      </c>
      <c r="I471" s="46">
        <f t="shared" si="1"/>
        <v>0</v>
      </c>
      <c r="J471" s="46">
        <f t="array" ref="J471">IFERROR(INDEX('Sản phẩm'!$G$4:$G$103,MATCH(B471,'Sản phẩm'!$D$4:$D$103,0)),0)</f>
        <v>0</v>
      </c>
      <c r="K471" s="46">
        <f t="array" ref="K471">IFERROR(J471*INDEX('Mẻ sữa'!$N$4:$N$203,MATCH(D471,'Mẻ sữa'!$C$4:$C$203,0)),0)</f>
        <v>0</v>
      </c>
      <c r="L471" s="46">
        <f t="array" ref="L471">IFERROR(INDEX('Sản phẩm'!$I$4:$I$103,MATCH(B471,'Sản phẩm'!$D$4:$D$103,0)),0)</f>
        <v>0</v>
      </c>
      <c r="M471" s="72" t="str">
        <f t="array" ref="M471">IFERROR(INDEX('Sản phẩm'!$J$4:$J$103,MATCH(B471,'Sản phẩm'!$D$4:$D$103,0)),0)</f>
        <v/>
      </c>
      <c r="N471" s="46">
        <f>IF(B471="",0,(K471+L471+M471)*'Thiết lập'!$B$8)</f>
        <v>0</v>
      </c>
      <c r="O471" s="46">
        <f t="shared" si="2"/>
        <v>0</v>
      </c>
      <c r="P471" s="46">
        <f t="shared" si="3"/>
        <v>0</v>
      </c>
      <c r="Q471" s="46">
        <f t="shared" si="4"/>
        <v>0</v>
      </c>
      <c r="R471" s="71" t="str">
        <f t="array" ref="R471">IF(B471="","",INDEX('Bán nhanh'!$C$4:$C$103,INT((ROW()-4)/10)+1))</f>
        <v/>
      </c>
      <c r="S471" s="71" t="str">
        <f t="array" ref="S471">IF(B471="","",INDEX('Bán nhanh'!$P$4:$P$103,INT((ROW()-4)/10)+1))</f>
        <v/>
      </c>
      <c r="T471" s="58"/>
      <c r="U471" s="36"/>
      <c r="V471" s="36"/>
      <c r="W471" s="58"/>
      <c r="X471" s="36"/>
      <c r="Y471" s="36"/>
      <c r="Z471" s="36"/>
    </row>
    <row r="472" ht="15.75" customHeight="1">
      <c r="A472" s="70" t="str">
        <f t="array" ref="A472">IF(B472="","",INDEX('Bán nhanh'!$A$4:$A$103,INT((ROW()-4)/10)+1))</f>
        <v/>
      </c>
      <c r="B472" s="71" t="str">
        <f t="array" ref="B472">IF(OR(INDEX('Bán nhanh'!$D$3:$M$3,1,MOD(ROW()-4,10)+1)="",INDEX('Bán nhanh'!$D$4:$M$103,INT((ROW()-4)/10)+1,MOD(ROW()-4,10)+1)&lt;=0),"",INDEX('Bán nhanh'!$D$3:$M$3,1,MOD(ROW()-4,10)+1))</f>
        <v/>
      </c>
      <c r="C472" s="58" t="str">
        <f t="array" ref="C472">IFERROR(INDEX('Sản phẩm'!$A$4:$A$103,MATCH(B472,'Sản phẩm'!$D$4:$D$103,0)),"")</f>
        <v/>
      </c>
      <c r="D472" s="71" t="str">
        <f t="array" ref="D472">IF(B472="","",INDEX('Bán nhanh'!$B$4:$B$103,INT((ROW()-4)/10)+1))</f>
        <v/>
      </c>
      <c r="E472" s="58" t="str">
        <f t="array" ref="E472">IFERROR(INDEX('Mẻ sữa'!$B$4:$B$203,MATCH(D472,'Mẻ sữa'!$C$4:$C$203,0)),"")</f>
        <v/>
      </c>
      <c r="F472" s="66">
        <f t="array" ref="F472">IF(B472="",0,INDEX('Bán nhanh'!$D$4:$M$103,INT((ROW()-4)/10)+1,MOD(ROW()-4,10)+1))</f>
        <v>0</v>
      </c>
      <c r="G472" s="46">
        <f t="array" ref="G472">IFERROR(INDEX('Sản phẩm'!$F$4:$F$103,MATCH(B472,'Sản phẩm'!$D$4:$D$103,0)),0)</f>
        <v>0</v>
      </c>
      <c r="H472" s="67">
        <f t="shared" si="5"/>
        <v>0</v>
      </c>
      <c r="I472" s="46">
        <f t="shared" si="1"/>
        <v>0</v>
      </c>
      <c r="J472" s="46">
        <f t="array" ref="J472">IFERROR(INDEX('Sản phẩm'!$G$4:$G$103,MATCH(B472,'Sản phẩm'!$D$4:$D$103,0)),0)</f>
        <v>0</v>
      </c>
      <c r="K472" s="46">
        <f t="array" ref="K472">IFERROR(J472*INDEX('Mẻ sữa'!$N$4:$N$203,MATCH(D472,'Mẻ sữa'!$C$4:$C$203,0)),0)</f>
        <v>0</v>
      </c>
      <c r="L472" s="46">
        <f t="array" ref="L472">IFERROR(INDEX('Sản phẩm'!$I$4:$I$103,MATCH(B472,'Sản phẩm'!$D$4:$D$103,0)),0)</f>
        <v>0</v>
      </c>
      <c r="M472" s="72" t="str">
        <f t="array" ref="M472">IFERROR(INDEX('Sản phẩm'!$J$4:$J$103,MATCH(B472,'Sản phẩm'!$D$4:$D$103,0)),0)</f>
        <v/>
      </c>
      <c r="N472" s="46">
        <f>IF(B472="",0,(K472+L472+M472)*'Thiết lập'!$B$8)</f>
        <v>0</v>
      </c>
      <c r="O472" s="46">
        <f t="shared" si="2"/>
        <v>0</v>
      </c>
      <c r="P472" s="46">
        <f t="shared" si="3"/>
        <v>0</v>
      </c>
      <c r="Q472" s="46">
        <f t="shared" si="4"/>
        <v>0</v>
      </c>
      <c r="R472" s="71" t="str">
        <f t="array" ref="R472">IF(B472="","",INDEX('Bán nhanh'!$C$4:$C$103,INT((ROW()-4)/10)+1))</f>
        <v/>
      </c>
      <c r="S472" s="71" t="str">
        <f t="array" ref="S472">IF(B472="","",INDEX('Bán nhanh'!$P$4:$P$103,INT((ROW()-4)/10)+1))</f>
        <v/>
      </c>
      <c r="T472" s="58"/>
      <c r="U472" s="36"/>
      <c r="V472" s="36"/>
      <c r="W472" s="58"/>
      <c r="X472" s="36"/>
      <c r="Y472" s="36"/>
      <c r="Z472" s="36"/>
    </row>
    <row r="473" ht="15.75" customHeight="1">
      <c r="A473" s="70" t="str">
        <f t="array" ref="A473">IF(B473="","",INDEX('Bán nhanh'!$A$4:$A$103,INT((ROW()-4)/10)+1))</f>
        <v/>
      </c>
      <c r="B473" s="71" t="str">
        <f t="array" ref="B473">IF(OR(INDEX('Bán nhanh'!$D$3:$M$3,1,MOD(ROW()-4,10)+1)="",INDEX('Bán nhanh'!$D$4:$M$103,INT((ROW()-4)/10)+1,MOD(ROW()-4,10)+1)&lt;=0),"",INDEX('Bán nhanh'!$D$3:$M$3,1,MOD(ROW()-4,10)+1))</f>
        <v/>
      </c>
      <c r="C473" s="58" t="str">
        <f t="array" ref="C473">IFERROR(INDEX('Sản phẩm'!$A$4:$A$103,MATCH(B473,'Sản phẩm'!$D$4:$D$103,0)),"")</f>
        <v/>
      </c>
      <c r="D473" s="71" t="str">
        <f t="array" ref="D473">IF(B473="","",INDEX('Bán nhanh'!$B$4:$B$103,INT((ROW()-4)/10)+1))</f>
        <v/>
      </c>
      <c r="E473" s="58" t="str">
        <f t="array" ref="E473">IFERROR(INDEX('Mẻ sữa'!$B$4:$B$203,MATCH(D473,'Mẻ sữa'!$C$4:$C$203,0)),"")</f>
        <v/>
      </c>
      <c r="F473" s="66">
        <f t="array" ref="F473">IF(B473="",0,INDEX('Bán nhanh'!$D$4:$M$103,INT((ROW()-4)/10)+1,MOD(ROW()-4,10)+1))</f>
        <v>0</v>
      </c>
      <c r="G473" s="46">
        <f t="array" ref="G473">IFERROR(INDEX('Sản phẩm'!$F$4:$F$103,MATCH(B473,'Sản phẩm'!$D$4:$D$103,0)),0)</f>
        <v>0</v>
      </c>
      <c r="H473" s="67">
        <f t="shared" si="5"/>
        <v>0</v>
      </c>
      <c r="I473" s="46">
        <f t="shared" si="1"/>
        <v>0</v>
      </c>
      <c r="J473" s="46">
        <f t="array" ref="J473">IFERROR(INDEX('Sản phẩm'!$G$4:$G$103,MATCH(B473,'Sản phẩm'!$D$4:$D$103,0)),0)</f>
        <v>0</v>
      </c>
      <c r="K473" s="46">
        <f t="array" ref="K473">IFERROR(J473*INDEX('Mẻ sữa'!$N$4:$N$203,MATCH(D473,'Mẻ sữa'!$C$4:$C$203,0)),0)</f>
        <v>0</v>
      </c>
      <c r="L473" s="46">
        <f t="array" ref="L473">IFERROR(INDEX('Sản phẩm'!$I$4:$I$103,MATCH(B473,'Sản phẩm'!$D$4:$D$103,0)),0)</f>
        <v>0</v>
      </c>
      <c r="M473" s="72" t="str">
        <f t="array" ref="M473">IFERROR(INDEX('Sản phẩm'!$J$4:$J$103,MATCH(B473,'Sản phẩm'!$D$4:$D$103,0)),0)</f>
        <v/>
      </c>
      <c r="N473" s="46">
        <f>IF(B473="",0,(K473+L473+M473)*'Thiết lập'!$B$8)</f>
        <v>0</v>
      </c>
      <c r="O473" s="46">
        <f t="shared" si="2"/>
        <v>0</v>
      </c>
      <c r="P473" s="46">
        <f t="shared" si="3"/>
        <v>0</v>
      </c>
      <c r="Q473" s="46">
        <f t="shared" si="4"/>
        <v>0</v>
      </c>
      <c r="R473" s="71" t="str">
        <f t="array" ref="R473">IF(B473="","",INDEX('Bán nhanh'!$C$4:$C$103,INT((ROW()-4)/10)+1))</f>
        <v/>
      </c>
      <c r="S473" s="71" t="str">
        <f t="array" ref="S473">IF(B473="","",INDEX('Bán nhanh'!$P$4:$P$103,INT((ROW()-4)/10)+1))</f>
        <v/>
      </c>
      <c r="T473" s="58"/>
      <c r="U473" s="36"/>
      <c r="V473" s="36"/>
      <c r="W473" s="58"/>
      <c r="X473" s="36"/>
      <c r="Y473" s="36"/>
      <c r="Z473" s="36"/>
    </row>
    <row r="474" ht="15.75" customHeight="1">
      <c r="A474" s="70" t="str">
        <f t="array" ref="A474">IF(B474="","",INDEX('Bán nhanh'!$A$4:$A$103,INT((ROW()-4)/10)+1))</f>
        <v/>
      </c>
      <c r="B474" s="71" t="str">
        <f t="array" ref="B474">IF(OR(INDEX('Bán nhanh'!$D$3:$M$3,1,MOD(ROW()-4,10)+1)="",INDEX('Bán nhanh'!$D$4:$M$103,INT((ROW()-4)/10)+1,MOD(ROW()-4,10)+1)&lt;=0),"",INDEX('Bán nhanh'!$D$3:$M$3,1,MOD(ROW()-4,10)+1))</f>
        <v/>
      </c>
      <c r="C474" s="58" t="str">
        <f t="array" ref="C474">IFERROR(INDEX('Sản phẩm'!$A$4:$A$103,MATCH(B474,'Sản phẩm'!$D$4:$D$103,0)),"")</f>
        <v/>
      </c>
      <c r="D474" s="71" t="str">
        <f t="array" ref="D474">IF(B474="","",INDEX('Bán nhanh'!$B$4:$B$103,INT((ROW()-4)/10)+1))</f>
        <v/>
      </c>
      <c r="E474" s="58" t="str">
        <f t="array" ref="E474">IFERROR(INDEX('Mẻ sữa'!$B$4:$B$203,MATCH(D474,'Mẻ sữa'!$C$4:$C$203,0)),"")</f>
        <v/>
      </c>
      <c r="F474" s="66">
        <f t="array" ref="F474">IF(B474="",0,INDEX('Bán nhanh'!$D$4:$M$103,INT((ROW()-4)/10)+1,MOD(ROW()-4,10)+1))</f>
        <v>0</v>
      </c>
      <c r="G474" s="46">
        <f t="array" ref="G474">IFERROR(INDEX('Sản phẩm'!$F$4:$F$103,MATCH(B474,'Sản phẩm'!$D$4:$D$103,0)),0)</f>
        <v>0</v>
      </c>
      <c r="H474" s="67">
        <f t="shared" si="5"/>
        <v>0</v>
      </c>
      <c r="I474" s="46">
        <f t="shared" si="1"/>
        <v>0</v>
      </c>
      <c r="J474" s="46">
        <f t="array" ref="J474">IFERROR(INDEX('Sản phẩm'!$G$4:$G$103,MATCH(B474,'Sản phẩm'!$D$4:$D$103,0)),0)</f>
        <v>0</v>
      </c>
      <c r="K474" s="46">
        <f t="array" ref="K474">IFERROR(J474*INDEX('Mẻ sữa'!$N$4:$N$203,MATCH(D474,'Mẻ sữa'!$C$4:$C$203,0)),0)</f>
        <v>0</v>
      </c>
      <c r="L474" s="46">
        <f t="array" ref="L474">IFERROR(INDEX('Sản phẩm'!$I$4:$I$103,MATCH(B474,'Sản phẩm'!$D$4:$D$103,0)),0)</f>
        <v>0</v>
      </c>
      <c r="M474" s="72" t="str">
        <f t="array" ref="M474">IFERROR(INDEX('Sản phẩm'!$J$4:$J$103,MATCH(B474,'Sản phẩm'!$D$4:$D$103,0)),0)</f>
        <v/>
      </c>
      <c r="N474" s="46">
        <f>IF(B474="",0,(K474+L474+M474)*'Thiết lập'!$B$8)</f>
        <v>0</v>
      </c>
      <c r="O474" s="46">
        <f t="shared" si="2"/>
        <v>0</v>
      </c>
      <c r="P474" s="46">
        <f t="shared" si="3"/>
        <v>0</v>
      </c>
      <c r="Q474" s="46">
        <f t="shared" si="4"/>
        <v>0</v>
      </c>
      <c r="R474" s="71" t="str">
        <f t="array" ref="R474">IF(B474="","",INDEX('Bán nhanh'!$C$4:$C$103,INT((ROW()-4)/10)+1))</f>
        <v/>
      </c>
      <c r="S474" s="71" t="str">
        <f t="array" ref="S474">IF(B474="","",INDEX('Bán nhanh'!$P$4:$P$103,INT((ROW()-4)/10)+1))</f>
        <v/>
      </c>
      <c r="T474" s="58"/>
      <c r="U474" s="36"/>
      <c r="V474" s="36"/>
      <c r="W474" s="58"/>
      <c r="X474" s="36"/>
      <c r="Y474" s="36"/>
      <c r="Z474" s="36"/>
    </row>
    <row r="475" ht="15.75" customHeight="1">
      <c r="A475" s="70" t="str">
        <f t="array" ref="A475">IF(B475="","",INDEX('Bán nhanh'!$A$4:$A$103,INT((ROW()-4)/10)+1))</f>
        <v/>
      </c>
      <c r="B475" s="71" t="str">
        <f t="array" ref="B475">IF(OR(INDEX('Bán nhanh'!$D$3:$M$3,1,MOD(ROW()-4,10)+1)="",INDEX('Bán nhanh'!$D$4:$M$103,INT((ROW()-4)/10)+1,MOD(ROW()-4,10)+1)&lt;=0),"",INDEX('Bán nhanh'!$D$3:$M$3,1,MOD(ROW()-4,10)+1))</f>
        <v/>
      </c>
      <c r="C475" s="58" t="str">
        <f t="array" ref="C475">IFERROR(INDEX('Sản phẩm'!$A$4:$A$103,MATCH(B475,'Sản phẩm'!$D$4:$D$103,0)),"")</f>
        <v/>
      </c>
      <c r="D475" s="71" t="str">
        <f t="array" ref="D475">IF(B475="","",INDEX('Bán nhanh'!$B$4:$B$103,INT((ROW()-4)/10)+1))</f>
        <v/>
      </c>
      <c r="E475" s="58" t="str">
        <f t="array" ref="E475">IFERROR(INDEX('Mẻ sữa'!$B$4:$B$203,MATCH(D475,'Mẻ sữa'!$C$4:$C$203,0)),"")</f>
        <v/>
      </c>
      <c r="F475" s="66">
        <f t="array" ref="F475">IF(B475="",0,INDEX('Bán nhanh'!$D$4:$M$103,INT((ROW()-4)/10)+1,MOD(ROW()-4,10)+1))</f>
        <v>0</v>
      </c>
      <c r="G475" s="46">
        <f t="array" ref="G475">IFERROR(INDEX('Sản phẩm'!$F$4:$F$103,MATCH(B475,'Sản phẩm'!$D$4:$D$103,0)),0)</f>
        <v>0</v>
      </c>
      <c r="H475" s="67">
        <f t="shared" si="5"/>
        <v>0</v>
      </c>
      <c r="I475" s="46">
        <f t="shared" si="1"/>
        <v>0</v>
      </c>
      <c r="J475" s="46">
        <f t="array" ref="J475">IFERROR(INDEX('Sản phẩm'!$G$4:$G$103,MATCH(B475,'Sản phẩm'!$D$4:$D$103,0)),0)</f>
        <v>0</v>
      </c>
      <c r="K475" s="46">
        <f t="array" ref="K475">IFERROR(J475*INDEX('Mẻ sữa'!$N$4:$N$203,MATCH(D475,'Mẻ sữa'!$C$4:$C$203,0)),0)</f>
        <v>0</v>
      </c>
      <c r="L475" s="46">
        <f t="array" ref="L475">IFERROR(INDEX('Sản phẩm'!$I$4:$I$103,MATCH(B475,'Sản phẩm'!$D$4:$D$103,0)),0)</f>
        <v>0</v>
      </c>
      <c r="M475" s="72" t="str">
        <f t="array" ref="M475">IFERROR(INDEX('Sản phẩm'!$J$4:$J$103,MATCH(B475,'Sản phẩm'!$D$4:$D$103,0)),0)</f>
        <v/>
      </c>
      <c r="N475" s="46">
        <f>IF(B475="",0,(K475+L475+M475)*'Thiết lập'!$B$8)</f>
        <v>0</v>
      </c>
      <c r="O475" s="46">
        <f t="shared" si="2"/>
        <v>0</v>
      </c>
      <c r="P475" s="46">
        <f t="shared" si="3"/>
        <v>0</v>
      </c>
      <c r="Q475" s="46">
        <f t="shared" si="4"/>
        <v>0</v>
      </c>
      <c r="R475" s="71" t="str">
        <f t="array" ref="R475">IF(B475="","",INDEX('Bán nhanh'!$C$4:$C$103,INT((ROW()-4)/10)+1))</f>
        <v/>
      </c>
      <c r="S475" s="71" t="str">
        <f t="array" ref="S475">IF(B475="","",INDEX('Bán nhanh'!$P$4:$P$103,INT((ROW()-4)/10)+1))</f>
        <v/>
      </c>
      <c r="T475" s="58"/>
      <c r="U475" s="36"/>
      <c r="V475" s="36"/>
      <c r="W475" s="58"/>
      <c r="X475" s="36"/>
      <c r="Y475" s="36"/>
      <c r="Z475" s="36"/>
    </row>
    <row r="476" ht="15.75" customHeight="1">
      <c r="A476" s="70" t="str">
        <f t="array" ref="A476">IF(B476="","",INDEX('Bán nhanh'!$A$4:$A$103,INT((ROW()-4)/10)+1))</f>
        <v/>
      </c>
      <c r="B476" s="71" t="str">
        <f t="array" ref="B476">IF(OR(INDEX('Bán nhanh'!$D$3:$M$3,1,MOD(ROW()-4,10)+1)="",INDEX('Bán nhanh'!$D$4:$M$103,INT((ROW()-4)/10)+1,MOD(ROW()-4,10)+1)&lt;=0),"",INDEX('Bán nhanh'!$D$3:$M$3,1,MOD(ROW()-4,10)+1))</f>
        <v/>
      </c>
      <c r="C476" s="58" t="str">
        <f t="array" ref="C476">IFERROR(INDEX('Sản phẩm'!$A$4:$A$103,MATCH(B476,'Sản phẩm'!$D$4:$D$103,0)),"")</f>
        <v/>
      </c>
      <c r="D476" s="71" t="str">
        <f t="array" ref="D476">IF(B476="","",INDEX('Bán nhanh'!$B$4:$B$103,INT((ROW()-4)/10)+1))</f>
        <v/>
      </c>
      <c r="E476" s="58" t="str">
        <f t="array" ref="E476">IFERROR(INDEX('Mẻ sữa'!$B$4:$B$203,MATCH(D476,'Mẻ sữa'!$C$4:$C$203,0)),"")</f>
        <v/>
      </c>
      <c r="F476" s="66">
        <f t="array" ref="F476">IF(B476="",0,INDEX('Bán nhanh'!$D$4:$M$103,INT((ROW()-4)/10)+1,MOD(ROW()-4,10)+1))</f>
        <v>0</v>
      </c>
      <c r="G476" s="46">
        <f t="array" ref="G476">IFERROR(INDEX('Sản phẩm'!$F$4:$F$103,MATCH(B476,'Sản phẩm'!$D$4:$D$103,0)),0)</f>
        <v>0</v>
      </c>
      <c r="H476" s="67">
        <f t="shared" si="5"/>
        <v>0</v>
      </c>
      <c r="I476" s="46">
        <f t="shared" si="1"/>
        <v>0</v>
      </c>
      <c r="J476" s="46">
        <f t="array" ref="J476">IFERROR(INDEX('Sản phẩm'!$G$4:$G$103,MATCH(B476,'Sản phẩm'!$D$4:$D$103,0)),0)</f>
        <v>0</v>
      </c>
      <c r="K476" s="46">
        <f t="array" ref="K476">IFERROR(J476*INDEX('Mẻ sữa'!$N$4:$N$203,MATCH(D476,'Mẻ sữa'!$C$4:$C$203,0)),0)</f>
        <v>0</v>
      </c>
      <c r="L476" s="46">
        <f t="array" ref="L476">IFERROR(INDEX('Sản phẩm'!$I$4:$I$103,MATCH(B476,'Sản phẩm'!$D$4:$D$103,0)),0)</f>
        <v>0</v>
      </c>
      <c r="M476" s="72" t="str">
        <f t="array" ref="M476">IFERROR(INDEX('Sản phẩm'!$J$4:$J$103,MATCH(B476,'Sản phẩm'!$D$4:$D$103,0)),0)</f>
        <v/>
      </c>
      <c r="N476" s="46">
        <f>IF(B476="",0,(K476+L476+M476)*'Thiết lập'!$B$8)</f>
        <v>0</v>
      </c>
      <c r="O476" s="46">
        <f t="shared" si="2"/>
        <v>0</v>
      </c>
      <c r="P476" s="46">
        <f t="shared" si="3"/>
        <v>0</v>
      </c>
      <c r="Q476" s="46">
        <f t="shared" si="4"/>
        <v>0</v>
      </c>
      <c r="R476" s="71" t="str">
        <f t="array" ref="R476">IF(B476="","",INDEX('Bán nhanh'!$C$4:$C$103,INT((ROW()-4)/10)+1))</f>
        <v/>
      </c>
      <c r="S476" s="71" t="str">
        <f t="array" ref="S476">IF(B476="","",INDEX('Bán nhanh'!$P$4:$P$103,INT((ROW()-4)/10)+1))</f>
        <v/>
      </c>
      <c r="T476" s="58"/>
      <c r="U476" s="36"/>
      <c r="V476" s="36"/>
      <c r="W476" s="58"/>
      <c r="X476" s="36"/>
      <c r="Y476" s="36"/>
      <c r="Z476" s="36"/>
    </row>
    <row r="477" ht="15.75" customHeight="1">
      <c r="A477" s="70" t="str">
        <f t="array" ref="A477">IF(B477="","",INDEX('Bán nhanh'!$A$4:$A$103,INT((ROW()-4)/10)+1))</f>
        <v/>
      </c>
      <c r="B477" s="71" t="str">
        <f t="array" ref="B477">IF(OR(INDEX('Bán nhanh'!$D$3:$M$3,1,MOD(ROW()-4,10)+1)="",INDEX('Bán nhanh'!$D$4:$M$103,INT((ROW()-4)/10)+1,MOD(ROW()-4,10)+1)&lt;=0),"",INDEX('Bán nhanh'!$D$3:$M$3,1,MOD(ROW()-4,10)+1))</f>
        <v/>
      </c>
      <c r="C477" s="58" t="str">
        <f t="array" ref="C477">IFERROR(INDEX('Sản phẩm'!$A$4:$A$103,MATCH(B477,'Sản phẩm'!$D$4:$D$103,0)),"")</f>
        <v/>
      </c>
      <c r="D477" s="71" t="str">
        <f t="array" ref="D477">IF(B477="","",INDEX('Bán nhanh'!$B$4:$B$103,INT((ROW()-4)/10)+1))</f>
        <v/>
      </c>
      <c r="E477" s="58" t="str">
        <f t="array" ref="E477">IFERROR(INDEX('Mẻ sữa'!$B$4:$B$203,MATCH(D477,'Mẻ sữa'!$C$4:$C$203,0)),"")</f>
        <v/>
      </c>
      <c r="F477" s="66">
        <f t="array" ref="F477">IF(B477="",0,INDEX('Bán nhanh'!$D$4:$M$103,INT((ROW()-4)/10)+1,MOD(ROW()-4,10)+1))</f>
        <v>0</v>
      </c>
      <c r="G477" s="46">
        <f t="array" ref="G477">IFERROR(INDEX('Sản phẩm'!$F$4:$F$103,MATCH(B477,'Sản phẩm'!$D$4:$D$103,0)),0)</f>
        <v>0</v>
      </c>
      <c r="H477" s="67">
        <f t="shared" si="5"/>
        <v>0</v>
      </c>
      <c r="I477" s="46">
        <f t="shared" si="1"/>
        <v>0</v>
      </c>
      <c r="J477" s="46">
        <f t="array" ref="J477">IFERROR(INDEX('Sản phẩm'!$G$4:$G$103,MATCH(B477,'Sản phẩm'!$D$4:$D$103,0)),0)</f>
        <v>0</v>
      </c>
      <c r="K477" s="46">
        <f t="array" ref="K477">IFERROR(J477*INDEX('Mẻ sữa'!$N$4:$N$203,MATCH(D477,'Mẻ sữa'!$C$4:$C$203,0)),0)</f>
        <v>0</v>
      </c>
      <c r="L477" s="46">
        <f t="array" ref="L477">IFERROR(INDEX('Sản phẩm'!$I$4:$I$103,MATCH(B477,'Sản phẩm'!$D$4:$D$103,0)),0)</f>
        <v>0</v>
      </c>
      <c r="M477" s="72" t="str">
        <f t="array" ref="M477">IFERROR(INDEX('Sản phẩm'!$J$4:$J$103,MATCH(B477,'Sản phẩm'!$D$4:$D$103,0)),0)</f>
        <v/>
      </c>
      <c r="N477" s="46">
        <f>IF(B477="",0,(K477+L477+M477)*'Thiết lập'!$B$8)</f>
        <v>0</v>
      </c>
      <c r="O477" s="46">
        <f t="shared" si="2"/>
        <v>0</v>
      </c>
      <c r="P477" s="46">
        <f t="shared" si="3"/>
        <v>0</v>
      </c>
      <c r="Q477" s="46">
        <f t="shared" si="4"/>
        <v>0</v>
      </c>
      <c r="R477" s="71" t="str">
        <f t="array" ref="R477">IF(B477="","",INDEX('Bán nhanh'!$C$4:$C$103,INT((ROW()-4)/10)+1))</f>
        <v/>
      </c>
      <c r="S477" s="71" t="str">
        <f t="array" ref="S477">IF(B477="","",INDEX('Bán nhanh'!$P$4:$P$103,INT((ROW()-4)/10)+1))</f>
        <v/>
      </c>
      <c r="T477" s="58"/>
      <c r="U477" s="36"/>
      <c r="V477" s="36"/>
      <c r="W477" s="58"/>
      <c r="X477" s="36"/>
      <c r="Y477" s="36"/>
      <c r="Z477" s="36"/>
    </row>
    <row r="478" ht="15.75" customHeight="1">
      <c r="A478" s="70" t="str">
        <f t="array" ref="A478">IF(B478="","",INDEX('Bán nhanh'!$A$4:$A$103,INT((ROW()-4)/10)+1))</f>
        <v/>
      </c>
      <c r="B478" s="71" t="str">
        <f t="array" ref="B478">IF(OR(INDEX('Bán nhanh'!$D$3:$M$3,1,MOD(ROW()-4,10)+1)="",INDEX('Bán nhanh'!$D$4:$M$103,INT((ROW()-4)/10)+1,MOD(ROW()-4,10)+1)&lt;=0),"",INDEX('Bán nhanh'!$D$3:$M$3,1,MOD(ROW()-4,10)+1))</f>
        <v/>
      </c>
      <c r="C478" s="58" t="str">
        <f t="array" ref="C478">IFERROR(INDEX('Sản phẩm'!$A$4:$A$103,MATCH(B478,'Sản phẩm'!$D$4:$D$103,0)),"")</f>
        <v/>
      </c>
      <c r="D478" s="71" t="str">
        <f t="array" ref="D478">IF(B478="","",INDEX('Bán nhanh'!$B$4:$B$103,INT((ROW()-4)/10)+1))</f>
        <v/>
      </c>
      <c r="E478" s="58" t="str">
        <f t="array" ref="E478">IFERROR(INDEX('Mẻ sữa'!$B$4:$B$203,MATCH(D478,'Mẻ sữa'!$C$4:$C$203,0)),"")</f>
        <v/>
      </c>
      <c r="F478" s="66">
        <f t="array" ref="F478">IF(B478="",0,INDEX('Bán nhanh'!$D$4:$M$103,INT((ROW()-4)/10)+1,MOD(ROW()-4,10)+1))</f>
        <v>0</v>
      </c>
      <c r="G478" s="46">
        <f t="array" ref="G478">IFERROR(INDEX('Sản phẩm'!$F$4:$F$103,MATCH(B478,'Sản phẩm'!$D$4:$D$103,0)),0)</f>
        <v>0</v>
      </c>
      <c r="H478" s="67">
        <f t="shared" si="5"/>
        <v>0</v>
      </c>
      <c r="I478" s="46">
        <f t="shared" si="1"/>
        <v>0</v>
      </c>
      <c r="J478" s="46">
        <f t="array" ref="J478">IFERROR(INDEX('Sản phẩm'!$G$4:$G$103,MATCH(B478,'Sản phẩm'!$D$4:$D$103,0)),0)</f>
        <v>0</v>
      </c>
      <c r="K478" s="46">
        <f t="array" ref="K478">IFERROR(J478*INDEX('Mẻ sữa'!$N$4:$N$203,MATCH(D478,'Mẻ sữa'!$C$4:$C$203,0)),0)</f>
        <v>0</v>
      </c>
      <c r="L478" s="46">
        <f t="array" ref="L478">IFERROR(INDEX('Sản phẩm'!$I$4:$I$103,MATCH(B478,'Sản phẩm'!$D$4:$D$103,0)),0)</f>
        <v>0</v>
      </c>
      <c r="M478" s="72" t="str">
        <f t="array" ref="M478">IFERROR(INDEX('Sản phẩm'!$J$4:$J$103,MATCH(B478,'Sản phẩm'!$D$4:$D$103,0)),0)</f>
        <v/>
      </c>
      <c r="N478" s="46">
        <f>IF(B478="",0,(K478+L478+M478)*'Thiết lập'!$B$8)</f>
        <v>0</v>
      </c>
      <c r="O478" s="46">
        <f t="shared" si="2"/>
        <v>0</v>
      </c>
      <c r="P478" s="46">
        <f t="shared" si="3"/>
        <v>0</v>
      </c>
      <c r="Q478" s="46">
        <f t="shared" si="4"/>
        <v>0</v>
      </c>
      <c r="R478" s="71" t="str">
        <f t="array" ref="R478">IF(B478="","",INDEX('Bán nhanh'!$C$4:$C$103,INT((ROW()-4)/10)+1))</f>
        <v/>
      </c>
      <c r="S478" s="71" t="str">
        <f t="array" ref="S478">IF(B478="","",INDEX('Bán nhanh'!$P$4:$P$103,INT((ROW()-4)/10)+1))</f>
        <v/>
      </c>
      <c r="T478" s="58"/>
      <c r="U478" s="36"/>
      <c r="V478" s="36"/>
      <c r="W478" s="58"/>
      <c r="X478" s="36"/>
      <c r="Y478" s="36"/>
      <c r="Z478" s="36"/>
    </row>
    <row r="479" ht="15.75" customHeight="1">
      <c r="A479" s="70" t="str">
        <f t="array" ref="A479">IF(B479="","",INDEX('Bán nhanh'!$A$4:$A$103,INT((ROW()-4)/10)+1))</f>
        <v/>
      </c>
      <c r="B479" s="71" t="str">
        <f t="array" ref="B479">IF(OR(INDEX('Bán nhanh'!$D$3:$M$3,1,MOD(ROW()-4,10)+1)="",INDEX('Bán nhanh'!$D$4:$M$103,INT((ROW()-4)/10)+1,MOD(ROW()-4,10)+1)&lt;=0),"",INDEX('Bán nhanh'!$D$3:$M$3,1,MOD(ROW()-4,10)+1))</f>
        <v/>
      </c>
      <c r="C479" s="58" t="str">
        <f t="array" ref="C479">IFERROR(INDEX('Sản phẩm'!$A$4:$A$103,MATCH(B479,'Sản phẩm'!$D$4:$D$103,0)),"")</f>
        <v/>
      </c>
      <c r="D479" s="71" t="str">
        <f t="array" ref="D479">IF(B479="","",INDEX('Bán nhanh'!$B$4:$B$103,INT((ROW()-4)/10)+1))</f>
        <v/>
      </c>
      <c r="E479" s="58" t="str">
        <f t="array" ref="E479">IFERROR(INDEX('Mẻ sữa'!$B$4:$B$203,MATCH(D479,'Mẻ sữa'!$C$4:$C$203,0)),"")</f>
        <v/>
      </c>
      <c r="F479" s="66">
        <f t="array" ref="F479">IF(B479="",0,INDEX('Bán nhanh'!$D$4:$M$103,INT((ROW()-4)/10)+1,MOD(ROW()-4,10)+1))</f>
        <v>0</v>
      </c>
      <c r="G479" s="46">
        <f t="array" ref="G479">IFERROR(INDEX('Sản phẩm'!$F$4:$F$103,MATCH(B479,'Sản phẩm'!$D$4:$D$103,0)),0)</f>
        <v>0</v>
      </c>
      <c r="H479" s="67">
        <f t="shared" si="5"/>
        <v>0</v>
      </c>
      <c r="I479" s="46">
        <f t="shared" si="1"/>
        <v>0</v>
      </c>
      <c r="J479" s="46">
        <f t="array" ref="J479">IFERROR(INDEX('Sản phẩm'!$G$4:$G$103,MATCH(B479,'Sản phẩm'!$D$4:$D$103,0)),0)</f>
        <v>0</v>
      </c>
      <c r="K479" s="46">
        <f t="array" ref="K479">IFERROR(J479*INDEX('Mẻ sữa'!$N$4:$N$203,MATCH(D479,'Mẻ sữa'!$C$4:$C$203,0)),0)</f>
        <v>0</v>
      </c>
      <c r="L479" s="46">
        <f t="array" ref="L479">IFERROR(INDEX('Sản phẩm'!$I$4:$I$103,MATCH(B479,'Sản phẩm'!$D$4:$D$103,0)),0)</f>
        <v>0</v>
      </c>
      <c r="M479" s="72" t="str">
        <f t="array" ref="M479">IFERROR(INDEX('Sản phẩm'!$J$4:$J$103,MATCH(B479,'Sản phẩm'!$D$4:$D$103,0)),0)</f>
        <v/>
      </c>
      <c r="N479" s="46">
        <f>IF(B479="",0,(K479+L479+M479)*'Thiết lập'!$B$8)</f>
        <v>0</v>
      </c>
      <c r="O479" s="46">
        <f t="shared" si="2"/>
        <v>0</v>
      </c>
      <c r="P479" s="46">
        <f t="shared" si="3"/>
        <v>0</v>
      </c>
      <c r="Q479" s="46">
        <f t="shared" si="4"/>
        <v>0</v>
      </c>
      <c r="R479" s="71" t="str">
        <f t="array" ref="R479">IF(B479="","",INDEX('Bán nhanh'!$C$4:$C$103,INT((ROW()-4)/10)+1))</f>
        <v/>
      </c>
      <c r="S479" s="71" t="str">
        <f t="array" ref="S479">IF(B479="","",INDEX('Bán nhanh'!$P$4:$P$103,INT((ROW()-4)/10)+1))</f>
        <v/>
      </c>
      <c r="T479" s="58"/>
      <c r="U479" s="36"/>
      <c r="V479" s="36"/>
      <c r="W479" s="58"/>
      <c r="X479" s="36"/>
      <c r="Y479" s="36"/>
      <c r="Z479" s="36"/>
    </row>
    <row r="480" ht="15.75" customHeight="1">
      <c r="A480" s="70" t="str">
        <f t="array" ref="A480">IF(B480="","",INDEX('Bán nhanh'!$A$4:$A$103,INT((ROW()-4)/10)+1))</f>
        <v/>
      </c>
      <c r="B480" s="71" t="str">
        <f t="array" ref="B480">IF(OR(INDEX('Bán nhanh'!$D$3:$M$3,1,MOD(ROW()-4,10)+1)="",INDEX('Bán nhanh'!$D$4:$M$103,INT((ROW()-4)/10)+1,MOD(ROW()-4,10)+1)&lt;=0),"",INDEX('Bán nhanh'!$D$3:$M$3,1,MOD(ROW()-4,10)+1))</f>
        <v/>
      </c>
      <c r="C480" s="58" t="str">
        <f t="array" ref="C480">IFERROR(INDEX('Sản phẩm'!$A$4:$A$103,MATCH(B480,'Sản phẩm'!$D$4:$D$103,0)),"")</f>
        <v/>
      </c>
      <c r="D480" s="71" t="str">
        <f t="array" ref="D480">IF(B480="","",INDEX('Bán nhanh'!$B$4:$B$103,INT((ROW()-4)/10)+1))</f>
        <v/>
      </c>
      <c r="E480" s="58" t="str">
        <f t="array" ref="E480">IFERROR(INDEX('Mẻ sữa'!$B$4:$B$203,MATCH(D480,'Mẻ sữa'!$C$4:$C$203,0)),"")</f>
        <v/>
      </c>
      <c r="F480" s="66">
        <f t="array" ref="F480">IF(B480="",0,INDEX('Bán nhanh'!$D$4:$M$103,INT((ROW()-4)/10)+1,MOD(ROW()-4,10)+1))</f>
        <v>0</v>
      </c>
      <c r="G480" s="46">
        <f t="array" ref="G480">IFERROR(INDEX('Sản phẩm'!$F$4:$F$103,MATCH(B480,'Sản phẩm'!$D$4:$D$103,0)),0)</f>
        <v>0</v>
      </c>
      <c r="H480" s="67">
        <f t="shared" si="5"/>
        <v>0</v>
      </c>
      <c r="I480" s="46">
        <f t="shared" si="1"/>
        <v>0</v>
      </c>
      <c r="J480" s="46">
        <f t="array" ref="J480">IFERROR(INDEX('Sản phẩm'!$G$4:$G$103,MATCH(B480,'Sản phẩm'!$D$4:$D$103,0)),0)</f>
        <v>0</v>
      </c>
      <c r="K480" s="46">
        <f t="array" ref="K480">IFERROR(J480*INDEX('Mẻ sữa'!$N$4:$N$203,MATCH(D480,'Mẻ sữa'!$C$4:$C$203,0)),0)</f>
        <v>0</v>
      </c>
      <c r="L480" s="46">
        <f t="array" ref="L480">IFERROR(INDEX('Sản phẩm'!$I$4:$I$103,MATCH(B480,'Sản phẩm'!$D$4:$D$103,0)),0)</f>
        <v>0</v>
      </c>
      <c r="M480" s="72" t="str">
        <f t="array" ref="M480">IFERROR(INDEX('Sản phẩm'!$J$4:$J$103,MATCH(B480,'Sản phẩm'!$D$4:$D$103,0)),0)</f>
        <v/>
      </c>
      <c r="N480" s="46">
        <f>IF(B480="",0,(K480+L480+M480)*'Thiết lập'!$B$8)</f>
        <v>0</v>
      </c>
      <c r="O480" s="46">
        <f t="shared" si="2"/>
        <v>0</v>
      </c>
      <c r="P480" s="46">
        <f t="shared" si="3"/>
        <v>0</v>
      </c>
      <c r="Q480" s="46">
        <f t="shared" si="4"/>
        <v>0</v>
      </c>
      <c r="R480" s="71" t="str">
        <f t="array" ref="R480">IF(B480="","",INDEX('Bán nhanh'!$C$4:$C$103,INT((ROW()-4)/10)+1))</f>
        <v/>
      </c>
      <c r="S480" s="71" t="str">
        <f t="array" ref="S480">IF(B480="","",INDEX('Bán nhanh'!$P$4:$P$103,INT((ROW()-4)/10)+1))</f>
        <v/>
      </c>
      <c r="T480" s="58"/>
      <c r="U480" s="36"/>
      <c r="V480" s="36"/>
      <c r="W480" s="58"/>
      <c r="X480" s="36"/>
      <c r="Y480" s="36"/>
      <c r="Z480" s="36"/>
    </row>
    <row r="481" ht="15.75" customHeight="1">
      <c r="A481" s="70" t="str">
        <f t="array" ref="A481">IF(B481="","",INDEX('Bán nhanh'!$A$4:$A$103,INT((ROW()-4)/10)+1))</f>
        <v/>
      </c>
      <c r="B481" s="71" t="str">
        <f t="array" ref="B481">IF(OR(INDEX('Bán nhanh'!$D$3:$M$3,1,MOD(ROW()-4,10)+1)="",INDEX('Bán nhanh'!$D$4:$M$103,INT((ROW()-4)/10)+1,MOD(ROW()-4,10)+1)&lt;=0),"",INDEX('Bán nhanh'!$D$3:$M$3,1,MOD(ROW()-4,10)+1))</f>
        <v/>
      </c>
      <c r="C481" s="58" t="str">
        <f t="array" ref="C481">IFERROR(INDEX('Sản phẩm'!$A$4:$A$103,MATCH(B481,'Sản phẩm'!$D$4:$D$103,0)),"")</f>
        <v/>
      </c>
      <c r="D481" s="71" t="str">
        <f t="array" ref="D481">IF(B481="","",INDEX('Bán nhanh'!$B$4:$B$103,INT((ROW()-4)/10)+1))</f>
        <v/>
      </c>
      <c r="E481" s="58" t="str">
        <f t="array" ref="E481">IFERROR(INDEX('Mẻ sữa'!$B$4:$B$203,MATCH(D481,'Mẻ sữa'!$C$4:$C$203,0)),"")</f>
        <v/>
      </c>
      <c r="F481" s="66">
        <f t="array" ref="F481">IF(B481="",0,INDEX('Bán nhanh'!$D$4:$M$103,INT((ROW()-4)/10)+1,MOD(ROW()-4,10)+1))</f>
        <v>0</v>
      </c>
      <c r="G481" s="46">
        <f t="array" ref="G481">IFERROR(INDEX('Sản phẩm'!$F$4:$F$103,MATCH(B481,'Sản phẩm'!$D$4:$D$103,0)),0)</f>
        <v>0</v>
      </c>
      <c r="H481" s="67">
        <f t="shared" si="5"/>
        <v>0</v>
      </c>
      <c r="I481" s="46">
        <f t="shared" si="1"/>
        <v>0</v>
      </c>
      <c r="J481" s="46">
        <f t="array" ref="J481">IFERROR(INDEX('Sản phẩm'!$G$4:$G$103,MATCH(B481,'Sản phẩm'!$D$4:$D$103,0)),0)</f>
        <v>0</v>
      </c>
      <c r="K481" s="46">
        <f t="array" ref="K481">IFERROR(J481*INDEX('Mẻ sữa'!$N$4:$N$203,MATCH(D481,'Mẻ sữa'!$C$4:$C$203,0)),0)</f>
        <v>0</v>
      </c>
      <c r="L481" s="46">
        <f t="array" ref="L481">IFERROR(INDEX('Sản phẩm'!$I$4:$I$103,MATCH(B481,'Sản phẩm'!$D$4:$D$103,0)),0)</f>
        <v>0</v>
      </c>
      <c r="M481" s="72" t="str">
        <f t="array" ref="M481">IFERROR(INDEX('Sản phẩm'!$J$4:$J$103,MATCH(B481,'Sản phẩm'!$D$4:$D$103,0)),0)</f>
        <v/>
      </c>
      <c r="N481" s="46">
        <f>IF(B481="",0,(K481+L481+M481)*'Thiết lập'!$B$8)</f>
        <v>0</v>
      </c>
      <c r="O481" s="46">
        <f t="shared" si="2"/>
        <v>0</v>
      </c>
      <c r="P481" s="46">
        <f t="shared" si="3"/>
        <v>0</v>
      </c>
      <c r="Q481" s="46">
        <f t="shared" si="4"/>
        <v>0</v>
      </c>
      <c r="R481" s="71" t="str">
        <f t="array" ref="R481">IF(B481="","",INDEX('Bán nhanh'!$C$4:$C$103,INT((ROW()-4)/10)+1))</f>
        <v/>
      </c>
      <c r="S481" s="71" t="str">
        <f t="array" ref="S481">IF(B481="","",INDEX('Bán nhanh'!$P$4:$P$103,INT((ROW()-4)/10)+1))</f>
        <v/>
      </c>
      <c r="T481" s="58"/>
      <c r="U481" s="36"/>
      <c r="V481" s="36"/>
      <c r="W481" s="58"/>
      <c r="X481" s="36"/>
      <c r="Y481" s="36"/>
      <c r="Z481" s="36"/>
    </row>
    <row r="482" ht="15.75" customHeight="1">
      <c r="A482" s="70" t="str">
        <f t="array" ref="A482">IF(B482="","",INDEX('Bán nhanh'!$A$4:$A$103,INT((ROW()-4)/10)+1))</f>
        <v/>
      </c>
      <c r="B482" s="71" t="str">
        <f t="array" ref="B482">IF(OR(INDEX('Bán nhanh'!$D$3:$M$3,1,MOD(ROW()-4,10)+1)="",INDEX('Bán nhanh'!$D$4:$M$103,INT((ROW()-4)/10)+1,MOD(ROW()-4,10)+1)&lt;=0),"",INDEX('Bán nhanh'!$D$3:$M$3,1,MOD(ROW()-4,10)+1))</f>
        <v/>
      </c>
      <c r="C482" s="58" t="str">
        <f t="array" ref="C482">IFERROR(INDEX('Sản phẩm'!$A$4:$A$103,MATCH(B482,'Sản phẩm'!$D$4:$D$103,0)),"")</f>
        <v/>
      </c>
      <c r="D482" s="71" t="str">
        <f t="array" ref="D482">IF(B482="","",INDEX('Bán nhanh'!$B$4:$B$103,INT((ROW()-4)/10)+1))</f>
        <v/>
      </c>
      <c r="E482" s="58" t="str">
        <f t="array" ref="E482">IFERROR(INDEX('Mẻ sữa'!$B$4:$B$203,MATCH(D482,'Mẻ sữa'!$C$4:$C$203,0)),"")</f>
        <v/>
      </c>
      <c r="F482" s="66">
        <f t="array" ref="F482">IF(B482="",0,INDEX('Bán nhanh'!$D$4:$M$103,INT((ROW()-4)/10)+1,MOD(ROW()-4,10)+1))</f>
        <v>0</v>
      </c>
      <c r="G482" s="46">
        <f t="array" ref="G482">IFERROR(INDEX('Sản phẩm'!$F$4:$F$103,MATCH(B482,'Sản phẩm'!$D$4:$D$103,0)),0)</f>
        <v>0</v>
      </c>
      <c r="H482" s="67">
        <f t="shared" si="5"/>
        <v>0</v>
      </c>
      <c r="I482" s="46">
        <f t="shared" si="1"/>
        <v>0</v>
      </c>
      <c r="J482" s="46">
        <f t="array" ref="J482">IFERROR(INDEX('Sản phẩm'!$G$4:$G$103,MATCH(B482,'Sản phẩm'!$D$4:$D$103,0)),0)</f>
        <v>0</v>
      </c>
      <c r="K482" s="46">
        <f t="array" ref="K482">IFERROR(J482*INDEX('Mẻ sữa'!$N$4:$N$203,MATCH(D482,'Mẻ sữa'!$C$4:$C$203,0)),0)</f>
        <v>0</v>
      </c>
      <c r="L482" s="46">
        <f t="array" ref="L482">IFERROR(INDEX('Sản phẩm'!$I$4:$I$103,MATCH(B482,'Sản phẩm'!$D$4:$D$103,0)),0)</f>
        <v>0</v>
      </c>
      <c r="M482" s="72" t="str">
        <f t="array" ref="M482">IFERROR(INDEX('Sản phẩm'!$J$4:$J$103,MATCH(B482,'Sản phẩm'!$D$4:$D$103,0)),0)</f>
        <v/>
      </c>
      <c r="N482" s="46">
        <f>IF(B482="",0,(K482+L482+M482)*'Thiết lập'!$B$8)</f>
        <v>0</v>
      </c>
      <c r="O482" s="46">
        <f t="shared" si="2"/>
        <v>0</v>
      </c>
      <c r="P482" s="46">
        <f t="shared" si="3"/>
        <v>0</v>
      </c>
      <c r="Q482" s="46">
        <f t="shared" si="4"/>
        <v>0</v>
      </c>
      <c r="R482" s="71" t="str">
        <f t="array" ref="R482">IF(B482="","",INDEX('Bán nhanh'!$C$4:$C$103,INT((ROW()-4)/10)+1))</f>
        <v/>
      </c>
      <c r="S482" s="71" t="str">
        <f t="array" ref="S482">IF(B482="","",INDEX('Bán nhanh'!$P$4:$P$103,INT((ROW()-4)/10)+1))</f>
        <v/>
      </c>
      <c r="T482" s="58"/>
      <c r="U482" s="36"/>
      <c r="V482" s="36"/>
      <c r="W482" s="58"/>
      <c r="X482" s="36"/>
      <c r="Y482" s="36"/>
      <c r="Z482" s="36"/>
    </row>
    <row r="483" ht="15.75" customHeight="1">
      <c r="A483" s="70" t="str">
        <f t="array" ref="A483">IF(B483="","",INDEX('Bán nhanh'!$A$4:$A$103,INT((ROW()-4)/10)+1))</f>
        <v/>
      </c>
      <c r="B483" s="71" t="str">
        <f t="array" ref="B483">IF(OR(INDEX('Bán nhanh'!$D$3:$M$3,1,MOD(ROW()-4,10)+1)="",INDEX('Bán nhanh'!$D$4:$M$103,INT((ROW()-4)/10)+1,MOD(ROW()-4,10)+1)&lt;=0),"",INDEX('Bán nhanh'!$D$3:$M$3,1,MOD(ROW()-4,10)+1))</f>
        <v/>
      </c>
      <c r="C483" s="58" t="str">
        <f t="array" ref="C483">IFERROR(INDEX('Sản phẩm'!$A$4:$A$103,MATCH(B483,'Sản phẩm'!$D$4:$D$103,0)),"")</f>
        <v/>
      </c>
      <c r="D483" s="71" t="str">
        <f t="array" ref="D483">IF(B483="","",INDEX('Bán nhanh'!$B$4:$B$103,INT((ROW()-4)/10)+1))</f>
        <v/>
      </c>
      <c r="E483" s="58" t="str">
        <f t="array" ref="E483">IFERROR(INDEX('Mẻ sữa'!$B$4:$B$203,MATCH(D483,'Mẻ sữa'!$C$4:$C$203,0)),"")</f>
        <v/>
      </c>
      <c r="F483" s="66">
        <f t="array" ref="F483">IF(B483="",0,INDEX('Bán nhanh'!$D$4:$M$103,INT((ROW()-4)/10)+1,MOD(ROW()-4,10)+1))</f>
        <v>0</v>
      </c>
      <c r="G483" s="46">
        <f t="array" ref="G483">IFERROR(INDEX('Sản phẩm'!$F$4:$F$103,MATCH(B483,'Sản phẩm'!$D$4:$D$103,0)),0)</f>
        <v>0</v>
      </c>
      <c r="H483" s="67">
        <f t="shared" si="5"/>
        <v>0</v>
      </c>
      <c r="I483" s="46">
        <f t="shared" si="1"/>
        <v>0</v>
      </c>
      <c r="J483" s="46">
        <f t="array" ref="J483">IFERROR(INDEX('Sản phẩm'!$G$4:$G$103,MATCH(B483,'Sản phẩm'!$D$4:$D$103,0)),0)</f>
        <v>0</v>
      </c>
      <c r="K483" s="46">
        <f t="array" ref="K483">IFERROR(J483*INDEX('Mẻ sữa'!$N$4:$N$203,MATCH(D483,'Mẻ sữa'!$C$4:$C$203,0)),0)</f>
        <v>0</v>
      </c>
      <c r="L483" s="46">
        <f t="array" ref="L483">IFERROR(INDEX('Sản phẩm'!$I$4:$I$103,MATCH(B483,'Sản phẩm'!$D$4:$D$103,0)),0)</f>
        <v>0</v>
      </c>
      <c r="M483" s="72" t="str">
        <f t="array" ref="M483">IFERROR(INDEX('Sản phẩm'!$J$4:$J$103,MATCH(B483,'Sản phẩm'!$D$4:$D$103,0)),0)</f>
        <v/>
      </c>
      <c r="N483" s="46">
        <f>IF(B483="",0,(K483+L483+M483)*'Thiết lập'!$B$8)</f>
        <v>0</v>
      </c>
      <c r="O483" s="46">
        <f t="shared" si="2"/>
        <v>0</v>
      </c>
      <c r="P483" s="46">
        <f t="shared" si="3"/>
        <v>0</v>
      </c>
      <c r="Q483" s="46">
        <f t="shared" si="4"/>
        <v>0</v>
      </c>
      <c r="R483" s="71" t="str">
        <f t="array" ref="R483">IF(B483="","",INDEX('Bán nhanh'!$C$4:$C$103,INT((ROW()-4)/10)+1))</f>
        <v/>
      </c>
      <c r="S483" s="71" t="str">
        <f t="array" ref="S483">IF(B483="","",INDEX('Bán nhanh'!$P$4:$P$103,INT((ROW()-4)/10)+1))</f>
        <v/>
      </c>
      <c r="T483" s="58"/>
      <c r="U483" s="36"/>
      <c r="V483" s="36"/>
      <c r="W483" s="58"/>
      <c r="X483" s="36"/>
      <c r="Y483" s="36"/>
      <c r="Z483" s="36"/>
    </row>
    <row r="484" ht="15.75" customHeight="1">
      <c r="A484" s="70" t="str">
        <f t="array" ref="A484">IF(B484="","",INDEX('Bán nhanh'!$A$4:$A$103,INT((ROW()-4)/10)+1))</f>
        <v/>
      </c>
      <c r="B484" s="71" t="str">
        <f t="array" ref="B484">IF(OR(INDEX('Bán nhanh'!$D$3:$M$3,1,MOD(ROW()-4,10)+1)="",INDEX('Bán nhanh'!$D$4:$M$103,INT((ROW()-4)/10)+1,MOD(ROW()-4,10)+1)&lt;=0),"",INDEX('Bán nhanh'!$D$3:$M$3,1,MOD(ROW()-4,10)+1))</f>
        <v/>
      </c>
      <c r="C484" s="58" t="str">
        <f t="array" ref="C484">IFERROR(INDEX('Sản phẩm'!$A$4:$A$103,MATCH(B484,'Sản phẩm'!$D$4:$D$103,0)),"")</f>
        <v/>
      </c>
      <c r="D484" s="71" t="str">
        <f t="array" ref="D484">IF(B484="","",INDEX('Bán nhanh'!$B$4:$B$103,INT((ROW()-4)/10)+1))</f>
        <v/>
      </c>
      <c r="E484" s="58" t="str">
        <f t="array" ref="E484">IFERROR(INDEX('Mẻ sữa'!$B$4:$B$203,MATCH(D484,'Mẻ sữa'!$C$4:$C$203,0)),"")</f>
        <v/>
      </c>
      <c r="F484" s="66">
        <f t="array" ref="F484">IF(B484="",0,INDEX('Bán nhanh'!$D$4:$M$103,INT((ROW()-4)/10)+1,MOD(ROW()-4,10)+1))</f>
        <v>0</v>
      </c>
      <c r="G484" s="46">
        <f t="array" ref="G484">IFERROR(INDEX('Sản phẩm'!$F$4:$F$103,MATCH(B484,'Sản phẩm'!$D$4:$D$103,0)),0)</f>
        <v>0</v>
      </c>
      <c r="H484" s="67">
        <f t="shared" si="5"/>
        <v>0</v>
      </c>
      <c r="I484" s="46">
        <f t="shared" si="1"/>
        <v>0</v>
      </c>
      <c r="J484" s="46">
        <f t="array" ref="J484">IFERROR(INDEX('Sản phẩm'!$G$4:$G$103,MATCH(B484,'Sản phẩm'!$D$4:$D$103,0)),0)</f>
        <v>0</v>
      </c>
      <c r="K484" s="46">
        <f t="array" ref="K484">IFERROR(J484*INDEX('Mẻ sữa'!$N$4:$N$203,MATCH(D484,'Mẻ sữa'!$C$4:$C$203,0)),0)</f>
        <v>0</v>
      </c>
      <c r="L484" s="46">
        <f t="array" ref="L484">IFERROR(INDEX('Sản phẩm'!$I$4:$I$103,MATCH(B484,'Sản phẩm'!$D$4:$D$103,0)),0)</f>
        <v>0</v>
      </c>
      <c r="M484" s="72" t="str">
        <f t="array" ref="M484">IFERROR(INDEX('Sản phẩm'!$J$4:$J$103,MATCH(B484,'Sản phẩm'!$D$4:$D$103,0)),0)</f>
        <v/>
      </c>
      <c r="N484" s="46">
        <f>IF(B484="",0,(K484+L484+M484)*'Thiết lập'!$B$8)</f>
        <v>0</v>
      </c>
      <c r="O484" s="46">
        <f t="shared" si="2"/>
        <v>0</v>
      </c>
      <c r="P484" s="46">
        <f t="shared" si="3"/>
        <v>0</v>
      </c>
      <c r="Q484" s="46">
        <f t="shared" si="4"/>
        <v>0</v>
      </c>
      <c r="R484" s="71" t="str">
        <f t="array" ref="R484">IF(B484="","",INDEX('Bán nhanh'!$C$4:$C$103,INT((ROW()-4)/10)+1))</f>
        <v/>
      </c>
      <c r="S484" s="71" t="str">
        <f t="array" ref="S484">IF(B484="","",INDEX('Bán nhanh'!$P$4:$P$103,INT((ROW()-4)/10)+1))</f>
        <v/>
      </c>
      <c r="T484" s="58"/>
      <c r="U484" s="36"/>
      <c r="V484" s="36"/>
      <c r="W484" s="58"/>
      <c r="X484" s="36"/>
      <c r="Y484" s="36"/>
      <c r="Z484" s="36"/>
    </row>
    <row r="485" ht="15.75" customHeight="1">
      <c r="A485" s="70" t="str">
        <f t="array" ref="A485">IF(B485="","",INDEX('Bán nhanh'!$A$4:$A$103,INT((ROW()-4)/10)+1))</f>
        <v/>
      </c>
      <c r="B485" s="71" t="str">
        <f t="array" ref="B485">IF(OR(INDEX('Bán nhanh'!$D$3:$M$3,1,MOD(ROW()-4,10)+1)="",INDEX('Bán nhanh'!$D$4:$M$103,INT((ROW()-4)/10)+1,MOD(ROW()-4,10)+1)&lt;=0),"",INDEX('Bán nhanh'!$D$3:$M$3,1,MOD(ROW()-4,10)+1))</f>
        <v/>
      </c>
      <c r="C485" s="58" t="str">
        <f t="array" ref="C485">IFERROR(INDEX('Sản phẩm'!$A$4:$A$103,MATCH(B485,'Sản phẩm'!$D$4:$D$103,0)),"")</f>
        <v/>
      </c>
      <c r="D485" s="71" t="str">
        <f t="array" ref="D485">IF(B485="","",INDEX('Bán nhanh'!$B$4:$B$103,INT((ROW()-4)/10)+1))</f>
        <v/>
      </c>
      <c r="E485" s="58" t="str">
        <f t="array" ref="E485">IFERROR(INDEX('Mẻ sữa'!$B$4:$B$203,MATCH(D485,'Mẻ sữa'!$C$4:$C$203,0)),"")</f>
        <v/>
      </c>
      <c r="F485" s="66">
        <f t="array" ref="F485">IF(B485="",0,INDEX('Bán nhanh'!$D$4:$M$103,INT((ROW()-4)/10)+1,MOD(ROW()-4,10)+1))</f>
        <v>0</v>
      </c>
      <c r="G485" s="46">
        <f t="array" ref="G485">IFERROR(INDEX('Sản phẩm'!$F$4:$F$103,MATCH(B485,'Sản phẩm'!$D$4:$D$103,0)),0)</f>
        <v>0</v>
      </c>
      <c r="H485" s="67">
        <f t="shared" si="5"/>
        <v>0</v>
      </c>
      <c r="I485" s="46">
        <f t="shared" si="1"/>
        <v>0</v>
      </c>
      <c r="J485" s="46">
        <f t="array" ref="J485">IFERROR(INDEX('Sản phẩm'!$G$4:$G$103,MATCH(B485,'Sản phẩm'!$D$4:$D$103,0)),0)</f>
        <v>0</v>
      </c>
      <c r="K485" s="46">
        <f t="array" ref="K485">IFERROR(J485*INDEX('Mẻ sữa'!$N$4:$N$203,MATCH(D485,'Mẻ sữa'!$C$4:$C$203,0)),0)</f>
        <v>0</v>
      </c>
      <c r="L485" s="46">
        <f t="array" ref="L485">IFERROR(INDEX('Sản phẩm'!$I$4:$I$103,MATCH(B485,'Sản phẩm'!$D$4:$D$103,0)),0)</f>
        <v>0</v>
      </c>
      <c r="M485" s="72" t="str">
        <f t="array" ref="M485">IFERROR(INDEX('Sản phẩm'!$J$4:$J$103,MATCH(B485,'Sản phẩm'!$D$4:$D$103,0)),0)</f>
        <v/>
      </c>
      <c r="N485" s="46">
        <f>IF(B485="",0,(K485+L485+M485)*'Thiết lập'!$B$8)</f>
        <v>0</v>
      </c>
      <c r="O485" s="46">
        <f t="shared" si="2"/>
        <v>0</v>
      </c>
      <c r="P485" s="46">
        <f t="shared" si="3"/>
        <v>0</v>
      </c>
      <c r="Q485" s="46">
        <f t="shared" si="4"/>
        <v>0</v>
      </c>
      <c r="R485" s="71" t="str">
        <f t="array" ref="R485">IF(B485="","",INDEX('Bán nhanh'!$C$4:$C$103,INT((ROW()-4)/10)+1))</f>
        <v/>
      </c>
      <c r="S485" s="71" t="str">
        <f t="array" ref="S485">IF(B485="","",INDEX('Bán nhanh'!$P$4:$P$103,INT((ROW()-4)/10)+1))</f>
        <v/>
      </c>
      <c r="T485" s="58"/>
      <c r="U485" s="36"/>
      <c r="V485" s="36"/>
      <c r="W485" s="58"/>
      <c r="X485" s="36"/>
      <c r="Y485" s="36"/>
      <c r="Z485" s="36"/>
    </row>
    <row r="486" ht="15.75" customHeight="1">
      <c r="A486" s="70" t="str">
        <f t="array" ref="A486">IF(B486="","",INDEX('Bán nhanh'!$A$4:$A$103,INT((ROW()-4)/10)+1))</f>
        <v/>
      </c>
      <c r="B486" s="71" t="str">
        <f t="array" ref="B486">IF(OR(INDEX('Bán nhanh'!$D$3:$M$3,1,MOD(ROW()-4,10)+1)="",INDEX('Bán nhanh'!$D$4:$M$103,INT((ROW()-4)/10)+1,MOD(ROW()-4,10)+1)&lt;=0),"",INDEX('Bán nhanh'!$D$3:$M$3,1,MOD(ROW()-4,10)+1))</f>
        <v/>
      </c>
      <c r="C486" s="58" t="str">
        <f t="array" ref="C486">IFERROR(INDEX('Sản phẩm'!$A$4:$A$103,MATCH(B486,'Sản phẩm'!$D$4:$D$103,0)),"")</f>
        <v/>
      </c>
      <c r="D486" s="71" t="str">
        <f t="array" ref="D486">IF(B486="","",INDEX('Bán nhanh'!$B$4:$B$103,INT((ROW()-4)/10)+1))</f>
        <v/>
      </c>
      <c r="E486" s="58" t="str">
        <f t="array" ref="E486">IFERROR(INDEX('Mẻ sữa'!$B$4:$B$203,MATCH(D486,'Mẻ sữa'!$C$4:$C$203,0)),"")</f>
        <v/>
      </c>
      <c r="F486" s="66">
        <f t="array" ref="F486">IF(B486="",0,INDEX('Bán nhanh'!$D$4:$M$103,INT((ROW()-4)/10)+1,MOD(ROW()-4,10)+1))</f>
        <v>0</v>
      </c>
      <c r="G486" s="46">
        <f t="array" ref="G486">IFERROR(INDEX('Sản phẩm'!$F$4:$F$103,MATCH(B486,'Sản phẩm'!$D$4:$D$103,0)),0)</f>
        <v>0</v>
      </c>
      <c r="H486" s="67">
        <f t="shared" si="5"/>
        <v>0</v>
      </c>
      <c r="I486" s="46">
        <f t="shared" si="1"/>
        <v>0</v>
      </c>
      <c r="J486" s="46">
        <f t="array" ref="J486">IFERROR(INDEX('Sản phẩm'!$G$4:$G$103,MATCH(B486,'Sản phẩm'!$D$4:$D$103,0)),0)</f>
        <v>0</v>
      </c>
      <c r="K486" s="46">
        <f t="array" ref="K486">IFERROR(J486*INDEX('Mẻ sữa'!$N$4:$N$203,MATCH(D486,'Mẻ sữa'!$C$4:$C$203,0)),0)</f>
        <v>0</v>
      </c>
      <c r="L486" s="46">
        <f t="array" ref="L486">IFERROR(INDEX('Sản phẩm'!$I$4:$I$103,MATCH(B486,'Sản phẩm'!$D$4:$D$103,0)),0)</f>
        <v>0</v>
      </c>
      <c r="M486" s="72" t="str">
        <f t="array" ref="M486">IFERROR(INDEX('Sản phẩm'!$J$4:$J$103,MATCH(B486,'Sản phẩm'!$D$4:$D$103,0)),0)</f>
        <v/>
      </c>
      <c r="N486" s="46">
        <f>IF(B486="",0,(K486+L486+M486)*'Thiết lập'!$B$8)</f>
        <v>0</v>
      </c>
      <c r="O486" s="46">
        <f t="shared" si="2"/>
        <v>0</v>
      </c>
      <c r="P486" s="46">
        <f t="shared" si="3"/>
        <v>0</v>
      </c>
      <c r="Q486" s="46">
        <f t="shared" si="4"/>
        <v>0</v>
      </c>
      <c r="R486" s="71" t="str">
        <f t="array" ref="R486">IF(B486="","",INDEX('Bán nhanh'!$C$4:$C$103,INT((ROW()-4)/10)+1))</f>
        <v/>
      </c>
      <c r="S486" s="71" t="str">
        <f t="array" ref="S486">IF(B486="","",INDEX('Bán nhanh'!$P$4:$P$103,INT((ROW()-4)/10)+1))</f>
        <v/>
      </c>
      <c r="T486" s="58"/>
      <c r="U486" s="36"/>
      <c r="V486" s="36"/>
      <c r="W486" s="58"/>
      <c r="X486" s="36"/>
      <c r="Y486" s="36"/>
      <c r="Z486" s="36"/>
    </row>
    <row r="487" ht="15.75" customHeight="1">
      <c r="A487" s="70" t="str">
        <f t="array" ref="A487">IF(B487="","",INDEX('Bán nhanh'!$A$4:$A$103,INT((ROW()-4)/10)+1))</f>
        <v/>
      </c>
      <c r="B487" s="71" t="str">
        <f t="array" ref="B487">IF(OR(INDEX('Bán nhanh'!$D$3:$M$3,1,MOD(ROW()-4,10)+1)="",INDEX('Bán nhanh'!$D$4:$M$103,INT((ROW()-4)/10)+1,MOD(ROW()-4,10)+1)&lt;=0),"",INDEX('Bán nhanh'!$D$3:$M$3,1,MOD(ROW()-4,10)+1))</f>
        <v/>
      </c>
      <c r="C487" s="58" t="str">
        <f t="array" ref="C487">IFERROR(INDEX('Sản phẩm'!$A$4:$A$103,MATCH(B487,'Sản phẩm'!$D$4:$D$103,0)),"")</f>
        <v/>
      </c>
      <c r="D487" s="71" t="str">
        <f t="array" ref="D487">IF(B487="","",INDEX('Bán nhanh'!$B$4:$B$103,INT((ROW()-4)/10)+1))</f>
        <v/>
      </c>
      <c r="E487" s="58" t="str">
        <f t="array" ref="E487">IFERROR(INDEX('Mẻ sữa'!$B$4:$B$203,MATCH(D487,'Mẻ sữa'!$C$4:$C$203,0)),"")</f>
        <v/>
      </c>
      <c r="F487" s="66">
        <f t="array" ref="F487">IF(B487="",0,INDEX('Bán nhanh'!$D$4:$M$103,INT((ROW()-4)/10)+1,MOD(ROW()-4,10)+1))</f>
        <v>0</v>
      </c>
      <c r="G487" s="46">
        <f t="array" ref="G487">IFERROR(INDEX('Sản phẩm'!$F$4:$F$103,MATCH(B487,'Sản phẩm'!$D$4:$D$103,0)),0)</f>
        <v>0</v>
      </c>
      <c r="H487" s="67">
        <f t="shared" si="5"/>
        <v>0</v>
      </c>
      <c r="I487" s="46">
        <f t="shared" si="1"/>
        <v>0</v>
      </c>
      <c r="J487" s="46">
        <f t="array" ref="J487">IFERROR(INDEX('Sản phẩm'!$G$4:$G$103,MATCH(B487,'Sản phẩm'!$D$4:$D$103,0)),0)</f>
        <v>0</v>
      </c>
      <c r="K487" s="46">
        <f t="array" ref="K487">IFERROR(J487*INDEX('Mẻ sữa'!$N$4:$N$203,MATCH(D487,'Mẻ sữa'!$C$4:$C$203,0)),0)</f>
        <v>0</v>
      </c>
      <c r="L487" s="46">
        <f t="array" ref="L487">IFERROR(INDEX('Sản phẩm'!$I$4:$I$103,MATCH(B487,'Sản phẩm'!$D$4:$D$103,0)),0)</f>
        <v>0</v>
      </c>
      <c r="M487" s="72" t="str">
        <f t="array" ref="M487">IFERROR(INDEX('Sản phẩm'!$J$4:$J$103,MATCH(B487,'Sản phẩm'!$D$4:$D$103,0)),0)</f>
        <v/>
      </c>
      <c r="N487" s="46">
        <f>IF(B487="",0,(K487+L487+M487)*'Thiết lập'!$B$8)</f>
        <v>0</v>
      </c>
      <c r="O487" s="46">
        <f t="shared" si="2"/>
        <v>0</v>
      </c>
      <c r="P487" s="46">
        <f t="shared" si="3"/>
        <v>0</v>
      </c>
      <c r="Q487" s="46">
        <f t="shared" si="4"/>
        <v>0</v>
      </c>
      <c r="R487" s="71" t="str">
        <f t="array" ref="R487">IF(B487="","",INDEX('Bán nhanh'!$C$4:$C$103,INT((ROW()-4)/10)+1))</f>
        <v/>
      </c>
      <c r="S487" s="71" t="str">
        <f t="array" ref="S487">IF(B487="","",INDEX('Bán nhanh'!$P$4:$P$103,INT((ROW()-4)/10)+1))</f>
        <v/>
      </c>
      <c r="T487" s="58"/>
      <c r="U487" s="36"/>
      <c r="V487" s="36"/>
      <c r="W487" s="58"/>
      <c r="X487" s="36"/>
      <c r="Y487" s="36"/>
      <c r="Z487" s="36"/>
    </row>
    <row r="488" ht="15.75" customHeight="1">
      <c r="A488" s="70" t="str">
        <f t="array" ref="A488">IF(B488="","",INDEX('Bán nhanh'!$A$4:$A$103,INT((ROW()-4)/10)+1))</f>
        <v/>
      </c>
      <c r="B488" s="71" t="str">
        <f t="array" ref="B488">IF(OR(INDEX('Bán nhanh'!$D$3:$M$3,1,MOD(ROW()-4,10)+1)="",INDEX('Bán nhanh'!$D$4:$M$103,INT((ROW()-4)/10)+1,MOD(ROW()-4,10)+1)&lt;=0),"",INDEX('Bán nhanh'!$D$3:$M$3,1,MOD(ROW()-4,10)+1))</f>
        <v/>
      </c>
      <c r="C488" s="58" t="str">
        <f t="array" ref="C488">IFERROR(INDEX('Sản phẩm'!$A$4:$A$103,MATCH(B488,'Sản phẩm'!$D$4:$D$103,0)),"")</f>
        <v/>
      </c>
      <c r="D488" s="71" t="str">
        <f t="array" ref="D488">IF(B488="","",INDEX('Bán nhanh'!$B$4:$B$103,INT((ROW()-4)/10)+1))</f>
        <v/>
      </c>
      <c r="E488" s="58" t="str">
        <f t="array" ref="E488">IFERROR(INDEX('Mẻ sữa'!$B$4:$B$203,MATCH(D488,'Mẻ sữa'!$C$4:$C$203,0)),"")</f>
        <v/>
      </c>
      <c r="F488" s="66">
        <f t="array" ref="F488">IF(B488="",0,INDEX('Bán nhanh'!$D$4:$M$103,INT((ROW()-4)/10)+1,MOD(ROW()-4,10)+1))</f>
        <v>0</v>
      </c>
      <c r="G488" s="46">
        <f t="array" ref="G488">IFERROR(INDEX('Sản phẩm'!$F$4:$F$103,MATCH(B488,'Sản phẩm'!$D$4:$D$103,0)),0)</f>
        <v>0</v>
      </c>
      <c r="H488" s="67">
        <f t="shared" si="5"/>
        <v>0</v>
      </c>
      <c r="I488" s="46">
        <f t="shared" si="1"/>
        <v>0</v>
      </c>
      <c r="J488" s="46">
        <f t="array" ref="J488">IFERROR(INDEX('Sản phẩm'!$G$4:$G$103,MATCH(B488,'Sản phẩm'!$D$4:$D$103,0)),0)</f>
        <v>0</v>
      </c>
      <c r="K488" s="46">
        <f t="array" ref="K488">IFERROR(J488*INDEX('Mẻ sữa'!$N$4:$N$203,MATCH(D488,'Mẻ sữa'!$C$4:$C$203,0)),0)</f>
        <v>0</v>
      </c>
      <c r="L488" s="46">
        <f t="array" ref="L488">IFERROR(INDEX('Sản phẩm'!$I$4:$I$103,MATCH(B488,'Sản phẩm'!$D$4:$D$103,0)),0)</f>
        <v>0</v>
      </c>
      <c r="M488" s="72" t="str">
        <f t="array" ref="M488">IFERROR(INDEX('Sản phẩm'!$J$4:$J$103,MATCH(B488,'Sản phẩm'!$D$4:$D$103,0)),0)</f>
        <v/>
      </c>
      <c r="N488" s="46">
        <f>IF(B488="",0,(K488+L488+M488)*'Thiết lập'!$B$8)</f>
        <v>0</v>
      </c>
      <c r="O488" s="46">
        <f t="shared" si="2"/>
        <v>0</v>
      </c>
      <c r="P488" s="46">
        <f t="shared" si="3"/>
        <v>0</v>
      </c>
      <c r="Q488" s="46">
        <f t="shared" si="4"/>
        <v>0</v>
      </c>
      <c r="R488" s="71" t="str">
        <f t="array" ref="R488">IF(B488="","",INDEX('Bán nhanh'!$C$4:$C$103,INT((ROW()-4)/10)+1))</f>
        <v/>
      </c>
      <c r="S488" s="71" t="str">
        <f t="array" ref="S488">IF(B488="","",INDEX('Bán nhanh'!$P$4:$P$103,INT((ROW()-4)/10)+1))</f>
        <v/>
      </c>
      <c r="T488" s="58"/>
      <c r="U488" s="36"/>
      <c r="V488" s="36"/>
      <c r="W488" s="58"/>
      <c r="X488" s="36"/>
      <c r="Y488" s="36"/>
      <c r="Z488" s="36"/>
    </row>
    <row r="489" ht="15.75" customHeight="1">
      <c r="A489" s="70" t="str">
        <f t="array" ref="A489">IF(B489="","",INDEX('Bán nhanh'!$A$4:$A$103,INT((ROW()-4)/10)+1))</f>
        <v/>
      </c>
      <c r="B489" s="71" t="str">
        <f t="array" ref="B489">IF(OR(INDEX('Bán nhanh'!$D$3:$M$3,1,MOD(ROW()-4,10)+1)="",INDEX('Bán nhanh'!$D$4:$M$103,INT((ROW()-4)/10)+1,MOD(ROW()-4,10)+1)&lt;=0),"",INDEX('Bán nhanh'!$D$3:$M$3,1,MOD(ROW()-4,10)+1))</f>
        <v/>
      </c>
      <c r="C489" s="58" t="str">
        <f t="array" ref="C489">IFERROR(INDEX('Sản phẩm'!$A$4:$A$103,MATCH(B489,'Sản phẩm'!$D$4:$D$103,0)),"")</f>
        <v/>
      </c>
      <c r="D489" s="71" t="str">
        <f t="array" ref="D489">IF(B489="","",INDEX('Bán nhanh'!$B$4:$B$103,INT((ROW()-4)/10)+1))</f>
        <v/>
      </c>
      <c r="E489" s="58" t="str">
        <f t="array" ref="E489">IFERROR(INDEX('Mẻ sữa'!$B$4:$B$203,MATCH(D489,'Mẻ sữa'!$C$4:$C$203,0)),"")</f>
        <v/>
      </c>
      <c r="F489" s="66">
        <f t="array" ref="F489">IF(B489="",0,INDEX('Bán nhanh'!$D$4:$M$103,INT((ROW()-4)/10)+1,MOD(ROW()-4,10)+1))</f>
        <v>0</v>
      </c>
      <c r="G489" s="46">
        <f t="array" ref="G489">IFERROR(INDEX('Sản phẩm'!$F$4:$F$103,MATCH(B489,'Sản phẩm'!$D$4:$D$103,0)),0)</f>
        <v>0</v>
      </c>
      <c r="H489" s="67">
        <f t="shared" si="5"/>
        <v>0</v>
      </c>
      <c r="I489" s="46">
        <f t="shared" si="1"/>
        <v>0</v>
      </c>
      <c r="J489" s="46">
        <f t="array" ref="J489">IFERROR(INDEX('Sản phẩm'!$G$4:$G$103,MATCH(B489,'Sản phẩm'!$D$4:$D$103,0)),0)</f>
        <v>0</v>
      </c>
      <c r="K489" s="46">
        <f t="array" ref="K489">IFERROR(J489*INDEX('Mẻ sữa'!$N$4:$N$203,MATCH(D489,'Mẻ sữa'!$C$4:$C$203,0)),0)</f>
        <v>0</v>
      </c>
      <c r="L489" s="46">
        <f t="array" ref="L489">IFERROR(INDEX('Sản phẩm'!$I$4:$I$103,MATCH(B489,'Sản phẩm'!$D$4:$D$103,0)),0)</f>
        <v>0</v>
      </c>
      <c r="M489" s="72" t="str">
        <f t="array" ref="M489">IFERROR(INDEX('Sản phẩm'!$J$4:$J$103,MATCH(B489,'Sản phẩm'!$D$4:$D$103,0)),0)</f>
        <v/>
      </c>
      <c r="N489" s="46">
        <f>IF(B489="",0,(K489+L489+M489)*'Thiết lập'!$B$8)</f>
        <v>0</v>
      </c>
      <c r="O489" s="46">
        <f t="shared" si="2"/>
        <v>0</v>
      </c>
      <c r="P489" s="46">
        <f t="shared" si="3"/>
        <v>0</v>
      </c>
      <c r="Q489" s="46">
        <f t="shared" si="4"/>
        <v>0</v>
      </c>
      <c r="R489" s="71" t="str">
        <f t="array" ref="R489">IF(B489="","",INDEX('Bán nhanh'!$C$4:$C$103,INT((ROW()-4)/10)+1))</f>
        <v/>
      </c>
      <c r="S489" s="71" t="str">
        <f t="array" ref="S489">IF(B489="","",INDEX('Bán nhanh'!$P$4:$P$103,INT((ROW()-4)/10)+1))</f>
        <v/>
      </c>
      <c r="T489" s="58"/>
      <c r="U489" s="36"/>
      <c r="V489" s="36"/>
      <c r="W489" s="58"/>
      <c r="X489" s="36"/>
      <c r="Y489" s="36"/>
      <c r="Z489" s="36"/>
    </row>
    <row r="490" ht="15.75" customHeight="1">
      <c r="A490" s="70" t="str">
        <f t="array" ref="A490">IF(B490="","",INDEX('Bán nhanh'!$A$4:$A$103,INT((ROW()-4)/10)+1))</f>
        <v/>
      </c>
      <c r="B490" s="71" t="str">
        <f t="array" ref="B490">IF(OR(INDEX('Bán nhanh'!$D$3:$M$3,1,MOD(ROW()-4,10)+1)="",INDEX('Bán nhanh'!$D$4:$M$103,INT((ROW()-4)/10)+1,MOD(ROW()-4,10)+1)&lt;=0),"",INDEX('Bán nhanh'!$D$3:$M$3,1,MOD(ROW()-4,10)+1))</f>
        <v/>
      </c>
      <c r="C490" s="58" t="str">
        <f t="array" ref="C490">IFERROR(INDEX('Sản phẩm'!$A$4:$A$103,MATCH(B490,'Sản phẩm'!$D$4:$D$103,0)),"")</f>
        <v/>
      </c>
      <c r="D490" s="71" t="str">
        <f t="array" ref="D490">IF(B490="","",INDEX('Bán nhanh'!$B$4:$B$103,INT((ROW()-4)/10)+1))</f>
        <v/>
      </c>
      <c r="E490" s="58" t="str">
        <f t="array" ref="E490">IFERROR(INDEX('Mẻ sữa'!$B$4:$B$203,MATCH(D490,'Mẻ sữa'!$C$4:$C$203,0)),"")</f>
        <v/>
      </c>
      <c r="F490" s="66">
        <f t="array" ref="F490">IF(B490="",0,INDEX('Bán nhanh'!$D$4:$M$103,INT((ROW()-4)/10)+1,MOD(ROW()-4,10)+1))</f>
        <v>0</v>
      </c>
      <c r="G490" s="46">
        <f t="array" ref="G490">IFERROR(INDEX('Sản phẩm'!$F$4:$F$103,MATCH(B490,'Sản phẩm'!$D$4:$D$103,0)),0)</f>
        <v>0</v>
      </c>
      <c r="H490" s="67">
        <f t="shared" si="5"/>
        <v>0</v>
      </c>
      <c r="I490" s="46">
        <f t="shared" si="1"/>
        <v>0</v>
      </c>
      <c r="J490" s="46">
        <f t="array" ref="J490">IFERROR(INDEX('Sản phẩm'!$G$4:$G$103,MATCH(B490,'Sản phẩm'!$D$4:$D$103,0)),0)</f>
        <v>0</v>
      </c>
      <c r="K490" s="46">
        <f t="array" ref="K490">IFERROR(J490*INDEX('Mẻ sữa'!$N$4:$N$203,MATCH(D490,'Mẻ sữa'!$C$4:$C$203,0)),0)</f>
        <v>0</v>
      </c>
      <c r="L490" s="46">
        <f t="array" ref="L490">IFERROR(INDEX('Sản phẩm'!$I$4:$I$103,MATCH(B490,'Sản phẩm'!$D$4:$D$103,0)),0)</f>
        <v>0</v>
      </c>
      <c r="M490" s="72" t="str">
        <f t="array" ref="M490">IFERROR(INDEX('Sản phẩm'!$J$4:$J$103,MATCH(B490,'Sản phẩm'!$D$4:$D$103,0)),0)</f>
        <v/>
      </c>
      <c r="N490" s="46">
        <f>IF(B490="",0,(K490+L490+M490)*'Thiết lập'!$B$8)</f>
        <v>0</v>
      </c>
      <c r="O490" s="46">
        <f t="shared" si="2"/>
        <v>0</v>
      </c>
      <c r="P490" s="46">
        <f t="shared" si="3"/>
        <v>0</v>
      </c>
      <c r="Q490" s="46">
        <f t="shared" si="4"/>
        <v>0</v>
      </c>
      <c r="R490" s="71" t="str">
        <f t="array" ref="R490">IF(B490="","",INDEX('Bán nhanh'!$C$4:$C$103,INT((ROW()-4)/10)+1))</f>
        <v/>
      </c>
      <c r="S490" s="71" t="str">
        <f t="array" ref="S490">IF(B490="","",INDEX('Bán nhanh'!$P$4:$P$103,INT((ROW()-4)/10)+1))</f>
        <v/>
      </c>
      <c r="T490" s="58"/>
      <c r="U490" s="36"/>
      <c r="V490" s="36"/>
      <c r="W490" s="58"/>
      <c r="X490" s="36"/>
      <c r="Y490" s="36"/>
      <c r="Z490" s="36"/>
    </row>
    <row r="491" ht="15.75" customHeight="1">
      <c r="A491" s="70" t="str">
        <f t="array" ref="A491">IF(B491="","",INDEX('Bán nhanh'!$A$4:$A$103,INT((ROW()-4)/10)+1))</f>
        <v/>
      </c>
      <c r="B491" s="71" t="str">
        <f t="array" ref="B491">IF(OR(INDEX('Bán nhanh'!$D$3:$M$3,1,MOD(ROW()-4,10)+1)="",INDEX('Bán nhanh'!$D$4:$M$103,INT((ROW()-4)/10)+1,MOD(ROW()-4,10)+1)&lt;=0),"",INDEX('Bán nhanh'!$D$3:$M$3,1,MOD(ROW()-4,10)+1))</f>
        <v/>
      </c>
      <c r="C491" s="58" t="str">
        <f t="array" ref="C491">IFERROR(INDEX('Sản phẩm'!$A$4:$A$103,MATCH(B491,'Sản phẩm'!$D$4:$D$103,0)),"")</f>
        <v/>
      </c>
      <c r="D491" s="71" t="str">
        <f t="array" ref="D491">IF(B491="","",INDEX('Bán nhanh'!$B$4:$B$103,INT((ROW()-4)/10)+1))</f>
        <v/>
      </c>
      <c r="E491" s="58" t="str">
        <f t="array" ref="E491">IFERROR(INDEX('Mẻ sữa'!$B$4:$B$203,MATCH(D491,'Mẻ sữa'!$C$4:$C$203,0)),"")</f>
        <v/>
      </c>
      <c r="F491" s="66">
        <f t="array" ref="F491">IF(B491="",0,INDEX('Bán nhanh'!$D$4:$M$103,INT((ROW()-4)/10)+1,MOD(ROW()-4,10)+1))</f>
        <v>0</v>
      </c>
      <c r="G491" s="46">
        <f t="array" ref="G491">IFERROR(INDEX('Sản phẩm'!$F$4:$F$103,MATCH(B491,'Sản phẩm'!$D$4:$D$103,0)),0)</f>
        <v>0</v>
      </c>
      <c r="H491" s="67">
        <f t="shared" si="5"/>
        <v>0</v>
      </c>
      <c r="I491" s="46">
        <f t="shared" si="1"/>
        <v>0</v>
      </c>
      <c r="J491" s="46">
        <f t="array" ref="J491">IFERROR(INDEX('Sản phẩm'!$G$4:$G$103,MATCH(B491,'Sản phẩm'!$D$4:$D$103,0)),0)</f>
        <v>0</v>
      </c>
      <c r="K491" s="46">
        <f t="array" ref="K491">IFERROR(J491*INDEX('Mẻ sữa'!$N$4:$N$203,MATCH(D491,'Mẻ sữa'!$C$4:$C$203,0)),0)</f>
        <v>0</v>
      </c>
      <c r="L491" s="46">
        <f t="array" ref="L491">IFERROR(INDEX('Sản phẩm'!$I$4:$I$103,MATCH(B491,'Sản phẩm'!$D$4:$D$103,0)),0)</f>
        <v>0</v>
      </c>
      <c r="M491" s="72" t="str">
        <f t="array" ref="M491">IFERROR(INDEX('Sản phẩm'!$J$4:$J$103,MATCH(B491,'Sản phẩm'!$D$4:$D$103,0)),0)</f>
        <v/>
      </c>
      <c r="N491" s="46">
        <f>IF(B491="",0,(K491+L491+M491)*'Thiết lập'!$B$8)</f>
        <v>0</v>
      </c>
      <c r="O491" s="46">
        <f t="shared" si="2"/>
        <v>0</v>
      </c>
      <c r="P491" s="46">
        <f t="shared" si="3"/>
        <v>0</v>
      </c>
      <c r="Q491" s="46">
        <f t="shared" si="4"/>
        <v>0</v>
      </c>
      <c r="R491" s="71" t="str">
        <f t="array" ref="R491">IF(B491="","",INDEX('Bán nhanh'!$C$4:$C$103,INT((ROW()-4)/10)+1))</f>
        <v/>
      </c>
      <c r="S491" s="71" t="str">
        <f t="array" ref="S491">IF(B491="","",INDEX('Bán nhanh'!$P$4:$P$103,INT((ROW()-4)/10)+1))</f>
        <v/>
      </c>
      <c r="T491" s="58"/>
      <c r="U491" s="36"/>
      <c r="V491" s="36"/>
      <c r="W491" s="58"/>
      <c r="X491" s="36"/>
      <c r="Y491" s="36"/>
      <c r="Z491" s="36"/>
    </row>
    <row r="492" ht="15.75" customHeight="1">
      <c r="A492" s="70" t="str">
        <f t="array" ref="A492">IF(B492="","",INDEX('Bán nhanh'!$A$4:$A$103,INT((ROW()-4)/10)+1))</f>
        <v/>
      </c>
      <c r="B492" s="71" t="str">
        <f t="array" ref="B492">IF(OR(INDEX('Bán nhanh'!$D$3:$M$3,1,MOD(ROW()-4,10)+1)="",INDEX('Bán nhanh'!$D$4:$M$103,INT((ROW()-4)/10)+1,MOD(ROW()-4,10)+1)&lt;=0),"",INDEX('Bán nhanh'!$D$3:$M$3,1,MOD(ROW()-4,10)+1))</f>
        <v/>
      </c>
      <c r="C492" s="58" t="str">
        <f t="array" ref="C492">IFERROR(INDEX('Sản phẩm'!$A$4:$A$103,MATCH(B492,'Sản phẩm'!$D$4:$D$103,0)),"")</f>
        <v/>
      </c>
      <c r="D492" s="71" t="str">
        <f t="array" ref="D492">IF(B492="","",INDEX('Bán nhanh'!$B$4:$B$103,INT((ROW()-4)/10)+1))</f>
        <v/>
      </c>
      <c r="E492" s="58" t="str">
        <f t="array" ref="E492">IFERROR(INDEX('Mẻ sữa'!$B$4:$B$203,MATCH(D492,'Mẻ sữa'!$C$4:$C$203,0)),"")</f>
        <v/>
      </c>
      <c r="F492" s="66">
        <f t="array" ref="F492">IF(B492="",0,INDEX('Bán nhanh'!$D$4:$M$103,INT((ROW()-4)/10)+1,MOD(ROW()-4,10)+1))</f>
        <v>0</v>
      </c>
      <c r="G492" s="46">
        <f t="array" ref="G492">IFERROR(INDEX('Sản phẩm'!$F$4:$F$103,MATCH(B492,'Sản phẩm'!$D$4:$D$103,0)),0)</f>
        <v>0</v>
      </c>
      <c r="H492" s="67">
        <f t="shared" si="5"/>
        <v>0</v>
      </c>
      <c r="I492" s="46">
        <f t="shared" si="1"/>
        <v>0</v>
      </c>
      <c r="J492" s="46">
        <f t="array" ref="J492">IFERROR(INDEX('Sản phẩm'!$G$4:$G$103,MATCH(B492,'Sản phẩm'!$D$4:$D$103,0)),0)</f>
        <v>0</v>
      </c>
      <c r="K492" s="46">
        <f t="array" ref="K492">IFERROR(J492*INDEX('Mẻ sữa'!$N$4:$N$203,MATCH(D492,'Mẻ sữa'!$C$4:$C$203,0)),0)</f>
        <v>0</v>
      </c>
      <c r="L492" s="46">
        <f t="array" ref="L492">IFERROR(INDEX('Sản phẩm'!$I$4:$I$103,MATCH(B492,'Sản phẩm'!$D$4:$D$103,0)),0)</f>
        <v>0</v>
      </c>
      <c r="M492" s="72" t="str">
        <f t="array" ref="M492">IFERROR(INDEX('Sản phẩm'!$J$4:$J$103,MATCH(B492,'Sản phẩm'!$D$4:$D$103,0)),0)</f>
        <v/>
      </c>
      <c r="N492" s="46">
        <f>IF(B492="",0,(K492+L492+M492)*'Thiết lập'!$B$8)</f>
        <v>0</v>
      </c>
      <c r="O492" s="46">
        <f t="shared" si="2"/>
        <v>0</v>
      </c>
      <c r="P492" s="46">
        <f t="shared" si="3"/>
        <v>0</v>
      </c>
      <c r="Q492" s="46">
        <f t="shared" si="4"/>
        <v>0</v>
      </c>
      <c r="R492" s="71" t="str">
        <f t="array" ref="R492">IF(B492="","",INDEX('Bán nhanh'!$C$4:$C$103,INT((ROW()-4)/10)+1))</f>
        <v/>
      </c>
      <c r="S492" s="71" t="str">
        <f t="array" ref="S492">IF(B492="","",INDEX('Bán nhanh'!$P$4:$P$103,INT((ROW()-4)/10)+1))</f>
        <v/>
      </c>
      <c r="T492" s="58"/>
      <c r="U492" s="36"/>
      <c r="V492" s="36"/>
      <c r="W492" s="58"/>
      <c r="X492" s="36"/>
      <c r="Y492" s="36"/>
      <c r="Z492" s="36"/>
    </row>
    <row r="493" ht="15.75" customHeight="1">
      <c r="A493" s="70" t="str">
        <f t="array" ref="A493">IF(B493="","",INDEX('Bán nhanh'!$A$4:$A$103,INT((ROW()-4)/10)+1))</f>
        <v/>
      </c>
      <c r="B493" s="71" t="str">
        <f t="array" ref="B493">IF(OR(INDEX('Bán nhanh'!$D$3:$M$3,1,MOD(ROW()-4,10)+1)="",INDEX('Bán nhanh'!$D$4:$M$103,INT((ROW()-4)/10)+1,MOD(ROW()-4,10)+1)&lt;=0),"",INDEX('Bán nhanh'!$D$3:$M$3,1,MOD(ROW()-4,10)+1))</f>
        <v/>
      </c>
      <c r="C493" s="58" t="str">
        <f t="array" ref="C493">IFERROR(INDEX('Sản phẩm'!$A$4:$A$103,MATCH(B493,'Sản phẩm'!$D$4:$D$103,0)),"")</f>
        <v/>
      </c>
      <c r="D493" s="71" t="str">
        <f t="array" ref="D493">IF(B493="","",INDEX('Bán nhanh'!$B$4:$B$103,INT((ROW()-4)/10)+1))</f>
        <v/>
      </c>
      <c r="E493" s="58" t="str">
        <f t="array" ref="E493">IFERROR(INDEX('Mẻ sữa'!$B$4:$B$203,MATCH(D493,'Mẻ sữa'!$C$4:$C$203,0)),"")</f>
        <v/>
      </c>
      <c r="F493" s="66">
        <f t="array" ref="F493">IF(B493="",0,INDEX('Bán nhanh'!$D$4:$M$103,INT((ROW()-4)/10)+1,MOD(ROW()-4,10)+1))</f>
        <v>0</v>
      </c>
      <c r="G493" s="46">
        <f t="array" ref="G493">IFERROR(INDEX('Sản phẩm'!$F$4:$F$103,MATCH(B493,'Sản phẩm'!$D$4:$D$103,0)),0)</f>
        <v>0</v>
      </c>
      <c r="H493" s="67">
        <f t="shared" si="5"/>
        <v>0</v>
      </c>
      <c r="I493" s="46">
        <f t="shared" si="1"/>
        <v>0</v>
      </c>
      <c r="J493" s="46">
        <f t="array" ref="J493">IFERROR(INDEX('Sản phẩm'!$G$4:$G$103,MATCH(B493,'Sản phẩm'!$D$4:$D$103,0)),0)</f>
        <v>0</v>
      </c>
      <c r="K493" s="46">
        <f t="array" ref="K493">IFERROR(J493*INDEX('Mẻ sữa'!$N$4:$N$203,MATCH(D493,'Mẻ sữa'!$C$4:$C$203,0)),0)</f>
        <v>0</v>
      </c>
      <c r="L493" s="46">
        <f t="array" ref="L493">IFERROR(INDEX('Sản phẩm'!$I$4:$I$103,MATCH(B493,'Sản phẩm'!$D$4:$D$103,0)),0)</f>
        <v>0</v>
      </c>
      <c r="M493" s="72" t="str">
        <f t="array" ref="M493">IFERROR(INDEX('Sản phẩm'!$J$4:$J$103,MATCH(B493,'Sản phẩm'!$D$4:$D$103,0)),0)</f>
        <v/>
      </c>
      <c r="N493" s="46">
        <f>IF(B493="",0,(K493+L493+M493)*'Thiết lập'!$B$8)</f>
        <v>0</v>
      </c>
      <c r="O493" s="46">
        <f t="shared" si="2"/>
        <v>0</v>
      </c>
      <c r="P493" s="46">
        <f t="shared" si="3"/>
        <v>0</v>
      </c>
      <c r="Q493" s="46">
        <f t="shared" si="4"/>
        <v>0</v>
      </c>
      <c r="R493" s="71" t="str">
        <f t="array" ref="R493">IF(B493="","",INDEX('Bán nhanh'!$C$4:$C$103,INT((ROW()-4)/10)+1))</f>
        <v/>
      </c>
      <c r="S493" s="71" t="str">
        <f t="array" ref="S493">IF(B493="","",INDEX('Bán nhanh'!$P$4:$P$103,INT((ROW()-4)/10)+1))</f>
        <v/>
      </c>
      <c r="T493" s="58"/>
      <c r="U493" s="36"/>
      <c r="V493" s="36"/>
      <c r="W493" s="58"/>
      <c r="X493" s="36"/>
      <c r="Y493" s="36"/>
      <c r="Z493" s="36"/>
    </row>
    <row r="494" ht="15.75" customHeight="1">
      <c r="A494" s="70" t="str">
        <f t="array" ref="A494">IF(B494="","",INDEX('Bán nhanh'!$A$4:$A$103,INT((ROW()-4)/10)+1))</f>
        <v/>
      </c>
      <c r="B494" s="71" t="str">
        <f t="array" ref="B494">IF(OR(INDEX('Bán nhanh'!$D$3:$M$3,1,MOD(ROW()-4,10)+1)="",INDEX('Bán nhanh'!$D$4:$M$103,INT((ROW()-4)/10)+1,MOD(ROW()-4,10)+1)&lt;=0),"",INDEX('Bán nhanh'!$D$3:$M$3,1,MOD(ROW()-4,10)+1))</f>
        <v/>
      </c>
      <c r="C494" s="58" t="str">
        <f t="array" ref="C494">IFERROR(INDEX('Sản phẩm'!$A$4:$A$103,MATCH(B494,'Sản phẩm'!$D$4:$D$103,0)),"")</f>
        <v/>
      </c>
      <c r="D494" s="71" t="str">
        <f t="array" ref="D494">IF(B494="","",INDEX('Bán nhanh'!$B$4:$B$103,INT((ROW()-4)/10)+1))</f>
        <v/>
      </c>
      <c r="E494" s="58" t="str">
        <f t="array" ref="E494">IFERROR(INDEX('Mẻ sữa'!$B$4:$B$203,MATCH(D494,'Mẻ sữa'!$C$4:$C$203,0)),"")</f>
        <v/>
      </c>
      <c r="F494" s="66">
        <f t="array" ref="F494">IF(B494="",0,INDEX('Bán nhanh'!$D$4:$M$103,INT((ROW()-4)/10)+1,MOD(ROW()-4,10)+1))</f>
        <v>0</v>
      </c>
      <c r="G494" s="46">
        <f t="array" ref="G494">IFERROR(INDEX('Sản phẩm'!$F$4:$F$103,MATCH(B494,'Sản phẩm'!$D$4:$D$103,0)),0)</f>
        <v>0</v>
      </c>
      <c r="H494" s="67">
        <f t="shared" si="5"/>
        <v>0</v>
      </c>
      <c r="I494" s="46">
        <f t="shared" si="1"/>
        <v>0</v>
      </c>
      <c r="J494" s="46">
        <f t="array" ref="J494">IFERROR(INDEX('Sản phẩm'!$G$4:$G$103,MATCH(B494,'Sản phẩm'!$D$4:$D$103,0)),0)</f>
        <v>0</v>
      </c>
      <c r="K494" s="46">
        <f t="array" ref="K494">IFERROR(J494*INDEX('Mẻ sữa'!$N$4:$N$203,MATCH(D494,'Mẻ sữa'!$C$4:$C$203,0)),0)</f>
        <v>0</v>
      </c>
      <c r="L494" s="46">
        <f t="array" ref="L494">IFERROR(INDEX('Sản phẩm'!$I$4:$I$103,MATCH(B494,'Sản phẩm'!$D$4:$D$103,0)),0)</f>
        <v>0</v>
      </c>
      <c r="M494" s="72" t="str">
        <f t="array" ref="M494">IFERROR(INDEX('Sản phẩm'!$J$4:$J$103,MATCH(B494,'Sản phẩm'!$D$4:$D$103,0)),0)</f>
        <v/>
      </c>
      <c r="N494" s="46">
        <f>IF(B494="",0,(K494+L494+M494)*'Thiết lập'!$B$8)</f>
        <v>0</v>
      </c>
      <c r="O494" s="46">
        <f t="shared" si="2"/>
        <v>0</v>
      </c>
      <c r="P494" s="46">
        <f t="shared" si="3"/>
        <v>0</v>
      </c>
      <c r="Q494" s="46">
        <f t="shared" si="4"/>
        <v>0</v>
      </c>
      <c r="R494" s="71" t="str">
        <f t="array" ref="R494">IF(B494="","",INDEX('Bán nhanh'!$C$4:$C$103,INT((ROW()-4)/10)+1))</f>
        <v/>
      </c>
      <c r="S494" s="71" t="str">
        <f t="array" ref="S494">IF(B494="","",INDEX('Bán nhanh'!$P$4:$P$103,INT((ROW()-4)/10)+1))</f>
        <v/>
      </c>
      <c r="T494" s="58"/>
      <c r="U494" s="36"/>
      <c r="V494" s="36"/>
      <c r="W494" s="58"/>
      <c r="X494" s="36"/>
      <c r="Y494" s="36"/>
      <c r="Z494" s="36"/>
    </row>
    <row r="495" ht="15.75" customHeight="1">
      <c r="A495" s="70" t="str">
        <f t="array" ref="A495">IF(B495="","",INDEX('Bán nhanh'!$A$4:$A$103,INT((ROW()-4)/10)+1))</f>
        <v/>
      </c>
      <c r="B495" s="71" t="str">
        <f t="array" ref="B495">IF(OR(INDEX('Bán nhanh'!$D$3:$M$3,1,MOD(ROW()-4,10)+1)="",INDEX('Bán nhanh'!$D$4:$M$103,INT((ROW()-4)/10)+1,MOD(ROW()-4,10)+1)&lt;=0),"",INDEX('Bán nhanh'!$D$3:$M$3,1,MOD(ROW()-4,10)+1))</f>
        <v/>
      </c>
      <c r="C495" s="58" t="str">
        <f t="array" ref="C495">IFERROR(INDEX('Sản phẩm'!$A$4:$A$103,MATCH(B495,'Sản phẩm'!$D$4:$D$103,0)),"")</f>
        <v/>
      </c>
      <c r="D495" s="71" t="str">
        <f t="array" ref="D495">IF(B495="","",INDEX('Bán nhanh'!$B$4:$B$103,INT((ROW()-4)/10)+1))</f>
        <v/>
      </c>
      <c r="E495" s="58" t="str">
        <f t="array" ref="E495">IFERROR(INDEX('Mẻ sữa'!$B$4:$B$203,MATCH(D495,'Mẻ sữa'!$C$4:$C$203,0)),"")</f>
        <v/>
      </c>
      <c r="F495" s="66">
        <f t="array" ref="F495">IF(B495="",0,INDEX('Bán nhanh'!$D$4:$M$103,INT((ROW()-4)/10)+1,MOD(ROW()-4,10)+1))</f>
        <v>0</v>
      </c>
      <c r="G495" s="46">
        <f t="array" ref="G495">IFERROR(INDEX('Sản phẩm'!$F$4:$F$103,MATCH(B495,'Sản phẩm'!$D$4:$D$103,0)),0)</f>
        <v>0</v>
      </c>
      <c r="H495" s="67">
        <f t="shared" si="5"/>
        <v>0</v>
      </c>
      <c r="I495" s="46">
        <f t="shared" si="1"/>
        <v>0</v>
      </c>
      <c r="J495" s="46">
        <f t="array" ref="J495">IFERROR(INDEX('Sản phẩm'!$G$4:$G$103,MATCH(B495,'Sản phẩm'!$D$4:$D$103,0)),0)</f>
        <v>0</v>
      </c>
      <c r="K495" s="46">
        <f t="array" ref="K495">IFERROR(J495*INDEX('Mẻ sữa'!$N$4:$N$203,MATCH(D495,'Mẻ sữa'!$C$4:$C$203,0)),0)</f>
        <v>0</v>
      </c>
      <c r="L495" s="46">
        <f t="array" ref="L495">IFERROR(INDEX('Sản phẩm'!$I$4:$I$103,MATCH(B495,'Sản phẩm'!$D$4:$D$103,0)),0)</f>
        <v>0</v>
      </c>
      <c r="M495" s="72" t="str">
        <f t="array" ref="M495">IFERROR(INDEX('Sản phẩm'!$J$4:$J$103,MATCH(B495,'Sản phẩm'!$D$4:$D$103,0)),0)</f>
        <v/>
      </c>
      <c r="N495" s="46">
        <f>IF(B495="",0,(K495+L495+M495)*'Thiết lập'!$B$8)</f>
        <v>0</v>
      </c>
      <c r="O495" s="46">
        <f t="shared" si="2"/>
        <v>0</v>
      </c>
      <c r="P495" s="46">
        <f t="shared" si="3"/>
        <v>0</v>
      </c>
      <c r="Q495" s="46">
        <f t="shared" si="4"/>
        <v>0</v>
      </c>
      <c r="R495" s="71" t="str">
        <f t="array" ref="R495">IF(B495="","",INDEX('Bán nhanh'!$C$4:$C$103,INT((ROW()-4)/10)+1))</f>
        <v/>
      </c>
      <c r="S495" s="71" t="str">
        <f t="array" ref="S495">IF(B495="","",INDEX('Bán nhanh'!$P$4:$P$103,INT((ROW()-4)/10)+1))</f>
        <v/>
      </c>
      <c r="T495" s="58"/>
      <c r="U495" s="36"/>
      <c r="V495" s="36"/>
      <c r="W495" s="58"/>
      <c r="X495" s="36"/>
      <c r="Y495" s="36"/>
      <c r="Z495" s="36"/>
    </row>
    <row r="496" ht="15.75" customHeight="1">
      <c r="A496" s="70" t="str">
        <f t="array" ref="A496">IF(B496="","",INDEX('Bán nhanh'!$A$4:$A$103,INT((ROW()-4)/10)+1))</f>
        <v/>
      </c>
      <c r="B496" s="71" t="str">
        <f t="array" ref="B496">IF(OR(INDEX('Bán nhanh'!$D$3:$M$3,1,MOD(ROW()-4,10)+1)="",INDEX('Bán nhanh'!$D$4:$M$103,INT((ROW()-4)/10)+1,MOD(ROW()-4,10)+1)&lt;=0),"",INDEX('Bán nhanh'!$D$3:$M$3,1,MOD(ROW()-4,10)+1))</f>
        <v/>
      </c>
      <c r="C496" s="58" t="str">
        <f t="array" ref="C496">IFERROR(INDEX('Sản phẩm'!$A$4:$A$103,MATCH(B496,'Sản phẩm'!$D$4:$D$103,0)),"")</f>
        <v/>
      </c>
      <c r="D496" s="71" t="str">
        <f t="array" ref="D496">IF(B496="","",INDEX('Bán nhanh'!$B$4:$B$103,INT((ROW()-4)/10)+1))</f>
        <v/>
      </c>
      <c r="E496" s="58" t="str">
        <f t="array" ref="E496">IFERROR(INDEX('Mẻ sữa'!$B$4:$B$203,MATCH(D496,'Mẻ sữa'!$C$4:$C$203,0)),"")</f>
        <v/>
      </c>
      <c r="F496" s="66">
        <f t="array" ref="F496">IF(B496="",0,INDEX('Bán nhanh'!$D$4:$M$103,INT((ROW()-4)/10)+1,MOD(ROW()-4,10)+1))</f>
        <v>0</v>
      </c>
      <c r="G496" s="46">
        <f t="array" ref="G496">IFERROR(INDEX('Sản phẩm'!$F$4:$F$103,MATCH(B496,'Sản phẩm'!$D$4:$D$103,0)),0)</f>
        <v>0</v>
      </c>
      <c r="H496" s="67">
        <f t="shared" si="5"/>
        <v>0</v>
      </c>
      <c r="I496" s="46">
        <f t="shared" si="1"/>
        <v>0</v>
      </c>
      <c r="J496" s="46">
        <f t="array" ref="J496">IFERROR(INDEX('Sản phẩm'!$G$4:$G$103,MATCH(B496,'Sản phẩm'!$D$4:$D$103,0)),0)</f>
        <v>0</v>
      </c>
      <c r="K496" s="46">
        <f t="array" ref="K496">IFERROR(J496*INDEX('Mẻ sữa'!$N$4:$N$203,MATCH(D496,'Mẻ sữa'!$C$4:$C$203,0)),0)</f>
        <v>0</v>
      </c>
      <c r="L496" s="46">
        <f t="array" ref="L496">IFERROR(INDEX('Sản phẩm'!$I$4:$I$103,MATCH(B496,'Sản phẩm'!$D$4:$D$103,0)),0)</f>
        <v>0</v>
      </c>
      <c r="M496" s="72" t="str">
        <f t="array" ref="M496">IFERROR(INDEX('Sản phẩm'!$J$4:$J$103,MATCH(B496,'Sản phẩm'!$D$4:$D$103,0)),0)</f>
        <v/>
      </c>
      <c r="N496" s="46">
        <f>IF(B496="",0,(K496+L496+M496)*'Thiết lập'!$B$8)</f>
        <v>0</v>
      </c>
      <c r="O496" s="46">
        <f t="shared" si="2"/>
        <v>0</v>
      </c>
      <c r="P496" s="46">
        <f t="shared" si="3"/>
        <v>0</v>
      </c>
      <c r="Q496" s="46">
        <f t="shared" si="4"/>
        <v>0</v>
      </c>
      <c r="R496" s="71" t="str">
        <f t="array" ref="R496">IF(B496="","",INDEX('Bán nhanh'!$C$4:$C$103,INT((ROW()-4)/10)+1))</f>
        <v/>
      </c>
      <c r="S496" s="71" t="str">
        <f t="array" ref="S496">IF(B496="","",INDEX('Bán nhanh'!$P$4:$P$103,INT((ROW()-4)/10)+1))</f>
        <v/>
      </c>
      <c r="T496" s="58"/>
      <c r="U496" s="36"/>
      <c r="V496" s="36"/>
      <c r="W496" s="58"/>
      <c r="X496" s="36"/>
      <c r="Y496" s="36"/>
      <c r="Z496" s="36"/>
    </row>
    <row r="497" ht="15.75" customHeight="1">
      <c r="A497" s="70" t="str">
        <f t="array" ref="A497">IF(B497="","",INDEX('Bán nhanh'!$A$4:$A$103,INT((ROW()-4)/10)+1))</f>
        <v/>
      </c>
      <c r="B497" s="71" t="str">
        <f t="array" ref="B497">IF(OR(INDEX('Bán nhanh'!$D$3:$M$3,1,MOD(ROW()-4,10)+1)="",INDEX('Bán nhanh'!$D$4:$M$103,INT((ROW()-4)/10)+1,MOD(ROW()-4,10)+1)&lt;=0),"",INDEX('Bán nhanh'!$D$3:$M$3,1,MOD(ROW()-4,10)+1))</f>
        <v/>
      </c>
      <c r="C497" s="58" t="str">
        <f t="array" ref="C497">IFERROR(INDEX('Sản phẩm'!$A$4:$A$103,MATCH(B497,'Sản phẩm'!$D$4:$D$103,0)),"")</f>
        <v/>
      </c>
      <c r="D497" s="71" t="str">
        <f t="array" ref="D497">IF(B497="","",INDEX('Bán nhanh'!$B$4:$B$103,INT((ROW()-4)/10)+1))</f>
        <v/>
      </c>
      <c r="E497" s="58" t="str">
        <f t="array" ref="E497">IFERROR(INDEX('Mẻ sữa'!$B$4:$B$203,MATCH(D497,'Mẻ sữa'!$C$4:$C$203,0)),"")</f>
        <v/>
      </c>
      <c r="F497" s="66">
        <f t="array" ref="F497">IF(B497="",0,INDEX('Bán nhanh'!$D$4:$M$103,INT((ROW()-4)/10)+1,MOD(ROW()-4,10)+1))</f>
        <v>0</v>
      </c>
      <c r="G497" s="46">
        <f t="array" ref="G497">IFERROR(INDEX('Sản phẩm'!$F$4:$F$103,MATCH(B497,'Sản phẩm'!$D$4:$D$103,0)),0)</f>
        <v>0</v>
      </c>
      <c r="H497" s="67">
        <f t="shared" si="5"/>
        <v>0</v>
      </c>
      <c r="I497" s="46">
        <f t="shared" si="1"/>
        <v>0</v>
      </c>
      <c r="J497" s="46">
        <f t="array" ref="J497">IFERROR(INDEX('Sản phẩm'!$G$4:$G$103,MATCH(B497,'Sản phẩm'!$D$4:$D$103,0)),0)</f>
        <v>0</v>
      </c>
      <c r="K497" s="46">
        <f t="array" ref="K497">IFERROR(J497*INDEX('Mẻ sữa'!$N$4:$N$203,MATCH(D497,'Mẻ sữa'!$C$4:$C$203,0)),0)</f>
        <v>0</v>
      </c>
      <c r="L497" s="46">
        <f t="array" ref="L497">IFERROR(INDEX('Sản phẩm'!$I$4:$I$103,MATCH(B497,'Sản phẩm'!$D$4:$D$103,0)),0)</f>
        <v>0</v>
      </c>
      <c r="M497" s="72" t="str">
        <f t="array" ref="M497">IFERROR(INDEX('Sản phẩm'!$J$4:$J$103,MATCH(B497,'Sản phẩm'!$D$4:$D$103,0)),0)</f>
        <v/>
      </c>
      <c r="N497" s="46">
        <f>IF(B497="",0,(K497+L497+M497)*'Thiết lập'!$B$8)</f>
        <v>0</v>
      </c>
      <c r="O497" s="46">
        <f t="shared" si="2"/>
        <v>0</v>
      </c>
      <c r="P497" s="46">
        <f t="shared" si="3"/>
        <v>0</v>
      </c>
      <c r="Q497" s="46">
        <f t="shared" si="4"/>
        <v>0</v>
      </c>
      <c r="R497" s="71" t="str">
        <f t="array" ref="R497">IF(B497="","",INDEX('Bán nhanh'!$C$4:$C$103,INT((ROW()-4)/10)+1))</f>
        <v/>
      </c>
      <c r="S497" s="71" t="str">
        <f t="array" ref="S497">IF(B497="","",INDEX('Bán nhanh'!$P$4:$P$103,INT((ROW()-4)/10)+1))</f>
        <v/>
      </c>
      <c r="T497" s="58"/>
      <c r="U497" s="36"/>
      <c r="V497" s="36"/>
      <c r="W497" s="58"/>
      <c r="X497" s="36"/>
      <c r="Y497" s="36"/>
      <c r="Z497" s="36"/>
    </row>
    <row r="498" ht="15.75" customHeight="1">
      <c r="A498" s="70" t="str">
        <f t="array" ref="A498">IF(B498="","",INDEX('Bán nhanh'!$A$4:$A$103,INT((ROW()-4)/10)+1))</f>
        <v/>
      </c>
      <c r="B498" s="71" t="str">
        <f t="array" ref="B498">IF(OR(INDEX('Bán nhanh'!$D$3:$M$3,1,MOD(ROW()-4,10)+1)="",INDEX('Bán nhanh'!$D$4:$M$103,INT((ROW()-4)/10)+1,MOD(ROW()-4,10)+1)&lt;=0),"",INDEX('Bán nhanh'!$D$3:$M$3,1,MOD(ROW()-4,10)+1))</f>
        <v/>
      </c>
      <c r="C498" s="58" t="str">
        <f t="array" ref="C498">IFERROR(INDEX('Sản phẩm'!$A$4:$A$103,MATCH(B498,'Sản phẩm'!$D$4:$D$103,0)),"")</f>
        <v/>
      </c>
      <c r="D498" s="71" t="str">
        <f t="array" ref="D498">IF(B498="","",INDEX('Bán nhanh'!$B$4:$B$103,INT((ROW()-4)/10)+1))</f>
        <v/>
      </c>
      <c r="E498" s="58" t="str">
        <f t="array" ref="E498">IFERROR(INDEX('Mẻ sữa'!$B$4:$B$203,MATCH(D498,'Mẻ sữa'!$C$4:$C$203,0)),"")</f>
        <v/>
      </c>
      <c r="F498" s="66">
        <f t="array" ref="F498">IF(B498="",0,INDEX('Bán nhanh'!$D$4:$M$103,INT((ROW()-4)/10)+1,MOD(ROW()-4,10)+1))</f>
        <v>0</v>
      </c>
      <c r="G498" s="46">
        <f t="array" ref="G498">IFERROR(INDEX('Sản phẩm'!$F$4:$F$103,MATCH(B498,'Sản phẩm'!$D$4:$D$103,0)),0)</f>
        <v>0</v>
      </c>
      <c r="H498" s="67">
        <f t="shared" si="5"/>
        <v>0</v>
      </c>
      <c r="I498" s="46">
        <f t="shared" si="1"/>
        <v>0</v>
      </c>
      <c r="J498" s="46">
        <f t="array" ref="J498">IFERROR(INDEX('Sản phẩm'!$G$4:$G$103,MATCH(B498,'Sản phẩm'!$D$4:$D$103,0)),0)</f>
        <v>0</v>
      </c>
      <c r="K498" s="46">
        <f t="array" ref="K498">IFERROR(J498*INDEX('Mẻ sữa'!$N$4:$N$203,MATCH(D498,'Mẻ sữa'!$C$4:$C$203,0)),0)</f>
        <v>0</v>
      </c>
      <c r="L498" s="46">
        <f t="array" ref="L498">IFERROR(INDEX('Sản phẩm'!$I$4:$I$103,MATCH(B498,'Sản phẩm'!$D$4:$D$103,0)),0)</f>
        <v>0</v>
      </c>
      <c r="M498" s="72" t="str">
        <f t="array" ref="M498">IFERROR(INDEX('Sản phẩm'!$J$4:$J$103,MATCH(B498,'Sản phẩm'!$D$4:$D$103,0)),0)</f>
        <v/>
      </c>
      <c r="N498" s="46">
        <f>IF(B498="",0,(K498+L498+M498)*'Thiết lập'!$B$8)</f>
        <v>0</v>
      </c>
      <c r="O498" s="46">
        <f t="shared" si="2"/>
        <v>0</v>
      </c>
      <c r="P498" s="46">
        <f t="shared" si="3"/>
        <v>0</v>
      </c>
      <c r="Q498" s="46">
        <f t="shared" si="4"/>
        <v>0</v>
      </c>
      <c r="R498" s="71" t="str">
        <f t="array" ref="R498">IF(B498="","",INDEX('Bán nhanh'!$C$4:$C$103,INT((ROW()-4)/10)+1))</f>
        <v/>
      </c>
      <c r="S498" s="71" t="str">
        <f t="array" ref="S498">IF(B498="","",INDEX('Bán nhanh'!$P$4:$P$103,INT((ROW()-4)/10)+1))</f>
        <v/>
      </c>
      <c r="T498" s="58"/>
      <c r="U498" s="36"/>
      <c r="V498" s="36"/>
      <c r="W498" s="58"/>
      <c r="X498" s="36"/>
      <c r="Y498" s="36"/>
      <c r="Z498" s="36"/>
    </row>
    <row r="499" ht="15.75" customHeight="1">
      <c r="A499" s="70" t="str">
        <f t="array" ref="A499">IF(B499="","",INDEX('Bán nhanh'!$A$4:$A$103,INT((ROW()-4)/10)+1))</f>
        <v/>
      </c>
      <c r="B499" s="71" t="str">
        <f t="array" ref="B499">IF(OR(INDEX('Bán nhanh'!$D$3:$M$3,1,MOD(ROW()-4,10)+1)="",INDEX('Bán nhanh'!$D$4:$M$103,INT((ROW()-4)/10)+1,MOD(ROW()-4,10)+1)&lt;=0),"",INDEX('Bán nhanh'!$D$3:$M$3,1,MOD(ROW()-4,10)+1))</f>
        <v/>
      </c>
      <c r="C499" s="58" t="str">
        <f t="array" ref="C499">IFERROR(INDEX('Sản phẩm'!$A$4:$A$103,MATCH(B499,'Sản phẩm'!$D$4:$D$103,0)),"")</f>
        <v/>
      </c>
      <c r="D499" s="71" t="str">
        <f t="array" ref="D499">IF(B499="","",INDEX('Bán nhanh'!$B$4:$B$103,INT((ROW()-4)/10)+1))</f>
        <v/>
      </c>
      <c r="E499" s="58" t="str">
        <f t="array" ref="E499">IFERROR(INDEX('Mẻ sữa'!$B$4:$B$203,MATCH(D499,'Mẻ sữa'!$C$4:$C$203,0)),"")</f>
        <v/>
      </c>
      <c r="F499" s="66">
        <f t="array" ref="F499">IF(B499="",0,INDEX('Bán nhanh'!$D$4:$M$103,INT((ROW()-4)/10)+1,MOD(ROW()-4,10)+1))</f>
        <v>0</v>
      </c>
      <c r="G499" s="46">
        <f t="array" ref="G499">IFERROR(INDEX('Sản phẩm'!$F$4:$F$103,MATCH(B499,'Sản phẩm'!$D$4:$D$103,0)),0)</f>
        <v>0</v>
      </c>
      <c r="H499" s="67">
        <f t="shared" si="5"/>
        <v>0</v>
      </c>
      <c r="I499" s="46">
        <f t="shared" si="1"/>
        <v>0</v>
      </c>
      <c r="J499" s="46">
        <f t="array" ref="J499">IFERROR(INDEX('Sản phẩm'!$G$4:$G$103,MATCH(B499,'Sản phẩm'!$D$4:$D$103,0)),0)</f>
        <v>0</v>
      </c>
      <c r="K499" s="46">
        <f t="array" ref="K499">IFERROR(J499*INDEX('Mẻ sữa'!$N$4:$N$203,MATCH(D499,'Mẻ sữa'!$C$4:$C$203,0)),0)</f>
        <v>0</v>
      </c>
      <c r="L499" s="46">
        <f t="array" ref="L499">IFERROR(INDEX('Sản phẩm'!$I$4:$I$103,MATCH(B499,'Sản phẩm'!$D$4:$D$103,0)),0)</f>
        <v>0</v>
      </c>
      <c r="M499" s="72" t="str">
        <f t="array" ref="M499">IFERROR(INDEX('Sản phẩm'!$J$4:$J$103,MATCH(B499,'Sản phẩm'!$D$4:$D$103,0)),0)</f>
        <v/>
      </c>
      <c r="N499" s="46">
        <f>IF(B499="",0,(K499+L499+M499)*'Thiết lập'!$B$8)</f>
        <v>0</v>
      </c>
      <c r="O499" s="46">
        <f t="shared" si="2"/>
        <v>0</v>
      </c>
      <c r="P499" s="46">
        <f t="shared" si="3"/>
        <v>0</v>
      </c>
      <c r="Q499" s="46">
        <f t="shared" si="4"/>
        <v>0</v>
      </c>
      <c r="R499" s="71" t="str">
        <f t="array" ref="R499">IF(B499="","",INDEX('Bán nhanh'!$C$4:$C$103,INT((ROW()-4)/10)+1))</f>
        <v/>
      </c>
      <c r="S499" s="71" t="str">
        <f t="array" ref="S499">IF(B499="","",INDEX('Bán nhanh'!$P$4:$P$103,INT((ROW()-4)/10)+1))</f>
        <v/>
      </c>
      <c r="T499" s="58"/>
      <c r="U499" s="36"/>
      <c r="V499" s="36"/>
      <c r="W499" s="58"/>
      <c r="X499" s="36"/>
      <c r="Y499" s="36"/>
      <c r="Z499" s="36"/>
    </row>
    <row r="500" ht="15.75" customHeight="1">
      <c r="A500" s="70" t="str">
        <f t="array" ref="A500">IF(B500="","",INDEX('Bán nhanh'!$A$4:$A$103,INT((ROW()-4)/10)+1))</f>
        <v/>
      </c>
      <c r="B500" s="71" t="str">
        <f t="array" ref="B500">IF(OR(INDEX('Bán nhanh'!$D$3:$M$3,1,MOD(ROW()-4,10)+1)="",INDEX('Bán nhanh'!$D$4:$M$103,INT((ROW()-4)/10)+1,MOD(ROW()-4,10)+1)&lt;=0),"",INDEX('Bán nhanh'!$D$3:$M$3,1,MOD(ROW()-4,10)+1))</f>
        <v/>
      </c>
      <c r="C500" s="58" t="str">
        <f t="array" ref="C500">IFERROR(INDEX('Sản phẩm'!$A$4:$A$103,MATCH(B500,'Sản phẩm'!$D$4:$D$103,0)),"")</f>
        <v/>
      </c>
      <c r="D500" s="71" t="str">
        <f t="array" ref="D500">IF(B500="","",INDEX('Bán nhanh'!$B$4:$B$103,INT((ROW()-4)/10)+1))</f>
        <v/>
      </c>
      <c r="E500" s="58" t="str">
        <f t="array" ref="E500">IFERROR(INDEX('Mẻ sữa'!$B$4:$B$203,MATCH(D500,'Mẻ sữa'!$C$4:$C$203,0)),"")</f>
        <v/>
      </c>
      <c r="F500" s="66">
        <f t="array" ref="F500">IF(B500="",0,INDEX('Bán nhanh'!$D$4:$M$103,INT((ROW()-4)/10)+1,MOD(ROW()-4,10)+1))</f>
        <v>0</v>
      </c>
      <c r="G500" s="46">
        <f t="array" ref="G500">IFERROR(INDEX('Sản phẩm'!$F$4:$F$103,MATCH(B500,'Sản phẩm'!$D$4:$D$103,0)),0)</f>
        <v>0</v>
      </c>
      <c r="H500" s="67">
        <f t="shared" si="5"/>
        <v>0</v>
      </c>
      <c r="I500" s="46">
        <f t="shared" si="1"/>
        <v>0</v>
      </c>
      <c r="J500" s="46">
        <f t="array" ref="J500">IFERROR(INDEX('Sản phẩm'!$G$4:$G$103,MATCH(B500,'Sản phẩm'!$D$4:$D$103,0)),0)</f>
        <v>0</v>
      </c>
      <c r="K500" s="46">
        <f t="array" ref="K500">IFERROR(J500*INDEX('Mẻ sữa'!$N$4:$N$203,MATCH(D500,'Mẻ sữa'!$C$4:$C$203,0)),0)</f>
        <v>0</v>
      </c>
      <c r="L500" s="46">
        <f t="array" ref="L500">IFERROR(INDEX('Sản phẩm'!$I$4:$I$103,MATCH(B500,'Sản phẩm'!$D$4:$D$103,0)),0)</f>
        <v>0</v>
      </c>
      <c r="M500" s="72" t="str">
        <f t="array" ref="M500">IFERROR(INDEX('Sản phẩm'!$J$4:$J$103,MATCH(B500,'Sản phẩm'!$D$4:$D$103,0)),0)</f>
        <v/>
      </c>
      <c r="N500" s="46">
        <f>IF(B500="",0,(K500+L500+M500)*'Thiết lập'!$B$8)</f>
        <v>0</v>
      </c>
      <c r="O500" s="46">
        <f t="shared" si="2"/>
        <v>0</v>
      </c>
      <c r="P500" s="46">
        <f t="shared" si="3"/>
        <v>0</v>
      </c>
      <c r="Q500" s="46">
        <f t="shared" si="4"/>
        <v>0</v>
      </c>
      <c r="R500" s="71" t="str">
        <f t="array" ref="R500">IF(B500="","",INDEX('Bán nhanh'!$C$4:$C$103,INT((ROW()-4)/10)+1))</f>
        <v/>
      </c>
      <c r="S500" s="71" t="str">
        <f t="array" ref="S500">IF(B500="","",INDEX('Bán nhanh'!$P$4:$P$103,INT((ROW()-4)/10)+1))</f>
        <v/>
      </c>
      <c r="T500" s="58"/>
      <c r="U500" s="36"/>
      <c r="V500" s="36"/>
      <c r="W500" s="58"/>
      <c r="X500" s="36"/>
      <c r="Y500" s="36"/>
      <c r="Z500" s="36"/>
    </row>
    <row r="501" ht="15.75" customHeight="1">
      <c r="A501" s="70" t="str">
        <f t="array" ref="A501">IF(B501="","",INDEX('Bán nhanh'!$A$4:$A$103,INT((ROW()-4)/10)+1))</f>
        <v/>
      </c>
      <c r="B501" s="71" t="str">
        <f t="array" ref="B501">IF(OR(INDEX('Bán nhanh'!$D$3:$M$3,1,MOD(ROW()-4,10)+1)="",INDEX('Bán nhanh'!$D$4:$M$103,INT((ROW()-4)/10)+1,MOD(ROW()-4,10)+1)&lt;=0),"",INDEX('Bán nhanh'!$D$3:$M$3,1,MOD(ROW()-4,10)+1))</f>
        <v/>
      </c>
      <c r="C501" s="58" t="str">
        <f t="array" ref="C501">IFERROR(INDEX('Sản phẩm'!$A$4:$A$103,MATCH(B501,'Sản phẩm'!$D$4:$D$103,0)),"")</f>
        <v/>
      </c>
      <c r="D501" s="71" t="str">
        <f t="array" ref="D501">IF(B501="","",INDEX('Bán nhanh'!$B$4:$B$103,INT((ROW()-4)/10)+1))</f>
        <v/>
      </c>
      <c r="E501" s="58" t="str">
        <f t="array" ref="E501">IFERROR(INDEX('Mẻ sữa'!$B$4:$B$203,MATCH(D501,'Mẻ sữa'!$C$4:$C$203,0)),"")</f>
        <v/>
      </c>
      <c r="F501" s="66">
        <f t="array" ref="F501">IF(B501="",0,INDEX('Bán nhanh'!$D$4:$M$103,INT((ROW()-4)/10)+1,MOD(ROW()-4,10)+1))</f>
        <v>0</v>
      </c>
      <c r="G501" s="46">
        <f t="array" ref="G501">IFERROR(INDEX('Sản phẩm'!$F$4:$F$103,MATCH(B501,'Sản phẩm'!$D$4:$D$103,0)),0)</f>
        <v>0</v>
      </c>
      <c r="H501" s="67">
        <f t="shared" si="5"/>
        <v>0</v>
      </c>
      <c r="I501" s="46">
        <f t="shared" si="1"/>
        <v>0</v>
      </c>
      <c r="J501" s="46">
        <f t="array" ref="J501">IFERROR(INDEX('Sản phẩm'!$G$4:$G$103,MATCH(B501,'Sản phẩm'!$D$4:$D$103,0)),0)</f>
        <v>0</v>
      </c>
      <c r="K501" s="46">
        <f t="array" ref="K501">IFERROR(J501*INDEX('Mẻ sữa'!$N$4:$N$203,MATCH(D501,'Mẻ sữa'!$C$4:$C$203,0)),0)</f>
        <v>0</v>
      </c>
      <c r="L501" s="46">
        <f t="array" ref="L501">IFERROR(INDEX('Sản phẩm'!$I$4:$I$103,MATCH(B501,'Sản phẩm'!$D$4:$D$103,0)),0)</f>
        <v>0</v>
      </c>
      <c r="M501" s="72" t="str">
        <f t="array" ref="M501">IFERROR(INDEX('Sản phẩm'!$J$4:$J$103,MATCH(B501,'Sản phẩm'!$D$4:$D$103,0)),0)</f>
        <v/>
      </c>
      <c r="N501" s="46">
        <f>IF(B501="",0,(K501+L501+M501)*'Thiết lập'!$B$8)</f>
        <v>0</v>
      </c>
      <c r="O501" s="46">
        <f t="shared" si="2"/>
        <v>0</v>
      </c>
      <c r="P501" s="46">
        <f t="shared" si="3"/>
        <v>0</v>
      </c>
      <c r="Q501" s="46">
        <f t="shared" si="4"/>
        <v>0</v>
      </c>
      <c r="R501" s="71" t="str">
        <f t="array" ref="R501">IF(B501="","",INDEX('Bán nhanh'!$C$4:$C$103,INT((ROW()-4)/10)+1))</f>
        <v/>
      </c>
      <c r="S501" s="71" t="str">
        <f t="array" ref="S501">IF(B501="","",INDEX('Bán nhanh'!$P$4:$P$103,INT((ROW()-4)/10)+1))</f>
        <v/>
      </c>
      <c r="T501" s="58"/>
      <c r="U501" s="36"/>
      <c r="V501" s="36"/>
      <c r="W501" s="58"/>
      <c r="X501" s="36"/>
      <c r="Y501" s="36"/>
      <c r="Z501" s="36"/>
    </row>
    <row r="502" ht="15.75" customHeight="1">
      <c r="A502" s="70" t="str">
        <f t="array" ref="A502">IF(B502="","",INDEX('Bán nhanh'!$A$4:$A$103,INT((ROW()-4)/10)+1))</f>
        <v/>
      </c>
      <c r="B502" s="71" t="str">
        <f t="array" ref="B502">IF(OR(INDEX('Bán nhanh'!$D$3:$M$3,1,MOD(ROW()-4,10)+1)="",INDEX('Bán nhanh'!$D$4:$M$103,INT((ROW()-4)/10)+1,MOD(ROW()-4,10)+1)&lt;=0),"",INDEX('Bán nhanh'!$D$3:$M$3,1,MOD(ROW()-4,10)+1))</f>
        <v/>
      </c>
      <c r="C502" s="58" t="str">
        <f t="array" ref="C502">IFERROR(INDEX('Sản phẩm'!$A$4:$A$103,MATCH(B502,'Sản phẩm'!$D$4:$D$103,0)),"")</f>
        <v/>
      </c>
      <c r="D502" s="71" t="str">
        <f t="array" ref="D502">IF(B502="","",INDEX('Bán nhanh'!$B$4:$B$103,INT((ROW()-4)/10)+1))</f>
        <v/>
      </c>
      <c r="E502" s="58" t="str">
        <f t="array" ref="E502">IFERROR(INDEX('Mẻ sữa'!$B$4:$B$203,MATCH(D502,'Mẻ sữa'!$C$4:$C$203,0)),"")</f>
        <v/>
      </c>
      <c r="F502" s="66">
        <f t="array" ref="F502">IF(B502="",0,INDEX('Bán nhanh'!$D$4:$M$103,INT((ROW()-4)/10)+1,MOD(ROW()-4,10)+1))</f>
        <v>0</v>
      </c>
      <c r="G502" s="46">
        <f t="array" ref="G502">IFERROR(INDEX('Sản phẩm'!$F$4:$F$103,MATCH(B502,'Sản phẩm'!$D$4:$D$103,0)),0)</f>
        <v>0</v>
      </c>
      <c r="H502" s="67">
        <f t="shared" si="5"/>
        <v>0</v>
      </c>
      <c r="I502" s="46">
        <f t="shared" si="1"/>
        <v>0</v>
      </c>
      <c r="J502" s="46">
        <f t="array" ref="J502">IFERROR(INDEX('Sản phẩm'!$G$4:$G$103,MATCH(B502,'Sản phẩm'!$D$4:$D$103,0)),0)</f>
        <v>0</v>
      </c>
      <c r="K502" s="46">
        <f t="array" ref="K502">IFERROR(J502*INDEX('Mẻ sữa'!$N$4:$N$203,MATCH(D502,'Mẻ sữa'!$C$4:$C$203,0)),0)</f>
        <v>0</v>
      </c>
      <c r="L502" s="46">
        <f t="array" ref="L502">IFERROR(INDEX('Sản phẩm'!$I$4:$I$103,MATCH(B502,'Sản phẩm'!$D$4:$D$103,0)),0)</f>
        <v>0</v>
      </c>
      <c r="M502" s="72" t="str">
        <f t="array" ref="M502">IFERROR(INDEX('Sản phẩm'!$J$4:$J$103,MATCH(B502,'Sản phẩm'!$D$4:$D$103,0)),0)</f>
        <v/>
      </c>
      <c r="N502" s="46">
        <f>IF(B502="",0,(K502+L502+M502)*'Thiết lập'!$B$8)</f>
        <v>0</v>
      </c>
      <c r="O502" s="46">
        <f t="shared" si="2"/>
        <v>0</v>
      </c>
      <c r="P502" s="46">
        <f t="shared" si="3"/>
        <v>0</v>
      </c>
      <c r="Q502" s="46">
        <f t="shared" si="4"/>
        <v>0</v>
      </c>
      <c r="R502" s="71" t="str">
        <f t="array" ref="R502">IF(B502="","",INDEX('Bán nhanh'!$C$4:$C$103,INT((ROW()-4)/10)+1))</f>
        <v/>
      </c>
      <c r="S502" s="71" t="str">
        <f t="array" ref="S502">IF(B502="","",INDEX('Bán nhanh'!$P$4:$P$103,INT((ROW()-4)/10)+1))</f>
        <v/>
      </c>
      <c r="T502" s="58"/>
      <c r="U502" s="36"/>
      <c r="V502" s="36"/>
      <c r="W502" s="58"/>
      <c r="X502" s="36"/>
      <c r="Y502" s="36"/>
      <c r="Z502" s="36"/>
    </row>
    <row r="503" ht="15.75" customHeight="1">
      <c r="A503" s="70" t="str">
        <f t="array" ref="A503">IF(B503="","",INDEX('Bán nhanh'!$A$4:$A$103,INT((ROW()-4)/10)+1))</f>
        <v/>
      </c>
      <c r="B503" s="71" t="str">
        <f t="array" ref="B503">IF(OR(INDEX('Bán nhanh'!$D$3:$M$3,1,MOD(ROW()-4,10)+1)="",INDEX('Bán nhanh'!$D$4:$M$103,INT((ROW()-4)/10)+1,MOD(ROW()-4,10)+1)&lt;=0),"",INDEX('Bán nhanh'!$D$3:$M$3,1,MOD(ROW()-4,10)+1))</f>
        <v/>
      </c>
      <c r="C503" s="58" t="str">
        <f t="array" ref="C503">IFERROR(INDEX('Sản phẩm'!$A$4:$A$103,MATCH(B503,'Sản phẩm'!$D$4:$D$103,0)),"")</f>
        <v/>
      </c>
      <c r="D503" s="71" t="str">
        <f t="array" ref="D503">IF(B503="","",INDEX('Bán nhanh'!$B$4:$B$103,INT((ROW()-4)/10)+1))</f>
        <v/>
      </c>
      <c r="E503" s="58" t="str">
        <f t="array" ref="E503">IFERROR(INDEX('Mẻ sữa'!$B$4:$B$203,MATCH(D503,'Mẻ sữa'!$C$4:$C$203,0)),"")</f>
        <v/>
      </c>
      <c r="F503" s="66">
        <f t="array" ref="F503">IF(B503="",0,INDEX('Bán nhanh'!$D$4:$M$103,INT((ROW()-4)/10)+1,MOD(ROW()-4,10)+1))</f>
        <v>0</v>
      </c>
      <c r="G503" s="46">
        <f t="array" ref="G503">IFERROR(INDEX('Sản phẩm'!$F$4:$F$103,MATCH(B503,'Sản phẩm'!$D$4:$D$103,0)),0)</f>
        <v>0</v>
      </c>
      <c r="H503" s="67">
        <f t="shared" si="5"/>
        <v>0</v>
      </c>
      <c r="I503" s="46">
        <f t="shared" si="1"/>
        <v>0</v>
      </c>
      <c r="J503" s="46">
        <f t="array" ref="J503">IFERROR(INDEX('Sản phẩm'!$G$4:$G$103,MATCH(B503,'Sản phẩm'!$D$4:$D$103,0)),0)</f>
        <v>0</v>
      </c>
      <c r="K503" s="46">
        <f t="array" ref="K503">IFERROR(J503*INDEX('Mẻ sữa'!$N$4:$N$203,MATCH(D503,'Mẻ sữa'!$C$4:$C$203,0)),0)</f>
        <v>0</v>
      </c>
      <c r="L503" s="46">
        <f t="array" ref="L503">IFERROR(INDEX('Sản phẩm'!$I$4:$I$103,MATCH(B503,'Sản phẩm'!$D$4:$D$103,0)),0)</f>
        <v>0</v>
      </c>
      <c r="M503" s="72" t="str">
        <f t="array" ref="M503">IFERROR(INDEX('Sản phẩm'!$J$4:$J$103,MATCH(B503,'Sản phẩm'!$D$4:$D$103,0)),0)</f>
        <v/>
      </c>
      <c r="N503" s="46">
        <f>IF(B503="",0,(K503+L503+M503)*'Thiết lập'!$B$8)</f>
        <v>0</v>
      </c>
      <c r="O503" s="46">
        <f t="shared" si="2"/>
        <v>0</v>
      </c>
      <c r="P503" s="46">
        <f t="shared" si="3"/>
        <v>0</v>
      </c>
      <c r="Q503" s="46">
        <f t="shared" si="4"/>
        <v>0</v>
      </c>
      <c r="R503" s="71" t="str">
        <f t="array" ref="R503">IF(B503="","",INDEX('Bán nhanh'!$C$4:$C$103,INT((ROW()-4)/10)+1))</f>
        <v/>
      </c>
      <c r="S503" s="71" t="str">
        <f t="array" ref="S503">IF(B503="","",INDEX('Bán nhanh'!$P$4:$P$103,INT((ROW()-4)/10)+1))</f>
        <v/>
      </c>
      <c r="T503" s="58"/>
      <c r="U503" s="36"/>
      <c r="V503" s="36"/>
      <c r="W503" s="58"/>
      <c r="X503" s="36"/>
      <c r="Y503" s="36"/>
      <c r="Z503" s="36"/>
    </row>
    <row r="504" ht="15.75" customHeight="1">
      <c r="A504" s="94" t="str">
        <f t="array" ref="A504">IF(B504="","",INDEX('Bán nhanh'!$A$4:$A$103,INT((ROW()-4)/10)+1))</f>
        <v/>
      </c>
      <c r="B504" s="58" t="str">
        <f t="array" ref="B504">IF(OR(INDEX('Bán nhanh'!$D$3:$M$3,1,MOD(ROW()-4,10)+1)="",INDEX('Bán nhanh'!$D$4:$M$103,INT((ROW()-4)/10)+1,MOD(ROW()-4,10)+1)&lt;=0),"",INDEX('Bán nhanh'!$D$3:$M$3,1,MOD(ROW()-4,10)+1))</f>
        <v/>
      </c>
      <c r="C504" s="58" t="str">
        <f t="array" ref="C504">IFERROR(INDEX('Sản phẩm'!$A$4:$A$103,MATCH(B504,'Sản phẩm'!$D$4:$D$103,0)),"")</f>
        <v/>
      </c>
      <c r="D504" s="58" t="str">
        <f t="array" ref="D504">IF(B504="","",INDEX('Bán nhanh'!$B$4:$B$103,INT((ROW()-4)/10)+1))</f>
        <v/>
      </c>
      <c r="E504" s="58" t="str">
        <f t="array" ref="E504">IFERROR(INDEX('Mẻ sữa'!$B$4:$B$203,MATCH(D504,'Mẻ sữa'!$C$4:$C$203,0)),"")</f>
        <v/>
      </c>
      <c r="F504" s="95">
        <f t="array" ref="F504">IF(B504="",0,INDEX('Bán nhanh'!$D$4:$M$103,INT((ROW()-4)/10)+1,MOD(ROW()-4,10)+1))</f>
        <v>0</v>
      </c>
      <c r="G504" s="46">
        <f t="array" ref="G504">IFERROR(INDEX('Sản phẩm'!$F$4:$F$103,MATCH(B504,'Sản phẩm'!$D$4:$D$103,0)),0)</f>
        <v>0</v>
      </c>
      <c r="H504" s="46">
        <f t="shared" si="5"/>
        <v>0</v>
      </c>
      <c r="I504" s="46">
        <f t="shared" si="1"/>
        <v>0</v>
      </c>
      <c r="J504" s="46">
        <f t="array" ref="J504">IFERROR(INDEX('Sản phẩm'!$G$4:$G$103,MATCH(B504,'Sản phẩm'!$D$4:$D$103,0)),0)</f>
        <v>0</v>
      </c>
      <c r="K504" s="46">
        <f t="array" ref="K504">IFERROR(J504*INDEX('Mẻ sữa'!$N$4:$N$203,MATCH(D504,'Mẻ sữa'!$C$4:$C$203,0)),0)</f>
        <v>0</v>
      </c>
      <c r="L504" s="46">
        <f t="array" ref="L504">IFERROR(INDEX('Sản phẩm'!$I$4:$I$103,MATCH(B504,'Sản phẩm'!$D$4:$D$103,0)),0)</f>
        <v>0</v>
      </c>
      <c r="M504" s="72" t="str">
        <f t="array" ref="M504">IFERROR(INDEX('Sản phẩm'!$J$4:$J$103,MATCH(B504,'Sản phẩm'!$D$4:$D$103,0)),0)</f>
        <v/>
      </c>
      <c r="N504" s="46">
        <f>IF(B504="",0,(K504+L504+M504)*'Thiết lập'!$B$8)</f>
        <v>0</v>
      </c>
      <c r="O504" s="46">
        <f t="shared" si="2"/>
        <v>0</v>
      </c>
      <c r="P504" s="46">
        <f t="shared" si="3"/>
        <v>0</v>
      </c>
      <c r="Q504" s="46">
        <f t="shared" si="4"/>
        <v>0</v>
      </c>
      <c r="R504" s="58" t="str">
        <f t="array" ref="R504">IF(B504="","",INDEX('Bán nhanh'!$C$4:$C$103,INT((ROW()-4)/10)+1))</f>
        <v/>
      </c>
      <c r="S504" s="58" t="str">
        <f t="array" ref="S504">IF(B504="","",INDEX('Bán nhanh'!$P$4:$P$103,INT((ROW()-4)/10)+1))</f>
        <v/>
      </c>
      <c r="T504" s="58"/>
      <c r="U504" s="36"/>
      <c r="V504" s="36"/>
      <c r="W504" s="58"/>
      <c r="X504" s="36"/>
      <c r="Y504" s="36"/>
      <c r="Z504" s="36"/>
    </row>
    <row r="505" ht="15.75" customHeight="1">
      <c r="A505" s="94" t="str">
        <f t="array" ref="A505">IF(B505="","",INDEX('Bán nhanh'!$A$4:$A$103,INT((ROW()-4)/10)+1))</f>
        <v/>
      </c>
      <c r="B505" s="58" t="str">
        <f t="array" ref="B505">IF(OR(INDEX('Bán nhanh'!$D$3:$M$3,1,MOD(ROW()-4,10)+1)="",INDEX('Bán nhanh'!$D$4:$M$103,INT((ROW()-4)/10)+1,MOD(ROW()-4,10)+1)&lt;=0),"",INDEX('Bán nhanh'!$D$3:$M$3,1,MOD(ROW()-4,10)+1))</f>
        <v/>
      </c>
      <c r="C505" s="58" t="str">
        <f t="array" ref="C505">IFERROR(INDEX('Sản phẩm'!$A$4:$A$103,MATCH(B505,'Sản phẩm'!$D$4:$D$103,0)),"")</f>
        <v/>
      </c>
      <c r="D505" s="58" t="str">
        <f t="array" ref="D505">IF(B505="","",INDEX('Bán nhanh'!$B$4:$B$103,INT((ROW()-4)/10)+1))</f>
        <v/>
      </c>
      <c r="E505" s="58" t="str">
        <f t="array" ref="E505">IFERROR(INDEX('Mẻ sữa'!$B$4:$B$203,MATCH(D505,'Mẻ sữa'!$C$4:$C$203,0)),"")</f>
        <v/>
      </c>
      <c r="F505" s="95">
        <f t="array" ref="F505">IF(B505="",0,INDEX('Bán nhanh'!$D$4:$M$103,INT((ROW()-4)/10)+1,MOD(ROW()-4,10)+1))</f>
        <v>0</v>
      </c>
      <c r="G505" s="46">
        <f t="array" ref="G505">IFERROR(INDEX('Sản phẩm'!$F$4:$F$103,MATCH(B505,'Sản phẩm'!$D$4:$D$103,0)),0)</f>
        <v>0</v>
      </c>
      <c r="H505" s="46">
        <f t="shared" si="5"/>
        <v>0</v>
      </c>
      <c r="I505" s="46">
        <f t="shared" si="1"/>
        <v>0</v>
      </c>
      <c r="J505" s="46">
        <f t="array" ref="J505">IFERROR(INDEX('Sản phẩm'!$G$4:$G$103,MATCH(B505,'Sản phẩm'!$D$4:$D$103,0)),0)</f>
        <v>0</v>
      </c>
      <c r="K505" s="46">
        <f t="array" ref="K505">IFERROR(J505*INDEX('Mẻ sữa'!$N$4:$N$203,MATCH(D505,'Mẻ sữa'!$C$4:$C$203,0)),0)</f>
        <v>0</v>
      </c>
      <c r="L505" s="46">
        <f t="array" ref="L505">IFERROR(INDEX('Sản phẩm'!$I$4:$I$103,MATCH(B505,'Sản phẩm'!$D$4:$D$103,0)),0)</f>
        <v>0</v>
      </c>
      <c r="M505" s="72" t="str">
        <f t="array" ref="M505">IFERROR(INDEX('Sản phẩm'!$J$4:$J$103,MATCH(B505,'Sản phẩm'!$D$4:$D$103,0)),0)</f>
        <v/>
      </c>
      <c r="N505" s="46">
        <f>IF(B505="",0,(K505+L505+M505)*'Thiết lập'!$B$8)</f>
        <v>0</v>
      </c>
      <c r="O505" s="46">
        <f t="shared" si="2"/>
        <v>0</v>
      </c>
      <c r="P505" s="46">
        <f t="shared" si="3"/>
        <v>0</v>
      </c>
      <c r="Q505" s="46">
        <f t="shared" si="4"/>
        <v>0</v>
      </c>
      <c r="R505" s="58" t="str">
        <f t="array" ref="R505">IF(B505="","",INDEX('Bán nhanh'!$C$4:$C$103,INT((ROW()-4)/10)+1))</f>
        <v/>
      </c>
      <c r="S505" s="58" t="str">
        <f t="array" ref="S505">IF(B505="","",INDEX('Bán nhanh'!$P$4:$P$103,INT((ROW()-4)/10)+1))</f>
        <v/>
      </c>
      <c r="T505" s="58"/>
      <c r="U505" s="36"/>
      <c r="V505" s="36"/>
      <c r="W505" s="58"/>
      <c r="X505" s="36"/>
      <c r="Y505" s="36"/>
      <c r="Z505" s="36"/>
    </row>
    <row r="506" ht="15.75" customHeight="1">
      <c r="A506" s="94" t="str">
        <f t="array" ref="A506">IF(B506="","",INDEX('Bán nhanh'!$A$4:$A$103,INT((ROW()-4)/10)+1))</f>
        <v/>
      </c>
      <c r="B506" s="58" t="str">
        <f t="array" ref="B506">IF(OR(INDEX('Bán nhanh'!$D$3:$M$3,1,MOD(ROW()-4,10)+1)="",INDEX('Bán nhanh'!$D$4:$M$103,INT((ROW()-4)/10)+1,MOD(ROW()-4,10)+1)&lt;=0),"",INDEX('Bán nhanh'!$D$3:$M$3,1,MOD(ROW()-4,10)+1))</f>
        <v/>
      </c>
      <c r="C506" s="58" t="str">
        <f t="array" ref="C506">IFERROR(INDEX('Sản phẩm'!$A$4:$A$103,MATCH(B506,'Sản phẩm'!$D$4:$D$103,0)),"")</f>
        <v/>
      </c>
      <c r="D506" s="58" t="str">
        <f t="array" ref="D506">IF(B506="","",INDEX('Bán nhanh'!$B$4:$B$103,INT((ROW()-4)/10)+1))</f>
        <v/>
      </c>
      <c r="E506" s="58" t="str">
        <f t="array" ref="E506">IFERROR(INDEX('Mẻ sữa'!$B$4:$B$203,MATCH(D506,'Mẻ sữa'!$C$4:$C$203,0)),"")</f>
        <v/>
      </c>
      <c r="F506" s="95">
        <f t="array" ref="F506">IF(B506="",0,INDEX('Bán nhanh'!$D$4:$M$103,INT((ROW()-4)/10)+1,MOD(ROW()-4,10)+1))</f>
        <v>0</v>
      </c>
      <c r="G506" s="46">
        <f t="array" ref="G506">IFERROR(INDEX('Sản phẩm'!$F$4:$F$103,MATCH(B506,'Sản phẩm'!$D$4:$D$103,0)),0)</f>
        <v>0</v>
      </c>
      <c r="H506" s="46">
        <f t="shared" si="5"/>
        <v>0</v>
      </c>
      <c r="I506" s="46">
        <f t="shared" si="1"/>
        <v>0</v>
      </c>
      <c r="J506" s="46">
        <f t="array" ref="J506">IFERROR(INDEX('Sản phẩm'!$G$4:$G$103,MATCH(B506,'Sản phẩm'!$D$4:$D$103,0)),0)</f>
        <v>0</v>
      </c>
      <c r="K506" s="46">
        <f t="array" ref="K506">IFERROR(J506*INDEX('Mẻ sữa'!$N$4:$N$203,MATCH(D506,'Mẻ sữa'!$C$4:$C$203,0)),0)</f>
        <v>0</v>
      </c>
      <c r="L506" s="46">
        <f t="array" ref="L506">IFERROR(INDEX('Sản phẩm'!$I$4:$I$103,MATCH(B506,'Sản phẩm'!$D$4:$D$103,0)),0)</f>
        <v>0</v>
      </c>
      <c r="M506" s="72" t="str">
        <f t="array" ref="M506">IFERROR(INDEX('Sản phẩm'!$J$4:$J$103,MATCH(B506,'Sản phẩm'!$D$4:$D$103,0)),0)</f>
        <v/>
      </c>
      <c r="N506" s="46">
        <f>IF(B506="",0,(K506+L506+M506)*'Thiết lập'!$B$8)</f>
        <v>0</v>
      </c>
      <c r="O506" s="46">
        <f t="shared" si="2"/>
        <v>0</v>
      </c>
      <c r="P506" s="46">
        <f t="shared" si="3"/>
        <v>0</v>
      </c>
      <c r="Q506" s="46">
        <f t="shared" si="4"/>
        <v>0</v>
      </c>
      <c r="R506" s="58" t="str">
        <f t="array" ref="R506">IF(B506="","",INDEX('Bán nhanh'!$C$4:$C$103,INT((ROW()-4)/10)+1))</f>
        <v/>
      </c>
      <c r="S506" s="58" t="str">
        <f t="array" ref="S506">IF(B506="","",INDEX('Bán nhanh'!$P$4:$P$103,INT((ROW()-4)/10)+1))</f>
        <v/>
      </c>
      <c r="T506" s="58"/>
      <c r="U506" s="36"/>
      <c r="V506" s="36"/>
      <c r="W506" s="58"/>
      <c r="X506" s="36"/>
      <c r="Y506" s="36"/>
      <c r="Z506" s="36"/>
    </row>
    <row r="507" ht="15.75" customHeight="1">
      <c r="A507" s="94" t="str">
        <f t="array" ref="A507">IF(B507="","",INDEX('Bán nhanh'!$A$4:$A$103,INT((ROW()-4)/10)+1))</f>
        <v/>
      </c>
      <c r="B507" s="58" t="str">
        <f t="array" ref="B507">IF(OR(INDEX('Bán nhanh'!$D$3:$M$3,1,MOD(ROW()-4,10)+1)="",INDEX('Bán nhanh'!$D$4:$M$103,INT((ROW()-4)/10)+1,MOD(ROW()-4,10)+1)&lt;=0),"",INDEX('Bán nhanh'!$D$3:$M$3,1,MOD(ROW()-4,10)+1))</f>
        <v/>
      </c>
      <c r="C507" s="58" t="str">
        <f t="array" ref="C507">IFERROR(INDEX('Sản phẩm'!$A$4:$A$103,MATCH(B507,'Sản phẩm'!$D$4:$D$103,0)),"")</f>
        <v/>
      </c>
      <c r="D507" s="58" t="str">
        <f t="array" ref="D507">IF(B507="","",INDEX('Bán nhanh'!$B$4:$B$103,INT((ROW()-4)/10)+1))</f>
        <v/>
      </c>
      <c r="E507" s="58" t="str">
        <f t="array" ref="E507">IFERROR(INDEX('Mẻ sữa'!$B$4:$B$203,MATCH(D507,'Mẻ sữa'!$C$4:$C$203,0)),"")</f>
        <v/>
      </c>
      <c r="F507" s="95">
        <f t="array" ref="F507">IF(B507="",0,INDEX('Bán nhanh'!$D$4:$M$103,INT((ROW()-4)/10)+1,MOD(ROW()-4,10)+1))</f>
        <v>0</v>
      </c>
      <c r="G507" s="46">
        <f t="array" ref="G507">IFERROR(INDEX('Sản phẩm'!$F$4:$F$103,MATCH(B507,'Sản phẩm'!$D$4:$D$103,0)),0)</f>
        <v>0</v>
      </c>
      <c r="H507" s="46">
        <f t="shared" si="5"/>
        <v>0</v>
      </c>
      <c r="I507" s="46">
        <f t="shared" si="1"/>
        <v>0</v>
      </c>
      <c r="J507" s="46">
        <f t="array" ref="J507">IFERROR(INDEX('Sản phẩm'!$G$4:$G$103,MATCH(B507,'Sản phẩm'!$D$4:$D$103,0)),0)</f>
        <v>0</v>
      </c>
      <c r="K507" s="46">
        <f t="array" ref="K507">IFERROR(J507*INDEX('Mẻ sữa'!$N$4:$N$203,MATCH(D507,'Mẻ sữa'!$C$4:$C$203,0)),0)</f>
        <v>0</v>
      </c>
      <c r="L507" s="46">
        <f t="array" ref="L507">IFERROR(INDEX('Sản phẩm'!$I$4:$I$103,MATCH(B507,'Sản phẩm'!$D$4:$D$103,0)),0)</f>
        <v>0</v>
      </c>
      <c r="M507" s="72" t="str">
        <f t="array" ref="M507">IFERROR(INDEX('Sản phẩm'!$J$4:$J$103,MATCH(B507,'Sản phẩm'!$D$4:$D$103,0)),0)</f>
        <v/>
      </c>
      <c r="N507" s="46">
        <f>IF(B507="",0,(K507+L507+M507)*'Thiết lập'!$B$8)</f>
        <v>0</v>
      </c>
      <c r="O507" s="46">
        <f t="shared" si="2"/>
        <v>0</v>
      </c>
      <c r="P507" s="46">
        <f t="shared" si="3"/>
        <v>0</v>
      </c>
      <c r="Q507" s="46">
        <f t="shared" si="4"/>
        <v>0</v>
      </c>
      <c r="R507" s="58" t="str">
        <f t="array" ref="R507">IF(B507="","",INDEX('Bán nhanh'!$C$4:$C$103,INT((ROW()-4)/10)+1))</f>
        <v/>
      </c>
      <c r="S507" s="58" t="str">
        <f t="array" ref="S507">IF(B507="","",INDEX('Bán nhanh'!$P$4:$P$103,INT((ROW()-4)/10)+1))</f>
        <v/>
      </c>
      <c r="T507" s="58"/>
      <c r="U507" s="36"/>
      <c r="V507" s="36"/>
      <c r="W507" s="58"/>
      <c r="X507" s="36"/>
      <c r="Y507" s="36"/>
      <c r="Z507" s="36"/>
    </row>
    <row r="508" ht="15.75" customHeight="1">
      <c r="A508" s="94" t="str">
        <f t="array" ref="A508">IF(B508="","",INDEX('Bán nhanh'!$A$4:$A$103,INT((ROW()-4)/10)+1))</f>
        <v/>
      </c>
      <c r="B508" s="58" t="str">
        <f t="array" ref="B508">IF(OR(INDEX('Bán nhanh'!$D$3:$M$3,1,MOD(ROW()-4,10)+1)="",INDEX('Bán nhanh'!$D$4:$M$103,INT((ROW()-4)/10)+1,MOD(ROW()-4,10)+1)&lt;=0),"",INDEX('Bán nhanh'!$D$3:$M$3,1,MOD(ROW()-4,10)+1))</f>
        <v/>
      </c>
      <c r="C508" s="58" t="str">
        <f t="array" ref="C508">IFERROR(INDEX('Sản phẩm'!$A$4:$A$103,MATCH(B508,'Sản phẩm'!$D$4:$D$103,0)),"")</f>
        <v/>
      </c>
      <c r="D508" s="58" t="str">
        <f t="array" ref="D508">IF(B508="","",INDEX('Bán nhanh'!$B$4:$B$103,INT((ROW()-4)/10)+1))</f>
        <v/>
      </c>
      <c r="E508" s="58" t="str">
        <f t="array" ref="E508">IFERROR(INDEX('Mẻ sữa'!$B$4:$B$203,MATCH(D508,'Mẻ sữa'!$C$4:$C$203,0)),"")</f>
        <v/>
      </c>
      <c r="F508" s="95">
        <f t="array" ref="F508">IF(B508="",0,INDEX('Bán nhanh'!$D$4:$M$103,INT((ROW()-4)/10)+1,MOD(ROW()-4,10)+1))</f>
        <v>0</v>
      </c>
      <c r="G508" s="46">
        <f t="array" ref="G508">IFERROR(INDEX('Sản phẩm'!$F$4:$F$103,MATCH(B508,'Sản phẩm'!$D$4:$D$103,0)),0)</f>
        <v>0</v>
      </c>
      <c r="H508" s="46">
        <f t="shared" si="5"/>
        <v>0</v>
      </c>
      <c r="I508" s="46">
        <f t="shared" si="1"/>
        <v>0</v>
      </c>
      <c r="J508" s="46">
        <f t="array" ref="J508">IFERROR(INDEX('Sản phẩm'!$G$4:$G$103,MATCH(B508,'Sản phẩm'!$D$4:$D$103,0)),0)</f>
        <v>0</v>
      </c>
      <c r="K508" s="46">
        <f t="array" ref="K508">IFERROR(J508*INDEX('Mẻ sữa'!$N$4:$N$203,MATCH(D508,'Mẻ sữa'!$C$4:$C$203,0)),0)</f>
        <v>0</v>
      </c>
      <c r="L508" s="46">
        <f t="array" ref="L508">IFERROR(INDEX('Sản phẩm'!$I$4:$I$103,MATCH(B508,'Sản phẩm'!$D$4:$D$103,0)),0)</f>
        <v>0</v>
      </c>
      <c r="M508" s="72" t="str">
        <f t="array" ref="M508">IFERROR(INDEX('Sản phẩm'!$J$4:$J$103,MATCH(B508,'Sản phẩm'!$D$4:$D$103,0)),0)</f>
        <v/>
      </c>
      <c r="N508" s="46">
        <f>IF(B508="",0,(K508+L508+M508)*'Thiết lập'!$B$8)</f>
        <v>0</v>
      </c>
      <c r="O508" s="46">
        <f t="shared" si="2"/>
        <v>0</v>
      </c>
      <c r="P508" s="46">
        <f t="shared" si="3"/>
        <v>0</v>
      </c>
      <c r="Q508" s="46">
        <f t="shared" si="4"/>
        <v>0</v>
      </c>
      <c r="R508" s="58" t="str">
        <f t="array" ref="R508">IF(B508="","",INDEX('Bán nhanh'!$C$4:$C$103,INT((ROW()-4)/10)+1))</f>
        <v/>
      </c>
      <c r="S508" s="58" t="str">
        <f t="array" ref="S508">IF(B508="","",INDEX('Bán nhanh'!$P$4:$P$103,INT((ROW()-4)/10)+1))</f>
        <v/>
      </c>
      <c r="T508" s="58"/>
      <c r="U508" s="36"/>
      <c r="V508" s="36"/>
      <c r="W508" s="58"/>
      <c r="X508" s="36"/>
      <c r="Y508" s="36"/>
      <c r="Z508" s="36"/>
    </row>
    <row r="509" ht="15.75" customHeight="1">
      <c r="A509" s="94" t="str">
        <f t="array" ref="A509">IF(B509="","",INDEX('Bán nhanh'!$A$4:$A$103,INT((ROW()-4)/10)+1))</f>
        <v/>
      </c>
      <c r="B509" s="58" t="str">
        <f t="array" ref="B509">IF(OR(INDEX('Bán nhanh'!$D$3:$M$3,1,MOD(ROW()-4,10)+1)="",INDEX('Bán nhanh'!$D$4:$M$103,INT((ROW()-4)/10)+1,MOD(ROW()-4,10)+1)&lt;=0),"",INDEX('Bán nhanh'!$D$3:$M$3,1,MOD(ROW()-4,10)+1))</f>
        <v/>
      </c>
      <c r="C509" s="58" t="str">
        <f t="array" ref="C509">IFERROR(INDEX('Sản phẩm'!$A$4:$A$103,MATCH(B509,'Sản phẩm'!$D$4:$D$103,0)),"")</f>
        <v/>
      </c>
      <c r="D509" s="58" t="str">
        <f t="array" ref="D509">IF(B509="","",INDEX('Bán nhanh'!$B$4:$B$103,INT((ROW()-4)/10)+1))</f>
        <v/>
      </c>
      <c r="E509" s="58" t="str">
        <f t="array" ref="E509">IFERROR(INDEX('Mẻ sữa'!$B$4:$B$203,MATCH(D509,'Mẻ sữa'!$C$4:$C$203,0)),"")</f>
        <v/>
      </c>
      <c r="F509" s="95">
        <f t="array" ref="F509">IF(B509="",0,INDEX('Bán nhanh'!$D$4:$M$103,INT((ROW()-4)/10)+1,MOD(ROW()-4,10)+1))</f>
        <v>0</v>
      </c>
      <c r="G509" s="46">
        <f t="array" ref="G509">IFERROR(INDEX('Sản phẩm'!$F$4:$F$103,MATCH(B509,'Sản phẩm'!$D$4:$D$103,0)),0)</f>
        <v>0</v>
      </c>
      <c r="H509" s="46">
        <f t="shared" si="5"/>
        <v>0</v>
      </c>
      <c r="I509" s="46">
        <f t="shared" si="1"/>
        <v>0</v>
      </c>
      <c r="J509" s="46">
        <f t="array" ref="J509">IFERROR(INDEX('Sản phẩm'!$G$4:$G$103,MATCH(B509,'Sản phẩm'!$D$4:$D$103,0)),0)</f>
        <v>0</v>
      </c>
      <c r="K509" s="46">
        <f t="array" ref="K509">IFERROR(J509*INDEX('Mẻ sữa'!$N$4:$N$203,MATCH(D509,'Mẻ sữa'!$C$4:$C$203,0)),0)</f>
        <v>0</v>
      </c>
      <c r="L509" s="46">
        <f t="array" ref="L509">IFERROR(INDEX('Sản phẩm'!$I$4:$I$103,MATCH(B509,'Sản phẩm'!$D$4:$D$103,0)),0)</f>
        <v>0</v>
      </c>
      <c r="M509" s="72" t="str">
        <f t="array" ref="M509">IFERROR(INDEX('Sản phẩm'!$J$4:$J$103,MATCH(B509,'Sản phẩm'!$D$4:$D$103,0)),0)</f>
        <v/>
      </c>
      <c r="N509" s="46">
        <f>IF(B509="",0,(K509+L509+M509)*'Thiết lập'!$B$8)</f>
        <v>0</v>
      </c>
      <c r="O509" s="46">
        <f t="shared" si="2"/>
        <v>0</v>
      </c>
      <c r="P509" s="46">
        <f t="shared" si="3"/>
        <v>0</v>
      </c>
      <c r="Q509" s="46">
        <f t="shared" si="4"/>
        <v>0</v>
      </c>
      <c r="R509" s="58" t="str">
        <f t="array" ref="R509">IF(B509="","",INDEX('Bán nhanh'!$C$4:$C$103,INT((ROW()-4)/10)+1))</f>
        <v/>
      </c>
      <c r="S509" s="58" t="str">
        <f t="array" ref="S509">IF(B509="","",INDEX('Bán nhanh'!$P$4:$P$103,INT((ROW()-4)/10)+1))</f>
        <v/>
      </c>
      <c r="T509" s="58"/>
      <c r="U509" s="36"/>
      <c r="V509" s="36"/>
      <c r="W509" s="58"/>
      <c r="X509" s="36"/>
      <c r="Y509" s="36"/>
      <c r="Z509" s="36"/>
    </row>
    <row r="510" ht="15.75" customHeight="1">
      <c r="A510" s="94" t="str">
        <f t="array" ref="A510">IF(B510="","",INDEX('Bán nhanh'!$A$4:$A$103,INT((ROW()-4)/10)+1))</f>
        <v/>
      </c>
      <c r="B510" s="58" t="str">
        <f t="array" ref="B510">IF(OR(INDEX('Bán nhanh'!$D$3:$M$3,1,MOD(ROW()-4,10)+1)="",INDEX('Bán nhanh'!$D$4:$M$103,INT((ROW()-4)/10)+1,MOD(ROW()-4,10)+1)&lt;=0),"",INDEX('Bán nhanh'!$D$3:$M$3,1,MOD(ROW()-4,10)+1))</f>
        <v/>
      </c>
      <c r="C510" s="58" t="str">
        <f t="array" ref="C510">IFERROR(INDEX('Sản phẩm'!$A$4:$A$103,MATCH(B510,'Sản phẩm'!$D$4:$D$103,0)),"")</f>
        <v/>
      </c>
      <c r="D510" s="58" t="str">
        <f t="array" ref="D510">IF(B510="","",INDEX('Bán nhanh'!$B$4:$B$103,INT((ROW()-4)/10)+1))</f>
        <v/>
      </c>
      <c r="E510" s="58" t="str">
        <f t="array" ref="E510">IFERROR(INDEX('Mẻ sữa'!$B$4:$B$203,MATCH(D510,'Mẻ sữa'!$C$4:$C$203,0)),"")</f>
        <v/>
      </c>
      <c r="F510" s="95">
        <f t="array" ref="F510">IF(B510="",0,INDEX('Bán nhanh'!$D$4:$M$103,INT((ROW()-4)/10)+1,MOD(ROW()-4,10)+1))</f>
        <v>0</v>
      </c>
      <c r="G510" s="46">
        <f t="array" ref="G510">IFERROR(INDEX('Sản phẩm'!$F$4:$F$103,MATCH(B510,'Sản phẩm'!$D$4:$D$103,0)),0)</f>
        <v>0</v>
      </c>
      <c r="H510" s="46">
        <f t="shared" si="5"/>
        <v>0</v>
      </c>
      <c r="I510" s="46">
        <f t="shared" si="1"/>
        <v>0</v>
      </c>
      <c r="J510" s="46">
        <f t="array" ref="J510">IFERROR(INDEX('Sản phẩm'!$G$4:$G$103,MATCH(B510,'Sản phẩm'!$D$4:$D$103,0)),0)</f>
        <v>0</v>
      </c>
      <c r="K510" s="46">
        <f t="array" ref="K510">IFERROR(J510*INDEX('Mẻ sữa'!$N$4:$N$203,MATCH(D510,'Mẻ sữa'!$C$4:$C$203,0)),0)</f>
        <v>0</v>
      </c>
      <c r="L510" s="46">
        <f t="array" ref="L510">IFERROR(INDEX('Sản phẩm'!$I$4:$I$103,MATCH(B510,'Sản phẩm'!$D$4:$D$103,0)),0)</f>
        <v>0</v>
      </c>
      <c r="M510" s="72" t="str">
        <f t="array" ref="M510">IFERROR(INDEX('Sản phẩm'!$J$4:$J$103,MATCH(B510,'Sản phẩm'!$D$4:$D$103,0)),0)</f>
        <v/>
      </c>
      <c r="N510" s="46">
        <f>IF(B510="",0,(K510+L510+M510)*'Thiết lập'!$B$8)</f>
        <v>0</v>
      </c>
      <c r="O510" s="46">
        <f t="shared" si="2"/>
        <v>0</v>
      </c>
      <c r="P510" s="46">
        <f t="shared" si="3"/>
        <v>0</v>
      </c>
      <c r="Q510" s="46">
        <f t="shared" si="4"/>
        <v>0</v>
      </c>
      <c r="R510" s="58" t="str">
        <f t="array" ref="R510">IF(B510="","",INDEX('Bán nhanh'!$C$4:$C$103,INT((ROW()-4)/10)+1))</f>
        <v/>
      </c>
      <c r="S510" s="58" t="str">
        <f t="array" ref="S510">IF(B510="","",INDEX('Bán nhanh'!$P$4:$P$103,INT((ROW()-4)/10)+1))</f>
        <v/>
      </c>
      <c r="T510" s="58"/>
      <c r="U510" s="36"/>
      <c r="V510" s="36"/>
      <c r="W510" s="58"/>
      <c r="X510" s="36"/>
      <c r="Y510" s="36"/>
      <c r="Z510" s="36"/>
    </row>
    <row r="511" ht="15.75" customHeight="1">
      <c r="A511" s="96" t="str">
        <f t="array" ref="A511">IF(B511="","",INDEX('Bán nhanh'!$A$4:$A$103,INT((ROW()-4)/10)+1))</f>
        <v/>
      </c>
      <c r="B511" s="36" t="str">
        <f t="array" ref="B511">IF(OR(INDEX('Bán nhanh'!$D$3:$M$3,1,MOD(ROW()-4,10)+1)="",INDEX('Bán nhanh'!$D$4:$M$103,INT((ROW()-4)/10)+1,MOD(ROW()-4,10)+1)&lt;=0),"",INDEX('Bán nhanh'!$D$3:$M$3,1,MOD(ROW()-4,10)+1))</f>
        <v/>
      </c>
      <c r="C511" s="36" t="str">
        <f t="array" ref="C511">IFERROR(INDEX('Sản phẩm'!$A$4:$A$103,MATCH(B511,'Sản phẩm'!$D$4:$D$103,0)),"")</f>
        <v/>
      </c>
      <c r="D511" s="36" t="str">
        <f t="array" ref="D511">IF(B511="","",INDEX('Bán nhanh'!$B$4:$B$103,INT((ROW()-4)/10)+1))</f>
        <v/>
      </c>
      <c r="E511" s="36" t="str">
        <f t="array" ref="E511">IFERROR(INDEX('Mẻ sữa'!$B$4:$B$203,MATCH(D511,'Mẻ sữa'!$C$4:$C$203,0)),"")</f>
        <v/>
      </c>
      <c r="F511" s="82">
        <f t="array" ref="F511">IF(B511="",0,INDEX('Bán nhanh'!$D$4:$M$103,INT((ROW()-4)/10)+1,MOD(ROW()-4,10)+1))</f>
        <v>0</v>
      </c>
      <c r="G511" s="83">
        <f t="array" ref="G511">IFERROR(INDEX('Sản phẩm'!$F$4:$F$103,MATCH(B511,'Sản phẩm'!$D$4:$D$103,0)),0)</f>
        <v>0</v>
      </c>
      <c r="H511" s="83">
        <f t="shared" si="5"/>
        <v>0</v>
      </c>
      <c r="I511" s="83">
        <f t="shared" si="1"/>
        <v>0</v>
      </c>
      <c r="J511" s="83">
        <f t="array" ref="J511">IFERROR(INDEX('Sản phẩm'!$G$4:$G$103,MATCH(B511,'Sản phẩm'!$D$4:$D$103,0)),0)</f>
        <v>0</v>
      </c>
      <c r="K511" s="83">
        <f t="array" ref="K511">IFERROR(J511*INDEX('Mẻ sữa'!$N$4:$N$203,MATCH(D511,'Mẻ sữa'!$C$4:$C$203,0)),0)</f>
        <v>0</v>
      </c>
      <c r="L511" s="83">
        <f t="array" ref="L511">IFERROR(INDEX('Sản phẩm'!$I$4:$I$103,MATCH(B511,'Sản phẩm'!$D$4:$D$103,0)),0)</f>
        <v>0</v>
      </c>
      <c r="M511" s="97" t="str">
        <f t="array" ref="M511">IFERROR(INDEX('Sản phẩm'!$J$4:$J$103,MATCH(B511,'Sản phẩm'!$D$4:$D$103,0)),0)</f>
        <v/>
      </c>
      <c r="N511" s="83">
        <f>IF(B511="",0,(K511+L511+M511)*'Thiết lập'!$B$8)</f>
        <v>0</v>
      </c>
      <c r="O511" s="83">
        <f t="shared" si="2"/>
        <v>0</v>
      </c>
      <c r="P511" s="83">
        <f t="shared" si="3"/>
        <v>0</v>
      </c>
      <c r="Q511" s="83">
        <f t="shared" si="4"/>
        <v>0</v>
      </c>
      <c r="R511" s="36" t="str">
        <f t="array" ref="R511">IF(B511="","",INDEX('Bán nhanh'!$C$4:$C$103,INT((ROW()-4)/10)+1))</f>
        <v/>
      </c>
      <c r="S511" s="36" t="str">
        <f t="array" ref="S511">IF(B511="","",INDEX('Bán nhanh'!$P$4:$P$103,INT((ROW()-4)/10)+1))</f>
        <v/>
      </c>
      <c r="T511" s="36"/>
      <c r="U511" s="36"/>
      <c r="V511" s="36"/>
      <c r="W511" s="36"/>
      <c r="X511" s="36"/>
      <c r="Y511" s="36"/>
      <c r="Z511" s="36"/>
    </row>
    <row r="512" ht="15.75" customHeight="1">
      <c r="A512" s="96" t="str">
        <f t="array" ref="A512">IF(B512="","",INDEX('Bán nhanh'!$A$4:$A$103,INT((ROW()-4)/10)+1))</f>
        <v/>
      </c>
      <c r="B512" s="36" t="str">
        <f t="array" ref="B512">IF(OR(INDEX('Bán nhanh'!$D$3:$M$3,1,MOD(ROW()-4,10)+1)="",INDEX('Bán nhanh'!$D$4:$M$103,INT((ROW()-4)/10)+1,MOD(ROW()-4,10)+1)&lt;=0),"",INDEX('Bán nhanh'!$D$3:$M$3,1,MOD(ROW()-4,10)+1))</f>
        <v/>
      </c>
      <c r="C512" s="36" t="str">
        <f t="array" ref="C512">IFERROR(INDEX('Sản phẩm'!$A$4:$A$103,MATCH(B512,'Sản phẩm'!$D$4:$D$103,0)),"")</f>
        <v/>
      </c>
      <c r="D512" s="36" t="str">
        <f t="array" ref="D512">IF(B512="","",INDEX('Bán nhanh'!$B$4:$B$103,INT((ROW()-4)/10)+1))</f>
        <v/>
      </c>
      <c r="E512" s="36" t="str">
        <f t="array" ref="E512">IFERROR(INDEX('Mẻ sữa'!$B$4:$B$203,MATCH(D512,'Mẻ sữa'!$C$4:$C$203,0)),"")</f>
        <v/>
      </c>
      <c r="F512" s="82">
        <f t="array" ref="F512">IF(B512="",0,INDEX('Bán nhanh'!$D$4:$M$103,INT((ROW()-4)/10)+1,MOD(ROW()-4,10)+1))</f>
        <v>0</v>
      </c>
      <c r="G512" s="83">
        <f t="array" ref="G512">IFERROR(INDEX('Sản phẩm'!$F$4:$F$103,MATCH(B512,'Sản phẩm'!$D$4:$D$103,0)),0)</f>
        <v>0</v>
      </c>
      <c r="H512" s="83">
        <f t="shared" si="5"/>
        <v>0</v>
      </c>
      <c r="I512" s="83">
        <f t="shared" si="1"/>
        <v>0</v>
      </c>
      <c r="J512" s="83">
        <f t="array" ref="J512">IFERROR(INDEX('Sản phẩm'!$G$4:$G$103,MATCH(B512,'Sản phẩm'!$D$4:$D$103,0)),0)</f>
        <v>0</v>
      </c>
      <c r="K512" s="83">
        <f t="array" ref="K512">IFERROR(J512*INDEX('Mẻ sữa'!$N$4:$N$203,MATCH(D512,'Mẻ sữa'!$C$4:$C$203,0)),0)</f>
        <v>0</v>
      </c>
      <c r="L512" s="83">
        <f t="array" ref="L512">IFERROR(INDEX('Sản phẩm'!$I$4:$I$103,MATCH(B512,'Sản phẩm'!$D$4:$D$103,0)),0)</f>
        <v>0</v>
      </c>
      <c r="M512" s="97" t="str">
        <f t="array" ref="M512">IFERROR(INDEX('Sản phẩm'!$J$4:$J$103,MATCH(B512,'Sản phẩm'!$D$4:$D$103,0)),0)</f>
        <v/>
      </c>
      <c r="N512" s="83">
        <f>IF(B512="",0,(K512+L512+M512)*'Thiết lập'!$B$8)</f>
        <v>0</v>
      </c>
      <c r="O512" s="83">
        <f t="shared" si="2"/>
        <v>0</v>
      </c>
      <c r="P512" s="83">
        <f t="shared" si="3"/>
        <v>0</v>
      </c>
      <c r="Q512" s="83">
        <f t="shared" si="4"/>
        <v>0</v>
      </c>
      <c r="R512" s="36" t="str">
        <f t="array" ref="R512">IF(B512="","",INDEX('Bán nhanh'!$C$4:$C$103,INT((ROW()-4)/10)+1))</f>
        <v/>
      </c>
      <c r="S512" s="36" t="str">
        <f t="array" ref="S512">IF(B512="","",INDEX('Bán nhanh'!$P$4:$P$103,INT((ROW()-4)/10)+1))</f>
        <v/>
      </c>
      <c r="T512" s="36"/>
      <c r="U512" s="36"/>
      <c r="V512" s="36"/>
      <c r="W512" s="36"/>
      <c r="X512" s="36"/>
      <c r="Y512" s="36"/>
      <c r="Z512" s="36"/>
    </row>
    <row r="513" ht="15.75" customHeight="1">
      <c r="A513" s="96" t="str">
        <f t="array" ref="A513">IF(B513="","",INDEX('Bán nhanh'!$A$4:$A$103,INT((ROW()-4)/10)+1))</f>
        <v/>
      </c>
      <c r="B513" s="36" t="str">
        <f t="array" ref="B513">IF(OR(INDEX('Bán nhanh'!$D$3:$M$3,1,MOD(ROW()-4,10)+1)="",INDEX('Bán nhanh'!$D$4:$M$103,INT((ROW()-4)/10)+1,MOD(ROW()-4,10)+1)&lt;=0),"",INDEX('Bán nhanh'!$D$3:$M$3,1,MOD(ROW()-4,10)+1))</f>
        <v/>
      </c>
      <c r="C513" s="36" t="str">
        <f t="array" ref="C513">IFERROR(INDEX('Sản phẩm'!$A$4:$A$103,MATCH(B513,'Sản phẩm'!$D$4:$D$103,0)),"")</f>
        <v/>
      </c>
      <c r="D513" s="36" t="str">
        <f t="array" ref="D513">IF(B513="","",INDEX('Bán nhanh'!$B$4:$B$103,INT((ROW()-4)/10)+1))</f>
        <v/>
      </c>
      <c r="E513" s="36" t="str">
        <f t="array" ref="E513">IFERROR(INDEX('Mẻ sữa'!$B$4:$B$203,MATCH(D513,'Mẻ sữa'!$C$4:$C$203,0)),"")</f>
        <v/>
      </c>
      <c r="F513" s="82">
        <f t="array" ref="F513">IF(B513="",0,INDEX('Bán nhanh'!$D$4:$M$103,INT((ROW()-4)/10)+1,MOD(ROW()-4,10)+1))</f>
        <v>0</v>
      </c>
      <c r="G513" s="83">
        <f t="array" ref="G513">IFERROR(INDEX('Sản phẩm'!$F$4:$F$103,MATCH(B513,'Sản phẩm'!$D$4:$D$103,0)),0)</f>
        <v>0</v>
      </c>
      <c r="H513" s="83">
        <f t="shared" si="5"/>
        <v>0</v>
      </c>
      <c r="I513" s="83">
        <f t="shared" si="1"/>
        <v>0</v>
      </c>
      <c r="J513" s="83">
        <f t="array" ref="J513">IFERROR(INDEX('Sản phẩm'!$G$4:$G$103,MATCH(B513,'Sản phẩm'!$D$4:$D$103,0)),0)</f>
        <v>0</v>
      </c>
      <c r="K513" s="83">
        <f t="array" ref="K513">IFERROR(J513*INDEX('Mẻ sữa'!$N$4:$N$203,MATCH(D513,'Mẻ sữa'!$C$4:$C$203,0)),0)</f>
        <v>0</v>
      </c>
      <c r="L513" s="83">
        <f t="array" ref="L513">IFERROR(INDEX('Sản phẩm'!$I$4:$I$103,MATCH(B513,'Sản phẩm'!$D$4:$D$103,0)),0)</f>
        <v>0</v>
      </c>
      <c r="M513" s="97" t="str">
        <f t="array" ref="M513">IFERROR(INDEX('Sản phẩm'!$J$4:$J$103,MATCH(B513,'Sản phẩm'!$D$4:$D$103,0)),0)</f>
        <v/>
      </c>
      <c r="N513" s="83">
        <f>IF(B513="",0,(K513+L513+M513)*'Thiết lập'!$B$8)</f>
        <v>0</v>
      </c>
      <c r="O513" s="83">
        <f t="shared" si="2"/>
        <v>0</v>
      </c>
      <c r="P513" s="83">
        <f t="shared" si="3"/>
        <v>0</v>
      </c>
      <c r="Q513" s="83">
        <f t="shared" si="4"/>
        <v>0</v>
      </c>
      <c r="R513" s="36" t="str">
        <f t="array" ref="R513">IF(B513="","",INDEX('Bán nhanh'!$C$4:$C$103,INT((ROW()-4)/10)+1))</f>
        <v/>
      </c>
      <c r="S513" s="36" t="str">
        <f t="array" ref="S513">IF(B513="","",INDEX('Bán nhanh'!$P$4:$P$103,INT((ROW()-4)/10)+1))</f>
        <v/>
      </c>
      <c r="T513" s="36"/>
      <c r="U513" s="36"/>
      <c r="V513" s="36"/>
      <c r="W513" s="36"/>
      <c r="X513" s="36"/>
      <c r="Y513" s="36"/>
      <c r="Z513" s="36"/>
    </row>
    <row r="514" ht="15.75" customHeight="1">
      <c r="A514" s="96" t="str">
        <f t="array" ref="A514">IF(B514="","",INDEX('Bán nhanh'!$A$4:$A$103,INT((ROW()-4)/10)+1))</f>
        <v/>
      </c>
      <c r="B514" s="36" t="str">
        <f t="array" ref="B514">IF(OR(INDEX('Bán nhanh'!$D$3:$M$3,1,MOD(ROW()-4,10)+1)="",INDEX('Bán nhanh'!$D$4:$M$103,INT((ROW()-4)/10)+1,MOD(ROW()-4,10)+1)&lt;=0),"",INDEX('Bán nhanh'!$D$3:$M$3,1,MOD(ROW()-4,10)+1))</f>
        <v/>
      </c>
      <c r="C514" s="36" t="str">
        <f t="array" ref="C514">IFERROR(INDEX('Sản phẩm'!$A$4:$A$103,MATCH(B514,'Sản phẩm'!$D$4:$D$103,0)),"")</f>
        <v/>
      </c>
      <c r="D514" s="36" t="str">
        <f t="array" ref="D514">IF(B514="","",INDEX('Bán nhanh'!$B$4:$B$103,INT((ROW()-4)/10)+1))</f>
        <v/>
      </c>
      <c r="E514" s="36" t="str">
        <f t="array" ref="E514">IFERROR(INDEX('Mẻ sữa'!$B$4:$B$203,MATCH(D514,'Mẻ sữa'!$C$4:$C$203,0)),"")</f>
        <v/>
      </c>
      <c r="F514" s="82">
        <f t="array" ref="F514">IF(B514="",0,INDEX('Bán nhanh'!$D$4:$M$103,INT((ROW()-4)/10)+1,MOD(ROW()-4,10)+1))</f>
        <v>0</v>
      </c>
      <c r="G514" s="83">
        <f t="array" ref="G514">IFERROR(INDEX('Sản phẩm'!$F$4:$F$103,MATCH(B514,'Sản phẩm'!$D$4:$D$103,0)),0)</f>
        <v>0</v>
      </c>
      <c r="H514" s="83">
        <f t="shared" si="5"/>
        <v>0</v>
      </c>
      <c r="I514" s="83">
        <f t="shared" si="1"/>
        <v>0</v>
      </c>
      <c r="J514" s="83">
        <f t="array" ref="J514">IFERROR(INDEX('Sản phẩm'!$G$4:$G$103,MATCH(B514,'Sản phẩm'!$D$4:$D$103,0)),0)</f>
        <v>0</v>
      </c>
      <c r="K514" s="83">
        <f t="array" ref="K514">IFERROR(J514*INDEX('Mẻ sữa'!$N$4:$N$203,MATCH(D514,'Mẻ sữa'!$C$4:$C$203,0)),0)</f>
        <v>0</v>
      </c>
      <c r="L514" s="83">
        <f t="array" ref="L514">IFERROR(INDEX('Sản phẩm'!$I$4:$I$103,MATCH(B514,'Sản phẩm'!$D$4:$D$103,0)),0)</f>
        <v>0</v>
      </c>
      <c r="M514" s="97" t="str">
        <f t="array" ref="M514">IFERROR(INDEX('Sản phẩm'!$J$4:$J$103,MATCH(B514,'Sản phẩm'!$D$4:$D$103,0)),0)</f>
        <v/>
      </c>
      <c r="N514" s="83">
        <f>IF(B514="",0,(K514+L514+M514)*'Thiết lập'!$B$8)</f>
        <v>0</v>
      </c>
      <c r="O514" s="83">
        <f t="shared" si="2"/>
        <v>0</v>
      </c>
      <c r="P514" s="83">
        <f t="shared" si="3"/>
        <v>0</v>
      </c>
      <c r="Q514" s="83">
        <f t="shared" si="4"/>
        <v>0</v>
      </c>
      <c r="R514" s="36" t="str">
        <f t="array" ref="R514">IF(B514="","",INDEX('Bán nhanh'!$C$4:$C$103,INT((ROW()-4)/10)+1))</f>
        <v/>
      </c>
      <c r="S514" s="36" t="str">
        <f t="array" ref="S514">IF(B514="","",INDEX('Bán nhanh'!$P$4:$P$103,INT((ROW()-4)/10)+1))</f>
        <v/>
      </c>
      <c r="T514" s="36"/>
      <c r="U514" s="36"/>
      <c r="V514" s="36"/>
      <c r="W514" s="36"/>
      <c r="X514" s="36"/>
      <c r="Y514" s="36"/>
      <c r="Z514" s="36"/>
    </row>
    <row r="515" ht="15.75" customHeight="1">
      <c r="A515" s="96" t="str">
        <f t="array" ref="A515">IF(B515="","",INDEX('Bán nhanh'!$A$4:$A$103,INT((ROW()-4)/10)+1))</f>
        <v/>
      </c>
      <c r="B515" s="36" t="str">
        <f t="array" ref="B515">IF(OR(INDEX('Bán nhanh'!$D$3:$M$3,1,MOD(ROW()-4,10)+1)="",INDEX('Bán nhanh'!$D$4:$M$103,INT((ROW()-4)/10)+1,MOD(ROW()-4,10)+1)&lt;=0),"",INDEX('Bán nhanh'!$D$3:$M$3,1,MOD(ROW()-4,10)+1))</f>
        <v/>
      </c>
      <c r="C515" s="36" t="str">
        <f t="array" ref="C515">IFERROR(INDEX('Sản phẩm'!$A$4:$A$103,MATCH(B515,'Sản phẩm'!$D$4:$D$103,0)),"")</f>
        <v/>
      </c>
      <c r="D515" s="36" t="str">
        <f t="array" ref="D515">IF(B515="","",INDEX('Bán nhanh'!$B$4:$B$103,INT((ROW()-4)/10)+1))</f>
        <v/>
      </c>
      <c r="E515" s="36" t="str">
        <f t="array" ref="E515">IFERROR(INDEX('Mẻ sữa'!$B$4:$B$203,MATCH(D515,'Mẻ sữa'!$C$4:$C$203,0)),"")</f>
        <v/>
      </c>
      <c r="F515" s="82">
        <f t="array" ref="F515">IF(B515="",0,INDEX('Bán nhanh'!$D$4:$M$103,INT((ROW()-4)/10)+1,MOD(ROW()-4,10)+1))</f>
        <v>0</v>
      </c>
      <c r="G515" s="83">
        <f t="array" ref="G515">IFERROR(INDEX('Sản phẩm'!$F$4:$F$103,MATCH(B515,'Sản phẩm'!$D$4:$D$103,0)),0)</f>
        <v>0</v>
      </c>
      <c r="H515" s="83">
        <f t="shared" si="5"/>
        <v>0</v>
      </c>
      <c r="I515" s="83">
        <f t="shared" si="1"/>
        <v>0</v>
      </c>
      <c r="J515" s="83">
        <f t="array" ref="J515">IFERROR(INDEX('Sản phẩm'!$G$4:$G$103,MATCH(B515,'Sản phẩm'!$D$4:$D$103,0)),0)</f>
        <v>0</v>
      </c>
      <c r="K515" s="83">
        <f t="array" ref="K515">IFERROR(J515*INDEX('Mẻ sữa'!$N$4:$N$203,MATCH(D515,'Mẻ sữa'!$C$4:$C$203,0)),0)</f>
        <v>0</v>
      </c>
      <c r="L515" s="83">
        <f t="array" ref="L515">IFERROR(INDEX('Sản phẩm'!$I$4:$I$103,MATCH(B515,'Sản phẩm'!$D$4:$D$103,0)),0)</f>
        <v>0</v>
      </c>
      <c r="M515" s="97" t="str">
        <f t="array" ref="M515">IFERROR(INDEX('Sản phẩm'!$J$4:$J$103,MATCH(B515,'Sản phẩm'!$D$4:$D$103,0)),0)</f>
        <v/>
      </c>
      <c r="N515" s="83">
        <f>IF(B515="",0,(K515+L515+M515)*'Thiết lập'!$B$8)</f>
        <v>0</v>
      </c>
      <c r="O515" s="83">
        <f t="shared" si="2"/>
        <v>0</v>
      </c>
      <c r="P515" s="83">
        <f t="shared" si="3"/>
        <v>0</v>
      </c>
      <c r="Q515" s="83">
        <f t="shared" si="4"/>
        <v>0</v>
      </c>
      <c r="R515" s="36" t="str">
        <f t="array" ref="R515">IF(B515="","",INDEX('Bán nhanh'!$C$4:$C$103,INT((ROW()-4)/10)+1))</f>
        <v/>
      </c>
      <c r="S515" s="36" t="str">
        <f t="array" ref="S515">IF(B515="","",INDEX('Bán nhanh'!$P$4:$P$103,INT((ROW()-4)/10)+1))</f>
        <v/>
      </c>
      <c r="T515" s="36"/>
      <c r="U515" s="36"/>
      <c r="V515" s="36"/>
      <c r="W515" s="36"/>
      <c r="X515" s="36"/>
      <c r="Y515" s="36"/>
      <c r="Z515" s="36"/>
    </row>
    <row r="516" ht="15.75" customHeight="1">
      <c r="A516" s="96" t="str">
        <f t="array" ref="A516">IF(B516="","",INDEX('Bán nhanh'!$A$4:$A$103,INT((ROW()-4)/10)+1))</f>
        <v/>
      </c>
      <c r="B516" s="36" t="str">
        <f t="array" ref="B516">IF(OR(INDEX('Bán nhanh'!$D$3:$M$3,1,MOD(ROW()-4,10)+1)="",INDEX('Bán nhanh'!$D$4:$M$103,INT((ROW()-4)/10)+1,MOD(ROW()-4,10)+1)&lt;=0),"",INDEX('Bán nhanh'!$D$3:$M$3,1,MOD(ROW()-4,10)+1))</f>
        <v/>
      </c>
      <c r="C516" s="36" t="str">
        <f t="array" ref="C516">IFERROR(INDEX('Sản phẩm'!$A$4:$A$103,MATCH(B516,'Sản phẩm'!$D$4:$D$103,0)),"")</f>
        <v/>
      </c>
      <c r="D516" s="36" t="str">
        <f t="array" ref="D516">IF(B516="","",INDEX('Bán nhanh'!$B$4:$B$103,INT((ROW()-4)/10)+1))</f>
        <v/>
      </c>
      <c r="E516" s="36" t="str">
        <f t="array" ref="E516">IFERROR(INDEX('Mẻ sữa'!$B$4:$B$203,MATCH(D516,'Mẻ sữa'!$C$4:$C$203,0)),"")</f>
        <v/>
      </c>
      <c r="F516" s="82">
        <f t="array" ref="F516">IF(B516="",0,INDEX('Bán nhanh'!$D$4:$M$103,INT((ROW()-4)/10)+1,MOD(ROW()-4,10)+1))</f>
        <v>0</v>
      </c>
      <c r="G516" s="83">
        <f t="array" ref="G516">IFERROR(INDEX('Sản phẩm'!$F$4:$F$103,MATCH(B516,'Sản phẩm'!$D$4:$D$103,0)),0)</f>
        <v>0</v>
      </c>
      <c r="H516" s="83">
        <f t="shared" si="5"/>
        <v>0</v>
      </c>
      <c r="I516" s="83">
        <f t="shared" si="1"/>
        <v>0</v>
      </c>
      <c r="J516" s="83">
        <f t="array" ref="J516">IFERROR(INDEX('Sản phẩm'!$G$4:$G$103,MATCH(B516,'Sản phẩm'!$D$4:$D$103,0)),0)</f>
        <v>0</v>
      </c>
      <c r="K516" s="83">
        <f t="array" ref="K516">IFERROR(J516*INDEX('Mẻ sữa'!$N$4:$N$203,MATCH(D516,'Mẻ sữa'!$C$4:$C$203,0)),0)</f>
        <v>0</v>
      </c>
      <c r="L516" s="83">
        <f t="array" ref="L516">IFERROR(INDEX('Sản phẩm'!$I$4:$I$103,MATCH(B516,'Sản phẩm'!$D$4:$D$103,0)),0)</f>
        <v>0</v>
      </c>
      <c r="M516" s="97" t="str">
        <f t="array" ref="M516">IFERROR(INDEX('Sản phẩm'!$J$4:$J$103,MATCH(B516,'Sản phẩm'!$D$4:$D$103,0)),0)</f>
        <v/>
      </c>
      <c r="N516" s="83">
        <f>IF(B516="",0,(K516+L516+M516)*'Thiết lập'!$B$8)</f>
        <v>0</v>
      </c>
      <c r="O516" s="83">
        <f t="shared" si="2"/>
        <v>0</v>
      </c>
      <c r="P516" s="83">
        <f t="shared" si="3"/>
        <v>0</v>
      </c>
      <c r="Q516" s="83">
        <f t="shared" si="4"/>
        <v>0</v>
      </c>
      <c r="R516" s="36" t="str">
        <f t="array" ref="R516">IF(B516="","",INDEX('Bán nhanh'!$C$4:$C$103,INT((ROW()-4)/10)+1))</f>
        <v/>
      </c>
      <c r="S516" s="36" t="str">
        <f t="array" ref="S516">IF(B516="","",INDEX('Bán nhanh'!$P$4:$P$103,INT((ROW()-4)/10)+1))</f>
        <v/>
      </c>
      <c r="T516" s="36"/>
      <c r="U516" s="36"/>
      <c r="V516" s="36"/>
      <c r="W516" s="36"/>
      <c r="X516" s="36"/>
      <c r="Y516" s="36"/>
      <c r="Z516" s="36"/>
    </row>
    <row r="517" ht="15.75" customHeight="1">
      <c r="A517" s="96" t="str">
        <f t="array" ref="A517">IF(B517="","",INDEX('Bán nhanh'!$A$4:$A$103,INT((ROW()-4)/10)+1))</f>
        <v/>
      </c>
      <c r="B517" s="36" t="str">
        <f t="array" ref="B517">IF(OR(INDEX('Bán nhanh'!$D$3:$M$3,1,MOD(ROW()-4,10)+1)="",INDEX('Bán nhanh'!$D$4:$M$103,INT((ROW()-4)/10)+1,MOD(ROW()-4,10)+1)&lt;=0),"",INDEX('Bán nhanh'!$D$3:$M$3,1,MOD(ROW()-4,10)+1))</f>
        <v/>
      </c>
      <c r="C517" s="36" t="str">
        <f t="array" ref="C517">IFERROR(INDEX('Sản phẩm'!$A$4:$A$103,MATCH(B517,'Sản phẩm'!$D$4:$D$103,0)),"")</f>
        <v/>
      </c>
      <c r="D517" s="36" t="str">
        <f t="array" ref="D517">IF(B517="","",INDEX('Bán nhanh'!$B$4:$B$103,INT((ROW()-4)/10)+1))</f>
        <v/>
      </c>
      <c r="E517" s="36" t="str">
        <f t="array" ref="E517">IFERROR(INDEX('Mẻ sữa'!$B$4:$B$203,MATCH(D517,'Mẻ sữa'!$C$4:$C$203,0)),"")</f>
        <v/>
      </c>
      <c r="F517" s="82">
        <f t="array" ref="F517">IF(B517="",0,INDEX('Bán nhanh'!$D$4:$M$103,INT((ROW()-4)/10)+1,MOD(ROW()-4,10)+1))</f>
        <v>0</v>
      </c>
      <c r="G517" s="83">
        <f t="array" ref="G517">IFERROR(INDEX('Sản phẩm'!$F$4:$F$103,MATCH(B517,'Sản phẩm'!$D$4:$D$103,0)),0)</f>
        <v>0</v>
      </c>
      <c r="H517" s="83">
        <f t="shared" si="5"/>
        <v>0</v>
      </c>
      <c r="I517" s="83">
        <f t="shared" si="1"/>
        <v>0</v>
      </c>
      <c r="J517" s="83">
        <f t="array" ref="J517">IFERROR(INDEX('Sản phẩm'!$G$4:$G$103,MATCH(B517,'Sản phẩm'!$D$4:$D$103,0)),0)</f>
        <v>0</v>
      </c>
      <c r="K517" s="83">
        <f t="array" ref="K517">IFERROR(J517*INDEX('Mẻ sữa'!$N$4:$N$203,MATCH(D517,'Mẻ sữa'!$C$4:$C$203,0)),0)</f>
        <v>0</v>
      </c>
      <c r="L517" s="83">
        <f t="array" ref="L517">IFERROR(INDEX('Sản phẩm'!$I$4:$I$103,MATCH(B517,'Sản phẩm'!$D$4:$D$103,0)),0)</f>
        <v>0</v>
      </c>
      <c r="M517" s="97" t="str">
        <f t="array" ref="M517">IFERROR(INDEX('Sản phẩm'!$J$4:$J$103,MATCH(B517,'Sản phẩm'!$D$4:$D$103,0)),0)</f>
        <v/>
      </c>
      <c r="N517" s="83">
        <f>IF(B517="",0,(K517+L517+M517)*'Thiết lập'!$B$8)</f>
        <v>0</v>
      </c>
      <c r="O517" s="83">
        <f t="shared" si="2"/>
        <v>0</v>
      </c>
      <c r="P517" s="83">
        <f t="shared" si="3"/>
        <v>0</v>
      </c>
      <c r="Q517" s="83">
        <f t="shared" si="4"/>
        <v>0</v>
      </c>
      <c r="R517" s="36" t="str">
        <f t="array" ref="R517">IF(B517="","",INDEX('Bán nhanh'!$C$4:$C$103,INT((ROW()-4)/10)+1))</f>
        <v/>
      </c>
      <c r="S517" s="36" t="str">
        <f t="array" ref="S517">IF(B517="","",INDEX('Bán nhanh'!$P$4:$P$103,INT((ROW()-4)/10)+1))</f>
        <v/>
      </c>
      <c r="T517" s="36"/>
      <c r="U517" s="36"/>
      <c r="V517" s="36"/>
      <c r="W517" s="36"/>
      <c r="X517" s="36"/>
      <c r="Y517" s="36"/>
      <c r="Z517" s="36"/>
    </row>
    <row r="518" ht="15.75" customHeight="1">
      <c r="A518" s="96" t="str">
        <f t="array" ref="A518">IF(B518="","",INDEX('Bán nhanh'!$A$4:$A$103,INT((ROW()-4)/10)+1))</f>
        <v/>
      </c>
      <c r="B518" s="36" t="str">
        <f t="array" ref="B518">IF(OR(INDEX('Bán nhanh'!$D$3:$M$3,1,MOD(ROW()-4,10)+1)="",INDEX('Bán nhanh'!$D$4:$M$103,INT((ROW()-4)/10)+1,MOD(ROW()-4,10)+1)&lt;=0),"",INDEX('Bán nhanh'!$D$3:$M$3,1,MOD(ROW()-4,10)+1))</f>
        <v/>
      </c>
      <c r="C518" s="36" t="str">
        <f t="array" ref="C518">IFERROR(INDEX('Sản phẩm'!$A$4:$A$103,MATCH(B518,'Sản phẩm'!$D$4:$D$103,0)),"")</f>
        <v/>
      </c>
      <c r="D518" s="36" t="str">
        <f t="array" ref="D518">IF(B518="","",INDEX('Bán nhanh'!$B$4:$B$103,INT((ROW()-4)/10)+1))</f>
        <v/>
      </c>
      <c r="E518" s="36" t="str">
        <f t="array" ref="E518">IFERROR(INDEX('Mẻ sữa'!$B$4:$B$203,MATCH(D518,'Mẻ sữa'!$C$4:$C$203,0)),"")</f>
        <v/>
      </c>
      <c r="F518" s="82">
        <f t="array" ref="F518">IF(B518="",0,INDEX('Bán nhanh'!$D$4:$M$103,INT((ROW()-4)/10)+1,MOD(ROW()-4,10)+1))</f>
        <v>0</v>
      </c>
      <c r="G518" s="83">
        <f t="array" ref="G518">IFERROR(INDEX('Sản phẩm'!$F$4:$F$103,MATCH(B518,'Sản phẩm'!$D$4:$D$103,0)),0)</f>
        <v>0</v>
      </c>
      <c r="H518" s="83">
        <f t="shared" si="5"/>
        <v>0</v>
      </c>
      <c r="I518" s="83">
        <f t="shared" si="1"/>
        <v>0</v>
      </c>
      <c r="J518" s="83">
        <f t="array" ref="J518">IFERROR(INDEX('Sản phẩm'!$G$4:$G$103,MATCH(B518,'Sản phẩm'!$D$4:$D$103,0)),0)</f>
        <v>0</v>
      </c>
      <c r="K518" s="83">
        <f t="array" ref="K518">IFERROR(J518*INDEX('Mẻ sữa'!$N$4:$N$203,MATCH(D518,'Mẻ sữa'!$C$4:$C$203,0)),0)</f>
        <v>0</v>
      </c>
      <c r="L518" s="83">
        <f t="array" ref="L518">IFERROR(INDEX('Sản phẩm'!$I$4:$I$103,MATCH(B518,'Sản phẩm'!$D$4:$D$103,0)),0)</f>
        <v>0</v>
      </c>
      <c r="M518" s="97" t="str">
        <f t="array" ref="M518">IFERROR(INDEX('Sản phẩm'!$J$4:$J$103,MATCH(B518,'Sản phẩm'!$D$4:$D$103,0)),0)</f>
        <v/>
      </c>
      <c r="N518" s="83">
        <f>IF(B518="",0,(K518+L518+M518)*'Thiết lập'!$B$8)</f>
        <v>0</v>
      </c>
      <c r="O518" s="83">
        <f t="shared" si="2"/>
        <v>0</v>
      </c>
      <c r="P518" s="83">
        <f t="shared" si="3"/>
        <v>0</v>
      </c>
      <c r="Q518" s="83">
        <f t="shared" si="4"/>
        <v>0</v>
      </c>
      <c r="R518" s="36" t="str">
        <f t="array" ref="R518">IF(B518="","",INDEX('Bán nhanh'!$C$4:$C$103,INT((ROW()-4)/10)+1))</f>
        <v/>
      </c>
      <c r="S518" s="36" t="str">
        <f t="array" ref="S518">IF(B518="","",INDEX('Bán nhanh'!$P$4:$P$103,INT((ROW()-4)/10)+1))</f>
        <v/>
      </c>
      <c r="T518" s="36"/>
      <c r="U518" s="36"/>
      <c r="V518" s="36"/>
      <c r="W518" s="36"/>
      <c r="X518" s="36"/>
      <c r="Y518" s="36"/>
      <c r="Z518" s="36"/>
    </row>
    <row r="519" ht="15.75" customHeight="1">
      <c r="A519" s="96" t="str">
        <f t="array" ref="A519">IF(B519="","",INDEX('Bán nhanh'!$A$4:$A$103,INT((ROW()-4)/10)+1))</f>
        <v/>
      </c>
      <c r="B519" s="36" t="str">
        <f t="array" ref="B519">IF(OR(INDEX('Bán nhanh'!$D$3:$M$3,1,MOD(ROW()-4,10)+1)="",INDEX('Bán nhanh'!$D$4:$M$103,INT((ROW()-4)/10)+1,MOD(ROW()-4,10)+1)&lt;=0),"",INDEX('Bán nhanh'!$D$3:$M$3,1,MOD(ROW()-4,10)+1))</f>
        <v/>
      </c>
      <c r="C519" s="36" t="str">
        <f t="array" ref="C519">IFERROR(INDEX('Sản phẩm'!$A$4:$A$103,MATCH(B519,'Sản phẩm'!$D$4:$D$103,0)),"")</f>
        <v/>
      </c>
      <c r="D519" s="36" t="str">
        <f t="array" ref="D519">IF(B519="","",INDEX('Bán nhanh'!$B$4:$B$103,INT((ROW()-4)/10)+1))</f>
        <v/>
      </c>
      <c r="E519" s="36" t="str">
        <f t="array" ref="E519">IFERROR(INDEX('Mẻ sữa'!$B$4:$B$203,MATCH(D519,'Mẻ sữa'!$C$4:$C$203,0)),"")</f>
        <v/>
      </c>
      <c r="F519" s="82">
        <f t="array" ref="F519">IF(B519="",0,INDEX('Bán nhanh'!$D$4:$M$103,INT((ROW()-4)/10)+1,MOD(ROW()-4,10)+1))</f>
        <v>0</v>
      </c>
      <c r="G519" s="83">
        <f t="array" ref="G519">IFERROR(INDEX('Sản phẩm'!$F$4:$F$103,MATCH(B519,'Sản phẩm'!$D$4:$D$103,0)),0)</f>
        <v>0</v>
      </c>
      <c r="H519" s="83">
        <f t="shared" si="5"/>
        <v>0</v>
      </c>
      <c r="I519" s="83">
        <f t="shared" si="1"/>
        <v>0</v>
      </c>
      <c r="J519" s="83">
        <f t="array" ref="J519">IFERROR(INDEX('Sản phẩm'!$G$4:$G$103,MATCH(B519,'Sản phẩm'!$D$4:$D$103,0)),0)</f>
        <v>0</v>
      </c>
      <c r="K519" s="83">
        <f t="array" ref="K519">IFERROR(J519*INDEX('Mẻ sữa'!$N$4:$N$203,MATCH(D519,'Mẻ sữa'!$C$4:$C$203,0)),0)</f>
        <v>0</v>
      </c>
      <c r="L519" s="83">
        <f t="array" ref="L519">IFERROR(INDEX('Sản phẩm'!$I$4:$I$103,MATCH(B519,'Sản phẩm'!$D$4:$D$103,0)),0)</f>
        <v>0</v>
      </c>
      <c r="M519" s="97" t="str">
        <f t="array" ref="M519">IFERROR(INDEX('Sản phẩm'!$J$4:$J$103,MATCH(B519,'Sản phẩm'!$D$4:$D$103,0)),0)</f>
        <v/>
      </c>
      <c r="N519" s="83">
        <f>IF(B519="",0,(K519+L519+M519)*'Thiết lập'!$B$8)</f>
        <v>0</v>
      </c>
      <c r="O519" s="83">
        <f t="shared" si="2"/>
        <v>0</v>
      </c>
      <c r="P519" s="83">
        <f t="shared" si="3"/>
        <v>0</v>
      </c>
      <c r="Q519" s="83">
        <f t="shared" si="4"/>
        <v>0</v>
      </c>
      <c r="R519" s="36" t="str">
        <f t="array" ref="R519">IF(B519="","",INDEX('Bán nhanh'!$C$4:$C$103,INT((ROW()-4)/10)+1))</f>
        <v/>
      </c>
      <c r="S519" s="36" t="str">
        <f t="array" ref="S519">IF(B519="","",INDEX('Bán nhanh'!$P$4:$P$103,INT((ROW()-4)/10)+1))</f>
        <v/>
      </c>
      <c r="T519" s="36"/>
      <c r="U519" s="36"/>
      <c r="V519" s="36"/>
      <c r="W519" s="36"/>
      <c r="X519" s="36"/>
      <c r="Y519" s="36"/>
      <c r="Z519" s="36"/>
    </row>
    <row r="520" ht="15.75" customHeight="1">
      <c r="A520" s="96" t="str">
        <f t="array" ref="A520">IF(B520="","",INDEX('Bán nhanh'!$A$4:$A$103,INT((ROW()-4)/10)+1))</f>
        <v/>
      </c>
      <c r="B520" s="36" t="str">
        <f t="array" ref="B520">IF(OR(INDEX('Bán nhanh'!$D$3:$M$3,1,MOD(ROW()-4,10)+1)="",INDEX('Bán nhanh'!$D$4:$M$103,INT((ROW()-4)/10)+1,MOD(ROW()-4,10)+1)&lt;=0),"",INDEX('Bán nhanh'!$D$3:$M$3,1,MOD(ROW()-4,10)+1))</f>
        <v/>
      </c>
      <c r="C520" s="36" t="str">
        <f t="array" ref="C520">IFERROR(INDEX('Sản phẩm'!$A$4:$A$103,MATCH(B520,'Sản phẩm'!$D$4:$D$103,0)),"")</f>
        <v/>
      </c>
      <c r="D520" s="36" t="str">
        <f t="array" ref="D520">IF(B520="","",INDEX('Bán nhanh'!$B$4:$B$103,INT((ROW()-4)/10)+1))</f>
        <v/>
      </c>
      <c r="E520" s="36" t="str">
        <f t="array" ref="E520">IFERROR(INDEX('Mẻ sữa'!$B$4:$B$203,MATCH(D520,'Mẻ sữa'!$C$4:$C$203,0)),"")</f>
        <v/>
      </c>
      <c r="F520" s="82">
        <f t="array" ref="F520">IF(B520="",0,INDEX('Bán nhanh'!$D$4:$M$103,INT((ROW()-4)/10)+1,MOD(ROW()-4,10)+1))</f>
        <v>0</v>
      </c>
      <c r="G520" s="83">
        <f t="array" ref="G520">IFERROR(INDEX('Sản phẩm'!$F$4:$F$103,MATCH(B520,'Sản phẩm'!$D$4:$D$103,0)),0)</f>
        <v>0</v>
      </c>
      <c r="H520" s="83">
        <f t="shared" si="5"/>
        <v>0</v>
      </c>
      <c r="I520" s="83">
        <f t="shared" si="1"/>
        <v>0</v>
      </c>
      <c r="J520" s="83">
        <f t="array" ref="J520">IFERROR(INDEX('Sản phẩm'!$G$4:$G$103,MATCH(B520,'Sản phẩm'!$D$4:$D$103,0)),0)</f>
        <v>0</v>
      </c>
      <c r="K520" s="83">
        <f t="array" ref="K520">IFERROR(J520*INDEX('Mẻ sữa'!$N$4:$N$203,MATCH(D520,'Mẻ sữa'!$C$4:$C$203,0)),0)</f>
        <v>0</v>
      </c>
      <c r="L520" s="83">
        <f t="array" ref="L520">IFERROR(INDEX('Sản phẩm'!$I$4:$I$103,MATCH(B520,'Sản phẩm'!$D$4:$D$103,0)),0)</f>
        <v>0</v>
      </c>
      <c r="M520" s="97" t="str">
        <f t="array" ref="M520">IFERROR(INDEX('Sản phẩm'!$J$4:$J$103,MATCH(B520,'Sản phẩm'!$D$4:$D$103,0)),0)</f>
        <v/>
      </c>
      <c r="N520" s="83">
        <f>IF(B520="",0,(K520+L520+M520)*'Thiết lập'!$B$8)</f>
        <v>0</v>
      </c>
      <c r="O520" s="83">
        <f t="shared" si="2"/>
        <v>0</v>
      </c>
      <c r="P520" s="83">
        <f t="shared" si="3"/>
        <v>0</v>
      </c>
      <c r="Q520" s="83">
        <f t="shared" si="4"/>
        <v>0</v>
      </c>
      <c r="R520" s="36" t="str">
        <f t="array" ref="R520">IF(B520="","",INDEX('Bán nhanh'!$C$4:$C$103,INT((ROW()-4)/10)+1))</f>
        <v/>
      </c>
      <c r="S520" s="36" t="str">
        <f t="array" ref="S520">IF(B520="","",INDEX('Bán nhanh'!$P$4:$P$103,INT((ROW()-4)/10)+1))</f>
        <v/>
      </c>
      <c r="T520" s="36"/>
      <c r="U520" s="36"/>
      <c r="V520" s="36"/>
      <c r="W520" s="36"/>
      <c r="X520" s="36"/>
      <c r="Y520" s="36"/>
      <c r="Z520" s="36"/>
    </row>
    <row r="521" ht="15.75" customHeight="1">
      <c r="A521" s="96" t="str">
        <f t="array" ref="A521">IF(B521="","",INDEX('Bán nhanh'!$A$4:$A$103,INT((ROW()-4)/10)+1))</f>
        <v/>
      </c>
      <c r="B521" s="36" t="str">
        <f t="array" ref="B521">IF(OR(INDEX('Bán nhanh'!$D$3:$M$3,1,MOD(ROW()-4,10)+1)="",INDEX('Bán nhanh'!$D$4:$M$103,INT((ROW()-4)/10)+1,MOD(ROW()-4,10)+1)&lt;=0),"",INDEX('Bán nhanh'!$D$3:$M$3,1,MOD(ROW()-4,10)+1))</f>
        <v/>
      </c>
      <c r="C521" s="36" t="str">
        <f t="array" ref="C521">IFERROR(INDEX('Sản phẩm'!$A$4:$A$103,MATCH(B521,'Sản phẩm'!$D$4:$D$103,0)),"")</f>
        <v/>
      </c>
      <c r="D521" s="36" t="str">
        <f t="array" ref="D521">IF(B521="","",INDEX('Bán nhanh'!$B$4:$B$103,INT((ROW()-4)/10)+1))</f>
        <v/>
      </c>
      <c r="E521" s="36" t="str">
        <f t="array" ref="E521">IFERROR(INDEX('Mẻ sữa'!$B$4:$B$203,MATCH(D521,'Mẻ sữa'!$C$4:$C$203,0)),"")</f>
        <v/>
      </c>
      <c r="F521" s="82">
        <f t="array" ref="F521">IF(B521="",0,INDEX('Bán nhanh'!$D$4:$M$103,INT((ROW()-4)/10)+1,MOD(ROW()-4,10)+1))</f>
        <v>0</v>
      </c>
      <c r="G521" s="83">
        <f t="array" ref="G521">IFERROR(INDEX('Sản phẩm'!$F$4:$F$103,MATCH(B521,'Sản phẩm'!$D$4:$D$103,0)),0)</f>
        <v>0</v>
      </c>
      <c r="H521" s="83">
        <f t="shared" si="5"/>
        <v>0</v>
      </c>
      <c r="I521" s="83">
        <f t="shared" si="1"/>
        <v>0</v>
      </c>
      <c r="J521" s="83">
        <f t="array" ref="J521">IFERROR(INDEX('Sản phẩm'!$G$4:$G$103,MATCH(B521,'Sản phẩm'!$D$4:$D$103,0)),0)</f>
        <v>0</v>
      </c>
      <c r="K521" s="83">
        <f t="array" ref="K521">IFERROR(J521*INDEX('Mẻ sữa'!$N$4:$N$203,MATCH(D521,'Mẻ sữa'!$C$4:$C$203,0)),0)</f>
        <v>0</v>
      </c>
      <c r="L521" s="83">
        <f t="array" ref="L521">IFERROR(INDEX('Sản phẩm'!$I$4:$I$103,MATCH(B521,'Sản phẩm'!$D$4:$D$103,0)),0)</f>
        <v>0</v>
      </c>
      <c r="M521" s="97" t="str">
        <f t="array" ref="M521">IFERROR(INDEX('Sản phẩm'!$J$4:$J$103,MATCH(B521,'Sản phẩm'!$D$4:$D$103,0)),0)</f>
        <v/>
      </c>
      <c r="N521" s="83">
        <f>IF(B521="",0,(K521+L521+M521)*'Thiết lập'!$B$8)</f>
        <v>0</v>
      </c>
      <c r="O521" s="83">
        <f t="shared" si="2"/>
        <v>0</v>
      </c>
      <c r="P521" s="83">
        <f t="shared" si="3"/>
        <v>0</v>
      </c>
      <c r="Q521" s="83">
        <f t="shared" si="4"/>
        <v>0</v>
      </c>
      <c r="R521" s="36" t="str">
        <f t="array" ref="R521">IF(B521="","",INDEX('Bán nhanh'!$C$4:$C$103,INT((ROW()-4)/10)+1))</f>
        <v/>
      </c>
      <c r="S521" s="36" t="str">
        <f t="array" ref="S521">IF(B521="","",INDEX('Bán nhanh'!$P$4:$P$103,INT((ROW()-4)/10)+1))</f>
        <v/>
      </c>
      <c r="T521" s="36"/>
      <c r="U521" s="36"/>
      <c r="V521" s="36"/>
      <c r="W521" s="36"/>
      <c r="X521" s="36"/>
      <c r="Y521" s="36"/>
      <c r="Z521" s="36"/>
    </row>
    <row r="522" ht="15.75" customHeight="1">
      <c r="A522" s="96" t="str">
        <f t="array" ref="A522">IF(B522="","",INDEX('Bán nhanh'!$A$4:$A$103,INT((ROW()-4)/10)+1))</f>
        <v/>
      </c>
      <c r="B522" s="36" t="str">
        <f t="array" ref="B522">IF(OR(INDEX('Bán nhanh'!$D$3:$M$3,1,MOD(ROW()-4,10)+1)="",INDEX('Bán nhanh'!$D$4:$M$103,INT((ROW()-4)/10)+1,MOD(ROW()-4,10)+1)&lt;=0),"",INDEX('Bán nhanh'!$D$3:$M$3,1,MOD(ROW()-4,10)+1))</f>
        <v/>
      </c>
      <c r="C522" s="36" t="str">
        <f t="array" ref="C522">IFERROR(INDEX('Sản phẩm'!$A$4:$A$103,MATCH(B522,'Sản phẩm'!$D$4:$D$103,0)),"")</f>
        <v/>
      </c>
      <c r="D522" s="36" t="str">
        <f t="array" ref="D522">IF(B522="","",INDEX('Bán nhanh'!$B$4:$B$103,INT((ROW()-4)/10)+1))</f>
        <v/>
      </c>
      <c r="E522" s="36" t="str">
        <f t="array" ref="E522">IFERROR(INDEX('Mẻ sữa'!$B$4:$B$203,MATCH(D522,'Mẻ sữa'!$C$4:$C$203,0)),"")</f>
        <v/>
      </c>
      <c r="F522" s="82">
        <f t="array" ref="F522">IF(B522="",0,INDEX('Bán nhanh'!$D$4:$M$103,INT((ROW()-4)/10)+1,MOD(ROW()-4,10)+1))</f>
        <v>0</v>
      </c>
      <c r="G522" s="83">
        <f t="array" ref="G522">IFERROR(INDEX('Sản phẩm'!$F$4:$F$103,MATCH(B522,'Sản phẩm'!$D$4:$D$103,0)),0)</f>
        <v>0</v>
      </c>
      <c r="H522" s="83">
        <f t="shared" si="5"/>
        <v>0</v>
      </c>
      <c r="I522" s="83">
        <f t="shared" si="1"/>
        <v>0</v>
      </c>
      <c r="J522" s="83">
        <f t="array" ref="J522">IFERROR(INDEX('Sản phẩm'!$G$4:$G$103,MATCH(B522,'Sản phẩm'!$D$4:$D$103,0)),0)</f>
        <v>0</v>
      </c>
      <c r="K522" s="83">
        <f t="array" ref="K522">IFERROR(J522*INDEX('Mẻ sữa'!$N$4:$N$203,MATCH(D522,'Mẻ sữa'!$C$4:$C$203,0)),0)</f>
        <v>0</v>
      </c>
      <c r="L522" s="83">
        <f t="array" ref="L522">IFERROR(INDEX('Sản phẩm'!$I$4:$I$103,MATCH(B522,'Sản phẩm'!$D$4:$D$103,0)),0)</f>
        <v>0</v>
      </c>
      <c r="M522" s="97" t="str">
        <f t="array" ref="M522">IFERROR(INDEX('Sản phẩm'!$J$4:$J$103,MATCH(B522,'Sản phẩm'!$D$4:$D$103,0)),0)</f>
        <v/>
      </c>
      <c r="N522" s="83">
        <f>IF(B522="",0,(K522+L522+M522)*'Thiết lập'!$B$8)</f>
        <v>0</v>
      </c>
      <c r="O522" s="83">
        <f t="shared" si="2"/>
        <v>0</v>
      </c>
      <c r="P522" s="83">
        <f t="shared" si="3"/>
        <v>0</v>
      </c>
      <c r="Q522" s="83">
        <f t="shared" si="4"/>
        <v>0</v>
      </c>
      <c r="R522" s="36" t="str">
        <f t="array" ref="R522">IF(B522="","",INDEX('Bán nhanh'!$C$4:$C$103,INT((ROW()-4)/10)+1))</f>
        <v/>
      </c>
      <c r="S522" s="36" t="str">
        <f t="array" ref="S522">IF(B522="","",INDEX('Bán nhanh'!$P$4:$P$103,INT((ROW()-4)/10)+1))</f>
        <v/>
      </c>
      <c r="T522" s="36"/>
      <c r="U522" s="36"/>
      <c r="V522" s="36"/>
      <c r="W522" s="36"/>
      <c r="X522" s="36"/>
      <c r="Y522" s="36"/>
      <c r="Z522" s="36"/>
    </row>
    <row r="523" ht="15.75" customHeight="1">
      <c r="A523" s="96" t="str">
        <f t="array" ref="A523">IF(B523="","",INDEX('Bán nhanh'!$A$4:$A$103,INT((ROW()-4)/10)+1))</f>
        <v/>
      </c>
      <c r="B523" s="36" t="str">
        <f t="array" ref="B523">IF(OR(INDEX('Bán nhanh'!$D$3:$M$3,1,MOD(ROW()-4,10)+1)="",INDEX('Bán nhanh'!$D$4:$M$103,INT((ROW()-4)/10)+1,MOD(ROW()-4,10)+1)&lt;=0),"",INDEX('Bán nhanh'!$D$3:$M$3,1,MOD(ROW()-4,10)+1))</f>
        <v/>
      </c>
      <c r="C523" s="36" t="str">
        <f t="array" ref="C523">IFERROR(INDEX('Sản phẩm'!$A$4:$A$103,MATCH(B523,'Sản phẩm'!$D$4:$D$103,0)),"")</f>
        <v/>
      </c>
      <c r="D523" s="36" t="str">
        <f t="array" ref="D523">IF(B523="","",INDEX('Bán nhanh'!$B$4:$B$103,INT((ROW()-4)/10)+1))</f>
        <v/>
      </c>
      <c r="E523" s="36" t="str">
        <f t="array" ref="E523">IFERROR(INDEX('Mẻ sữa'!$B$4:$B$203,MATCH(D523,'Mẻ sữa'!$C$4:$C$203,0)),"")</f>
        <v/>
      </c>
      <c r="F523" s="82">
        <f t="array" ref="F523">IF(B523="",0,INDEX('Bán nhanh'!$D$4:$M$103,INT((ROW()-4)/10)+1,MOD(ROW()-4,10)+1))</f>
        <v>0</v>
      </c>
      <c r="G523" s="83">
        <f t="array" ref="G523">IFERROR(INDEX('Sản phẩm'!$F$4:$F$103,MATCH(B523,'Sản phẩm'!$D$4:$D$103,0)),0)</f>
        <v>0</v>
      </c>
      <c r="H523" s="83">
        <f t="shared" si="5"/>
        <v>0</v>
      </c>
      <c r="I523" s="83">
        <f t="shared" si="1"/>
        <v>0</v>
      </c>
      <c r="J523" s="83">
        <f t="array" ref="J523">IFERROR(INDEX('Sản phẩm'!$G$4:$G$103,MATCH(B523,'Sản phẩm'!$D$4:$D$103,0)),0)</f>
        <v>0</v>
      </c>
      <c r="K523" s="83">
        <f t="array" ref="K523">IFERROR(J523*INDEX('Mẻ sữa'!$N$4:$N$203,MATCH(D523,'Mẻ sữa'!$C$4:$C$203,0)),0)</f>
        <v>0</v>
      </c>
      <c r="L523" s="83">
        <f t="array" ref="L523">IFERROR(INDEX('Sản phẩm'!$I$4:$I$103,MATCH(B523,'Sản phẩm'!$D$4:$D$103,0)),0)</f>
        <v>0</v>
      </c>
      <c r="M523" s="97" t="str">
        <f t="array" ref="M523">IFERROR(INDEX('Sản phẩm'!$J$4:$J$103,MATCH(B523,'Sản phẩm'!$D$4:$D$103,0)),0)</f>
        <v/>
      </c>
      <c r="N523" s="83">
        <f>IF(B523="",0,(K523+L523+M523)*'Thiết lập'!$B$8)</f>
        <v>0</v>
      </c>
      <c r="O523" s="83">
        <f t="shared" si="2"/>
        <v>0</v>
      </c>
      <c r="P523" s="83">
        <f t="shared" si="3"/>
        <v>0</v>
      </c>
      <c r="Q523" s="83">
        <f t="shared" si="4"/>
        <v>0</v>
      </c>
      <c r="R523" s="36" t="str">
        <f t="array" ref="R523">IF(B523="","",INDEX('Bán nhanh'!$C$4:$C$103,INT((ROW()-4)/10)+1))</f>
        <v/>
      </c>
      <c r="S523" s="36" t="str">
        <f t="array" ref="S523">IF(B523="","",INDEX('Bán nhanh'!$P$4:$P$103,INT((ROW()-4)/10)+1))</f>
        <v/>
      </c>
      <c r="T523" s="36"/>
      <c r="U523" s="36"/>
      <c r="V523" s="36"/>
      <c r="W523" s="36"/>
      <c r="X523" s="36"/>
      <c r="Y523" s="36"/>
      <c r="Z523" s="36"/>
    </row>
    <row r="524" ht="15.75" customHeight="1">
      <c r="A524" s="96" t="str">
        <f t="array" ref="A524">IF(B524="","",INDEX('Bán nhanh'!$A$4:$A$103,INT((ROW()-4)/10)+1))</f>
        <v/>
      </c>
      <c r="B524" s="36" t="str">
        <f t="array" ref="B524">IF(OR(INDEX('Bán nhanh'!$D$3:$M$3,1,MOD(ROW()-4,10)+1)="",INDEX('Bán nhanh'!$D$4:$M$103,INT((ROW()-4)/10)+1,MOD(ROW()-4,10)+1)&lt;=0),"",INDEX('Bán nhanh'!$D$3:$M$3,1,MOD(ROW()-4,10)+1))</f>
        <v/>
      </c>
      <c r="C524" s="36" t="str">
        <f t="array" ref="C524">IFERROR(INDEX('Sản phẩm'!$A$4:$A$103,MATCH(B524,'Sản phẩm'!$D$4:$D$103,0)),"")</f>
        <v/>
      </c>
      <c r="D524" s="36" t="str">
        <f t="array" ref="D524">IF(B524="","",INDEX('Bán nhanh'!$B$4:$B$103,INT((ROW()-4)/10)+1))</f>
        <v/>
      </c>
      <c r="E524" s="36" t="str">
        <f t="array" ref="E524">IFERROR(INDEX('Mẻ sữa'!$B$4:$B$203,MATCH(D524,'Mẻ sữa'!$C$4:$C$203,0)),"")</f>
        <v/>
      </c>
      <c r="F524" s="82">
        <f t="array" ref="F524">IF(B524="",0,INDEX('Bán nhanh'!$D$4:$M$103,INT((ROW()-4)/10)+1,MOD(ROW()-4,10)+1))</f>
        <v>0</v>
      </c>
      <c r="G524" s="83">
        <f t="array" ref="G524">IFERROR(INDEX('Sản phẩm'!$F$4:$F$103,MATCH(B524,'Sản phẩm'!$D$4:$D$103,0)),0)</f>
        <v>0</v>
      </c>
      <c r="H524" s="83">
        <f t="shared" si="5"/>
        <v>0</v>
      </c>
      <c r="I524" s="83">
        <f t="shared" si="1"/>
        <v>0</v>
      </c>
      <c r="J524" s="83">
        <f t="array" ref="J524">IFERROR(INDEX('Sản phẩm'!$G$4:$G$103,MATCH(B524,'Sản phẩm'!$D$4:$D$103,0)),0)</f>
        <v>0</v>
      </c>
      <c r="K524" s="83">
        <f t="array" ref="K524">IFERROR(J524*INDEX('Mẻ sữa'!$N$4:$N$203,MATCH(D524,'Mẻ sữa'!$C$4:$C$203,0)),0)</f>
        <v>0</v>
      </c>
      <c r="L524" s="83">
        <f t="array" ref="L524">IFERROR(INDEX('Sản phẩm'!$I$4:$I$103,MATCH(B524,'Sản phẩm'!$D$4:$D$103,0)),0)</f>
        <v>0</v>
      </c>
      <c r="M524" s="97" t="str">
        <f t="array" ref="M524">IFERROR(INDEX('Sản phẩm'!$J$4:$J$103,MATCH(B524,'Sản phẩm'!$D$4:$D$103,0)),0)</f>
        <v/>
      </c>
      <c r="N524" s="83">
        <f>IF(B524="",0,(K524+L524+M524)*'Thiết lập'!$B$8)</f>
        <v>0</v>
      </c>
      <c r="O524" s="83">
        <f t="shared" si="2"/>
        <v>0</v>
      </c>
      <c r="P524" s="83">
        <f t="shared" si="3"/>
        <v>0</v>
      </c>
      <c r="Q524" s="83">
        <f t="shared" si="4"/>
        <v>0</v>
      </c>
      <c r="R524" s="36" t="str">
        <f t="array" ref="R524">IF(B524="","",INDEX('Bán nhanh'!$C$4:$C$103,INT((ROW()-4)/10)+1))</f>
        <v/>
      </c>
      <c r="S524" s="36" t="str">
        <f t="array" ref="S524">IF(B524="","",INDEX('Bán nhanh'!$P$4:$P$103,INT((ROW()-4)/10)+1))</f>
        <v/>
      </c>
      <c r="T524" s="36"/>
      <c r="U524" s="36"/>
      <c r="V524" s="36"/>
      <c r="W524" s="36"/>
      <c r="X524" s="36"/>
      <c r="Y524" s="36"/>
      <c r="Z524" s="36"/>
    </row>
    <row r="525" ht="15.75" customHeight="1">
      <c r="A525" s="96" t="str">
        <f t="array" ref="A525">IF(B525="","",INDEX('Bán nhanh'!$A$4:$A$103,INT((ROW()-4)/10)+1))</f>
        <v/>
      </c>
      <c r="B525" s="36" t="str">
        <f t="array" ref="B525">IF(OR(INDEX('Bán nhanh'!$D$3:$M$3,1,MOD(ROW()-4,10)+1)="",INDEX('Bán nhanh'!$D$4:$M$103,INT((ROW()-4)/10)+1,MOD(ROW()-4,10)+1)&lt;=0),"",INDEX('Bán nhanh'!$D$3:$M$3,1,MOD(ROW()-4,10)+1))</f>
        <v/>
      </c>
      <c r="C525" s="36" t="str">
        <f t="array" ref="C525">IFERROR(INDEX('Sản phẩm'!$A$4:$A$103,MATCH(B525,'Sản phẩm'!$D$4:$D$103,0)),"")</f>
        <v/>
      </c>
      <c r="D525" s="36" t="str">
        <f t="array" ref="D525">IF(B525="","",INDEX('Bán nhanh'!$B$4:$B$103,INT((ROW()-4)/10)+1))</f>
        <v/>
      </c>
      <c r="E525" s="36" t="str">
        <f t="array" ref="E525">IFERROR(INDEX('Mẻ sữa'!$B$4:$B$203,MATCH(D525,'Mẻ sữa'!$C$4:$C$203,0)),"")</f>
        <v/>
      </c>
      <c r="F525" s="82">
        <f t="array" ref="F525">IF(B525="",0,INDEX('Bán nhanh'!$D$4:$M$103,INT((ROW()-4)/10)+1,MOD(ROW()-4,10)+1))</f>
        <v>0</v>
      </c>
      <c r="G525" s="83">
        <f t="array" ref="G525">IFERROR(INDEX('Sản phẩm'!$F$4:$F$103,MATCH(B525,'Sản phẩm'!$D$4:$D$103,0)),0)</f>
        <v>0</v>
      </c>
      <c r="H525" s="83">
        <f t="shared" si="5"/>
        <v>0</v>
      </c>
      <c r="I525" s="83">
        <f t="shared" si="1"/>
        <v>0</v>
      </c>
      <c r="J525" s="83">
        <f t="array" ref="J525">IFERROR(INDEX('Sản phẩm'!$G$4:$G$103,MATCH(B525,'Sản phẩm'!$D$4:$D$103,0)),0)</f>
        <v>0</v>
      </c>
      <c r="K525" s="83">
        <f t="array" ref="K525">IFERROR(J525*INDEX('Mẻ sữa'!$N$4:$N$203,MATCH(D525,'Mẻ sữa'!$C$4:$C$203,0)),0)</f>
        <v>0</v>
      </c>
      <c r="L525" s="83">
        <f t="array" ref="L525">IFERROR(INDEX('Sản phẩm'!$I$4:$I$103,MATCH(B525,'Sản phẩm'!$D$4:$D$103,0)),0)</f>
        <v>0</v>
      </c>
      <c r="M525" s="97" t="str">
        <f t="array" ref="M525">IFERROR(INDEX('Sản phẩm'!$J$4:$J$103,MATCH(B525,'Sản phẩm'!$D$4:$D$103,0)),0)</f>
        <v/>
      </c>
      <c r="N525" s="83">
        <f>IF(B525="",0,(K525+L525+M525)*'Thiết lập'!$B$8)</f>
        <v>0</v>
      </c>
      <c r="O525" s="83">
        <f t="shared" si="2"/>
        <v>0</v>
      </c>
      <c r="P525" s="83">
        <f t="shared" si="3"/>
        <v>0</v>
      </c>
      <c r="Q525" s="83">
        <f t="shared" si="4"/>
        <v>0</v>
      </c>
      <c r="R525" s="36" t="str">
        <f t="array" ref="R525">IF(B525="","",INDEX('Bán nhanh'!$C$4:$C$103,INT((ROW()-4)/10)+1))</f>
        <v/>
      </c>
      <c r="S525" s="36" t="str">
        <f t="array" ref="S525">IF(B525="","",INDEX('Bán nhanh'!$P$4:$P$103,INT((ROW()-4)/10)+1))</f>
        <v/>
      </c>
      <c r="T525" s="36"/>
      <c r="U525" s="36"/>
      <c r="V525" s="36"/>
      <c r="W525" s="36"/>
      <c r="X525" s="36"/>
      <c r="Y525" s="36"/>
      <c r="Z525" s="36"/>
    </row>
    <row r="526" ht="15.75" customHeight="1">
      <c r="A526" s="96" t="str">
        <f t="array" ref="A526">IF(B526="","",INDEX('Bán nhanh'!$A$4:$A$103,INT((ROW()-4)/10)+1))</f>
        <v/>
      </c>
      <c r="B526" s="36" t="str">
        <f t="array" ref="B526">IF(OR(INDEX('Bán nhanh'!$D$3:$M$3,1,MOD(ROW()-4,10)+1)="",INDEX('Bán nhanh'!$D$4:$M$103,INT((ROW()-4)/10)+1,MOD(ROW()-4,10)+1)&lt;=0),"",INDEX('Bán nhanh'!$D$3:$M$3,1,MOD(ROW()-4,10)+1))</f>
        <v/>
      </c>
      <c r="C526" s="36" t="str">
        <f t="array" ref="C526">IFERROR(INDEX('Sản phẩm'!$A$4:$A$103,MATCH(B526,'Sản phẩm'!$D$4:$D$103,0)),"")</f>
        <v/>
      </c>
      <c r="D526" s="36" t="str">
        <f t="array" ref="D526">IF(B526="","",INDEX('Bán nhanh'!$B$4:$B$103,INT((ROW()-4)/10)+1))</f>
        <v/>
      </c>
      <c r="E526" s="36" t="str">
        <f t="array" ref="E526">IFERROR(INDEX('Mẻ sữa'!$B$4:$B$203,MATCH(D526,'Mẻ sữa'!$C$4:$C$203,0)),"")</f>
        <v/>
      </c>
      <c r="F526" s="82">
        <f t="array" ref="F526">IF(B526="",0,INDEX('Bán nhanh'!$D$4:$M$103,INT((ROW()-4)/10)+1,MOD(ROW()-4,10)+1))</f>
        <v>0</v>
      </c>
      <c r="G526" s="83">
        <f t="array" ref="G526">IFERROR(INDEX('Sản phẩm'!$F$4:$F$103,MATCH(B526,'Sản phẩm'!$D$4:$D$103,0)),0)</f>
        <v>0</v>
      </c>
      <c r="H526" s="83">
        <f t="shared" si="5"/>
        <v>0</v>
      </c>
      <c r="I526" s="83">
        <f t="shared" si="1"/>
        <v>0</v>
      </c>
      <c r="J526" s="83">
        <f t="array" ref="J526">IFERROR(INDEX('Sản phẩm'!$G$4:$G$103,MATCH(B526,'Sản phẩm'!$D$4:$D$103,0)),0)</f>
        <v>0</v>
      </c>
      <c r="K526" s="83">
        <f t="array" ref="K526">IFERROR(J526*INDEX('Mẻ sữa'!$N$4:$N$203,MATCH(D526,'Mẻ sữa'!$C$4:$C$203,0)),0)</f>
        <v>0</v>
      </c>
      <c r="L526" s="83">
        <f t="array" ref="L526">IFERROR(INDEX('Sản phẩm'!$I$4:$I$103,MATCH(B526,'Sản phẩm'!$D$4:$D$103,0)),0)</f>
        <v>0</v>
      </c>
      <c r="M526" s="97" t="str">
        <f t="array" ref="M526">IFERROR(INDEX('Sản phẩm'!$J$4:$J$103,MATCH(B526,'Sản phẩm'!$D$4:$D$103,0)),0)</f>
        <v/>
      </c>
      <c r="N526" s="83">
        <f>IF(B526="",0,(K526+L526+M526)*'Thiết lập'!$B$8)</f>
        <v>0</v>
      </c>
      <c r="O526" s="83">
        <f t="shared" si="2"/>
        <v>0</v>
      </c>
      <c r="P526" s="83">
        <f t="shared" si="3"/>
        <v>0</v>
      </c>
      <c r="Q526" s="83">
        <f t="shared" si="4"/>
        <v>0</v>
      </c>
      <c r="R526" s="36" t="str">
        <f t="array" ref="R526">IF(B526="","",INDEX('Bán nhanh'!$C$4:$C$103,INT((ROW()-4)/10)+1))</f>
        <v/>
      </c>
      <c r="S526" s="36" t="str">
        <f t="array" ref="S526">IF(B526="","",INDEX('Bán nhanh'!$P$4:$P$103,INT((ROW()-4)/10)+1))</f>
        <v/>
      </c>
      <c r="T526" s="36"/>
      <c r="U526" s="36"/>
      <c r="V526" s="36"/>
      <c r="W526" s="36"/>
      <c r="X526" s="36"/>
      <c r="Y526" s="36"/>
      <c r="Z526" s="36"/>
    </row>
    <row r="527" ht="15.75" customHeight="1">
      <c r="A527" s="96" t="str">
        <f t="array" ref="A527">IF(B527="","",INDEX('Bán nhanh'!$A$4:$A$103,INT((ROW()-4)/10)+1))</f>
        <v/>
      </c>
      <c r="B527" s="36" t="str">
        <f t="array" ref="B527">IF(OR(INDEX('Bán nhanh'!$D$3:$M$3,1,MOD(ROW()-4,10)+1)="",INDEX('Bán nhanh'!$D$4:$M$103,INT((ROW()-4)/10)+1,MOD(ROW()-4,10)+1)&lt;=0),"",INDEX('Bán nhanh'!$D$3:$M$3,1,MOD(ROW()-4,10)+1))</f>
        <v/>
      </c>
      <c r="C527" s="36" t="str">
        <f t="array" ref="C527">IFERROR(INDEX('Sản phẩm'!$A$4:$A$103,MATCH(B527,'Sản phẩm'!$D$4:$D$103,0)),"")</f>
        <v/>
      </c>
      <c r="D527" s="36" t="str">
        <f t="array" ref="D527">IF(B527="","",INDEX('Bán nhanh'!$B$4:$B$103,INT((ROW()-4)/10)+1))</f>
        <v/>
      </c>
      <c r="E527" s="36" t="str">
        <f t="array" ref="E527">IFERROR(INDEX('Mẻ sữa'!$B$4:$B$203,MATCH(D527,'Mẻ sữa'!$C$4:$C$203,0)),"")</f>
        <v/>
      </c>
      <c r="F527" s="82">
        <f t="array" ref="F527">IF(B527="",0,INDEX('Bán nhanh'!$D$4:$M$103,INT((ROW()-4)/10)+1,MOD(ROW()-4,10)+1))</f>
        <v>0</v>
      </c>
      <c r="G527" s="83">
        <f t="array" ref="G527">IFERROR(INDEX('Sản phẩm'!$F$4:$F$103,MATCH(B527,'Sản phẩm'!$D$4:$D$103,0)),0)</f>
        <v>0</v>
      </c>
      <c r="H527" s="83">
        <f t="shared" si="5"/>
        <v>0</v>
      </c>
      <c r="I527" s="83">
        <f t="shared" si="1"/>
        <v>0</v>
      </c>
      <c r="J527" s="83">
        <f t="array" ref="J527">IFERROR(INDEX('Sản phẩm'!$G$4:$G$103,MATCH(B527,'Sản phẩm'!$D$4:$D$103,0)),0)</f>
        <v>0</v>
      </c>
      <c r="K527" s="83">
        <f t="array" ref="K527">IFERROR(J527*INDEX('Mẻ sữa'!$N$4:$N$203,MATCH(D527,'Mẻ sữa'!$C$4:$C$203,0)),0)</f>
        <v>0</v>
      </c>
      <c r="L527" s="83">
        <f t="array" ref="L527">IFERROR(INDEX('Sản phẩm'!$I$4:$I$103,MATCH(B527,'Sản phẩm'!$D$4:$D$103,0)),0)</f>
        <v>0</v>
      </c>
      <c r="M527" s="97" t="str">
        <f t="array" ref="M527">IFERROR(INDEX('Sản phẩm'!$J$4:$J$103,MATCH(B527,'Sản phẩm'!$D$4:$D$103,0)),0)</f>
        <v/>
      </c>
      <c r="N527" s="83">
        <f>IF(B527="",0,(K527+L527+M527)*'Thiết lập'!$B$8)</f>
        <v>0</v>
      </c>
      <c r="O527" s="83">
        <f t="shared" si="2"/>
        <v>0</v>
      </c>
      <c r="P527" s="83">
        <f t="shared" si="3"/>
        <v>0</v>
      </c>
      <c r="Q527" s="83">
        <f t="shared" si="4"/>
        <v>0</v>
      </c>
      <c r="R527" s="36" t="str">
        <f t="array" ref="R527">IF(B527="","",INDEX('Bán nhanh'!$C$4:$C$103,INT((ROW()-4)/10)+1))</f>
        <v/>
      </c>
      <c r="S527" s="36" t="str">
        <f t="array" ref="S527">IF(B527="","",INDEX('Bán nhanh'!$P$4:$P$103,INT((ROW()-4)/10)+1))</f>
        <v/>
      </c>
      <c r="T527" s="36"/>
      <c r="U527" s="36"/>
      <c r="V527" s="36"/>
      <c r="W527" s="36"/>
      <c r="X527" s="36"/>
      <c r="Y527" s="36"/>
      <c r="Z527" s="36"/>
    </row>
    <row r="528" ht="15.75" customHeight="1">
      <c r="A528" s="96" t="str">
        <f t="array" ref="A528">IF(B528="","",INDEX('Bán nhanh'!$A$4:$A$103,INT((ROW()-4)/10)+1))</f>
        <v/>
      </c>
      <c r="B528" s="36" t="str">
        <f t="array" ref="B528">IF(OR(INDEX('Bán nhanh'!$D$3:$M$3,1,MOD(ROW()-4,10)+1)="",INDEX('Bán nhanh'!$D$4:$M$103,INT((ROW()-4)/10)+1,MOD(ROW()-4,10)+1)&lt;=0),"",INDEX('Bán nhanh'!$D$3:$M$3,1,MOD(ROW()-4,10)+1))</f>
        <v/>
      </c>
      <c r="C528" s="36" t="str">
        <f t="array" ref="C528">IFERROR(INDEX('Sản phẩm'!$A$4:$A$103,MATCH(B528,'Sản phẩm'!$D$4:$D$103,0)),"")</f>
        <v/>
      </c>
      <c r="D528" s="36" t="str">
        <f t="array" ref="D528">IF(B528="","",INDEX('Bán nhanh'!$B$4:$B$103,INT((ROW()-4)/10)+1))</f>
        <v/>
      </c>
      <c r="E528" s="36" t="str">
        <f t="array" ref="E528">IFERROR(INDEX('Mẻ sữa'!$B$4:$B$203,MATCH(D528,'Mẻ sữa'!$C$4:$C$203,0)),"")</f>
        <v/>
      </c>
      <c r="F528" s="82">
        <f t="array" ref="F528">IF(B528="",0,INDEX('Bán nhanh'!$D$4:$M$103,INT((ROW()-4)/10)+1,MOD(ROW()-4,10)+1))</f>
        <v>0</v>
      </c>
      <c r="G528" s="83">
        <f t="array" ref="G528">IFERROR(INDEX('Sản phẩm'!$F$4:$F$103,MATCH(B528,'Sản phẩm'!$D$4:$D$103,0)),0)</f>
        <v>0</v>
      </c>
      <c r="H528" s="83">
        <f t="shared" si="5"/>
        <v>0</v>
      </c>
      <c r="I528" s="83">
        <f t="shared" si="1"/>
        <v>0</v>
      </c>
      <c r="J528" s="83">
        <f t="array" ref="J528">IFERROR(INDEX('Sản phẩm'!$G$4:$G$103,MATCH(B528,'Sản phẩm'!$D$4:$D$103,0)),0)</f>
        <v>0</v>
      </c>
      <c r="K528" s="83">
        <f t="array" ref="K528">IFERROR(J528*INDEX('Mẻ sữa'!$N$4:$N$203,MATCH(D528,'Mẻ sữa'!$C$4:$C$203,0)),0)</f>
        <v>0</v>
      </c>
      <c r="L528" s="83">
        <f t="array" ref="L528">IFERROR(INDEX('Sản phẩm'!$I$4:$I$103,MATCH(B528,'Sản phẩm'!$D$4:$D$103,0)),0)</f>
        <v>0</v>
      </c>
      <c r="M528" s="97" t="str">
        <f t="array" ref="M528">IFERROR(INDEX('Sản phẩm'!$J$4:$J$103,MATCH(B528,'Sản phẩm'!$D$4:$D$103,0)),0)</f>
        <v/>
      </c>
      <c r="N528" s="83">
        <f>IF(B528="",0,(K528+L528+M528)*'Thiết lập'!$B$8)</f>
        <v>0</v>
      </c>
      <c r="O528" s="83">
        <f t="shared" si="2"/>
        <v>0</v>
      </c>
      <c r="P528" s="83">
        <f t="shared" si="3"/>
        <v>0</v>
      </c>
      <c r="Q528" s="83">
        <f t="shared" si="4"/>
        <v>0</v>
      </c>
      <c r="R528" s="36" t="str">
        <f t="array" ref="R528">IF(B528="","",INDEX('Bán nhanh'!$C$4:$C$103,INT((ROW()-4)/10)+1))</f>
        <v/>
      </c>
      <c r="S528" s="36" t="str">
        <f t="array" ref="S528">IF(B528="","",INDEX('Bán nhanh'!$P$4:$P$103,INT((ROW()-4)/10)+1))</f>
        <v/>
      </c>
      <c r="T528" s="36"/>
      <c r="U528" s="36"/>
      <c r="V528" s="36"/>
      <c r="W528" s="36"/>
      <c r="X528" s="36"/>
      <c r="Y528" s="36"/>
      <c r="Z528" s="36"/>
    </row>
    <row r="529" ht="15.75" customHeight="1">
      <c r="A529" s="96" t="str">
        <f t="array" ref="A529">IF(B529="","",INDEX('Bán nhanh'!$A$4:$A$103,INT((ROW()-4)/10)+1))</f>
        <v/>
      </c>
      <c r="B529" s="36" t="str">
        <f t="array" ref="B529">IF(OR(INDEX('Bán nhanh'!$D$3:$M$3,1,MOD(ROW()-4,10)+1)="",INDEX('Bán nhanh'!$D$4:$M$103,INT((ROW()-4)/10)+1,MOD(ROW()-4,10)+1)&lt;=0),"",INDEX('Bán nhanh'!$D$3:$M$3,1,MOD(ROW()-4,10)+1))</f>
        <v/>
      </c>
      <c r="C529" s="36" t="str">
        <f t="array" ref="C529">IFERROR(INDEX('Sản phẩm'!$A$4:$A$103,MATCH(B529,'Sản phẩm'!$D$4:$D$103,0)),"")</f>
        <v/>
      </c>
      <c r="D529" s="36" t="str">
        <f t="array" ref="D529">IF(B529="","",INDEX('Bán nhanh'!$B$4:$B$103,INT((ROW()-4)/10)+1))</f>
        <v/>
      </c>
      <c r="E529" s="36" t="str">
        <f t="array" ref="E529">IFERROR(INDEX('Mẻ sữa'!$B$4:$B$203,MATCH(D529,'Mẻ sữa'!$C$4:$C$203,0)),"")</f>
        <v/>
      </c>
      <c r="F529" s="82">
        <f t="array" ref="F529">IF(B529="",0,INDEX('Bán nhanh'!$D$4:$M$103,INT((ROW()-4)/10)+1,MOD(ROW()-4,10)+1))</f>
        <v>0</v>
      </c>
      <c r="G529" s="83">
        <f t="array" ref="G529">IFERROR(INDEX('Sản phẩm'!$F$4:$F$103,MATCH(B529,'Sản phẩm'!$D$4:$D$103,0)),0)</f>
        <v>0</v>
      </c>
      <c r="H529" s="83">
        <f t="shared" si="5"/>
        <v>0</v>
      </c>
      <c r="I529" s="83">
        <f t="shared" si="1"/>
        <v>0</v>
      </c>
      <c r="J529" s="83">
        <f t="array" ref="J529">IFERROR(INDEX('Sản phẩm'!$G$4:$G$103,MATCH(B529,'Sản phẩm'!$D$4:$D$103,0)),0)</f>
        <v>0</v>
      </c>
      <c r="K529" s="83">
        <f t="array" ref="K529">IFERROR(J529*INDEX('Mẻ sữa'!$N$4:$N$203,MATCH(D529,'Mẻ sữa'!$C$4:$C$203,0)),0)</f>
        <v>0</v>
      </c>
      <c r="L529" s="83">
        <f t="array" ref="L529">IFERROR(INDEX('Sản phẩm'!$I$4:$I$103,MATCH(B529,'Sản phẩm'!$D$4:$D$103,0)),0)</f>
        <v>0</v>
      </c>
      <c r="M529" s="97" t="str">
        <f t="array" ref="M529">IFERROR(INDEX('Sản phẩm'!$J$4:$J$103,MATCH(B529,'Sản phẩm'!$D$4:$D$103,0)),0)</f>
        <v/>
      </c>
      <c r="N529" s="83">
        <f>IF(B529="",0,(K529+L529+M529)*'Thiết lập'!$B$8)</f>
        <v>0</v>
      </c>
      <c r="O529" s="83">
        <f t="shared" si="2"/>
        <v>0</v>
      </c>
      <c r="P529" s="83">
        <f t="shared" si="3"/>
        <v>0</v>
      </c>
      <c r="Q529" s="83">
        <f t="shared" si="4"/>
        <v>0</v>
      </c>
      <c r="R529" s="36" t="str">
        <f t="array" ref="R529">IF(B529="","",INDEX('Bán nhanh'!$C$4:$C$103,INT((ROW()-4)/10)+1))</f>
        <v/>
      </c>
      <c r="S529" s="36" t="str">
        <f t="array" ref="S529">IF(B529="","",INDEX('Bán nhanh'!$P$4:$P$103,INT((ROW()-4)/10)+1))</f>
        <v/>
      </c>
      <c r="T529" s="36"/>
      <c r="U529" s="36"/>
      <c r="V529" s="36"/>
      <c r="W529" s="36"/>
      <c r="X529" s="36"/>
      <c r="Y529" s="36"/>
      <c r="Z529" s="36"/>
    </row>
    <row r="530" ht="15.75" customHeight="1">
      <c r="A530" s="96" t="str">
        <f t="array" ref="A530">IF(B530="","",INDEX('Bán nhanh'!$A$4:$A$103,INT((ROW()-4)/10)+1))</f>
        <v/>
      </c>
      <c r="B530" s="36" t="str">
        <f t="array" ref="B530">IF(OR(INDEX('Bán nhanh'!$D$3:$M$3,1,MOD(ROW()-4,10)+1)="",INDEX('Bán nhanh'!$D$4:$M$103,INT((ROW()-4)/10)+1,MOD(ROW()-4,10)+1)&lt;=0),"",INDEX('Bán nhanh'!$D$3:$M$3,1,MOD(ROW()-4,10)+1))</f>
        <v/>
      </c>
      <c r="C530" s="36" t="str">
        <f t="array" ref="C530">IFERROR(INDEX('Sản phẩm'!$A$4:$A$103,MATCH(B530,'Sản phẩm'!$D$4:$D$103,0)),"")</f>
        <v/>
      </c>
      <c r="D530" s="36" t="str">
        <f t="array" ref="D530">IF(B530="","",INDEX('Bán nhanh'!$B$4:$B$103,INT((ROW()-4)/10)+1))</f>
        <v/>
      </c>
      <c r="E530" s="36" t="str">
        <f t="array" ref="E530">IFERROR(INDEX('Mẻ sữa'!$B$4:$B$203,MATCH(D530,'Mẻ sữa'!$C$4:$C$203,0)),"")</f>
        <v/>
      </c>
      <c r="F530" s="82">
        <f t="array" ref="F530">IF(B530="",0,INDEX('Bán nhanh'!$D$4:$M$103,INT((ROW()-4)/10)+1,MOD(ROW()-4,10)+1))</f>
        <v>0</v>
      </c>
      <c r="G530" s="83">
        <f t="array" ref="G530">IFERROR(INDEX('Sản phẩm'!$F$4:$F$103,MATCH(B530,'Sản phẩm'!$D$4:$D$103,0)),0)</f>
        <v>0</v>
      </c>
      <c r="H530" s="83">
        <f t="shared" si="5"/>
        <v>0</v>
      </c>
      <c r="I530" s="83">
        <f t="shared" si="1"/>
        <v>0</v>
      </c>
      <c r="J530" s="83">
        <f t="array" ref="J530">IFERROR(INDEX('Sản phẩm'!$G$4:$G$103,MATCH(B530,'Sản phẩm'!$D$4:$D$103,0)),0)</f>
        <v>0</v>
      </c>
      <c r="K530" s="83">
        <f t="array" ref="K530">IFERROR(J530*INDEX('Mẻ sữa'!$N$4:$N$203,MATCH(D530,'Mẻ sữa'!$C$4:$C$203,0)),0)</f>
        <v>0</v>
      </c>
      <c r="L530" s="83">
        <f t="array" ref="L530">IFERROR(INDEX('Sản phẩm'!$I$4:$I$103,MATCH(B530,'Sản phẩm'!$D$4:$D$103,0)),0)</f>
        <v>0</v>
      </c>
      <c r="M530" s="97" t="str">
        <f t="array" ref="M530">IFERROR(INDEX('Sản phẩm'!$J$4:$J$103,MATCH(B530,'Sản phẩm'!$D$4:$D$103,0)),0)</f>
        <v/>
      </c>
      <c r="N530" s="83">
        <f>IF(B530="",0,(K530+L530+M530)*'Thiết lập'!$B$8)</f>
        <v>0</v>
      </c>
      <c r="O530" s="83">
        <f t="shared" si="2"/>
        <v>0</v>
      </c>
      <c r="P530" s="83">
        <f t="shared" si="3"/>
        <v>0</v>
      </c>
      <c r="Q530" s="83">
        <f t="shared" si="4"/>
        <v>0</v>
      </c>
      <c r="R530" s="36" t="str">
        <f t="array" ref="R530">IF(B530="","",INDEX('Bán nhanh'!$C$4:$C$103,INT((ROW()-4)/10)+1))</f>
        <v/>
      </c>
      <c r="S530" s="36" t="str">
        <f t="array" ref="S530">IF(B530="","",INDEX('Bán nhanh'!$P$4:$P$103,INT((ROW()-4)/10)+1))</f>
        <v/>
      </c>
      <c r="T530" s="36"/>
      <c r="U530" s="36"/>
      <c r="V530" s="36"/>
      <c r="W530" s="36"/>
      <c r="X530" s="36"/>
      <c r="Y530" s="36"/>
      <c r="Z530" s="36"/>
    </row>
    <row r="531" ht="15.75" customHeight="1">
      <c r="A531" s="96" t="str">
        <f t="array" ref="A531">IF(B531="","",INDEX('Bán nhanh'!$A$4:$A$103,INT((ROW()-4)/10)+1))</f>
        <v/>
      </c>
      <c r="B531" s="36" t="str">
        <f t="array" ref="B531">IF(OR(INDEX('Bán nhanh'!$D$3:$M$3,1,MOD(ROW()-4,10)+1)="",INDEX('Bán nhanh'!$D$4:$M$103,INT((ROW()-4)/10)+1,MOD(ROW()-4,10)+1)&lt;=0),"",INDEX('Bán nhanh'!$D$3:$M$3,1,MOD(ROW()-4,10)+1))</f>
        <v/>
      </c>
      <c r="C531" s="36" t="str">
        <f t="array" ref="C531">IFERROR(INDEX('Sản phẩm'!$A$4:$A$103,MATCH(B531,'Sản phẩm'!$D$4:$D$103,0)),"")</f>
        <v/>
      </c>
      <c r="D531" s="36" t="str">
        <f t="array" ref="D531">IF(B531="","",INDEX('Bán nhanh'!$B$4:$B$103,INT((ROW()-4)/10)+1))</f>
        <v/>
      </c>
      <c r="E531" s="36" t="str">
        <f t="array" ref="E531">IFERROR(INDEX('Mẻ sữa'!$B$4:$B$203,MATCH(D531,'Mẻ sữa'!$C$4:$C$203,0)),"")</f>
        <v/>
      </c>
      <c r="F531" s="82">
        <f t="array" ref="F531">IF(B531="",0,INDEX('Bán nhanh'!$D$4:$M$103,INT((ROW()-4)/10)+1,MOD(ROW()-4,10)+1))</f>
        <v>0</v>
      </c>
      <c r="G531" s="83">
        <f t="array" ref="G531">IFERROR(INDEX('Sản phẩm'!$F$4:$F$103,MATCH(B531,'Sản phẩm'!$D$4:$D$103,0)),0)</f>
        <v>0</v>
      </c>
      <c r="H531" s="83">
        <f t="shared" si="5"/>
        <v>0</v>
      </c>
      <c r="I531" s="83">
        <f t="shared" si="1"/>
        <v>0</v>
      </c>
      <c r="J531" s="83">
        <f t="array" ref="J531">IFERROR(INDEX('Sản phẩm'!$G$4:$G$103,MATCH(B531,'Sản phẩm'!$D$4:$D$103,0)),0)</f>
        <v>0</v>
      </c>
      <c r="K531" s="83">
        <f t="array" ref="K531">IFERROR(J531*INDEX('Mẻ sữa'!$N$4:$N$203,MATCH(D531,'Mẻ sữa'!$C$4:$C$203,0)),0)</f>
        <v>0</v>
      </c>
      <c r="L531" s="83">
        <f t="array" ref="L531">IFERROR(INDEX('Sản phẩm'!$I$4:$I$103,MATCH(B531,'Sản phẩm'!$D$4:$D$103,0)),0)</f>
        <v>0</v>
      </c>
      <c r="M531" s="97" t="str">
        <f t="array" ref="M531">IFERROR(INDEX('Sản phẩm'!$J$4:$J$103,MATCH(B531,'Sản phẩm'!$D$4:$D$103,0)),0)</f>
        <v/>
      </c>
      <c r="N531" s="83">
        <f>IF(B531="",0,(K531+L531+M531)*'Thiết lập'!$B$8)</f>
        <v>0</v>
      </c>
      <c r="O531" s="83">
        <f t="shared" si="2"/>
        <v>0</v>
      </c>
      <c r="P531" s="83">
        <f t="shared" si="3"/>
        <v>0</v>
      </c>
      <c r="Q531" s="83">
        <f t="shared" si="4"/>
        <v>0</v>
      </c>
      <c r="R531" s="36" t="str">
        <f t="array" ref="R531">IF(B531="","",INDEX('Bán nhanh'!$C$4:$C$103,INT((ROW()-4)/10)+1))</f>
        <v/>
      </c>
      <c r="S531" s="36" t="str">
        <f t="array" ref="S531">IF(B531="","",INDEX('Bán nhanh'!$P$4:$P$103,INT((ROW()-4)/10)+1))</f>
        <v/>
      </c>
      <c r="T531" s="36"/>
      <c r="U531" s="36"/>
      <c r="V531" s="36"/>
      <c r="W531" s="36"/>
      <c r="X531" s="36"/>
      <c r="Y531" s="36"/>
      <c r="Z531" s="36"/>
    </row>
    <row r="532" ht="15.75" customHeight="1">
      <c r="A532" s="96" t="str">
        <f t="array" ref="A532">IF(B532="","",INDEX('Bán nhanh'!$A$4:$A$103,INT((ROW()-4)/10)+1))</f>
        <v/>
      </c>
      <c r="B532" s="36" t="str">
        <f t="array" ref="B532">IF(OR(INDEX('Bán nhanh'!$D$3:$M$3,1,MOD(ROW()-4,10)+1)="",INDEX('Bán nhanh'!$D$4:$M$103,INT((ROW()-4)/10)+1,MOD(ROW()-4,10)+1)&lt;=0),"",INDEX('Bán nhanh'!$D$3:$M$3,1,MOD(ROW()-4,10)+1))</f>
        <v/>
      </c>
      <c r="C532" s="36" t="str">
        <f t="array" ref="C532">IFERROR(INDEX('Sản phẩm'!$A$4:$A$103,MATCH(B532,'Sản phẩm'!$D$4:$D$103,0)),"")</f>
        <v/>
      </c>
      <c r="D532" s="36" t="str">
        <f t="array" ref="D532">IF(B532="","",INDEX('Bán nhanh'!$B$4:$B$103,INT((ROW()-4)/10)+1))</f>
        <v/>
      </c>
      <c r="E532" s="36" t="str">
        <f t="array" ref="E532">IFERROR(INDEX('Mẻ sữa'!$B$4:$B$203,MATCH(D532,'Mẻ sữa'!$C$4:$C$203,0)),"")</f>
        <v/>
      </c>
      <c r="F532" s="82">
        <f t="array" ref="F532">IF(B532="",0,INDEX('Bán nhanh'!$D$4:$M$103,INT((ROW()-4)/10)+1,MOD(ROW()-4,10)+1))</f>
        <v>0</v>
      </c>
      <c r="G532" s="83">
        <f t="array" ref="G532">IFERROR(INDEX('Sản phẩm'!$F$4:$F$103,MATCH(B532,'Sản phẩm'!$D$4:$D$103,0)),0)</f>
        <v>0</v>
      </c>
      <c r="H532" s="83">
        <f t="shared" si="5"/>
        <v>0</v>
      </c>
      <c r="I532" s="83">
        <f t="shared" si="1"/>
        <v>0</v>
      </c>
      <c r="J532" s="83">
        <f t="array" ref="J532">IFERROR(INDEX('Sản phẩm'!$G$4:$G$103,MATCH(B532,'Sản phẩm'!$D$4:$D$103,0)),0)</f>
        <v>0</v>
      </c>
      <c r="K532" s="83">
        <f t="array" ref="K532">IFERROR(J532*INDEX('Mẻ sữa'!$N$4:$N$203,MATCH(D532,'Mẻ sữa'!$C$4:$C$203,0)),0)</f>
        <v>0</v>
      </c>
      <c r="L532" s="83">
        <f t="array" ref="L532">IFERROR(INDEX('Sản phẩm'!$I$4:$I$103,MATCH(B532,'Sản phẩm'!$D$4:$D$103,0)),0)</f>
        <v>0</v>
      </c>
      <c r="M532" s="97" t="str">
        <f t="array" ref="M532">IFERROR(INDEX('Sản phẩm'!$J$4:$J$103,MATCH(B532,'Sản phẩm'!$D$4:$D$103,0)),0)</f>
        <v/>
      </c>
      <c r="N532" s="83">
        <f>IF(B532="",0,(K532+L532+M532)*'Thiết lập'!$B$8)</f>
        <v>0</v>
      </c>
      <c r="O532" s="83">
        <f t="shared" si="2"/>
        <v>0</v>
      </c>
      <c r="P532" s="83">
        <f t="shared" si="3"/>
        <v>0</v>
      </c>
      <c r="Q532" s="83">
        <f t="shared" si="4"/>
        <v>0</v>
      </c>
      <c r="R532" s="36" t="str">
        <f t="array" ref="R532">IF(B532="","",INDEX('Bán nhanh'!$C$4:$C$103,INT((ROW()-4)/10)+1))</f>
        <v/>
      </c>
      <c r="S532" s="36" t="str">
        <f t="array" ref="S532">IF(B532="","",INDEX('Bán nhanh'!$P$4:$P$103,INT((ROW()-4)/10)+1))</f>
        <v/>
      </c>
      <c r="T532" s="36"/>
      <c r="U532" s="36"/>
      <c r="V532" s="36"/>
      <c r="W532" s="36"/>
      <c r="X532" s="36"/>
      <c r="Y532" s="36"/>
      <c r="Z532" s="36"/>
    </row>
    <row r="533" ht="15.75" customHeight="1">
      <c r="A533" s="96" t="str">
        <f t="array" ref="A533">IF(B533="","",INDEX('Bán nhanh'!$A$4:$A$103,INT((ROW()-4)/10)+1))</f>
        <v/>
      </c>
      <c r="B533" s="36" t="str">
        <f t="array" ref="B533">IF(OR(INDEX('Bán nhanh'!$D$3:$M$3,1,MOD(ROW()-4,10)+1)="",INDEX('Bán nhanh'!$D$4:$M$103,INT((ROW()-4)/10)+1,MOD(ROW()-4,10)+1)&lt;=0),"",INDEX('Bán nhanh'!$D$3:$M$3,1,MOD(ROW()-4,10)+1))</f>
        <v/>
      </c>
      <c r="C533" s="36" t="str">
        <f t="array" ref="C533">IFERROR(INDEX('Sản phẩm'!$A$4:$A$103,MATCH(B533,'Sản phẩm'!$D$4:$D$103,0)),"")</f>
        <v/>
      </c>
      <c r="D533" s="36" t="str">
        <f t="array" ref="D533">IF(B533="","",INDEX('Bán nhanh'!$B$4:$B$103,INT((ROW()-4)/10)+1))</f>
        <v/>
      </c>
      <c r="E533" s="36" t="str">
        <f t="array" ref="E533">IFERROR(INDEX('Mẻ sữa'!$B$4:$B$203,MATCH(D533,'Mẻ sữa'!$C$4:$C$203,0)),"")</f>
        <v/>
      </c>
      <c r="F533" s="82">
        <f t="array" ref="F533">IF(B533="",0,INDEX('Bán nhanh'!$D$4:$M$103,INT((ROW()-4)/10)+1,MOD(ROW()-4,10)+1))</f>
        <v>0</v>
      </c>
      <c r="G533" s="83">
        <f t="array" ref="G533">IFERROR(INDEX('Sản phẩm'!$F$4:$F$103,MATCH(B533,'Sản phẩm'!$D$4:$D$103,0)),0)</f>
        <v>0</v>
      </c>
      <c r="H533" s="83">
        <f t="shared" si="5"/>
        <v>0</v>
      </c>
      <c r="I533" s="83">
        <f t="shared" si="1"/>
        <v>0</v>
      </c>
      <c r="J533" s="83">
        <f t="array" ref="J533">IFERROR(INDEX('Sản phẩm'!$G$4:$G$103,MATCH(B533,'Sản phẩm'!$D$4:$D$103,0)),0)</f>
        <v>0</v>
      </c>
      <c r="K533" s="83">
        <f t="array" ref="K533">IFERROR(J533*INDEX('Mẻ sữa'!$N$4:$N$203,MATCH(D533,'Mẻ sữa'!$C$4:$C$203,0)),0)</f>
        <v>0</v>
      </c>
      <c r="L533" s="83">
        <f t="array" ref="L533">IFERROR(INDEX('Sản phẩm'!$I$4:$I$103,MATCH(B533,'Sản phẩm'!$D$4:$D$103,0)),0)</f>
        <v>0</v>
      </c>
      <c r="M533" s="97" t="str">
        <f t="array" ref="M533">IFERROR(INDEX('Sản phẩm'!$J$4:$J$103,MATCH(B533,'Sản phẩm'!$D$4:$D$103,0)),0)</f>
        <v/>
      </c>
      <c r="N533" s="83">
        <f>IF(B533="",0,(K533+L533+M533)*'Thiết lập'!$B$8)</f>
        <v>0</v>
      </c>
      <c r="O533" s="83">
        <f t="shared" si="2"/>
        <v>0</v>
      </c>
      <c r="P533" s="83">
        <f t="shared" si="3"/>
        <v>0</v>
      </c>
      <c r="Q533" s="83">
        <f t="shared" si="4"/>
        <v>0</v>
      </c>
      <c r="R533" s="36" t="str">
        <f t="array" ref="R533">IF(B533="","",INDEX('Bán nhanh'!$C$4:$C$103,INT((ROW()-4)/10)+1))</f>
        <v/>
      </c>
      <c r="S533" s="36" t="str">
        <f t="array" ref="S533">IF(B533="","",INDEX('Bán nhanh'!$P$4:$P$103,INT((ROW()-4)/10)+1))</f>
        <v/>
      </c>
      <c r="T533" s="36"/>
      <c r="U533" s="36"/>
      <c r="V533" s="36"/>
      <c r="W533" s="36"/>
      <c r="X533" s="36"/>
      <c r="Y533" s="36"/>
      <c r="Z533" s="36"/>
    </row>
    <row r="534" ht="15.75" customHeight="1">
      <c r="A534" s="96" t="str">
        <f t="array" ref="A534">IF(B534="","",INDEX('Bán nhanh'!$A$4:$A$103,INT((ROW()-4)/10)+1))</f>
        <v/>
      </c>
      <c r="B534" s="36" t="str">
        <f t="array" ref="B534">IF(OR(INDEX('Bán nhanh'!$D$3:$M$3,1,MOD(ROW()-4,10)+1)="",INDEX('Bán nhanh'!$D$4:$M$103,INT((ROW()-4)/10)+1,MOD(ROW()-4,10)+1)&lt;=0),"",INDEX('Bán nhanh'!$D$3:$M$3,1,MOD(ROW()-4,10)+1))</f>
        <v/>
      </c>
      <c r="C534" s="36" t="str">
        <f t="array" ref="C534">IFERROR(INDEX('Sản phẩm'!$A$4:$A$103,MATCH(B534,'Sản phẩm'!$D$4:$D$103,0)),"")</f>
        <v/>
      </c>
      <c r="D534" s="36" t="str">
        <f t="array" ref="D534">IF(B534="","",INDEX('Bán nhanh'!$B$4:$B$103,INT((ROW()-4)/10)+1))</f>
        <v/>
      </c>
      <c r="E534" s="36" t="str">
        <f t="array" ref="E534">IFERROR(INDEX('Mẻ sữa'!$B$4:$B$203,MATCH(D534,'Mẻ sữa'!$C$4:$C$203,0)),"")</f>
        <v/>
      </c>
      <c r="F534" s="82">
        <f t="array" ref="F534">IF(B534="",0,INDEX('Bán nhanh'!$D$4:$M$103,INT((ROW()-4)/10)+1,MOD(ROW()-4,10)+1))</f>
        <v>0</v>
      </c>
      <c r="G534" s="83">
        <f t="array" ref="G534">IFERROR(INDEX('Sản phẩm'!$F$4:$F$103,MATCH(B534,'Sản phẩm'!$D$4:$D$103,0)),0)</f>
        <v>0</v>
      </c>
      <c r="H534" s="83">
        <f t="shared" si="5"/>
        <v>0</v>
      </c>
      <c r="I534" s="83">
        <f t="shared" si="1"/>
        <v>0</v>
      </c>
      <c r="J534" s="83">
        <f t="array" ref="J534">IFERROR(INDEX('Sản phẩm'!$G$4:$G$103,MATCH(B534,'Sản phẩm'!$D$4:$D$103,0)),0)</f>
        <v>0</v>
      </c>
      <c r="K534" s="83">
        <f t="array" ref="K534">IFERROR(J534*INDEX('Mẻ sữa'!$N$4:$N$203,MATCH(D534,'Mẻ sữa'!$C$4:$C$203,0)),0)</f>
        <v>0</v>
      </c>
      <c r="L534" s="83">
        <f t="array" ref="L534">IFERROR(INDEX('Sản phẩm'!$I$4:$I$103,MATCH(B534,'Sản phẩm'!$D$4:$D$103,0)),0)</f>
        <v>0</v>
      </c>
      <c r="M534" s="97" t="str">
        <f t="array" ref="M534">IFERROR(INDEX('Sản phẩm'!$J$4:$J$103,MATCH(B534,'Sản phẩm'!$D$4:$D$103,0)),0)</f>
        <v/>
      </c>
      <c r="N534" s="83">
        <f>IF(B534="",0,(K534+L534+M534)*'Thiết lập'!$B$8)</f>
        <v>0</v>
      </c>
      <c r="O534" s="83">
        <f t="shared" si="2"/>
        <v>0</v>
      </c>
      <c r="P534" s="83">
        <f t="shared" si="3"/>
        <v>0</v>
      </c>
      <c r="Q534" s="83">
        <f t="shared" si="4"/>
        <v>0</v>
      </c>
      <c r="R534" s="36" t="str">
        <f t="array" ref="R534">IF(B534="","",INDEX('Bán nhanh'!$C$4:$C$103,INT((ROW()-4)/10)+1))</f>
        <v/>
      </c>
      <c r="S534" s="36" t="str">
        <f t="array" ref="S534">IF(B534="","",INDEX('Bán nhanh'!$P$4:$P$103,INT((ROW()-4)/10)+1))</f>
        <v/>
      </c>
      <c r="T534" s="36"/>
      <c r="U534" s="36"/>
      <c r="V534" s="36"/>
      <c r="W534" s="36"/>
      <c r="X534" s="36"/>
      <c r="Y534" s="36"/>
      <c r="Z534" s="36"/>
    </row>
    <row r="535" ht="15.75" customHeight="1">
      <c r="A535" s="96" t="str">
        <f t="array" ref="A535">IF(B535="","",INDEX('Bán nhanh'!$A$4:$A$103,INT((ROW()-4)/10)+1))</f>
        <v/>
      </c>
      <c r="B535" s="36" t="str">
        <f t="array" ref="B535">IF(OR(INDEX('Bán nhanh'!$D$3:$M$3,1,MOD(ROW()-4,10)+1)="",INDEX('Bán nhanh'!$D$4:$M$103,INT((ROW()-4)/10)+1,MOD(ROW()-4,10)+1)&lt;=0),"",INDEX('Bán nhanh'!$D$3:$M$3,1,MOD(ROW()-4,10)+1))</f>
        <v/>
      </c>
      <c r="C535" s="36" t="str">
        <f t="array" ref="C535">IFERROR(INDEX('Sản phẩm'!$A$4:$A$103,MATCH(B535,'Sản phẩm'!$D$4:$D$103,0)),"")</f>
        <v/>
      </c>
      <c r="D535" s="36" t="str">
        <f t="array" ref="D535">IF(B535="","",INDEX('Bán nhanh'!$B$4:$B$103,INT((ROW()-4)/10)+1))</f>
        <v/>
      </c>
      <c r="E535" s="36" t="str">
        <f t="array" ref="E535">IFERROR(INDEX('Mẻ sữa'!$B$4:$B$203,MATCH(D535,'Mẻ sữa'!$C$4:$C$203,0)),"")</f>
        <v/>
      </c>
      <c r="F535" s="82">
        <f t="array" ref="F535">IF(B535="",0,INDEX('Bán nhanh'!$D$4:$M$103,INT((ROW()-4)/10)+1,MOD(ROW()-4,10)+1))</f>
        <v>0</v>
      </c>
      <c r="G535" s="83">
        <f t="array" ref="G535">IFERROR(INDEX('Sản phẩm'!$F$4:$F$103,MATCH(B535,'Sản phẩm'!$D$4:$D$103,0)),0)</f>
        <v>0</v>
      </c>
      <c r="H535" s="83">
        <f t="shared" si="5"/>
        <v>0</v>
      </c>
      <c r="I535" s="83">
        <f t="shared" si="1"/>
        <v>0</v>
      </c>
      <c r="J535" s="83">
        <f t="array" ref="J535">IFERROR(INDEX('Sản phẩm'!$G$4:$G$103,MATCH(B535,'Sản phẩm'!$D$4:$D$103,0)),0)</f>
        <v>0</v>
      </c>
      <c r="K535" s="83">
        <f t="array" ref="K535">IFERROR(J535*INDEX('Mẻ sữa'!$N$4:$N$203,MATCH(D535,'Mẻ sữa'!$C$4:$C$203,0)),0)</f>
        <v>0</v>
      </c>
      <c r="L535" s="83">
        <f t="array" ref="L535">IFERROR(INDEX('Sản phẩm'!$I$4:$I$103,MATCH(B535,'Sản phẩm'!$D$4:$D$103,0)),0)</f>
        <v>0</v>
      </c>
      <c r="M535" s="97" t="str">
        <f t="array" ref="M535">IFERROR(INDEX('Sản phẩm'!$J$4:$J$103,MATCH(B535,'Sản phẩm'!$D$4:$D$103,0)),0)</f>
        <v/>
      </c>
      <c r="N535" s="83">
        <f>IF(B535="",0,(K535+L535+M535)*'Thiết lập'!$B$8)</f>
        <v>0</v>
      </c>
      <c r="O535" s="83">
        <f t="shared" si="2"/>
        <v>0</v>
      </c>
      <c r="P535" s="83">
        <f t="shared" si="3"/>
        <v>0</v>
      </c>
      <c r="Q535" s="83">
        <f t="shared" si="4"/>
        <v>0</v>
      </c>
      <c r="R535" s="36" t="str">
        <f t="array" ref="R535">IF(B535="","",INDEX('Bán nhanh'!$C$4:$C$103,INT((ROW()-4)/10)+1))</f>
        <v/>
      </c>
      <c r="S535" s="36" t="str">
        <f t="array" ref="S535">IF(B535="","",INDEX('Bán nhanh'!$P$4:$P$103,INT((ROW()-4)/10)+1))</f>
        <v/>
      </c>
      <c r="T535" s="36"/>
      <c r="U535" s="36"/>
      <c r="V535" s="36"/>
      <c r="W535" s="36"/>
      <c r="X535" s="36"/>
      <c r="Y535" s="36"/>
      <c r="Z535" s="36"/>
    </row>
    <row r="536" ht="15.75" customHeight="1">
      <c r="A536" s="96" t="str">
        <f t="array" ref="A536">IF(B536="","",INDEX('Bán nhanh'!$A$4:$A$103,INT((ROW()-4)/10)+1))</f>
        <v/>
      </c>
      <c r="B536" s="36" t="str">
        <f t="array" ref="B536">IF(OR(INDEX('Bán nhanh'!$D$3:$M$3,1,MOD(ROW()-4,10)+1)="",INDEX('Bán nhanh'!$D$4:$M$103,INT((ROW()-4)/10)+1,MOD(ROW()-4,10)+1)&lt;=0),"",INDEX('Bán nhanh'!$D$3:$M$3,1,MOD(ROW()-4,10)+1))</f>
        <v/>
      </c>
      <c r="C536" s="36" t="str">
        <f t="array" ref="C536">IFERROR(INDEX('Sản phẩm'!$A$4:$A$103,MATCH(B536,'Sản phẩm'!$D$4:$D$103,0)),"")</f>
        <v/>
      </c>
      <c r="D536" s="36" t="str">
        <f t="array" ref="D536">IF(B536="","",INDEX('Bán nhanh'!$B$4:$B$103,INT((ROW()-4)/10)+1))</f>
        <v/>
      </c>
      <c r="E536" s="36" t="str">
        <f t="array" ref="E536">IFERROR(INDEX('Mẻ sữa'!$B$4:$B$203,MATCH(D536,'Mẻ sữa'!$C$4:$C$203,0)),"")</f>
        <v/>
      </c>
      <c r="F536" s="82">
        <f t="array" ref="F536">IF(B536="",0,INDEX('Bán nhanh'!$D$4:$M$103,INT((ROW()-4)/10)+1,MOD(ROW()-4,10)+1))</f>
        <v>0</v>
      </c>
      <c r="G536" s="83">
        <f t="array" ref="G536">IFERROR(INDEX('Sản phẩm'!$F$4:$F$103,MATCH(B536,'Sản phẩm'!$D$4:$D$103,0)),0)</f>
        <v>0</v>
      </c>
      <c r="H536" s="83">
        <f t="shared" si="5"/>
        <v>0</v>
      </c>
      <c r="I536" s="83">
        <f t="shared" si="1"/>
        <v>0</v>
      </c>
      <c r="J536" s="83">
        <f t="array" ref="J536">IFERROR(INDEX('Sản phẩm'!$G$4:$G$103,MATCH(B536,'Sản phẩm'!$D$4:$D$103,0)),0)</f>
        <v>0</v>
      </c>
      <c r="K536" s="83">
        <f t="array" ref="K536">IFERROR(J536*INDEX('Mẻ sữa'!$N$4:$N$203,MATCH(D536,'Mẻ sữa'!$C$4:$C$203,0)),0)</f>
        <v>0</v>
      </c>
      <c r="L536" s="83">
        <f t="array" ref="L536">IFERROR(INDEX('Sản phẩm'!$I$4:$I$103,MATCH(B536,'Sản phẩm'!$D$4:$D$103,0)),0)</f>
        <v>0</v>
      </c>
      <c r="M536" s="97" t="str">
        <f t="array" ref="M536">IFERROR(INDEX('Sản phẩm'!$J$4:$J$103,MATCH(B536,'Sản phẩm'!$D$4:$D$103,0)),0)</f>
        <v/>
      </c>
      <c r="N536" s="83">
        <f>IF(B536="",0,(K536+L536+M536)*'Thiết lập'!$B$8)</f>
        <v>0</v>
      </c>
      <c r="O536" s="83">
        <f t="shared" si="2"/>
        <v>0</v>
      </c>
      <c r="P536" s="83">
        <f t="shared" si="3"/>
        <v>0</v>
      </c>
      <c r="Q536" s="83">
        <f t="shared" si="4"/>
        <v>0</v>
      </c>
      <c r="R536" s="36" t="str">
        <f t="array" ref="R536">IF(B536="","",INDEX('Bán nhanh'!$C$4:$C$103,INT((ROW()-4)/10)+1))</f>
        <v/>
      </c>
      <c r="S536" s="36" t="str">
        <f t="array" ref="S536">IF(B536="","",INDEX('Bán nhanh'!$P$4:$P$103,INT((ROW()-4)/10)+1))</f>
        <v/>
      </c>
      <c r="T536" s="36"/>
      <c r="U536" s="36"/>
      <c r="V536" s="36"/>
      <c r="W536" s="36"/>
      <c r="X536" s="36"/>
      <c r="Y536" s="36"/>
      <c r="Z536" s="36"/>
    </row>
    <row r="537" ht="15.75" customHeight="1">
      <c r="A537" s="96" t="str">
        <f t="array" ref="A537">IF(B537="","",INDEX('Bán nhanh'!$A$4:$A$103,INT((ROW()-4)/10)+1))</f>
        <v/>
      </c>
      <c r="B537" s="36" t="str">
        <f t="array" ref="B537">IF(OR(INDEX('Bán nhanh'!$D$3:$M$3,1,MOD(ROW()-4,10)+1)="",INDEX('Bán nhanh'!$D$4:$M$103,INT((ROW()-4)/10)+1,MOD(ROW()-4,10)+1)&lt;=0),"",INDEX('Bán nhanh'!$D$3:$M$3,1,MOD(ROW()-4,10)+1))</f>
        <v/>
      </c>
      <c r="C537" s="36" t="str">
        <f t="array" ref="C537">IFERROR(INDEX('Sản phẩm'!$A$4:$A$103,MATCH(B537,'Sản phẩm'!$D$4:$D$103,0)),"")</f>
        <v/>
      </c>
      <c r="D537" s="36" t="str">
        <f t="array" ref="D537">IF(B537="","",INDEX('Bán nhanh'!$B$4:$B$103,INT((ROW()-4)/10)+1))</f>
        <v/>
      </c>
      <c r="E537" s="36" t="str">
        <f t="array" ref="E537">IFERROR(INDEX('Mẻ sữa'!$B$4:$B$203,MATCH(D537,'Mẻ sữa'!$C$4:$C$203,0)),"")</f>
        <v/>
      </c>
      <c r="F537" s="82">
        <f t="array" ref="F537">IF(B537="",0,INDEX('Bán nhanh'!$D$4:$M$103,INT((ROW()-4)/10)+1,MOD(ROW()-4,10)+1))</f>
        <v>0</v>
      </c>
      <c r="G537" s="83">
        <f t="array" ref="G537">IFERROR(INDEX('Sản phẩm'!$F$4:$F$103,MATCH(B537,'Sản phẩm'!$D$4:$D$103,0)),0)</f>
        <v>0</v>
      </c>
      <c r="H537" s="83">
        <f t="shared" si="5"/>
        <v>0</v>
      </c>
      <c r="I537" s="83">
        <f t="shared" si="1"/>
        <v>0</v>
      </c>
      <c r="J537" s="83">
        <f t="array" ref="J537">IFERROR(INDEX('Sản phẩm'!$G$4:$G$103,MATCH(B537,'Sản phẩm'!$D$4:$D$103,0)),0)</f>
        <v>0</v>
      </c>
      <c r="K537" s="83">
        <f t="array" ref="K537">IFERROR(J537*INDEX('Mẻ sữa'!$N$4:$N$203,MATCH(D537,'Mẻ sữa'!$C$4:$C$203,0)),0)</f>
        <v>0</v>
      </c>
      <c r="L537" s="83">
        <f t="array" ref="L537">IFERROR(INDEX('Sản phẩm'!$I$4:$I$103,MATCH(B537,'Sản phẩm'!$D$4:$D$103,0)),0)</f>
        <v>0</v>
      </c>
      <c r="M537" s="97" t="str">
        <f t="array" ref="M537">IFERROR(INDEX('Sản phẩm'!$J$4:$J$103,MATCH(B537,'Sản phẩm'!$D$4:$D$103,0)),0)</f>
        <v/>
      </c>
      <c r="N537" s="83">
        <f>IF(B537="",0,(K537+L537+M537)*'Thiết lập'!$B$8)</f>
        <v>0</v>
      </c>
      <c r="O537" s="83">
        <f t="shared" si="2"/>
        <v>0</v>
      </c>
      <c r="P537" s="83">
        <f t="shared" si="3"/>
        <v>0</v>
      </c>
      <c r="Q537" s="83">
        <f t="shared" si="4"/>
        <v>0</v>
      </c>
      <c r="R537" s="36" t="str">
        <f t="array" ref="R537">IF(B537="","",INDEX('Bán nhanh'!$C$4:$C$103,INT((ROW()-4)/10)+1))</f>
        <v/>
      </c>
      <c r="S537" s="36" t="str">
        <f t="array" ref="S537">IF(B537="","",INDEX('Bán nhanh'!$P$4:$P$103,INT((ROW()-4)/10)+1))</f>
        <v/>
      </c>
      <c r="T537" s="36"/>
      <c r="U537" s="36"/>
      <c r="V537" s="36"/>
      <c r="W537" s="36"/>
      <c r="X537" s="36"/>
      <c r="Y537" s="36"/>
      <c r="Z537" s="36"/>
    </row>
    <row r="538" ht="15.75" customHeight="1">
      <c r="A538" s="96" t="str">
        <f t="array" ref="A538">IF(B538="","",INDEX('Bán nhanh'!$A$4:$A$103,INT((ROW()-4)/10)+1))</f>
        <v/>
      </c>
      <c r="B538" s="36" t="str">
        <f t="array" ref="B538">IF(OR(INDEX('Bán nhanh'!$D$3:$M$3,1,MOD(ROW()-4,10)+1)="",INDEX('Bán nhanh'!$D$4:$M$103,INT((ROW()-4)/10)+1,MOD(ROW()-4,10)+1)&lt;=0),"",INDEX('Bán nhanh'!$D$3:$M$3,1,MOD(ROW()-4,10)+1))</f>
        <v/>
      </c>
      <c r="C538" s="36" t="str">
        <f t="array" ref="C538">IFERROR(INDEX('Sản phẩm'!$A$4:$A$103,MATCH(B538,'Sản phẩm'!$D$4:$D$103,0)),"")</f>
        <v/>
      </c>
      <c r="D538" s="36" t="str">
        <f t="array" ref="D538">IF(B538="","",INDEX('Bán nhanh'!$B$4:$B$103,INT((ROW()-4)/10)+1))</f>
        <v/>
      </c>
      <c r="E538" s="36" t="str">
        <f t="array" ref="E538">IFERROR(INDEX('Mẻ sữa'!$B$4:$B$203,MATCH(D538,'Mẻ sữa'!$C$4:$C$203,0)),"")</f>
        <v/>
      </c>
      <c r="F538" s="82">
        <f t="array" ref="F538">IF(B538="",0,INDEX('Bán nhanh'!$D$4:$M$103,INT((ROW()-4)/10)+1,MOD(ROW()-4,10)+1))</f>
        <v>0</v>
      </c>
      <c r="G538" s="83">
        <f t="array" ref="G538">IFERROR(INDEX('Sản phẩm'!$F$4:$F$103,MATCH(B538,'Sản phẩm'!$D$4:$D$103,0)),0)</f>
        <v>0</v>
      </c>
      <c r="H538" s="83">
        <f t="shared" si="5"/>
        <v>0</v>
      </c>
      <c r="I538" s="83">
        <f t="shared" si="1"/>
        <v>0</v>
      </c>
      <c r="J538" s="83">
        <f t="array" ref="J538">IFERROR(INDEX('Sản phẩm'!$G$4:$G$103,MATCH(B538,'Sản phẩm'!$D$4:$D$103,0)),0)</f>
        <v>0</v>
      </c>
      <c r="K538" s="83">
        <f t="array" ref="K538">IFERROR(J538*INDEX('Mẻ sữa'!$N$4:$N$203,MATCH(D538,'Mẻ sữa'!$C$4:$C$203,0)),0)</f>
        <v>0</v>
      </c>
      <c r="L538" s="83">
        <f t="array" ref="L538">IFERROR(INDEX('Sản phẩm'!$I$4:$I$103,MATCH(B538,'Sản phẩm'!$D$4:$D$103,0)),0)</f>
        <v>0</v>
      </c>
      <c r="M538" s="97" t="str">
        <f t="array" ref="M538">IFERROR(INDEX('Sản phẩm'!$J$4:$J$103,MATCH(B538,'Sản phẩm'!$D$4:$D$103,0)),0)</f>
        <v/>
      </c>
      <c r="N538" s="83">
        <f>IF(B538="",0,(K538+L538+M538)*'Thiết lập'!$B$8)</f>
        <v>0</v>
      </c>
      <c r="O538" s="83">
        <f t="shared" si="2"/>
        <v>0</v>
      </c>
      <c r="P538" s="83">
        <f t="shared" si="3"/>
        <v>0</v>
      </c>
      <c r="Q538" s="83">
        <f t="shared" si="4"/>
        <v>0</v>
      </c>
      <c r="R538" s="36" t="str">
        <f t="array" ref="R538">IF(B538="","",INDEX('Bán nhanh'!$C$4:$C$103,INT((ROW()-4)/10)+1))</f>
        <v/>
      </c>
      <c r="S538" s="36" t="str">
        <f t="array" ref="S538">IF(B538="","",INDEX('Bán nhanh'!$P$4:$P$103,INT((ROW()-4)/10)+1))</f>
        <v/>
      </c>
      <c r="T538" s="36"/>
      <c r="U538" s="36"/>
      <c r="V538" s="36"/>
      <c r="W538" s="36"/>
      <c r="X538" s="36"/>
      <c r="Y538" s="36"/>
      <c r="Z538" s="36"/>
    </row>
    <row r="539" ht="15.75" customHeight="1">
      <c r="A539" s="96" t="str">
        <f t="array" ref="A539">IF(B539="","",INDEX('Bán nhanh'!$A$4:$A$103,INT((ROW()-4)/10)+1))</f>
        <v/>
      </c>
      <c r="B539" s="36" t="str">
        <f t="array" ref="B539">IF(OR(INDEX('Bán nhanh'!$D$3:$M$3,1,MOD(ROW()-4,10)+1)="",INDEX('Bán nhanh'!$D$4:$M$103,INT((ROW()-4)/10)+1,MOD(ROW()-4,10)+1)&lt;=0),"",INDEX('Bán nhanh'!$D$3:$M$3,1,MOD(ROW()-4,10)+1))</f>
        <v/>
      </c>
      <c r="C539" s="36" t="str">
        <f t="array" ref="C539">IFERROR(INDEX('Sản phẩm'!$A$4:$A$103,MATCH(B539,'Sản phẩm'!$D$4:$D$103,0)),"")</f>
        <v/>
      </c>
      <c r="D539" s="36" t="str">
        <f t="array" ref="D539">IF(B539="","",INDEX('Bán nhanh'!$B$4:$B$103,INT((ROW()-4)/10)+1))</f>
        <v/>
      </c>
      <c r="E539" s="36" t="str">
        <f t="array" ref="E539">IFERROR(INDEX('Mẻ sữa'!$B$4:$B$203,MATCH(D539,'Mẻ sữa'!$C$4:$C$203,0)),"")</f>
        <v/>
      </c>
      <c r="F539" s="82">
        <f t="array" ref="F539">IF(B539="",0,INDEX('Bán nhanh'!$D$4:$M$103,INT((ROW()-4)/10)+1,MOD(ROW()-4,10)+1))</f>
        <v>0</v>
      </c>
      <c r="G539" s="83">
        <f t="array" ref="G539">IFERROR(INDEX('Sản phẩm'!$F$4:$F$103,MATCH(B539,'Sản phẩm'!$D$4:$D$103,0)),0)</f>
        <v>0</v>
      </c>
      <c r="H539" s="83">
        <f t="shared" si="5"/>
        <v>0</v>
      </c>
      <c r="I539" s="83">
        <f t="shared" si="1"/>
        <v>0</v>
      </c>
      <c r="J539" s="83">
        <f t="array" ref="J539">IFERROR(INDEX('Sản phẩm'!$G$4:$G$103,MATCH(B539,'Sản phẩm'!$D$4:$D$103,0)),0)</f>
        <v>0</v>
      </c>
      <c r="K539" s="83">
        <f t="array" ref="K539">IFERROR(J539*INDEX('Mẻ sữa'!$N$4:$N$203,MATCH(D539,'Mẻ sữa'!$C$4:$C$203,0)),0)</f>
        <v>0</v>
      </c>
      <c r="L539" s="83">
        <f t="array" ref="L539">IFERROR(INDEX('Sản phẩm'!$I$4:$I$103,MATCH(B539,'Sản phẩm'!$D$4:$D$103,0)),0)</f>
        <v>0</v>
      </c>
      <c r="M539" s="97" t="str">
        <f t="array" ref="M539">IFERROR(INDEX('Sản phẩm'!$J$4:$J$103,MATCH(B539,'Sản phẩm'!$D$4:$D$103,0)),0)</f>
        <v/>
      </c>
      <c r="N539" s="83">
        <f>IF(B539="",0,(K539+L539+M539)*'Thiết lập'!$B$8)</f>
        <v>0</v>
      </c>
      <c r="O539" s="83">
        <f t="shared" si="2"/>
        <v>0</v>
      </c>
      <c r="P539" s="83">
        <f t="shared" si="3"/>
        <v>0</v>
      </c>
      <c r="Q539" s="83">
        <f t="shared" si="4"/>
        <v>0</v>
      </c>
      <c r="R539" s="36" t="str">
        <f t="array" ref="R539">IF(B539="","",INDEX('Bán nhanh'!$C$4:$C$103,INT((ROW()-4)/10)+1))</f>
        <v/>
      </c>
      <c r="S539" s="36" t="str">
        <f t="array" ref="S539">IF(B539="","",INDEX('Bán nhanh'!$P$4:$P$103,INT((ROW()-4)/10)+1))</f>
        <v/>
      </c>
      <c r="T539" s="36"/>
      <c r="U539" s="36"/>
      <c r="V539" s="36"/>
      <c r="W539" s="36"/>
      <c r="X539" s="36"/>
      <c r="Y539" s="36"/>
      <c r="Z539" s="36"/>
    </row>
    <row r="540" ht="15.75" customHeight="1">
      <c r="A540" s="96" t="str">
        <f t="array" ref="A540">IF(B540="","",INDEX('Bán nhanh'!$A$4:$A$103,INT((ROW()-4)/10)+1))</f>
        <v/>
      </c>
      <c r="B540" s="36" t="str">
        <f t="array" ref="B540">IF(OR(INDEX('Bán nhanh'!$D$3:$M$3,1,MOD(ROW()-4,10)+1)="",INDEX('Bán nhanh'!$D$4:$M$103,INT((ROW()-4)/10)+1,MOD(ROW()-4,10)+1)&lt;=0),"",INDEX('Bán nhanh'!$D$3:$M$3,1,MOD(ROW()-4,10)+1))</f>
        <v/>
      </c>
      <c r="C540" s="36" t="str">
        <f t="array" ref="C540">IFERROR(INDEX('Sản phẩm'!$A$4:$A$103,MATCH(B540,'Sản phẩm'!$D$4:$D$103,0)),"")</f>
        <v/>
      </c>
      <c r="D540" s="36" t="str">
        <f t="array" ref="D540">IF(B540="","",INDEX('Bán nhanh'!$B$4:$B$103,INT((ROW()-4)/10)+1))</f>
        <v/>
      </c>
      <c r="E540" s="36" t="str">
        <f t="array" ref="E540">IFERROR(INDEX('Mẻ sữa'!$B$4:$B$203,MATCH(D540,'Mẻ sữa'!$C$4:$C$203,0)),"")</f>
        <v/>
      </c>
      <c r="F540" s="82">
        <f t="array" ref="F540">IF(B540="",0,INDEX('Bán nhanh'!$D$4:$M$103,INT((ROW()-4)/10)+1,MOD(ROW()-4,10)+1))</f>
        <v>0</v>
      </c>
      <c r="G540" s="83">
        <f t="array" ref="G540">IFERROR(INDEX('Sản phẩm'!$F$4:$F$103,MATCH(B540,'Sản phẩm'!$D$4:$D$103,0)),0)</f>
        <v>0</v>
      </c>
      <c r="H540" s="83">
        <f t="shared" si="5"/>
        <v>0</v>
      </c>
      <c r="I540" s="83">
        <f t="shared" si="1"/>
        <v>0</v>
      </c>
      <c r="J540" s="83">
        <f t="array" ref="J540">IFERROR(INDEX('Sản phẩm'!$G$4:$G$103,MATCH(B540,'Sản phẩm'!$D$4:$D$103,0)),0)</f>
        <v>0</v>
      </c>
      <c r="K540" s="83">
        <f t="array" ref="K540">IFERROR(J540*INDEX('Mẻ sữa'!$N$4:$N$203,MATCH(D540,'Mẻ sữa'!$C$4:$C$203,0)),0)</f>
        <v>0</v>
      </c>
      <c r="L540" s="83">
        <f t="array" ref="L540">IFERROR(INDEX('Sản phẩm'!$I$4:$I$103,MATCH(B540,'Sản phẩm'!$D$4:$D$103,0)),0)</f>
        <v>0</v>
      </c>
      <c r="M540" s="97" t="str">
        <f t="array" ref="M540">IFERROR(INDEX('Sản phẩm'!$J$4:$J$103,MATCH(B540,'Sản phẩm'!$D$4:$D$103,0)),0)</f>
        <v/>
      </c>
      <c r="N540" s="83">
        <f>IF(B540="",0,(K540+L540+M540)*'Thiết lập'!$B$8)</f>
        <v>0</v>
      </c>
      <c r="O540" s="83">
        <f t="shared" si="2"/>
        <v>0</v>
      </c>
      <c r="P540" s="83">
        <f t="shared" si="3"/>
        <v>0</v>
      </c>
      <c r="Q540" s="83">
        <f t="shared" si="4"/>
        <v>0</v>
      </c>
      <c r="R540" s="36" t="str">
        <f t="array" ref="R540">IF(B540="","",INDEX('Bán nhanh'!$C$4:$C$103,INT((ROW()-4)/10)+1))</f>
        <v/>
      </c>
      <c r="S540" s="36" t="str">
        <f t="array" ref="S540">IF(B540="","",INDEX('Bán nhanh'!$P$4:$P$103,INT((ROW()-4)/10)+1))</f>
        <v/>
      </c>
      <c r="T540" s="36"/>
      <c r="U540" s="36"/>
      <c r="V540" s="36"/>
      <c r="W540" s="36"/>
      <c r="X540" s="36"/>
      <c r="Y540" s="36"/>
      <c r="Z540" s="36"/>
    </row>
    <row r="541" ht="15.75" customHeight="1">
      <c r="A541" s="96" t="str">
        <f t="array" ref="A541">IF(B541="","",INDEX('Bán nhanh'!$A$4:$A$103,INT((ROW()-4)/10)+1))</f>
        <v/>
      </c>
      <c r="B541" s="36" t="str">
        <f t="array" ref="B541">IF(OR(INDEX('Bán nhanh'!$D$3:$M$3,1,MOD(ROW()-4,10)+1)="",INDEX('Bán nhanh'!$D$4:$M$103,INT((ROW()-4)/10)+1,MOD(ROW()-4,10)+1)&lt;=0),"",INDEX('Bán nhanh'!$D$3:$M$3,1,MOD(ROW()-4,10)+1))</f>
        <v/>
      </c>
      <c r="C541" s="36" t="str">
        <f t="array" ref="C541">IFERROR(INDEX('Sản phẩm'!$A$4:$A$103,MATCH(B541,'Sản phẩm'!$D$4:$D$103,0)),"")</f>
        <v/>
      </c>
      <c r="D541" s="36" t="str">
        <f t="array" ref="D541">IF(B541="","",INDEX('Bán nhanh'!$B$4:$B$103,INT((ROW()-4)/10)+1))</f>
        <v/>
      </c>
      <c r="E541" s="36" t="str">
        <f t="array" ref="E541">IFERROR(INDEX('Mẻ sữa'!$B$4:$B$203,MATCH(D541,'Mẻ sữa'!$C$4:$C$203,0)),"")</f>
        <v/>
      </c>
      <c r="F541" s="82">
        <f t="array" ref="F541">IF(B541="",0,INDEX('Bán nhanh'!$D$4:$M$103,INT((ROW()-4)/10)+1,MOD(ROW()-4,10)+1))</f>
        <v>0</v>
      </c>
      <c r="G541" s="83">
        <f t="array" ref="G541">IFERROR(INDEX('Sản phẩm'!$F$4:$F$103,MATCH(B541,'Sản phẩm'!$D$4:$D$103,0)),0)</f>
        <v>0</v>
      </c>
      <c r="H541" s="83">
        <f t="shared" si="5"/>
        <v>0</v>
      </c>
      <c r="I541" s="83">
        <f t="shared" si="1"/>
        <v>0</v>
      </c>
      <c r="J541" s="83">
        <f t="array" ref="J541">IFERROR(INDEX('Sản phẩm'!$G$4:$G$103,MATCH(B541,'Sản phẩm'!$D$4:$D$103,0)),0)</f>
        <v>0</v>
      </c>
      <c r="K541" s="83">
        <f t="array" ref="K541">IFERROR(J541*INDEX('Mẻ sữa'!$N$4:$N$203,MATCH(D541,'Mẻ sữa'!$C$4:$C$203,0)),0)</f>
        <v>0</v>
      </c>
      <c r="L541" s="83">
        <f t="array" ref="L541">IFERROR(INDEX('Sản phẩm'!$I$4:$I$103,MATCH(B541,'Sản phẩm'!$D$4:$D$103,0)),0)</f>
        <v>0</v>
      </c>
      <c r="M541" s="97" t="str">
        <f t="array" ref="M541">IFERROR(INDEX('Sản phẩm'!$J$4:$J$103,MATCH(B541,'Sản phẩm'!$D$4:$D$103,0)),0)</f>
        <v/>
      </c>
      <c r="N541" s="83">
        <f>IF(B541="",0,(K541+L541+M541)*'Thiết lập'!$B$8)</f>
        <v>0</v>
      </c>
      <c r="O541" s="83">
        <f t="shared" si="2"/>
        <v>0</v>
      </c>
      <c r="P541" s="83">
        <f t="shared" si="3"/>
        <v>0</v>
      </c>
      <c r="Q541" s="83">
        <f t="shared" si="4"/>
        <v>0</v>
      </c>
      <c r="R541" s="36" t="str">
        <f t="array" ref="R541">IF(B541="","",INDEX('Bán nhanh'!$C$4:$C$103,INT((ROW()-4)/10)+1))</f>
        <v/>
      </c>
      <c r="S541" s="36" t="str">
        <f t="array" ref="S541">IF(B541="","",INDEX('Bán nhanh'!$P$4:$P$103,INT((ROW()-4)/10)+1))</f>
        <v/>
      </c>
      <c r="T541" s="36"/>
      <c r="U541" s="36"/>
      <c r="V541" s="36"/>
      <c r="W541" s="36"/>
      <c r="X541" s="36"/>
      <c r="Y541" s="36"/>
      <c r="Z541" s="36"/>
    </row>
    <row r="542" ht="15.75" customHeight="1">
      <c r="A542" s="96" t="str">
        <f t="array" ref="A542">IF(B542="","",INDEX('Bán nhanh'!$A$4:$A$103,INT((ROW()-4)/10)+1))</f>
        <v/>
      </c>
      <c r="B542" s="36" t="str">
        <f t="array" ref="B542">IF(OR(INDEX('Bán nhanh'!$D$3:$M$3,1,MOD(ROW()-4,10)+1)="",INDEX('Bán nhanh'!$D$4:$M$103,INT((ROW()-4)/10)+1,MOD(ROW()-4,10)+1)&lt;=0),"",INDEX('Bán nhanh'!$D$3:$M$3,1,MOD(ROW()-4,10)+1))</f>
        <v/>
      </c>
      <c r="C542" s="36" t="str">
        <f t="array" ref="C542">IFERROR(INDEX('Sản phẩm'!$A$4:$A$103,MATCH(B542,'Sản phẩm'!$D$4:$D$103,0)),"")</f>
        <v/>
      </c>
      <c r="D542" s="36" t="str">
        <f t="array" ref="D542">IF(B542="","",INDEX('Bán nhanh'!$B$4:$B$103,INT((ROW()-4)/10)+1))</f>
        <v/>
      </c>
      <c r="E542" s="36" t="str">
        <f t="array" ref="E542">IFERROR(INDEX('Mẻ sữa'!$B$4:$B$203,MATCH(D542,'Mẻ sữa'!$C$4:$C$203,0)),"")</f>
        <v/>
      </c>
      <c r="F542" s="82">
        <f t="array" ref="F542">IF(B542="",0,INDEX('Bán nhanh'!$D$4:$M$103,INT((ROW()-4)/10)+1,MOD(ROW()-4,10)+1))</f>
        <v>0</v>
      </c>
      <c r="G542" s="83">
        <f t="array" ref="G542">IFERROR(INDEX('Sản phẩm'!$F$4:$F$103,MATCH(B542,'Sản phẩm'!$D$4:$D$103,0)),0)</f>
        <v>0</v>
      </c>
      <c r="H542" s="83">
        <f t="shared" si="5"/>
        <v>0</v>
      </c>
      <c r="I542" s="83">
        <f t="shared" si="1"/>
        <v>0</v>
      </c>
      <c r="J542" s="83">
        <f t="array" ref="J542">IFERROR(INDEX('Sản phẩm'!$G$4:$G$103,MATCH(B542,'Sản phẩm'!$D$4:$D$103,0)),0)</f>
        <v>0</v>
      </c>
      <c r="K542" s="83">
        <f t="array" ref="K542">IFERROR(J542*INDEX('Mẻ sữa'!$N$4:$N$203,MATCH(D542,'Mẻ sữa'!$C$4:$C$203,0)),0)</f>
        <v>0</v>
      </c>
      <c r="L542" s="83">
        <f t="array" ref="L542">IFERROR(INDEX('Sản phẩm'!$I$4:$I$103,MATCH(B542,'Sản phẩm'!$D$4:$D$103,0)),0)</f>
        <v>0</v>
      </c>
      <c r="M542" s="97" t="str">
        <f t="array" ref="M542">IFERROR(INDEX('Sản phẩm'!$J$4:$J$103,MATCH(B542,'Sản phẩm'!$D$4:$D$103,0)),0)</f>
        <v/>
      </c>
      <c r="N542" s="83">
        <f>IF(B542="",0,(K542+L542+M542)*'Thiết lập'!$B$8)</f>
        <v>0</v>
      </c>
      <c r="O542" s="83">
        <f t="shared" si="2"/>
        <v>0</v>
      </c>
      <c r="P542" s="83">
        <f t="shared" si="3"/>
        <v>0</v>
      </c>
      <c r="Q542" s="83">
        <f t="shared" si="4"/>
        <v>0</v>
      </c>
      <c r="R542" s="36" t="str">
        <f t="array" ref="R542">IF(B542="","",INDEX('Bán nhanh'!$C$4:$C$103,INT((ROW()-4)/10)+1))</f>
        <v/>
      </c>
      <c r="S542" s="36" t="str">
        <f t="array" ref="S542">IF(B542="","",INDEX('Bán nhanh'!$P$4:$P$103,INT((ROW()-4)/10)+1))</f>
        <v/>
      </c>
      <c r="T542" s="36"/>
      <c r="U542" s="36"/>
      <c r="V542" s="36"/>
      <c r="W542" s="36"/>
      <c r="X542" s="36"/>
      <c r="Y542" s="36"/>
      <c r="Z542" s="36"/>
    </row>
    <row r="543" ht="15.75" customHeight="1">
      <c r="A543" s="96" t="str">
        <f t="array" ref="A543">IF(B543="","",INDEX('Bán nhanh'!$A$4:$A$103,INT((ROW()-4)/10)+1))</f>
        <v/>
      </c>
      <c r="B543" s="36" t="str">
        <f t="array" ref="B543">IF(OR(INDEX('Bán nhanh'!$D$3:$M$3,1,MOD(ROW()-4,10)+1)="",INDEX('Bán nhanh'!$D$4:$M$103,INT((ROW()-4)/10)+1,MOD(ROW()-4,10)+1)&lt;=0),"",INDEX('Bán nhanh'!$D$3:$M$3,1,MOD(ROW()-4,10)+1))</f>
        <v/>
      </c>
      <c r="C543" s="36" t="str">
        <f t="array" ref="C543">IFERROR(INDEX('Sản phẩm'!$A$4:$A$103,MATCH(B543,'Sản phẩm'!$D$4:$D$103,0)),"")</f>
        <v/>
      </c>
      <c r="D543" s="36" t="str">
        <f t="array" ref="D543">IF(B543="","",INDEX('Bán nhanh'!$B$4:$B$103,INT((ROW()-4)/10)+1))</f>
        <v/>
      </c>
      <c r="E543" s="36" t="str">
        <f t="array" ref="E543">IFERROR(INDEX('Mẻ sữa'!$B$4:$B$203,MATCH(D543,'Mẻ sữa'!$C$4:$C$203,0)),"")</f>
        <v/>
      </c>
      <c r="F543" s="82">
        <f t="array" ref="F543">IF(B543="",0,INDEX('Bán nhanh'!$D$4:$M$103,INT((ROW()-4)/10)+1,MOD(ROW()-4,10)+1))</f>
        <v>0</v>
      </c>
      <c r="G543" s="83">
        <f t="array" ref="G543">IFERROR(INDEX('Sản phẩm'!$F$4:$F$103,MATCH(B543,'Sản phẩm'!$D$4:$D$103,0)),0)</f>
        <v>0</v>
      </c>
      <c r="H543" s="83">
        <f t="shared" si="5"/>
        <v>0</v>
      </c>
      <c r="I543" s="83">
        <f t="shared" si="1"/>
        <v>0</v>
      </c>
      <c r="J543" s="83">
        <f t="array" ref="J543">IFERROR(INDEX('Sản phẩm'!$G$4:$G$103,MATCH(B543,'Sản phẩm'!$D$4:$D$103,0)),0)</f>
        <v>0</v>
      </c>
      <c r="K543" s="83">
        <f t="array" ref="K543">IFERROR(J543*INDEX('Mẻ sữa'!$N$4:$N$203,MATCH(D543,'Mẻ sữa'!$C$4:$C$203,0)),0)</f>
        <v>0</v>
      </c>
      <c r="L543" s="83">
        <f t="array" ref="L543">IFERROR(INDEX('Sản phẩm'!$I$4:$I$103,MATCH(B543,'Sản phẩm'!$D$4:$D$103,0)),0)</f>
        <v>0</v>
      </c>
      <c r="M543" s="97" t="str">
        <f t="array" ref="M543">IFERROR(INDEX('Sản phẩm'!$J$4:$J$103,MATCH(B543,'Sản phẩm'!$D$4:$D$103,0)),0)</f>
        <v/>
      </c>
      <c r="N543" s="83">
        <f>IF(B543="",0,(K543+L543+M543)*'Thiết lập'!$B$8)</f>
        <v>0</v>
      </c>
      <c r="O543" s="83">
        <f t="shared" si="2"/>
        <v>0</v>
      </c>
      <c r="P543" s="83">
        <f t="shared" si="3"/>
        <v>0</v>
      </c>
      <c r="Q543" s="83">
        <f t="shared" si="4"/>
        <v>0</v>
      </c>
      <c r="R543" s="36" t="str">
        <f t="array" ref="R543">IF(B543="","",INDEX('Bán nhanh'!$C$4:$C$103,INT((ROW()-4)/10)+1))</f>
        <v/>
      </c>
      <c r="S543" s="36" t="str">
        <f t="array" ref="S543">IF(B543="","",INDEX('Bán nhanh'!$P$4:$P$103,INT((ROW()-4)/10)+1))</f>
        <v/>
      </c>
      <c r="T543" s="36"/>
      <c r="U543" s="36"/>
      <c r="V543" s="36"/>
      <c r="W543" s="36"/>
      <c r="X543" s="36"/>
      <c r="Y543" s="36"/>
      <c r="Z543" s="36"/>
    </row>
    <row r="544" ht="15.75" customHeight="1">
      <c r="A544" s="96" t="str">
        <f t="array" ref="A544">IF(B544="","",INDEX('Bán nhanh'!$A$4:$A$103,INT((ROW()-4)/10)+1))</f>
        <v/>
      </c>
      <c r="B544" s="36" t="str">
        <f t="array" ref="B544">IF(OR(INDEX('Bán nhanh'!$D$3:$M$3,1,MOD(ROW()-4,10)+1)="",INDEX('Bán nhanh'!$D$4:$M$103,INT((ROW()-4)/10)+1,MOD(ROW()-4,10)+1)&lt;=0),"",INDEX('Bán nhanh'!$D$3:$M$3,1,MOD(ROW()-4,10)+1))</f>
        <v/>
      </c>
      <c r="C544" s="36" t="str">
        <f t="array" ref="C544">IFERROR(INDEX('Sản phẩm'!$A$4:$A$103,MATCH(B544,'Sản phẩm'!$D$4:$D$103,0)),"")</f>
        <v/>
      </c>
      <c r="D544" s="36" t="str">
        <f t="array" ref="D544">IF(B544="","",INDEX('Bán nhanh'!$B$4:$B$103,INT((ROW()-4)/10)+1))</f>
        <v/>
      </c>
      <c r="E544" s="36" t="str">
        <f t="array" ref="E544">IFERROR(INDEX('Mẻ sữa'!$B$4:$B$203,MATCH(D544,'Mẻ sữa'!$C$4:$C$203,0)),"")</f>
        <v/>
      </c>
      <c r="F544" s="82">
        <f t="array" ref="F544">IF(B544="",0,INDEX('Bán nhanh'!$D$4:$M$103,INT((ROW()-4)/10)+1,MOD(ROW()-4,10)+1))</f>
        <v>0</v>
      </c>
      <c r="G544" s="83">
        <f t="array" ref="G544">IFERROR(INDEX('Sản phẩm'!$F$4:$F$103,MATCH(B544,'Sản phẩm'!$D$4:$D$103,0)),0)</f>
        <v>0</v>
      </c>
      <c r="H544" s="83">
        <f t="shared" si="5"/>
        <v>0</v>
      </c>
      <c r="I544" s="83">
        <f t="shared" si="1"/>
        <v>0</v>
      </c>
      <c r="J544" s="83">
        <f t="array" ref="J544">IFERROR(INDEX('Sản phẩm'!$G$4:$G$103,MATCH(B544,'Sản phẩm'!$D$4:$D$103,0)),0)</f>
        <v>0</v>
      </c>
      <c r="K544" s="83">
        <f t="array" ref="K544">IFERROR(J544*INDEX('Mẻ sữa'!$N$4:$N$203,MATCH(D544,'Mẻ sữa'!$C$4:$C$203,0)),0)</f>
        <v>0</v>
      </c>
      <c r="L544" s="83">
        <f t="array" ref="L544">IFERROR(INDEX('Sản phẩm'!$I$4:$I$103,MATCH(B544,'Sản phẩm'!$D$4:$D$103,0)),0)</f>
        <v>0</v>
      </c>
      <c r="M544" s="97" t="str">
        <f t="array" ref="M544">IFERROR(INDEX('Sản phẩm'!$J$4:$J$103,MATCH(B544,'Sản phẩm'!$D$4:$D$103,0)),0)</f>
        <v/>
      </c>
      <c r="N544" s="83">
        <f>IF(B544="",0,(K544+L544+M544)*'Thiết lập'!$B$8)</f>
        <v>0</v>
      </c>
      <c r="O544" s="83">
        <f t="shared" si="2"/>
        <v>0</v>
      </c>
      <c r="P544" s="83">
        <f t="shared" si="3"/>
        <v>0</v>
      </c>
      <c r="Q544" s="83">
        <f t="shared" si="4"/>
        <v>0</v>
      </c>
      <c r="R544" s="36" t="str">
        <f t="array" ref="R544">IF(B544="","",INDEX('Bán nhanh'!$C$4:$C$103,INT((ROW()-4)/10)+1))</f>
        <v/>
      </c>
      <c r="S544" s="36" t="str">
        <f t="array" ref="S544">IF(B544="","",INDEX('Bán nhanh'!$P$4:$P$103,INT((ROW()-4)/10)+1))</f>
        <v/>
      </c>
      <c r="T544" s="36"/>
      <c r="U544" s="36"/>
      <c r="V544" s="36"/>
      <c r="W544" s="36"/>
      <c r="X544" s="36"/>
      <c r="Y544" s="36"/>
      <c r="Z544" s="36"/>
    </row>
    <row r="545" ht="15.75" customHeight="1">
      <c r="A545" s="96" t="str">
        <f t="array" ref="A545">IF(B545="","",INDEX('Bán nhanh'!$A$4:$A$103,INT((ROW()-4)/10)+1))</f>
        <v/>
      </c>
      <c r="B545" s="36" t="str">
        <f t="array" ref="B545">IF(OR(INDEX('Bán nhanh'!$D$3:$M$3,1,MOD(ROW()-4,10)+1)="",INDEX('Bán nhanh'!$D$4:$M$103,INT((ROW()-4)/10)+1,MOD(ROW()-4,10)+1)&lt;=0),"",INDEX('Bán nhanh'!$D$3:$M$3,1,MOD(ROW()-4,10)+1))</f>
        <v/>
      </c>
      <c r="C545" s="36" t="str">
        <f t="array" ref="C545">IFERROR(INDEX('Sản phẩm'!$A$4:$A$103,MATCH(B545,'Sản phẩm'!$D$4:$D$103,0)),"")</f>
        <v/>
      </c>
      <c r="D545" s="36" t="str">
        <f t="array" ref="D545">IF(B545="","",INDEX('Bán nhanh'!$B$4:$B$103,INT((ROW()-4)/10)+1))</f>
        <v/>
      </c>
      <c r="E545" s="36" t="str">
        <f t="array" ref="E545">IFERROR(INDEX('Mẻ sữa'!$B$4:$B$203,MATCH(D545,'Mẻ sữa'!$C$4:$C$203,0)),"")</f>
        <v/>
      </c>
      <c r="F545" s="82">
        <f t="array" ref="F545">IF(B545="",0,INDEX('Bán nhanh'!$D$4:$M$103,INT((ROW()-4)/10)+1,MOD(ROW()-4,10)+1))</f>
        <v>0</v>
      </c>
      <c r="G545" s="83">
        <f t="array" ref="G545">IFERROR(INDEX('Sản phẩm'!$F$4:$F$103,MATCH(B545,'Sản phẩm'!$D$4:$D$103,0)),0)</f>
        <v>0</v>
      </c>
      <c r="H545" s="83">
        <f t="shared" si="5"/>
        <v>0</v>
      </c>
      <c r="I545" s="83">
        <f t="shared" si="1"/>
        <v>0</v>
      </c>
      <c r="J545" s="83">
        <f t="array" ref="J545">IFERROR(INDEX('Sản phẩm'!$G$4:$G$103,MATCH(B545,'Sản phẩm'!$D$4:$D$103,0)),0)</f>
        <v>0</v>
      </c>
      <c r="K545" s="83">
        <f t="array" ref="K545">IFERROR(J545*INDEX('Mẻ sữa'!$N$4:$N$203,MATCH(D545,'Mẻ sữa'!$C$4:$C$203,0)),0)</f>
        <v>0</v>
      </c>
      <c r="L545" s="83">
        <f t="array" ref="L545">IFERROR(INDEX('Sản phẩm'!$I$4:$I$103,MATCH(B545,'Sản phẩm'!$D$4:$D$103,0)),0)</f>
        <v>0</v>
      </c>
      <c r="M545" s="97" t="str">
        <f t="array" ref="M545">IFERROR(INDEX('Sản phẩm'!$J$4:$J$103,MATCH(B545,'Sản phẩm'!$D$4:$D$103,0)),0)</f>
        <v/>
      </c>
      <c r="N545" s="83">
        <f>IF(B545="",0,(K545+L545+M545)*'Thiết lập'!$B$8)</f>
        <v>0</v>
      </c>
      <c r="O545" s="83">
        <f t="shared" si="2"/>
        <v>0</v>
      </c>
      <c r="P545" s="83">
        <f t="shared" si="3"/>
        <v>0</v>
      </c>
      <c r="Q545" s="83">
        <f t="shared" si="4"/>
        <v>0</v>
      </c>
      <c r="R545" s="36" t="str">
        <f t="array" ref="R545">IF(B545="","",INDEX('Bán nhanh'!$C$4:$C$103,INT((ROW()-4)/10)+1))</f>
        <v/>
      </c>
      <c r="S545" s="36" t="str">
        <f t="array" ref="S545">IF(B545="","",INDEX('Bán nhanh'!$P$4:$P$103,INT((ROW()-4)/10)+1))</f>
        <v/>
      </c>
      <c r="T545" s="36"/>
      <c r="U545" s="36"/>
      <c r="V545" s="36"/>
      <c r="W545" s="36"/>
      <c r="X545" s="36"/>
      <c r="Y545" s="36"/>
      <c r="Z545" s="36"/>
    </row>
    <row r="546" ht="15.75" customHeight="1">
      <c r="A546" s="96" t="str">
        <f t="array" ref="A546">IF(B546="","",INDEX('Bán nhanh'!$A$4:$A$103,INT((ROW()-4)/10)+1))</f>
        <v/>
      </c>
      <c r="B546" s="36" t="str">
        <f t="array" ref="B546">IF(OR(INDEX('Bán nhanh'!$D$3:$M$3,1,MOD(ROW()-4,10)+1)="",INDEX('Bán nhanh'!$D$4:$M$103,INT((ROW()-4)/10)+1,MOD(ROW()-4,10)+1)&lt;=0),"",INDEX('Bán nhanh'!$D$3:$M$3,1,MOD(ROW()-4,10)+1))</f>
        <v/>
      </c>
      <c r="C546" s="36" t="str">
        <f t="array" ref="C546">IFERROR(INDEX('Sản phẩm'!$A$4:$A$103,MATCH(B546,'Sản phẩm'!$D$4:$D$103,0)),"")</f>
        <v/>
      </c>
      <c r="D546" s="36" t="str">
        <f t="array" ref="D546">IF(B546="","",INDEX('Bán nhanh'!$B$4:$B$103,INT((ROW()-4)/10)+1))</f>
        <v/>
      </c>
      <c r="E546" s="36" t="str">
        <f t="array" ref="E546">IFERROR(INDEX('Mẻ sữa'!$B$4:$B$203,MATCH(D546,'Mẻ sữa'!$C$4:$C$203,0)),"")</f>
        <v/>
      </c>
      <c r="F546" s="82">
        <f t="array" ref="F546">IF(B546="",0,INDEX('Bán nhanh'!$D$4:$M$103,INT((ROW()-4)/10)+1,MOD(ROW()-4,10)+1))</f>
        <v>0</v>
      </c>
      <c r="G546" s="83">
        <f t="array" ref="G546">IFERROR(INDEX('Sản phẩm'!$F$4:$F$103,MATCH(B546,'Sản phẩm'!$D$4:$D$103,0)),0)</f>
        <v>0</v>
      </c>
      <c r="H546" s="83">
        <f t="shared" si="5"/>
        <v>0</v>
      </c>
      <c r="I546" s="83">
        <f t="shared" si="1"/>
        <v>0</v>
      </c>
      <c r="J546" s="83">
        <f t="array" ref="J546">IFERROR(INDEX('Sản phẩm'!$G$4:$G$103,MATCH(B546,'Sản phẩm'!$D$4:$D$103,0)),0)</f>
        <v>0</v>
      </c>
      <c r="K546" s="83">
        <f t="array" ref="K546">IFERROR(J546*INDEX('Mẻ sữa'!$N$4:$N$203,MATCH(D546,'Mẻ sữa'!$C$4:$C$203,0)),0)</f>
        <v>0</v>
      </c>
      <c r="L546" s="83">
        <f t="array" ref="L546">IFERROR(INDEX('Sản phẩm'!$I$4:$I$103,MATCH(B546,'Sản phẩm'!$D$4:$D$103,0)),0)</f>
        <v>0</v>
      </c>
      <c r="M546" s="97" t="str">
        <f t="array" ref="M546">IFERROR(INDEX('Sản phẩm'!$J$4:$J$103,MATCH(B546,'Sản phẩm'!$D$4:$D$103,0)),0)</f>
        <v/>
      </c>
      <c r="N546" s="83">
        <f>IF(B546="",0,(K546+L546+M546)*'Thiết lập'!$B$8)</f>
        <v>0</v>
      </c>
      <c r="O546" s="83">
        <f t="shared" si="2"/>
        <v>0</v>
      </c>
      <c r="P546" s="83">
        <f t="shared" si="3"/>
        <v>0</v>
      </c>
      <c r="Q546" s="83">
        <f t="shared" si="4"/>
        <v>0</v>
      </c>
      <c r="R546" s="36" t="str">
        <f t="array" ref="R546">IF(B546="","",INDEX('Bán nhanh'!$C$4:$C$103,INT((ROW()-4)/10)+1))</f>
        <v/>
      </c>
      <c r="S546" s="36" t="str">
        <f t="array" ref="S546">IF(B546="","",INDEX('Bán nhanh'!$P$4:$P$103,INT((ROW()-4)/10)+1))</f>
        <v/>
      </c>
      <c r="T546" s="36"/>
      <c r="U546" s="36"/>
      <c r="V546" s="36"/>
      <c r="W546" s="36"/>
      <c r="X546" s="36"/>
      <c r="Y546" s="36"/>
      <c r="Z546" s="36"/>
    </row>
    <row r="547" ht="15.75" customHeight="1">
      <c r="A547" s="96" t="str">
        <f t="array" ref="A547">IF(B547="","",INDEX('Bán nhanh'!$A$4:$A$103,INT((ROW()-4)/10)+1))</f>
        <v/>
      </c>
      <c r="B547" s="36" t="str">
        <f t="array" ref="B547">IF(OR(INDEX('Bán nhanh'!$D$3:$M$3,1,MOD(ROW()-4,10)+1)="",INDEX('Bán nhanh'!$D$4:$M$103,INT((ROW()-4)/10)+1,MOD(ROW()-4,10)+1)&lt;=0),"",INDEX('Bán nhanh'!$D$3:$M$3,1,MOD(ROW()-4,10)+1))</f>
        <v/>
      </c>
      <c r="C547" s="36" t="str">
        <f t="array" ref="C547">IFERROR(INDEX('Sản phẩm'!$A$4:$A$103,MATCH(B547,'Sản phẩm'!$D$4:$D$103,0)),"")</f>
        <v/>
      </c>
      <c r="D547" s="36" t="str">
        <f t="array" ref="D547">IF(B547="","",INDEX('Bán nhanh'!$B$4:$B$103,INT((ROW()-4)/10)+1))</f>
        <v/>
      </c>
      <c r="E547" s="36" t="str">
        <f t="array" ref="E547">IFERROR(INDEX('Mẻ sữa'!$B$4:$B$203,MATCH(D547,'Mẻ sữa'!$C$4:$C$203,0)),"")</f>
        <v/>
      </c>
      <c r="F547" s="82">
        <f t="array" ref="F547">IF(B547="",0,INDEX('Bán nhanh'!$D$4:$M$103,INT((ROW()-4)/10)+1,MOD(ROW()-4,10)+1))</f>
        <v>0</v>
      </c>
      <c r="G547" s="83">
        <f t="array" ref="G547">IFERROR(INDEX('Sản phẩm'!$F$4:$F$103,MATCH(B547,'Sản phẩm'!$D$4:$D$103,0)),0)</f>
        <v>0</v>
      </c>
      <c r="H547" s="83">
        <f t="shared" si="5"/>
        <v>0</v>
      </c>
      <c r="I547" s="83">
        <f t="shared" si="1"/>
        <v>0</v>
      </c>
      <c r="J547" s="83">
        <f t="array" ref="J547">IFERROR(INDEX('Sản phẩm'!$G$4:$G$103,MATCH(B547,'Sản phẩm'!$D$4:$D$103,0)),0)</f>
        <v>0</v>
      </c>
      <c r="K547" s="83">
        <f t="array" ref="K547">IFERROR(J547*INDEX('Mẻ sữa'!$N$4:$N$203,MATCH(D547,'Mẻ sữa'!$C$4:$C$203,0)),0)</f>
        <v>0</v>
      </c>
      <c r="L547" s="83">
        <f t="array" ref="L547">IFERROR(INDEX('Sản phẩm'!$I$4:$I$103,MATCH(B547,'Sản phẩm'!$D$4:$D$103,0)),0)</f>
        <v>0</v>
      </c>
      <c r="M547" s="97" t="str">
        <f t="array" ref="M547">IFERROR(INDEX('Sản phẩm'!$J$4:$J$103,MATCH(B547,'Sản phẩm'!$D$4:$D$103,0)),0)</f>
        <v/>
      </c>
      <c r="N547" s="83">
        <f>IF(B547="",0,(K547+L547+M547)*'Thiết lập'!$B$8)</f>
        <v>0</v>
      </c>
      <c r="O547" s="83">
        <f t="shared" si="2"/>
        <v>0</v>
      </c>
      <c r="P547" s="83">
        <f t="shared" si="3"/>
        <v>0</v>
      </c>
      <c r="Q547" s="83">
        <f t="shared" si="4"/>
        <v>0</v>
      </c>
      <c r="R547" s="36" t="str">
        <f t="array" ref="R547">IF(B547="","",INDEX('Bán nhanh'!$C$4:$C$103,INT((ROW()-4)/10)+1))</f>
        <v/>
      </c>
      <c r="S547" s="36" t="str">
        <f t="array" ref="S547">IF(B547="","",INDEX('Bán nhanh'!$P$4:$P$103,INT((ROW()-4)/10)+1))</f>
        <v/>
      </c>
      <c r="T547" s="36"/>
      <c r="U547" s="36"/>
      <c r="V547" s="36"/>
      <c r="W547" s="36"/>
      <c r="X547" s="36"/>
      <c r="Y547" s="36"/>
      <c r="Z547" s="36"/>
    </row>
    <row r="548" ht="15.75" customHeight="1">
      <c r="A548" s="96" t="str">
        <f t="array" ref="A548">IF(B548="","",INDEX('Bán nhanh'!$A$4:$A$103,INT((ROW()-4)/10)+1))</f>
        <v/>
      </c>
      <c r="B548" s="36" t="str">
        <f t="array" ref="B548">IF(OR(INDEX('Bán nhanh'!$D$3:$M$3,1,MOD(ROW()-4,10)+1)="",INDEX('Bán nhanh'!$D$4:$M$103,INT((ROW()-4)/10)+1,MOD(ROW()-4,10)+1)&lt;=0),"",INDEX('Bán nhanh'!$D$3:$M$3,1,MOD(ROW()-4,10)+1))</f>
        <v/>
      </c>
      <c r="C548" s="36" t="str">
        <f t="array" ref="C548">IFERROR(INDEX('Sản phẩm'!$A$4:$A$103,MATCH(B548,'Sản phẩm'!$D$4:$D$103,0)),"")</f>
        <v/>
      </c>
      <c r="D548" s="36" t="str">
        <f t="array" ref="D548">IF(B548="","",INDEX('Bán nhanh'!$B$4:$B$103,INT((ROW()-4)/10)+1))</f>
        <v/>
      </c>
      <c r="E548" s="36" t="str">
        <f t="array" ref="E548">IFERROR(INDEX('Mẻ sữa'!$B$4:$B$203,MATCH(D548,'Mẻ sữa'!$C$4:$C$203,0)),"")</f>
        <v/>
      </c>
      <c r="F548" s="82">
        <f t="array" ref="F548">IF(B548="",0,INDEX('Bán nhanh'!$D$4:$M$103,INT((ROW()-4)/10)+1,MOD(ROW()-4,10)+1))</f>
        <v>0</v>
      </c>
      <c r="G548" s="83">
        <f t="array" ref="G548">IFERROR(INDEX('Sản phẩm'!$F$4:$F$103,MATCH(B548,'Sản phẩm'!$D$4:$D$103,0)),0)</f>
        <v>0</v>
      </c>
      <c r="H548" s="83">
        <f t="shared" si="5"/>
        <v>0</v>
      </c>
      <c r="I548" s="83">
        <f t="shared" si="1"/>
        <v>0</v>
      </c>
      <c r="J548" s="83">
        <f t="array" ref="J548">IFERROR(INDEX('Sản phẩm'!$G$4:$G$103,MATCH(B548,'Sản phẩm'!$D$4:$D$103,0)),0)</f>
        <v>0</v>
      </c>
      <c r="K548" s="83">
        <f t="array" ref="K548">IFERROR(J548*INDEX('Mẻ sữa'!$N$4:$N$203,MATCH(D548,'Mẻ sữa'!$C$4:$C$203,0)),0)</f>
        <v>0</v>
      </c>
      <c r="L548" s="83">
        <f t="array" ref="L548">IFERROR(INDEX('Sản phẩm'!$I$4:$I$103,MATCH(B548,'Sản phẩm'!$D$4:$D$103,0)),0)</f>
        <v>0</v>
      </c>
      <c r="M548" s="97" t="str">
        <f t="array" ref="M548">IFERROR(INDEX('Sản phẩm'!$J$4:$J$103,MATCH(B548,'Sản phẩm'!$D$4:$D$103,0)),0)</f>
        <v/>
      </c>
      <c r="N548" s="83">
        <f>IF(B548="",0,(K548+L548+M548)*'Thiết lập'!$B$8)</f>
        <v>0</v>
      </c>
      <c r="O548" s="83">
        <f t="shared" si="2"/>
        <v>0</v>
      </c>
      <c r="P548" s="83">
        <f t="shared" si="3"/>
        <v>0</v>
      </c>
      <c r="Q548" s="83">
        <f t="shared" si="4"/>
        <v>0</v>
      </c>
      <c r="R548" s="36" t="str">
        <f t="array" ref="R548">IF(B548="","",INDEX('Bán nhanh'!$C$4:$C$103,INT((ROW()-4)/10)+1))</f>
        <v/>
      </c>
      <c r="S548" s="36" t="str">
        <f t="array" ref="S548">IF(B548="","",INDEX('Bán nhanh'!$P$4:$P$103,INT((ROW()-4)/10)+1))</f>
        <v/>
      </c>
      <c r="T548" s="36"/>
      <c r="U548" s="36"/>
      <c r="V548" s="36"/>
      <c r="W548" s="36"/>
      <c r="X548" s="36"/>
      <c r="Y548" s="36"/>
      <c r="Z548" s="36"/>
    </row>
    <row r="549" ht="15.75" customHeight="1">
      <c r="A549" s="96" t="str">
        <f t="array" ref="A549">IF(B549="","",INDEX('Bán nhanh'!$A$4:$A$103,INT((ROW()-4)/10)+1))</f>
        <v/>
      </c>
      <c r="B549" s="36" t="str">
        <f t="array" ref="B549">IF(OR(INDEX('Bán nhanh'!$D$3:$M$3,1,MOD(ROW()-4,10)+1)="",INDEX('Bán nhanh'!$D$4:$M$103,INT((ROW()-4)/10)+1,MOD(ROW()-4,10)+1)&lt;=0),"",INDEX('Bán nhanh'!$D$3:$M$3,1,MOD(ROW()-4,10)+1))</f>
        <v/>
      </c>
      <c r="C549" s="36" t="str">
        <f t="array" ref="C549">IFERROR(INDEX('Sản phẩm'!$A$4:$A$103,MATCH(B549,'Sản phẩm'!$D$4:$D$103,0)),"")</f>
        <v/>
      </c>
      <c r="D549" s="36" t="str">
        <f t="array" ref="D549">IF(B549="","",INDEX('Bán nhanh'!$B$4:$B$103,INT((ROW()-4)/10)+1))</f>
        <v/>
      </c>
      <c r="E549" s="36" t="str">
        <f t="array" ref="E549">IFERROR(INDEX('Mẻ sữa'!$B$4:$B$203,MATCH(D549,'Mẻ sữa'!$C$4:$C$203,0)),"")</f>
        <v/>
      </c>
      <c r="F549" s="82">
        <f t="array" ref="F549">IF(B549="",0,INDEX('Bán nhanh'!$D$4:$M$103,INT((ROW()-4)/10)+1,MOD(ROW()-4,10)+1))</f>
        <v>0</v>
      </c>
      <c r="G549" s="83">
        <f t="array" ref="G549">IFERROR(INDEX('Sản phẩm'!$F$4:$F$103,MATCH(B549,'Sản phẩm'!$D$4:$D$103,0)),0)</f>
        <v>0</v>
      </c>
      <c r="H549" s="83">
        <f t="shared" si="5"/>
        <v>0</v>
      </c>
      <c r="I549" s="83">
        <f t="shared" si="1"/>
        <v>0</v>
      </c>
      <c r="J549" s="83">
        <f t="array" ref="J549">IFERROR(INDEX('Sản phẩm'!$G$4:$G$103,MATCH(B549,'Sản phẩm'!$D$4:$D$103,0)),0)</f>
        <v>0</v>
      </c>
      <c r="K549" s="83">
        <f t="array" ref="K549">IFERROR(J549*INDEX('Mẻ sữa'!$N$4:$N$203,MATCH(D549,'Mẻ sữa'!$C$4:$C$203,0)),0)</f>
        <v>0</v>
      </c>
      <c r="L549" s="83">
        <f t="array" ref="L549">IFERROR(INDEX('Sản phẩm'!$I$4:$I$103,MATCH(B549,'Sản phẩm'!$D$4:$D$103,0)),0)</f>
        <v>0</v>
      </c>
      <c r="M549" s="97" t="str">
        <f t="array" ref="M549">IFERROR(INDEX('Sản phẩm'!$J$4:$J$103,MATCH(B549,'Sản phẩm'!$D$4:$D$103,0)),0)</f>
        <v/>
      </c>
      <c r="N549" s="83">
        <f>IF(B549="",0,(K549+L549+M549)*'Thiết lập'!$B$8)</f>
        <v>0</v>
      </c>
      <c r="O549" s="83">
        <f t="shared" si="2"/>
        <v>0</v>
      </c>
      <c r="P549" s="83">
        <f t="shared" si="3"/>
        <v>0</v>
      </c>
      <c r="Q549" s="83">
        <f t="shared" si="4"/>
        <v>0</v>
      </c>
      <c r="R549" s="36" t="str">
        <f t="array" ref="R549">IF(B549="","",INDEX('Bán nhanh'!$C$4:$C$103,INT((ROW()-4)/10)+1))</f>
        <v/>
      </c>
      <c r="S549" s="36" t="str">
        <f t="array" ref="S549">IF(B549="","",INDEX('Bán nhanh'!$P$4:$P$103,INT((ROW()-4)/10)+1))</f>
        <v/>
      </c>
      <c r="T549" s="36"/>
      <c r="U549" s="36"/>
      <c r="V549" s="36"/>
      <c r="W549" s="36"/>
      <c r="X549" s="36"/>
      <c r="Y549" s="36"/>
      <c r="Z549" s="36"/>
    </row>
    <row r="550" ht="15.75" customHeight="1">
      <c r="A550" s="96" t="str">
        <f t="array" ref="A550">IF(B550="","",INDEX('Bán nhanh'!$A$4:$A$103,INT((ROW()-4)/10)+1))</f>
        <v/>
      </c>
      <c r="B550" s="36" t="str">
        <f t="array" ref="B550">IF(OR(INDEX('Bán nhanh'!$D$3:$M$3,1,MOD(ROW()-4,10)+1)="",INDEX('Bán nhanh'!$D$4:$M$103,INT((ROW()-4)/10)+1,MOD(ROW()-4,10)+1)&lt;=0),"",INDEX('Bán nhanh'!$D$3:$M$3,1,MOD(ROW()-4,10)+1))</f>
        <v/>
      </c>
      <c r="C550" s="36" t="str">
        <f t="array" ref="C550">IFERROR(INDEX('Sản phẩm'!$A$4:$A$103,MATCH(B550,'Sản phẩm'!$D$4:$D$103,0)),"")</f>
        <v/>
      </c>
      <c r="D550" s="36" t="str">
        <f t="array" ref="D550">IF(B550="","",INDEX('Bán nhanh'!$B$4:$B$103,INT((ROW()-4)/10)+1))</f>
        <v/>
      </c>
      <c r="E550" s="36" t="str">
        <f t="array" ref="E550">IFERROR(INDEX('Mẻ sữa'!$B$4:$B$203,MATCH(D550,'Mẻ sữa'!$C$4:$C$203,0)),"")</f>
        <v/>
      </c>
      <c r="F550" s="82">
        <f t="array" ref="F550">IF(B550="",0,INDEX('Bán nhanh'!$D$4:$M$103,INT((ROW()-4)/10)+1,MOD(ROW()-4,10)+1))</f>
        <v>0</v>
      </c>
      <c r="G550" s="83">
        <f t="array" ref="G550">IFERROR(INDEX('Sản phẩm'!$F$4:$F$103,MATCH(B550,'Sản phẩm'!$D$4:$D$103,0)),0)</f>
        <v>0</v>
      </c>
      <c r="H550" s="83">
        <f t="shared" si="5"/>
        <v>0</v>
      </c>
      <c r="I550" s="83">
        <f t="shared" si="1"/>
        <v>0</v>
      </c>
      <c r="J550" s="83">
        <f t="array" ref="J550">IFERROR(INDEX('Sản phẩm'!$G$4:$G$103,MATCH(B550,'Sản phẩm'!$D$4:$D$103,0)),0)</f>
        <v>0</v>
      </c>
      <c r="K550" s="83">
        <f t="array" ref="K550">IFERROR(J550*INDEX('Mẻ sữa'!$N$4:$N$203,MATCH(D550,'Mẻ sữa'!$C$4:$C$203,0)),0)</f>
        <v>0</v>
      </c>
      <c r="L550" s="83">
        <f t="array" ref="L550">IFERROR(INDEX('Sản phẩm'!$I$4:$I$103,MATCH(B550,'Sản phẩm'!$D$4:$D$103,0)),0)</f>
        <v>0</v>
      </c>
      <c r="M550" s="97" t="str">
        <f t="array" ref="M550">IFERROR(INDEX('Sản phẩm'!$J$4:$J$103,MATCH(B550,'Sản phẩm'!$D$4:$D$103,0)),0)</f>
        <v/>
      </c>
      <c r="N550" s="83">
        <f>IF(B550="",0,(K550+L550+M550)*'Thiết lập'!$B$8)</f>
        <v>0</v>
      </c>
      <c r="O550" s="83">
        <f t="shared" si="2"/>
        <v>0</v>
      </c>
      <c r="P550" s="83">
        <f t="shared" si="3"/>
        <v>0</v>
      </c>
      <c r="Q550" s="83">
        <f t="shared" si="4"/>
        <v>0</v>
      </c>
      <c r="R550" s="36" t="str">
        <f t="array" ref="R550">IF(B550="","",INDEX('Bán nhanh'!$C$4:$C$103,INT((ROW()-4)/10)+1))</f>
        <v/>
      </c>
      <c r="S550" s="36" t="str">
        <f t="array" ref="S550">IF(B550="","",INDEX('Bán nhanh'!$P$4:$P$103,INT((ROW()-4)/10)+1))</f>
        <v/>
      </c>
      <c r="T550" s="36"/>
      <c r="U550" s="36"/>
      <c r="V550" s="36"/>
      <c r="W550" s="36"/>
      <c r="X550" s="36"/>
      <c r="Y550" s="36"/>
      <c r="Z550" s="36"/>
    </row>
    <row r="551" ht="15.75" customHeight="1">
      <c r="A551" s="96" t="str">
        <f t="array" ref="A551">IF(B551="","",INDEX('Bán nhanh'!$A$4:$A$103,INT((ROW()-4)/10)+1))</f>
        <v/>
      </c>
      <c r="B551" s="36" t="str">
        <f t="array" ref="B551">IF(OR(INDEX('Bán nhanh'!$D$3:$M$3,1,MOD(ROW()-4,10)+1)="",INDEX('Bán nhanh'!$D$4:$M$103,INT((ROW()-4)/10)+1,MOD(ROW()-4,10)+1)&lt;=0),"",INDEX('Bán nhanh'!$D$3:$M$3,1,MOD(ROW()-4,10)+1))</f>
        <v/>
      </c>
      <c r="C551" s="36" t="str">
        <f t="array" ref="C551">IFERROR(INDEX('Sản phẩm'!$A$4:$A$103,MATCH(B551,'Sản phẩm'!$D$4:$D$103,0)),"")</f>
        <v/>
      </c>
      <c r="D551" s="36" t="str">
        <f t="array" ref="D551">IF(B551="","",INDEX('Bán nhanh'!$B$4:$B$103,INT((ROW()-4)/10)+1))</f>
        <v/>
      </c>
      <c r="E551" s="36" t="str">
        <f t="array" ref="E551">IFERROR(INDEX('Mẻ sữa'!$B$4:$B$203,MATCH(D551,'Mẻ sữa'!$C$4:$C$203,0)),"")</f>
        <v/>
      </c>
      <c r="F551" s="82">
        <f t="array" ref="F551">IF(B551="",0,INDEX('Bán nhanh'!$D$4:$M$103,INT((ROW()-4)/10)+1,MOD(ROW()-4,10)+1))</f>
        <v>0</v>
      </c>
      <c r="G551" s="83">
        <f t="array" ref="G551">IFERROR(INDEX('Sản phẩm'!$F$4:$F$103,MATCH(B551,'Sản phẩm'!$D$4:$D$103,0)),0)</f>
        <v>0</v>
      </c>
      <c r="H551" s="83">
        <f t="shared" si="5"/>
        <v>0</v>
      </c>
      <c r="I551" s="83">
        <f t="shared" si="1"/>
        <v>0</v>
      </c>
      <c r="J551" s="83">
        <f t="array" ref="J551">IFERROR(INDEX('Sản phẩm'!$G$4:$G$103,MATCH(B551,'Sản phẩm'!$D$4:$D$103,0)),0)</f>
        <v>0</v>
      </c>
      <c r="K551" s="83">
        <f t="array" ref="K551">IFERROR(J551*INDEX('Mẻ sữa'!$N$4:$N$203,MATCH(D551,'Mẻ sữa'!$C$4:$C$203,0)),0)</f>
        <v>0</v>
      </c>
      <c r="L551" s="83">
        <f t="array" ref="L551">IFERROR(INDEX('Sản phẩm'!$I$4:$I$103,MATCH(B551,'Sản phẩm'!$D$4:$D$103,0)),0)</f>
        <v>0</v>
      </c>
      <c r="M551" s="97" t="str">
        <f t="array" ref="M551">IFERROR(INDEX('Sản phẩm'!$J$4:$J$103,MATCH(B551,'Sản phẩm'!$D$4:$D$103,0)),0)</f>
        <v/>
      </c>
      <c r="N551" s="83">
        <f>IF(B551="",0,(K551+L551+M551)*'Thiết lập'!$B$8)</f>
        <v>0</v>
      </c>
      <c r="O551" s="83">
        <f t="shared" si="2"/>
        <v>0</v>
      </c>
      <c r="P551" s="83">
        <f t="shared" si="3"/>
        <v>0</v>
      </c>
      <c r="Q551" s="83">
        <f t="shared" si="4"/>
        <v>0</v>
      </c>
      <c r="R551" s="36" t="str">
        <f t="array" ref="R551">IF(B551="","",INDEX('Bán nhanh'!$C$4:$C$103,INT((ROW()-4)/10)+1))</f>
        <v/>
      </c>
      <c r="S551" s="36" t="str">
        <f t="array" ref="S551">IF(B551="","",INDEX('Bán nhanh'!$P$4:$P$103,INT((ROW()-4)/10)+1))</f>
        <v/>
      </c>
      <c r="T551" s="36"/>
      <c r="U551" s="36"/>
      <c r="V551" s="36"/>
      <c r="W551" s="36"/>
      <c r="X551" s="36"/>
      <c r="Y551" s="36"/>
      <c r="Z551" s="36"/>
    </row>
    <row r="552" ht="15.75" customHeight="1">
      <c r="A552" s="96" t="str">
        <f t="array" ref="A552">IF(B552="","",INDEX('Bán nhanh'!$A$4:$A$103,INT((ROW()-4)/10)+1))</f>
        <v/>
      </c>
      <c r="B552" s="36" t="str">
        <f t="array" ref="B552">IF(OR(INDEX('Bán nhanh'!$D$3:$M$3,1,MOD(ROW()-4,10)+1)="",INDEX('Bán nhanh'!$D$4:$M$103,INT((ROW()-4)/10)+1,MOD(ROW()-4,10)+1)&lt;=0),"",INDEX('Bán nhanh'!$D$3:$M$3,1,MOD(ROW()-4,10)+1))</f>
        <v/>
      </c>
      <c r="C552" s="36" t="str">
        <f t="array" ref="C552">IFERROR(INDEX('Sản phẩm'!$A$4:$A$103,MATCH(B552,'Sản phẩm'!$D$4:$D$103,0)),"")</f>
        <v/>
      </c>
      <c r="D552" s="36" t="str">
        <f t="array" ref="D552">IF(B552="","",INDEX('Bán nhanh'!$B$4:$B$103,INT((ROW()-4)/10)+1))</f>
        <v/>
      </c>
      <c r="E552" s="36" t="str">
        <f t="array" ref="E552">IFERROR(INDEX('Mẻ sữa'!$B$4:$B$203,MATCH(D552,'Mẻ sữa'!$C$4:$C$203,0)),"")</f>
        <v/>
      </c>
      <c r="F552" s="82">
        <f t="array" ref="F552">IF(B552="",0,INDEX('Bán nhanh'!$D$4:$M$103,INT((ROW()-4)/10)+1,MOD(ROW()-4,10)+1))</f>
        <v>0</v>
      </c>
      <c r="G552" s="83">
        <f t="array" ref="G552">IFERROR(INDEX('Sản phẩm'!$F$4:$F$103,MATCH(B552,'Sản phẩm'!$D$4:$D$103,0)),0)</f>
        <v>0</v>
      </c>
      <c r="H552" s="83">
        <f t="shared" si="5"/>
        <v>0</v>
      </c>
      <c r="I552" s="83">
        <f t="shared" si="1"/>
        <v>0</v>
      </c>
      <c r="J552" s="83">
        <f t="array" ref="J552">IFERROR(INDEX('Sản phẩm'!$G$4:$G$103,MATCH(B552,'Sản phẩm'!$D$4:$D$103,0)),0)</f>
        <v>0</v>
      </c>
      <c r="K552" s="83">
        <f t="array" ref="K552">IFERROR(J552*INDEX('Mẻ sữa'!$N$4:$N$203,MATCH(D552,'Mẻ sữa'!$C$4:$C$203,0)),0)</f>
        <v>0</v>
      </c>
      <c r="L552" s="83">
        <f t="array" ref="L552">IFERROR(INDEX('Sản phẩm'!$I$4:$I$103,MATCH(B552,'Sản phẩm'!$D$4:$D$103,0)),0)</f>
        <v>0</v>
      </c>
      <c r="M552" s="97" t="str">
        <f t="array" ref="M552">IFERROR(INDEX('Sản phẩm'!$J$4:$J$103,MATCH(B552,'Sản phẩm'!$D$4:$D$103,0)),0)</f>
        <v/>
      </c>
      <c r="N552" s="83">
        <f>IF(B552="",0,(K552+L552+M552)*'Thiết lập'!$B$8)</f>
        <v>0</v>
      </c>
      <c r="O552" s="83">
        <f t="shared" si="2"/>
        <v>0</v>
      </c>
      <c r="P552" s="83">
        <f t="shared" si="3"/>
        <v>0</v>
      </c>
      <c r="Q552" s="83">
        <f t="shared" si="4"/>
        <v>0</v>
      </c>
      <c r="R552" s="36" t="str">
        <f t="array" ref="R552">IF(B552="","",INDEX('Bán nhanh'!$C$4:$C$103,INT((ROW()-4)/10)+1))</f>
        <v/>
      </c>
      <c r="S552" s="36" t="str">
        <f t="array" ref="S552">IF(B552="","",INDEX('Bán nhanh'!$P$4:$P$103,INT((ROW()-4)/10)+1))</f>
        <v/>
      </c>
      <c r="T552" s="36"/>
      <c r="U552" s="36"/>
      <c r="V552" s="36"/>
      <c r="W552" s="36"/>
      <c r="X552" s="36"/>
      <c r="Y552" s="36"/>
      <c r="Z552" s="36"/>
    </row>
    <row r="553" ht="15.75" customHeight="1">
      <c r="A553" s="96" t="str">
        <f t="array" ref="A553">IF(B553="","",INDEX('Bán nhanh'!$A$4:$A$103,INT((ROW()-4)/10)+1))</f>
        <v/>
      </c>
      <c r="B553" s="36" t="str">
        <f t="array" ref="B553">IF(OR(INDEX('Bán nhanh'!$D$3:$M$3,1,MOD(ROW()-4,10)+1)="",INDEX('Bán nhanh'!$D$4:$M$103,INT((ROW()-4)/10)+1,MOD(ROW()-4,10)+1)&lt;=0),"",INDEX('Bán nhanh'!$D$3:$M$3,1,MOD(ROW()-4,10)+1))</f>
        <v/>
      </c>
      <c r="C553" s="36" t="str">
        <f t="array" ref="C553">IFERROR(INDEX('Sản phẩm'!$A$4:$A$103,MATCH(B553,'Sản phẩm'!$D$4:$D$103,0)),"")</f>
        <v/>
      </c>
      <c r="D553" s="36" t="str">
        <f t="array" ref="D553">IF(B553="","",INDEX('Bán nhanh'!$B$4:$B$103,INT((ROW()-4)/10)+1))</f>
        <v/>
      </c>
      <c r="E553" s="36" t="str">
        <f t="array" ref="E553">IFERROR(INDEX('Mẻ sữa'!$B$4:$B$203,MATCH(D553,'Mẻ sữa'!$C$4:$C$203,0)),"")</f>
        <v/>
      </c>
      <c r="F553" s="82">
        <f t="array" ref="F553">IF(B553="",0,INDEX('Bán nhanh'!$D$4:$M$103,INT((ROW()-4)/10)+1,MOD(ROW()-4,10)+1))</f>
        <v>0</v>
      </c>
      <c r="G553" s="83">
        <f t="array" ref="G553">IFERROR(INDEX('Sản phẩm'!$F$4:$F$103,MATCH(B553,'Sản phẩm'!$D$4:$D$103,0)),0)</f>
        <v>0</v>
      </c>
      <c r="H553" s="83">
        <f t="shared" si="5"/>
        <v>0</v>
      </c>
      <c r="I553" s="83">
        <f t="shared" si="1"/>
        <v>0</v>
      </c>
      <c r="J553" s="83">
        <f t="array" ref="J553">IFERROR(INDEX('Sản phẩm'!$G$4:$G$103,MATCH(B553,'Sản phẩm'!$D$4:$D$103,0)),0)</f>
        <v>0</v>
      </c>
      <c r="K553" s="83">
        <f t="array" ref="K553">IFERROR(J553*INDEX('Mẻ sữa'!$N$4:$N$203,MATCH(D553,'Mẻ sữa'!$C$4:$C$203,0)),0)</f>
        <v>0</v>
      </c>
      <c r="L553" s="83">
        <f t="array" ref="L553">IFERROR(INDEX('Sản phẩm'!$I$4:$I$103,MATCH(B553,'Sản phẩm'!$D$4:$D$103,0)),0)</f>
        <v>0</v>
      </c>
      <c r="M553" s="97" t="str">
        <f t="array" ref="M553">IFERROR(INDEX('Sản phẩm'!$J$4:$J$103,MATCH(B553,'Sản phẩm'!$D$4:$D$103,0)),0)</f>
        <v/>
      </c>
      <c r="N553" s="83">
        <f>IF(B553="",0,(K553+L553+M553)*'Thiết lập'!$B$8)</f>
        <v>0</v>
      </c>
      <c r="O553" s="83">
        <f t="shared" si="2"/>
        <v>0</v>
      </c>
      <c r="P553" s="83">
        <f t="shared" si="3"/>
        <v>0</v>
      </c>
      <c r="Q553" s="83">
        <f t="shared" si="4"/>
        <v>0</v>
      </c>
      <c r="R553" s="36" t="str">
        <f t="array" ref="R553">IF(B553="","",INDEX('Bán nhanh'!$C$4:$C$103,INT((ROW()-4)/10)+1))</f>
        <v/>
      </c>
      <c r="S553" s="36" t="str">
        <f t="array" ref="S553">IF(B553="","",INDEX('Bán nhanh'!$P$4:$P$103,INT((ROW()-4)/10)+1))</f>
        <v/>
      </c>
      <c r="T553" s="36"/>
      <c r="U553" s="36"/>
      <c r="V553" s="36"/>
      <c r="W553" s="36"/>
      <c r="X553" s="36"/>
      <c r="Y553" s="36"/>
      <c r="Z553" s="36"/>
    </row>
    <row r="554" ht="15.75" customHeight="1">
      <c r="A554" s="96" t="str">
        <f t="array" ref="A554">IF(B554="","",INDEX('Bán nhanh'!$A$4:$A$103,INT((ROW()-4)/10)+1))</f>
        <v/>
      </c>
      <c r="B554" s="36" t="str">
        <f t="array" ref="B554">IF(OR(INDEX('Bán nhanh'!$D$3:$M$3,1,MOD(ROW()-4,10)+1)="",INDEX('Bán nhanh'!$D$4:$M$103,INT((ROW()-4)/10)+1,MOD(ROW()-4,10)+1)&lt;=0),"",INDEX('Bán nhanh'!$D$3:$M$3,1,MOD(ROW()-4,10)+1))</f>
        <v/>
      </c>
      <c r="C554" s="36" t="str">
        <f t="array" ref="C554">IFERROR(INDEX('Sản phẩm'!$A$4:$A$103,MATCH(B554,'Sản phẩm'!$D$4:$D$103,0)),"")</f>
        <v/>
      </c>
      <c r="D554" s="36" t="str">
        <f t="array" ref="D554">IF(B554="","",INDEX('Bán nhanh'!$B$4:$B$103,INT((ROW()-4)/10)+1))</f>
        <v/>
      </c>
      <c r="E554" s="36" t="str">
        <f t="array" ref="E554">IFERROR(INDEX('Mẻ sữa'!$B$4:$B$203,MATCH(D554,'Mẻ sữa'!$C$4:$C$203,0)),"")</f>
        <v/>
      </c>
      <c r="F554" s="82">
        <f t="array" ref="F554">IF(B554="",0,INDEX('Bán nhanh'!$D$4:$M$103,INT((ROW()-4)/10)+1,MOD(ROW()-4,10)+1))</f>
        <v>0</v>
      </c>
      <c r="G554" s="83">
        <f t="array" ref="G554">IFERROR(INDEX('Sản phẩm'!$F$4:$F$103,MATCH(B554,'Sản phẩm'!$D$4:$D$103,0)),0)</f>
        <v>0</v>
      </c>
      <c r="H554" s="83">
        <f t="shared" si="5"/>
        <v>0</v>
      </c>
      <c r="I554" s="83">
        <f t="shared" si="1"/>
        <v>0</v>
      </c>
      <c r="J554" s="83">
        <f t="array" ref="J554">IFERROR(INDEX('Sản phẩm'!$G$4:$G$103,MATCH(B554,'Sản phẩm'!$D$4:$D$103,0)),0)</f>
        <v>0</v>
      </c>
      <c r="K554" s="83">
        <f t="array" ref="K554">IFERROR(J554*INDEX('Mẻ sữa'!$N$4:$N$203,MATCH(D554,'Mẻ sữa'!$C$4:$C$203,0)),0)</f>
        <v>0</v>
      </c>
      <c r="L554" s="83">
        <f t="array" ref="L554">IFERROR(INDEX('Sản phẩm'!$I$4:$I$103,MATCH(B554,'Sản phẩm'!$D$4:$D$103,0)),0)</f>
        <v>0</v>
      </c>
      <c r="M554" s="97" t="str">
        <f t="array" ref="M554">IFERROR(INDEX('Sản phẩm'!$J$4:$J$103,MATCH(B554,'Sản phẩm'!$D$4:$D$103,0)),0)</f>
        <v/>
      </c>
      <c r="N554" s="83">
        <f>IF(B554="",0,(K554+L554+M554)*'Thiết lập'!$B$8)</f>
        <v>0</v>
      </c>
      <c r="O554" s="83">
        <f t="shared" si="2"/>
        <v>0</v>
      </c>
      <c r="P554" s="83">
        <f t="shared" si="3"/>
        <v>0</v>
      </c>
      <c r="Q554" s="83">
        <f t="shared" si="4"/>
        <v>0</v>
      </c>
      <c r="R554" s="36" t="str">
        <f t="array" ref="R554">IF(B554="","",INDEX('Bán nhanh'!$C$4:$C$103,INT((ROW()-4)/10)+1))</f>
        <v/>
      </c>
      <c r="S554" s="36" t="str">
        <f t="array" ref="S554">IF(B554="","",INDEX('Bán nhanh'!$P$4:$P$103,INT((ROW()-4)/10)+1))</f>
        <v/>
      </c>
      <c r="T554" s="36"/>
      <c r="U554" s="36"/>
      <c r="V554" s="36"/>
      <c r="W554" s="36"/>
      <c r="X554" s="36"/>
      <c r="Y554" s="36"/>
      <c r="Z554" s="36"/>
    </row>
    <row r="555" ht="15.75" customHeight="1">
      <c r="A555" s="96" t="str">
        <f t="array" ref="A555">IF(B555="","",INDEX('Bán nhanh'!$A$4:$A$103,INT((ROW()-4)/10)+1))</f>
        <v/>
      </c>
      <c r="B555" s="36" t="str">
        <f t="array" ref="B555">IF(OR(INDEX('Bán nhanh'!$D$3:$M$3,1,MOD(ROW()-4,10)+1)="",INDEX('Bán nhanh'!$D$4:$M$103,INT((ROW()-4)/10)+1,MOD(ROW()-4,10)+1)&lt;=0),"",INDEX('Bán nhanh'!$D$3:$M$3,1,MOD(ROW()-4,10)+1))</f>
        <v/>
      </c>
      <c r="C555" s="36" t="str">
        <f t="array" ref="C555">IFERROR(INDEX('Sản phẩm'!$A$4:$A$103,MATCH(B555,'Sản phẩm'!$D$4:$D$103,0)),"")</f>
        <v/>
      </c>
      <c r="D555" s="36" t="str">
        <f t="array" ref="D555">IF(B555="","",INDEX('Bán nhanh'!$B$4:$B$103,INT((ROW()-4)/10)+1))</f>
        <v/>
      </c>
      <c r="E555" s="36" t="str">
        <f t="array" ref="E555">IFERROR(INDEX('Mẻ sữa'!$B$4:$B$203,MATCH(D555,'Mẻ sữa'!$C$4:$C$203,0)),"")</f>
        <v/>
      </c>
      <c r="F555" s="82">
        <f t="array" ref="F555">IF(B555="",0,INDEX('Bán nhanh'!$D$4:$M$103,INT((ROW()-4)/10)+1,MOD(ROW()-4,10)+1))</f>
        <v>0</v>
      </c>
      <c r="G555" s="83">
        <f t="array" ref="G555">IFERROR(INDEX('Sản phẩm'!$F$4:$F$103,MATCH(B555,'Sản phẩm'!$D$4:$D$103,0)),0)</f>
        <v>0</v>
      </c>
      <c r="H555" s="83">
        <f t="shared" si="5"/>
        <v>0</v>
      </c>
      <c r="I555" s="83">
        <f t="shared" si="1"/>
        <v>0</v>
      </c>
      <c r="J555" s="83">
        <f t="array" ref="J555">IFERROR(INDEX('Sản phẩm'!$G$4:$G$103,MATCH(B555,'Sản phẩm'!$D$4:$D$103,0)),0)</f>
        <v>0</v>
      </c>
      <c r="K555" s="83">
        <f t="array" ref="K555">IFERROR(J555*INDEX('Mẻ sữa'!$N$4:$N$203,MATCH(D555,'Mẻ sữa'!$C$4:$C$203,0)),0)</f>
        <v>0</v>
      </c>
      <c r="L555" s="83">
        <f t="array" ref="L555">IFERROR(INDEX('Sản phẩm'!$I$4:$I$103,MATCH(B555,'Sản phẩm'!$D$4:$D$103,0)),0)</f>
        <v>0</v>
      </c>
      <c r="M555" s="97" t="str">
        <f t="array" ref="M555">IFERROR(INDEX('Sản phẩm'!$J$4:$J$103,MATCH(B555,'Sản phẩm'!$D$4:$D$103,0)),0)</f>
        <v/>
      </c>
      <c r="N555" s="83">
        <f>IF(B555="",0,(K555+L555+M555)*'Thiết lập'!$B$8)</f>
        <v>0</v>
      </c>
      <c r="O555" s="83">
        <f t="shared" si="2"/>
        <v>0</v>
      </c>
      <c r="P555" s="83">
        <f t="shared" si="3"/>
        <v>0</v>
      </c>
      <c r="Q555" s="83">
        <f t="shared" si="4"/>
        <v>0</v>
      </c>
      <c r="R555" s="36" t="str">
        <f t="array" ref="R555">IF(B555="","",INDEX('Bán nhanh'!$C$4:$C$103,INT((ROW()-4)/10)+1))</f>
        <v/>
      </c>
      <c r="S555" s="36" t="str">
        <f t="array" ref="S555">IF(B555="","",INDEX('Bán nhanh'!$P$4:$P$103,INT((ROW()-4)/10)+1))</f>
        <v/>
      </c>
      <c r="T555" s="36"/>
      <c r="U555" s="36"/>
      <c r="V555" s="36"/>
      <c r="W555" s="36"/>
      <c r="X555" s="36"/>
      <c r="Y555" s="36"/>
      <c r="Z555" s="36"/>
    </row>
    <row r="556" ht="15.75" customHeight="1">
      <c r="A556" s="96" t="str">
        <f t="array" ref="A556">IF(B556="","",INDEX('Bán nhanh'!$A$4:$A$103,INT((ROW()-4)/10)+1))</f>
        <v/>
      </c>
      <c r="B556" s="36" t="str">
        <f t="array" ref="B556">IF(OR(INDEX('Bán nhanh'!$D$3:$M$3,1,MOD(ROW()-4,10)+1)="",INDEX('Bán nhanh'!$D$4:$M$103,INT((ROW()-4)/10)+1,MOD(ROW()-4,10)+1)&lt;=0),"",INDEX('Bán nhanh'!$D$3:$M$3,1,MOD(ROW()-4,10)+1))</f>
        <v/>
      </c>
      <c r="C556" s="36" t="str">
        <f t="array" ref="C556">IFERROR(INDEX('Sản phẩm'!$A$4:$A$103,MATCH(B556,'Sản phẩm'!$D$4:$D$103,0)),"")</f>
        <v/>
      </c>
      <c r="D556" s="36" t="str">
        <f t="array" ref="D556">IF(B556="","",INDEX('Bán nhanh'!$B$4:$B$103,INT((ROW()-4)/10)+1))</f>
        <v/>
      </c>
      <c r="E556" s="36" t="str">
        <f t="array" ref="E556">IFERROR(INDEX('Mẻ sữa'!$B$4:$B$203,MATCH(D556,'Mẻ sữa'!$C$4:$C$203,0)),"")</f>
        <v/>
      </c>
      <c r="F556" s="82">
        <f t="array" ref="F556">IF(B556="",0,INDEX('Bán nhanh'!$D$4:$M$103,INT((ROW()-4)/10)+1,MOD(ROW()-4,10)+1))</f>
        <v>0</v>
      </c>
      <c r="G556" s="83">
        <f t="array" ref="G556">IFERROR(INDEX('Sản phẩm'!$F$4:$F$103,MATCH(B556,'Sản phẩm'!$D$4:$D$103,0)),0)</f>
        <v>0</v>
      </c>
      <c r="H556" s="83">
        <f t="shared" si="5"/>
        <v>0</v>
      </c>
      <c r="I556" s="83">
        <f t="shared" si="1"/>
        <v>0</v>
      </c>
      <c r="J556" s="83">
        <f t="array" ref="J556">IFERROR(INDEX('Sản phẩm'!$G$4:$G$103,MATCH(B556,'Sản phẩm'!$D$4:$D$103,0)),0)</f>
        <v>0</v>
      </c>
      <c r="K556" s="83">
        <f t="array" ref="K556">IFERROR(J556*INDEX('Mẻ sữa'!$N$4:$N$203,MATCH(D556,'Mẻ sữa'!$C$4:$C$203,0)),0)</f>
        <v>0</v>
      </c>
      <c r="L556" s="83">
        <f t="array" ref="L556">IFERROR(INDEX('Sản phẩm'!$I$4:$I$103,MATCH(B556,'Sản phẩm'!$D$4:$D$103,0)),0)</f>
        <v>0</v>
      </c>
      <c r="M556" s="97" t="str">
        <f t="array" ref="M556">IFERROR(INDEX('Sản phẩm'!$J$4:$J$103,MATCH(B556,'Sản phẩm'!$D$4:$D$103,0)),0)</f>
        <v/>
      </c>
      <c r="N556" s="83">
        <f>IF(B556="",0,(K556+L556+M556)*'Thiết lập'!$B$8)</f>
        <v>0</v>
      </c>
      <c r="O556" s="83">
        <f t="shared" si="2"/>
        <v>0</v>
      </c>
      <c r="P556" s="83">
        <f t="shared" si="3"/>
        <v>0</v>
      </c>
      <c r="Q556" s="83">
        <f t="shared" si="4"/>
        <v>0</v>
      </c>
      <c r="R556" s="36" t="str">
        <f t="array" ref="R556">IF(B556="","",INDEX('Bán nhanh'!$C$4:$C$103,INT((ROW()-4)/10)+1))</f>
        <v/>
      </c>
      <c r="S556" s="36" t="str">
        <f t="array" ref="S556">IF(B556="","",INDEX('Bán nhanh'!$P$4:$P$103,INT((ROW()-4)/10)+1))</f>
        <v/>
      </c>
      <c r="T556" s="36"/>
      <c r="U556" s="36"/>
      <c r="V556" s="36"/>
      <c r="W556" s="36"/>
      <c r="X556" s="36"/>
      <c r="Y556" s="36"/>
      <c r="Z556" s="36"/>
    </row>
    <row r="557" ht="15.75" customHeight="1">
      <c r="A557" s="96" t="str">
        <f t="array" ref="A557">IF(B557="","",INDEX('Bán nhanh'!$A$4:$A$103,INT((ROW()-4)/10)+1))</f>
        <v/>
      </c>
      <c r="B557" s="36" t="str">
        <f t="array" ref="B557">IF(OR(INDEX('Bán nhanh'!$D$3:$M$3,1,MOD(ROW()-4,10)+1)="",INDEX('Bán nhanh'!$D$4:$M$103,INT((ROW()-4)/10)+1,MOD(ROW()-4,10)+1)&lt;=0),"",INDEX('Bán nhanh'!$D$3:$M$3,1,MOD(ROW()-4,10)+1))</f>
        <v/>
      </c>
      <c r="C557" s="36" t="str">
        <f t="array" ref="C557">IFERROR(INDEX('Sản phẩm'!$A$4:$A$103,MATCH(B557,'Sản phẩm'!$D$4:$D$103,0)),"")</f>
        <v/>
      </c>
      <c r="D557" s="36" t="str">
        <f t="array" ref="D557">IF(B557="","",INDEX('Bán nhanh'!$B$4:$B$103,INT((ROW()-4)/10)+1))</f>
        <v/>
      </c>
      <c r="E557" s="36" t="str">
        <f t="array" ref="E557">IFERROR(INDEX('Mẻ sữa'!$B$4:$B$203,MATCH(D557,'Mẻ sữa'!$C$4:$C$203,0)),"")</f>
        <v/>
      </c>
      <c r="F557" s="82">
        <f t="array" ref="F557">IF(B557="",0,INDEX('Bán nhanh'!$D$4:$M$103,INT((ROW()-4)/10)+1,MOD(ROW()-4,10)+1))</f>
        <v>0</v>
      </c>
      <c r="G557" s="83">
        <f t="array" ref="G557">IFERROR(INDEX('Sản phẩm'!$F$4:$F$103,MATCH(B557,'Sản phẩm'!$D$4:$D$103,0)),0)</f>
        <v>0</v>
      </c>
      <c r="H557" s="83">
        <f t="shared" si="5"/>
        <v>0</v>
      </c>
      <c r="I557" s="83">
        <f t="shared" si="1"/>
        <v>0</v>
      </c>
      <c r="J557" s="83">
        <f t="array" ref="J557">IFERROR(INDEX('Sản phẩm'!$G$4:$G$103,MATCH(B557,'Sản phẩm'!$D$4:$D$103,0)),0)</f>
        <v>0</v>
      </c>
      <c r="K557" s="83">
        <f t="array" ref="K557">IFERROR(J557*INDEX('Mẻ sữa'!$N$4:$N$203,MATCH(D557,'Mẻ sữa'!$C$4:$C$203,0)),0)</f>
        <v>0</v>
      </c>
      <c r="L557" s="83">
        <f t="array" ref="L557">IFERROR(INDEX('Sản phẩm'!$I$4:$I$103,MATCH(B557,'Sản phẩm'!$D$4:$D$103,0)),0)</f>
        <v>0</v>
      </c>
      <c r="M557" s="97" t="str">
        <f t="array" ref="M557">IFERROR(INDEX('Sản phẩm'!$J$4:$J$103,MATCH(B557,'Sản phẩm'!$D$4:$D$103,0)),0)</f>
        <v/>
      </c>
      <c r="N557" s="83">
        <f>IF(B557="",0,(K557+L557+M557)*'Thiết lập'!$B$8)</f>
        <v>0</v>
      </c>
      <c r="O557" s="83">
        <f t="shared" si="2"/>
        <v>0</v>
      </c>
      <c r="P557" s="83">
        <f t="shared" si="3"/>
        <v>0</v>
      </c>
      <c r="Q557" s="83">
        <f t="shared" si="4"/>
        <v>0</v>
      </c>
      <c r="R557" s="36" t="str">
        <f t="array" ref="R557">IF(B557="","",INDEX('Bán nhanh'!$C$4:$C$103,INT((ROW()-4)/10)+1))</f>
        <v/>
      </c>
      <c r="S557" s="36" t="str">
        <f t="array" ref="S557">IF(B557="","",INDEX('Bán nhanh'!$P$4:$P$103,INT((ROW()-4)/10)+1))</f>
        <v/>
      </c>
      <c r="T557" s="36"/>
      <c r="U557" s="36"/>
      <c r="V557" s="36"/>
      <c r="W557" s="36"/>
      <c r="X557" s="36"/>
      <c r="Y557" s="36"/>
      <c r="Z557" s="36"/>
    </row>
    <row r="558" ht="15.75" customHeight="1">
      <c r="A558" s="96" t="str">
        <f t="array" ref="A558">IF(B558="","",INDEX('Bán nhanh'!$A$4:$A$103,INT((ROW()-4)/10)+1))</f>
        <v/>
      </c>
      <c r="B558" s="36" t="str">
        <f t="array" ref="B558">IF(OR(INDEX('Bán nhanh'!$D$3:$M$3,1,MOD(ROW()-4,10)+1)="",INDEX('Bán nhanh'!$D$4:$M$103,INT((ROW()-4)/10)+1,MOD(ROW()-4,10)+1)&lt;=0),"",INDEX('Bán nhanh'!$D$3:$M$3,1,MOD(ROW()-4,10)+1))</f>
        <v/>
      </c>
      <c r="C558" s="36" t="str">
        <f t="array" ref="C558">IFERROR(INDEX('Sản phẩm'!$A$4:$A$103,MATCH(B558,'Sản phẩm'!$D$4:$D$103,0)),"")</f>
        <v/>
      </c>
      <c r="D558" s="36" t="str">
        <f t="array" ref="D558">IF(B558="","",INDEX('Bán nhanh'!$B$4:$B$103,INT((ROW()-4)/10)+1))</f>
        <v/>
      </c>
      <c r="E558" s="36" t="str">
        <f t="array" ref="E558">IFERROR(INDEX('Mẻ sữa'!$B$4:$B$203,MATCH(D558,'Mẻ sữa'!$C$4:$C$203,0)),"")</f>
        <v/>
      </c>
      <c r="F558" s="82">
        <f t="array" ref="F558">IF(B558="",0,INDEX('Bán nhanh'!$D$4:$M$103,INT((ROW()-4)/10)+1,MOD(ROW()-4,10)+1))</f>
        <v>0</v>
      </c>
      <c r="G558" s="83">
        <f t="array" ref="G558">IFERROR(INDEX('Sản phẩm'!$F$4:$F$103,MATCH(B558,'Sản phẩm'!$D$4:$D$103,0)),0)</f>
        <v>0</v>
      </c>
      <c r="H558" s="83">
        <f t="shared" si="5"/>
        <v>0</v>
      </c>
      <c r="I558" s="83">
        <f t="shared" si="1"/>
        <v>0</v>
      </c>
      <c r="J558" s="83">
        <f t="array" ref="J558">IFERROR(INDEX('Sản phẩm'!$G$4:$G$103,MATCH(B558,'Sản phẩm'!$D$4:$D$103,0)),0)</f>
        <v>0</v>
      </c>
      <c r="K558" s="83">
        <f t="array" ref="K558">IFERROR(J558*INDEX('Mẻ sữa'!$N$4:$N$203,MATCH(D558,'Mẻ sữa'!$C$4:$C$203,0)),0)</f>
        <v>0</v>
      </c>
      <c r="L558" s="83">
        <f t="array" ref="L558">IFERROR(INDEX('Sản phẩm'!$I$4:$I$103,MATCH(B558,'Sản phẩm'!$D$4:$D$103,0)),0)</f>
        <v>0</v>
      </c>
      <c r="M558" s="97" t="str">
        <f t="array" ref="M558">IFERROR(INDEX('Sản phẩm'!$J$4:$J$103,MATCH(B558,'Sản phẩm'!$D$4:$D$103,0)),0)</f>
        <v/>
      </c>
      <c r="N558" s="83">
        <f>IF(B558="",0,(K558+L558+M558)*'Thiết lập'!$B$8)</f>
        <v>0</v>
      </c>
      <c r="O558" s="83">
        <f t="shared" si="2"/>
        <v>0</v>
      </c>
      <c r="P558" s="83">
        <f t="shared" si="3"/>
        <v>0</v>
      </c>
      <c r="Q558" s="83">
        <f t="shared" si="4"/>
        <v>0</v>
      </c>
      <c r="R558" s="36" t="str">
        <f t="array" ref="R558">IF(B558="","",INDEX('Bán nhanh'!$C$4:$C$103,INT((ROW()-4)/10)+1))</f>
        <v/>
      </c>
      <c r="S558" s="36" t="str">
        <f t="array" ref="S558">IF(B558="","",INDEX('Bán nhanh'!$P$4:$P$103,INT((ROW()-4)/10)+1))</f>
        <v/>
      </c>
      <c r="T558" s="36"/>
      <c r="U558" s="36"/>
      <c r="V558" s="36"/>
      <c r="W558" s="36"/>
      <c r="X558" s="36"/>
      <c r="Y558" s="36"/>
      <c r="Z558" s="36"/>
    </row>
    <row r="559" ht="15.75" customHeight="1">
      <c r="A559" s="96" t="str">
        <f t="array" ref="A559">IF(B559="","",INDEX('Bán nhanh'!$A$4:$A$103,INT((ROW()-4)/10)+1))</f>
        <v/>
      </c>
      <c r="B559" s="36" t="str">
        <f t="array" ref="B559">IF(OR(INDEX('Bán nhanh'!$D$3:$M$3,1,MOD(ROW()-4,10)+1)="",INDEX('Bán nhanh'!$D$4:$M$103,INT((ROW()-4)/10)+1,MOD(ROW()-4,10)+1)&lt;=0),"",INDEX('Bán nhanh'!$D$3:$M$3,1,MOD(ROW()-4,10)+1))</f>
        <v/>
      </c>
      <c r="C559" s="36" t="str">
        <f t="array" ref="C559">IFERROR(INDEX('Sản phẩm'!$A$4:$A$103,MATCH(B559,'Sản phẩm'!$D$4:$D$103,0)),"")</f>
        <v/>
      </c>
      <c r="D559" s="36" t="str">
        <f t="array" ref="D559">IF(B559="","",INDEX('Bán nhanh'!$B$4:$B$103,INT((ROW()-4)/10)+1))</f>
        <v/>
      </c>
      <c r="E559" s="36" t="str">
        <f t="array" ref="E559">IFERROR(INDEX('Mẻ sữa'!$B$4:$B$203,MATCH(D559,'Mẻ sữa'!$C$4:$C$203,0)),"")</f>
        <v/>
      </c>
      <c r="F559" s="82">
        <f t="array" ref="F559">IF(B559="",0,INDEX('Bán nhanh'!$D$4:$M$103,INT((ROW()-4)/10)+1,MOD(ROW()-4,10)+1))</f>
        <v>0</v>
      </c>
      <c r="G559" s="83">
        <f t="array" ref="G559">IFERROR(INDEX('Sản phẩm'!$F$4:$F$103,MATCH(B559,'Sản phẩm'!$D$4:$D$103,0)),0)</f>
        <v>0</v>
      </c>
      <c r="H559" s="83">
        <f t="shared" si="5"/>
        <v>0</v>
      </c>
      <c r="I559" s="83">
        <f t="shared" si="1"/>
        <v>0</v>
      </c>
      <c r="J559" s="83">
        <f t="array" ref="J559">IFERROR(INDEX('Sản phẩm'!$G$4:$G$103,MATCH(B559,'Sản phẩm'!$D$4:$D$103,0)),0)</f>
        <v>0</v>
      </c>
      <c r="K559" s="83">
        <f t="array" ref="K559">IFERROR(J559*INDEX('Mẻ sữa'!$N$4:$N$203,MATCH(D559,'Mẻ sữa'!$C$4:$C$203,0)),0)</f>
        <v>0</v>
      </c>
      <c r="L559" s="83">
        <f t="array" ref="L559">IFERROR(INDEX('Sản phẩm'!$I$4:$I$103,MATCH(B559,'Sản phẩm'!$D$4:$D$103,0)),0)</f>
        <v>0</v>
      </c>
      <c r="M559" s="97" t="str">
        <f t="array" ref="M559">IFERROR(INDEX('Sản phẩm'!$J$4:$J$103,MATCH(B559,'Sản phẩm'!$D$4:$D$103,0)),0)</f>
        <v/>
      </c>
      <c r="N559" s="83">
        <f>IF(B559="",0,(K559+L559+M559)*'Thiết lập'!$B$8)</f>
        <v>0</v>
      </c>
      <c r="O559" s="83">
        <f t="shared" si="2"/>
        <v>0</v>
      </c>
      <c r="P559" s="83">
        <f t="shared" si="3"/>
        <v>0</v>
      </c>
      <c r="Q559" s="83">
        <f t="shared" si="4"/>
        <v>0</v>
      </c>
      <c r="R559" s="36" t="str">
        <f t="array" ref="R559">IF(B559="","",INDEX('Bán nhanh'!$C$4:$C$103,INT((ROW()-4)/10)+1))</f>
        <v/>
      </c>
      <c r="S559" s="36" t="str">
        <f t="array" ref="S559">IF(B559="","",INDEX('Bán nhanh'!$P$4:$P$103,INT((ROW()-4)/10)+1))</f>
        <v/>
      </c>
      <c r="T559" s="36"/>
      <c r="U559" s="36"/>
      <c r="V559" s="36"/>
      <c r="W559" s="36"/>
      <c r="X559" s="36"/>
      <c r="Y559" s="36"/>
      <c r="Z559" s="36"/>
    </row>
    <row r="560" ht="15.75" customHeight="1">
      <c r="A560" s="96" t="str">
        <f t="array" ref="A560">IF(B560="","",INDEX('Bán nhanh'!$A$4:$A$103,INT((ROW()-4)/10)+1))</f>
        <v/>
      </c>
      <c r="B560" s="36" t="str">
        <f t="array" ref="B560">IF(OR(INDEX('Bán nhanh'!$D$3:$M$3,1,MOD(ROW()-4,10)+1)="",INDEX('Bán nhanh'!$D$4:$M$103,INT((ROW()-4)/10)+1,MOD(ROW()-4,10)+1)&lt;=0),"",INDEX('Bán nhanh'!$D$3:$M$3,1,MOD(ROW()-4,10)+1))</f>
        <v/>
      </c>
      <c r="C560" s="36" t="str">
        <f t="array" ref="C560">IFERROR(INDEX('Sản phẩm'!$A$4:$A$103,MATCH(B560,'Sản phẩm'!$D$4:$D$103,0)),"")</f>
        <v/>
      </c>
      <c r="D560" s="36" t="str">
        <f t="array" ref="D560">IF(B560="","",INDEX('Bán nhanh'!$B$4:$B$103,INT((ROW()-4)/10)+1))</f>
        <v/>
      </c>
      <c r="E560" s="36" t="str">
        <f t="array" ref="E560">IFERROR(INDEX('Mẻ sữa'!$B$4:$B$203,MATCH(D560,'Mẻ sữa'!$C$4:$C$203,0)),"")</f>
        <v/>
      </c>
      <c r="F560" s="82">
        <f t="array" ref="F560">IF(B560="",0,INDEX('Bán nhanh'!$D$4:$M$103,INT((ROW()-4)/10)+1,MOD(ROW()-4,10)+1))</f>
        <v>0</v>
      </c>
      <c r="G560" s="83">
        <f t="array" ref="G560">IFERROR(INDEX('Sản phẩm'!$F$4:$F$103,MATCH(B560,'Sản phẩm'!$D$4:$D$103,0)),0)</f>
        <v>0</v>
      </c>
      <c r="H560" s="83">
        <f t="shared" si="5"/>
        <v>0</v>
      </c>
      <c r="I560" s="83">
        <f t="shared" si="1"/>
        <v>0</v>
      </c>
      <c r="J560" s="83">
        <f t="array" ref="J560">IFERROR(INDEX('Sản phẩm'!$G$4:$G$103,MATCH(B560,'Sản phẩm'!$D$4:$D$103,0)),0)</f>
        <v>0</v>
      </c>
      <c r="K560" s="83">
        <f t="array" ref="K560">IFERROR(J560*INDEX('Mẻ sữa'!$N$4:$N$203,MATCH(D560,'Mẻ sữa'!$C$4:$C$203,0)),0)</f>
        <v>0</v>
      </c>
      <c r="L560" s="83">
        <f t="array" ref="L560">IFERROR(INDEX('Sản phẩm'!$I$4:$I$103,MATCH(B560,'Sản phẩm'!$D$4:$D$103,0)),0)</f>
        <v>0</v>
      </c>
      <c r="M560" s="97" t="str">
        <f t="array" ref="M560">IFERROR(INDEX('Sản phẩm'!$J$4:$J$103,MATCH(B560,'Sản phẩm'!$D$4:$D$103,0)),0)</f>
        <v/>
      </c>
      <c r="N560" s="83">
        <f>IF(B560="",0,(K560+L560+M560)*'Thiết lập'!$B$8)</f>
        <v>0</v>
      </c>
      <c r="O560" s="83">
        <f t="shared" si="2"/>
        <v>0</v>
      </c>
      <c r="P560" s="83">
        <f t="shared" si="3"/>
        <v>0</v>
      </c>
      <c r="Q560" s="83">
        <f t="shared" si="4"/>
        <v>0</v>
      </c>
      <c r="R560" s="36" t="str">
        <f t="array" ref="R560">IF(B560="","",INDEX('Bán nhanh'!$C$4:$C$103,INT((ROW()-4)/10)+1))</f>
        <v/>
      </c>
      <c r="S560" s="36" t="str">
        <f t="array" ref="S560">IF(B560="","",INDEX('Bán nhanh'!$P$4:$P$103,INT((ROW()-4)/10)+1))</f>
        <v/>
      </c>
      <c r="T560" s="36"/>
      <c r="U560" s="36"/>
      <c r="V560" s="36"/>
      <c r="W560" s="36"/>
      <c r="X560" s="36"/>
      <c r="Y560" s="36"/>
      <c r="Z560" s="36"/>
    </row>
    <row r="561" ht="15.75" customHeight="1">
      <c r="A561" s="96" t="str">
        <f t="array" ref="A561">IF(B561="","",INDEX('Bán nhanh'!$A$4:$A$103,INT((ROW()-4)/10)+1))</f>
        <v/>
      </c>
      <c r="B561" s="36" t="str">
        <f t="array" ref="B561">IF(OR(INDEX('Bán nhanh'!$D$3:$M$3,1,MOD(ROW()-4,10)+1)="",INDEX('Bán nhanh'!$D$4:$M$103,INT((ROW()-4)/10)+1,MOD(ROW()-4,10)+1)&lt;=0),"",INDEX('Bán nhanh'!$D$3:$M$3,1,MOD(ROW()-4,10)+1))</f>
        <v/>
      </c>
      <c r="C561" s="36" t="str">
        <f t="array" ref="C561">IFERROR(INDEX('Sản phẩm'!$A$4:$A$103,MATCH(B561,'Sản phẩm'!$D$4:$D$103,0)),"")</f>
        <v/>
      </c>
      <c r="D561" s="36" t="str">
        <f t="array" ref="D561">IF(B561="","",INDEX('Bán nhanh'!$B$4:$B$103,INT((ROW()-4)/10)+1))</f>
        <v/>
      </c>
      <c r="E561" s="36" t="str">
        <f t="array" ref="E561">IFERROR(INDEX('Mẻ sữa'!$B$4:$B$203,MATCH(D561,'Mẻ sữa'!$C$4:$C$203,0)),"")</f>
        <v/>
      </c>
      <c r="F561" s="82">
        <f t="array" ref="F561">IF(B561="",0,INDEX('Bán nhanh'!$D$4:$M$103,INT((ROW()-4)/10)+1,MOD(ROW()-4,10)+1))</f>
        <v>0</v>
      </c>
      <c r="G561" s="83">
        <f t="array" ref="G561">IFERROR(INDEX('Sản phẩm'!$F$4:$F$103,MATCH(B561,'Sản phẩm'!$D$4:$D$103,0)),0)</f>
        <v>0</v>
      </c>
      <c r="H561" s="83">
        <f t="shared" si="5"/>
        <v>0</v>
      </c>
      <c r="I561" s="83">
        <f t="shared" si="1"/>
        <v>0</v>
      </c>
      <c r="J561" s="83">
        <f t="array" ref="J561">IFERROR(INDEX('Sản phẩm'!$G$4:$G$103,MATCH(B561,'Sản phẩm'!$D$4:$D$103,0)),0)</f>
        <v>0</v>
      </c>
      <c r="K561" s="83">
        <f t="array" ref="K561">IFERROR(J561*INDEX('Mẻ sữa'!$N$4:$N$203,MATCH(D561,'Mẻ sữa'!$C$4:$C$203,0)),0)</f>
        <v>0</v>
      </c>
      <c r="L561" s="83">
        <f t="array" ref="L561">IFERROR(INDEX('Sản phẩm'!$I$4:$I$103,MATCH(B561,'Sản phẩm'!$D$4:$D$103,0)),0)</f>
        <v>0</v>
      </c>
      <c r="M561" s="97" t="str">
        <f t="array" ref="M561">IFERROR(INDEX('Sản phẩm'!$J$4:$J$103,MATCH(B561,'Sản phẩm'!$D$4:$D$103,0)),0)</f>
        <v/>
      </c>
      <c r="N561" s="83">
        <f>IF(B561="",0,(K561+L561+M561)*'Thiết lập'!$B$8)</f>
        <v>0</v>
      </c>
      <c r="O561" s="83">
        <f t="shared" si="2"/>
        <v>0</v>
      </c>
      <c r="P561" s="83">
        <f t="shared" si="3"/>
        <v>0</v>
      </c>
      <c r="Q561" s="83">
        <f t="shared" si="4"/>
        <v>0</v>
      </c>
      <c r="R561" s="36" t="str">
        <f t="array" ref="R561">IF(B561="","",INDEX('Bán nhanh'!$C$4:$C$103,INT((ROW()-4)/10)+1))</f>
        <v/>
      </c>
      <c r="S561" s="36" t="str">
        <f t="array" ref="S561">IF(B561="","",INDEX('Bán nhanh'!$P$4:$P$103,INT((ROW()-4)/10)+1))</f>
        <v/>
      </c>
      <c r="T561" s="36"/>
      <c r="U561" s="36"/>
      <c r="V561" s="36"/>
      <c r="W561" s="36"/>
      <c r="X561" s="36"/>
      <c r="Y561" s="36"/>
      <c r="Z561" s="36"/>
    </row>
    <row r="562" ht="15.75" customHeight="1">
      <c r="A562" s="96" t="str">
        <f t="array" ref="A562">IF(B562="","",INDEX('Bán nhanh'!$A$4:$A$103,INT((ROW()-4)/10)+1))</f>
        <v/>
      </c>
      <c r="B562" s="36" t="str">
        <f t="array" ref="B562">IF(OR(INDEX('Bán nhanh'!$D$3:$M$3,1,MOD(ROW()-4,10)+1)="",INDEX('Bán nhanh'!$D$4:$M$103,INT((ROW()-4)/10)+1,MOD(ROW()-4,10)+1)&lt;=0),"",INDEX('Bán nhanh'!$D$3:$M$3,1,MOD(ROW()-4,10)+1))</f>
        <v/>
      </c>
      <c r="C562" s="36" t="str">
        <f t="array" ref="C562">IFERROR(INDEX('Sản phẩm'!$A$4:$A$103,MATCH(B562,'Sản phẩm'!$D$4:$D$103,0)),"")</f>
        <v/>
      </c>
      <c r="D562" s="36" t="str">
        <f t="array" ref="D562">IF(B562="","",INDEX('Bán nhanh'!$B$4:$B$103,INT((ROW()-4)/10)+1))</f>
        <v/>
      </c>
      <c r="E562" s="36" t="str">
        <f t="array" ref="E562">IFERROR(INDEX('Mẻ sữa'!$B$4:$B$203,MATCH(D562,'Mẻ sữa'!$C$4:$C$203,0)),"")</f>
        <v/>
      </c>
      <c r="F562" s="82">
        <f t="array" ref="F562">IF(B562="",0,INDEX('Bán nhanh'!$D$4:$M$103,INT((ROW()-4)/10)+1,MOD(ROW()-4,10)+1))</f>
        <v>0</v>
      </c>
      <c r="G562" s="83">
        <f t="array" ref="G562">IFERROR(INDEX('Sản phẩm'!$F$4:$F$103,MATCH(B562,'Sản phẩm'!$D$4:$D$103,0)),0)</f>
        <v>0</v>
      </c>
      <c r="H562" s="83">
        <f t="shared" si="5"/>
        <v>0</v>
      </c>
      <c r="I562" s="83">
        <f t="shared" si="1"/>
        <v>0</v>
      </c>
      <c r="J562" s="83">
        <f t="array" ref="J562">IFERROR(INDEX('Sản phẩm'!$G$4:$G$103,MATCH(B562,'Sản phẩm'!$D$4:$D$103,0)),0)</f>
        <v>0</v>
      </c>
      <c r="K562" s="83">
        <f t="array" ref="K562">IFERROR(J562*INDEX('Mẻ sữa'!$N$4:$N$203,MATCH(D562,'Mẻ sữa'!$C$4:$C$203,0)),0)</f>
        <v>0</v>
      </c>
      <c r="L562" s="83">
        <f t="array" ref="L562">IFERROR(INDEX('Sản phẩm'!$I$4:$I$103,MATCH(B562,'Sản phẩm'!$D$4:$D$103,0)),0)</f>
        <v>0</v>
      </c>
      <c r="M562" s="97" t="str">
        <f t="array" ref="M562">IFERROR(INDEX('Sản phẩm'!$J$4:$J$103,MATCH(B562,'Sản phẩm'!$D$4:$D$103,0)),0)</f>
        <v/>
      </c>
      <c r="N562" s="83">
        <f>IF(B562="",0,(K562+L562+M562)*'Thiết lập'!$B$8)</f>
        <v>0</v>
      </c>
      <c r="O562" s="83">
        <f t="shared" si="2"/>
        <v>0</v>
      </c>
      <c r="P562" s="83">
        <f t="shared" si="3"/>
        <v>0</v>
      </c>
      <c r="Q562" s="83">
        <f t="shared" si="4"/>
        <v>0</v>
      </c>
      <c r="R562" s="36" t="str">
        <f t="array" ref="R562">IF(B562="","",INDEX('Bán nhanh'!$C$4:$C$103,INT((ROW()-4)/10)+1))</f>
        <v/>
      </c>
      <c r="S562" s="36" t="str">
        <f t="array" ref="S562">IF(B562="","",INDEX('Bán nhanh'!$P$4:$P$103,INT((ROW()-4)/10)+1))</f>
        <v/>
      </c>
      <c r="T562" s="36"/>
      <c r="U562" s="36"/>
      <c r="V562" s="36"/>
      <c r="W562" s="36"/>
      <c r="X562" s="36"/>
      <c r="Y562" s="36"/>
      <c r="Z562" s="36"/>
    </row>
    <row r="563" ht="15.75" customHeight="1">
      <c r="A563" s="96" t="str">
        <f t="array" ref="A563">IF(B563="","",INDEX('Bán nhanh'!$A$4:$A$103,INT((ROW()-4)/10)+1))</f>
        <v/>
      </c>
      <c r="B563" s="36" t="str">
        <f t="array" ref="B563">IF(OR(INDEX('Bán nhanh'!$D$3:$M$3,1,MOD(ROW()-4,10)+1)="",INDEX('Bán nhanh'!$D$4:$M$103,INT((ROW()-4)/10)+1,MOD(ROW()-4,10)+1)&lt;=0),"",INDEX('Bán nhanh'!$D$3:$M$3,1,MOD(ROW()-4,10)+1))</f>
        <v/>
      </c>
      <c r="C563" s="36" t="str">
        <f t="array" ref="C563">IFERROR(INDEX('Sản phẩm'!$A$4:$A$103,MATCH(B563,'Sản phẩm'!$D$4:$D$103,0)),"")</f>
        <v/>
      </c>
      <c r="D563" s="36" t="str">
        <f t="array" ref="D563">IF(B563="","",INDEX('Bán nhanh'!$B$4:$B$103,INT((ROW()-4)/10)+1))</f>
        <v/>
      </c>
      <c r="E563" s="36" t="str">
        <f t="array" ref="E563">IFERROR(INDEX('Mẻ sữa'!$B$4:$B$203,MATCH(D563,'Mẻ sữa'!$C$4:$C$203,0)),"")</f>
        <v/>
      </c>
      <c r="F563" s="82">
        <f t="array" ref="F563">IF(B563="",0,INDEX('Bán nhanh'!$D$4:$M$103,INT((ROW()-4)/10)+1,MOD(ROW()-4,10)+1))</f>
        <v>0</v>
      </c>
      <c r="G563" s="83">
        <f t="array" ref="G563">IFERROR(INDEX('Sản phẩm'!$F$4:$F$103,MATCH(B563,'Sản phẩm'!$D$4:$D$103,0)),0)</f>
        <v>0</v>
      </c>
      <c r="H563" s="83">
        <f t="shared" si="5"/>
        <v>0</v>
      </c>
      <c r="I563" s="83">
        <f t="shared" si="1"/>
        <v>0</v>
      </c>
      <c r="J563" s="83">
        <f t="array" ref="J563">IFERROR(INDEX('Sản phẩm'!$G$4:$G$103,MATCH(B563,'Sản phẩm'!$D$4:$D$103,0)),0)</f>
        <v>0</v>
      </c>
      <c r="K563" s="83">
        <f t="array" ref="K563">IFERROR(J563*INDEX('Mẻ sữa'!$N$4:$N$203,MATCH(D563,'Mẻ sữa'!$C$4:$C$203,0)),0)</f>
        <v>0</v>
      </c>
      <c r="L563" s="83">
        <f t="array" ref="L563">IFERROR(INDEX('Sản phẩm'!$I$4:$I$103,MATCH(B563,'Sản phẩm'!$D$4:$D$103,0)),0)</f>
        <v>0</v>
      </c>
      <c r="M563" s="97" t="str">
        <f t="array" ref="M563">IFERROR(INDEX('Sản phẩm'!$J$4:$J$103,MATCH(B563,'Sản phẩm'!$D$4:$D$103,0)),0)</f>
        <v/>
      </c>
      <c r="N563" s="83">
        <f>IF(B563="",0,(K563+L563+M563)*'Thiết lập'!$B$8)</f>
        <v>0</v>
      </c>
      <c r="O563" s="83">
        <f t="shared" si="2"/>
        <v>0</v>
      </c>
      <c r="P563" s="83">
        <f t="shared" si="3"/>
        <v>0</v>
      </c>
      <c r="Q563" s="83">
        <f t="shared" si="4"/>
        <v>0</v>
      </c>
      <c r="R563" s="36" t="str">
        <f t="array" ref="R563">IF(B563="","",INDEX('Bán nhanh'!$C$4:$C$103,INT((ROW()-4)/10)+1))</f>
        <v/>
      </c>
      <c r="S563" s="36" t="str">
        <f t="array" ref="S563">IF(B563="","",INDEX('Bán nhanh'!$P$4:$P$103,INT((ROW()-4)/10)+1))</f>
        <v/>
      </c>
      <c r="T563" s="36"/>
      <c r="U563" s="36"/>
      <c r="V563" s="36"/>
      <c r="W563" s="36"/>
      <c r="X563" s="36"/>
      <c r="Y563" s="36"/>
      <c r="Z563" s="36"/>
    </row>
    <row r="564" ht="15.75" customHeight="1">
      <c r="A564" s="96" t="str">
        <f t="array" ref="A564">IF(B564="","",INDEX('Bán nhanh'!$A$4:$A$103,INT((ROW()-4)/10)+1))</f>
        <v/>
      </c>
      <c r="B564" s="36" t="str">
        <f t="array" ref="B564">IF(OR(INDEX('Bán nhanh'!$D$3:$M$3,1,MOD(ROW()-4,10)+1)="",INDEX('Bán nhanh'!$D$4:$M$103,INT((ROW()-4)/10)+1,MOD(ROW()-4,10)+1)&lt;=0),"",INDEX('Bán nhanh'!$D$3:$M$3,1,MOD(ROW()-4,10)+1))</f>
        <v/>
      </c>
      <c r="C564" s="36" t="str">
        <f t="array" ref="C564">IFERROR(INDEX('Sản phẩm'!$A$4:$A$103,MATCH(B564,'Sản phẩm'!$D$4:$D$103,0)),"")</f>
        <v/>
      </c>
      <c r="D564" s="36" t="str">
        <f t="array" ref="D564">IF(B564="","",INDEX('Bán nhanh'!$B$4:$B$103,INT((ROW()-4)/10)+1))</f>
        <v/>
      </c>
      <c r="E564" s="36" t="str">
        <f t="array" ref="E564">IFERROR(INDEX('Mẻ sữa'!$B$4:$B$203,MATCH(D564,'Mẻ sữa'!$C$4:$C$203,0)),"")</f>
        <v/>
      </c>
      <c r="F564" s="82">
        <f t="array" ref="F564">IF(B564="",0,INDEX('Bán nhanh'!$D$4:$M$103,INT((ROW()-4)/10)+1,MOD(ROW()-4,10)+1))</f>
        <v>0</v>
      </c>
      <c r="G564" s="83">
        <f t="array" ref="G564">IFERROR(INDEX('Sản phẩm'!$F$4:$F$103,MATCH(B564,'Sản phẩm'!$D$4:$D$103,0)),0)</f>
        <v>0</v>
      </c>
      <c r="H564" s="83">
        <f t="shared" si="5"/>
        <v>0</v>
      </c>
      <c r="I564" s="83">
        <f t="shared" si="1"/>
        <v>0</v>
      </c>
      <c r="J564" s="83">
        <f t="array" ref="J564">IFERROR(INDEX('Sản phẩm'!$G$4:$G$103,MATCH(B564,'Sản phẩm'!$D$4:$D$103,0)),0)</f>
        <v>0</v>
      </c>
      <c r="K564" s="83">
        <f t="array" ref="K564">IFERROR(J564*INDEX('Mẻ sữa'!$N$4:$N$203,MATCH(D564,'Mẻ sữa'!$C$4:$C$203,0)),0)</f>
        <v>0</v>
      </c>
      <c r="L564" s="83">
        <f t="array" ref="L564">IFERROR(INDEX('Sản phẩm'!$I$4:$I$103,MATCH(B564,'Sản phẩm'!$D$4:$D$103,0)),0)</f>
        <v>0</v>
      </c>
      <c r="M564" s="97" t="str">
        <f t="array" ref="M564">IFERROR(INDEX('Sản phẩm'!$J$4:$J$103,MATCH(B564,'Sản phẩm'!$D$4:$D$103,0)),0)</f>
        <v/>
      </c>
      <c r="N564" s="83">
        <f>IF(B564="",0,(K564+L564+M564)*'Thiết lập'!$B$8)</f>
        <v>0</v>
      </c>
      <c r="O564" s="83">
        <f t="shared" si="2"/>
        <v>0</v>
      </c>
      <c r="P564" s="83">
        <f t="shared" si="3"/>
        <v>0</v>
      </c>
      <c r="Q564" s="83">
        <f t="shared" si="4"/>
        <v>0</v>
      </c>
      <c r="R564" s="36" t="str">
        <f t="array" ref="R564">IF(B564="","",INDEX('Bán nhanh'!$C$4:$C$103,INT((ROW()-4)/10)+1))</f>
        <v/>
      </c>
      <c r="S564" s="36" t="str">
        <f t="array" ref="S564">IF(B564="","",INDEX('Bán nhanh'!$P$4:$P$103,INT((ROW()-4)/10)+1))</f>
        <v/>
      </c>
      <c r="T564" s="36"/>
      <c r="U564" s="36"/>
      <c r="V564" s="36"/>
      <c r="W564" s="36"/>
      <c r="X564" s="36"/>
      <c r="Y564" s="36"/>
      <c r="Z564" s="36"/>
    </row>
    <row r="565" ht="15.75" customHeight="1">
      <c r="A565" s="96" t="str">
        <f t="array" ref="A565">IF(B565="","",INDEX('Bán nhanh'!$A$4:$A$103,INT((ROW()-4)/10)+1))</f>
        <v/>
      </c>
      <c r="B565" s="36" t="str">
        <f t="array" ref="B565">IF(OR(INDEX('Bán nhanh'!$D$3:$M$3,1,MOD(ROW()-4,10)+1)="",INDEX('Bán nhanh'!$D$4:$M$103,INT((ROW()-4)/10)+1,MOD(ROW()-4,10)+1)&lt;=0),"",INDEX('Bán nhanh'!$D$3:$M$3,1,MOD(ROW()-4,10)+1))</f>
        <v/>
      </c>
      <c r="C565" s="36" t="str">
        <f t="array" ref="C565">IFERROR(INDEX('Sản phẩm'!$A$4:$A$103,MATCH(B565,'Sản phẩm'!$D$4:$D$103,0)),"")</f>
        <v/>
      </c>
      <c r="D565" s="36" t="str">
        <f t="array" ref="D565">IF(B565="","",INDEX('Bán nhanh'!$B$4:$B$103,INT((ROW()-4)/10)+1))</f>
        <v/>
      </c>
      <c r="E565" s="36" t="str">
        <f t="array" ref="E565">IFERROR(INDEX('Mẻ sữa'!$B$4:$B$203,MATCH(D565,'Mẻ sữa'!$C$4:$C$203,0)),"")</f>
        <v/>
      </c>
      <c r="F565" s="82">
        <f t="array" ref="F565">IF(B565="",0,INDEX('Bán nhanh'!$D$4:$M$103,INT((ROW()-4)/10)+1,MOD(ROW()-4,10)+1))</f>
        <v>0</v>
      </c>
      <c r="G565" s="83">
        <f t="array" ref="G565">IFERROR(INDEX('Sản phẩm'!$F$4:$F$103,MATCH(B565,'Sản phẩm'!$D$4:$D$103,0)),0)</f>
        <v>0</v>
      </c>
      <c r="H565" s="83">
        <f t="shared" si="5"/>
        <v>0</v>
      </c>
      <c r="I565" s="83">
        <f t="shared" si="1"/>
        <v>0</v>
      </c>
      <c r="J565" s="83">
        <f t="array" ref="J565">IFERROR(INDEX('Sản phẩm'!$G$4:$G$103,MATCH(B565,'Sản phẩm'!$D$4:$D$103,0)),0)</f>
        <v>0</v>
      </c>
      <c r="K565" s="83">
        <f t="array" ref="K565">IFERROR(J565*INDEX('Mẻ sữa'!$N$4:$N$203,MATCH(D565,'Mẻ sữa'!$C$4:$C$203,0)),0)</f>
        <v>0</v>
      </c>
      <c r="L565" s="83">
        <f t="array" ref="L565">IFERROR(INDEX('Sản phẩm'!$I$4:$I$103,MATCH(B565,'Sản phẩm'!$D$4:$D$103,0)),0)</f>
        <v>0</v>
      </c>
      <c r="M565" s="97" t="str">
        <f t="array" ref="M565">IFERROR(INDEX('Sản phẩm'!$J$4:$J$103,MATCH(B565,'Sản phẩm'!$D$4:$D$103,0)),0)</f>
        <v/>
      </c>
      <c r="N565" s="83">
        <f>IF(B565="",0,(K565+L565+M565)*'Thiết lập'!$B$8)</f>
        <v>0</v>
      </c>
      <c r="O565" s="83">
        <f t="shared" si="2"/>
        <v>0</v>
      </c>
      <c r="P565" s="83">
        <f t="shared" si="3"/>
        <v>0</v>
      </c>
      <c r="Q565" s="83">
        <f t="shared" si="4"/>
        <v>0</v>
      </c>
      <c r="R565" s="36" t="str">
        <f t="array" ref="R565">IF(B565="","",INDEX('Bán nhanh'!$C$4:$C$103,INT((ROW()-4)/10)+1))</f>
        <v/>
      </c>
      <c r="S565" s="36" t="str">
        <f t="array" ref="S565">IF(B565="","",INDEX('Bán nhanh'!$P$4:$P$103,INT((ROW()-4)/10)+1))</f>
        <v/>
      </c>
      <c r="T565" s="36"/>
      <c r="U565" s="36"/>
      <c r="V565" s="36"/>
      <c r="W565" s="36"/>
      <c r="X565" s="36"/>
      <c r="Y565" s="36"/>
      <c r="Z565" s="36"/>
    </row>
    <row r="566" ht="15.75" customHeight="1">
      <c r="A566" s="96" t="str">
        <f t="array" ref="A566">IF(B566="","",INDEX('Bán nhanh'!$A$4:$A$103,INT((ROW()-4)/10)+1))</f>
        <v/>
      </c>
      <c r="B566" s="36" t="str">
        <f t="array" ref="B566">IF(OR(INDEX('Bán nhanh'!$D$3:$M$3,1,MOD(ROW()-4,10)+1)="",INDEX('Bán nhanh'!$D$4:$M$103,INT((ROW()-4)/10)+1,MOD(ROW()-4,10)+1)&lt;=0),"",INDEX('Bán nhanh'!$D$3:$M$3,1,MOD(ROW()-4,10)+1))</f>
        <v/>
      </c>
      <c r="C566" s="36" t="str">
        <f t="array" ref="C566">IFERROR(INDEX('Sản phẩm'!$A$4:$A$103,MATCH(B566,'Sản phẩm'!$D$4:$D$103,0)),"")</f>
        <v/>
      </c>
      <c r="D566" s="36" t="str">
        <f t="array" ref="D566">IF(B566="","",INDEX('Bán nhanh'!$B$4:$B$103,INT((ROW()-4)/10)+1))</f>
        <v/>
      </c>
      <c r="E566" s="36" t="str">
        <f t="array" ref="E566">IFERROR(INDEX('Mẻ sữa'!$B$4:$B$203,MATCH(D566,'Mẻ sữa'!$C$4:$C$203,0)),"")</f>
        <v/>
      </c>
      <c r="F566" s="82">
        <f t="array" ref="F566">IF(B566="",0,INDEX('Bán nhanh'!$D$4:$M$103,INT((ROW()-4)/10)+1,MOD(ROW()-4,10)+1))</f>
        <v>0</v>
      </c>
      <c r="G566" s="83">
        <f t="array" ref="G566">IFERROR(INDEX('Sản phẩm'!$F$4:$F$103,MATCH(B566,'Sản phẩm'!$D$4:$D$103,0)),0)</f>
        <v>0</v>
      </c>
      <c r="H566" s="83">
        <f t="shared" si="5"/>
        <v>0</v>
      </c>
      <c r="I566" s="83">
        <f t="shared" si="1"/>
        <v>0</v>
      </c>
      <c r="J566" s="83">
        <f t="array" ref="J566">IFERROR(INDEX('Sản phẩm'!$G$4:$G$103,MATCH(B566,'Sản phẩm'!$D$4:$D$103,0)),0)</f>
        <v>0</v>
      </c>
      <c r="K566" s="83">
        <f t="array" ref="K566">IFERROR(J566*INDEX('Mẻ sữa'!$N$4:$N$203,MATCH(D566,'Mẻ sữa'!$C$4:$C$203,0)),0)</f>
        <v>0</v>
      </c>
      <c r="L566" s="83">
        <f t="array" ref="L566">IFERROR(INDEX('Sản phẩm'!$I$4:$I$103,MATCH(B566,'Sản phẩm'!$D$4:$D$103,0)),0)</f>
        <v>0</v>
      </c>
      <c r="M566" s="97" t="str">
        <f t="array" ref="M566">IFERROR(INDEX('Sản phẩm'!$J$4:$J$103,MATCH(B566,'Sản phẩm'!$D$4:$D$103,0)),0)</f>
        <v/>
      </c>
      <c r="N566" s="83">
        <f>IF(B566="",0,(K566+L566+M566)*'Thiết lập'!$B$8)</f>
        <v>0</v>
      </c>
      <c r="O566" s="83">
        <f t="shared" si="2"/>
        <v>0</v>
      </c>
      <c r="P566" s="83">
        <f t="shared" si="3"/>
        <v>0</v>
      </c>
      <c r="Q566" s="83">
        <f t="shared" si="4"/>
        <v>0</v>
      </c>
      <c r="R566" s="36" t="str">
        <f t="array" ref="R566">IF(B566="","",INDEX('Bán nhanh'!$C$4:$C$103,INT((ROW()-4)/10)+1))</f>
        <v/>
      </c>
      <c r="S566" s="36" t="str">
        <f t="array" ref="S566">IF(B566="","",INDEX('Bán nhanh'!$P$4:$P$103,INT((ROW()-4)/10)+1))</f>
        <v/>
      </c>
      <c r="T566" s="36"/>
      <c r="U566" s="36"/>
      <c r="V566" s="36"/>
      <c r="W566" s="36"/>
      <c r="X566" s="36"/>
      <c r="Y566" s="36"/>
      <c r="Z566" s="36"/>
    </row>
    <row r="567" ht="15.75" customHeight="1">
      <c r="A567" s="96" t="str">
        <f t="array" ref="A567">IF(B567="","",INDEX('Bán nhanh'!$A$4:$A$103,INT((ROW()-4)/10)+1))</f>
        <v/>
      </c>
      <c r="B567" s="36" t="str">
        <f t="array" ref="B567">IF(OR(INDEX('Bán nhanh'!$D$3:$M$3,1,MOD(ROW()-4,10)+1)="",INDEX('Bán nhanh'!$D$4:$M$103,INT((ROW()-4)/10)+1,MOD(ROW()-4,10)+1)&lt;=0),"",INDEX('Bán nhanh'!$D$3:$M$3,1,MOD(ROW()-4,10)+1))</f>
        <v/>
      </c>
      <c r="C567" s="36" t="str">
        <f t="array" ref="C567">IFERROR(INDEX('Sản phẩm'!$A$4:$A$103,MATCH(B567,'Sản phẩm'!$D$4:$D$103,0)),"")</f>
        <v/>
      </c>
      <c r="D567" s="36" t="str">
        <f t="array" ref="D567">IF(B567="","",INDEX('Bán nhanh'!$B$4:$B$103,INT((ROW()-4)/10)+1))</f>
        <v/>
      </c>
      <c r="E567" s="36" t="str">
        <f t="array" ref="E567">IFERROR(INDEX('Mẻ sữa'!$B$4:$B$203,MATCH(D567,'Mẻ sữa'!$C$4:$C$203,0)),"")</f>
        <v/>
      </c>
      <c r="F567" s="82">
        <f t="array" ref="F567">IF(B567="",0,INDEX('Bán nhanh'!$D$4:$M$103,INT((ROW()-4)/10)+1,MOD(ROW()-4,10)+1))</f>
        <v>0</v>
      </c>
      <c r="G567" s="83">
        <f t="array" ref="G567">IFERROR(INDEX('Sản phẩm'!$F$4:$F$103,MATCH(B567,'Sản phẩm'!$D$4:$D$103,0)),0)</f>
        <v>0</v>
      </c>
      <c r="H567" s="83">
        <f t="shared" si="5"/>
        <v>0</v>
      </c>
      <c r="I567" s="83">
        <f t="shared" si="1"/>
        <v>0</v>
      </c>
      <c r="J567" s="83">
        <f t="array" ref="J567">IFERROR(INDEX('Sản phẩm'!$G$4:$G$103,MATCH(B567,'Sản phẩm'!$D$4:$D$103,0)),0)</f>
        <v>0</v>
      </c>
      <c r="K567" s="83">
        <f t="array" ref="K567">IFERROR(J567*INDEX('Mẻ sữa'!$N$4:$N$203,MATCH(D567,'Mẻ sữa'!$C$4:$C$203,0)),0)</f>
        <v>0</v>
      </c>
      <c r="L567" s="83">
        <f t="array" ref="L567">IFERROR(INDEX('Sản phẩm'!$I$4:$I$103,MATCH(B567,'Sản phẩm'!$D$4:$D$103,0)),0)</f>
        <v>0</v>
      </c>
      <c r="M567" s="97" t="str">
        <f t="array" ref="M567">IFERROR(INDEX('Sản phẩm'!$J$4:$J$103,MATCH(B567,'Sản phẩm'!$D$4:$D$103,0)),0)</f>
        <v/>
      </c>
      <c r="N567" s="83">
        <f>IF(B567="",0,(K567+L567+M567)*'Thiết lập'!$B$8)</f>
        <v>0</v>
      </c>
      <c r="O567" s="83">
        <f t="shared" si="2"/>
        <v>0</v>
      </c>
      <c r="P567" s="83">
        <f t="shared" si="3"/>
        <v>0</v>
      </c>
      <c r="Q567" s="83">
        <f t="shared" si="4"/>
        <v>0</v>
      </c>
      <c r="R567" s="36" t="str">
        <f t="array" ref="R567">IF(B567="","",INDEX('Bán nhanh'!$C$4:$C$103,INT((ROW()-4)/10)+1))</f>
        <v/>
      </c>
      <c r="S567" s="36" t="str">
        <f t="array" ref="S567">IF(B567="","",INDEX('Bán nhanh'!$P$4:$P$103,INT((ROW()-4)/10)+1))</f>
        <v/>
      </c>
      <c r="T567" s="36"/>
      <c r="U567" s="36"/>
      <c r="V567" s="36"/>
      <c r="W567" s="36"/>
      <c r="X567" s="36"/>
      <c r="Y567" s="36"/>
      <c r="Z567" s="36"/>
    </row>
    <row r="568" ht="15.75" customHeight="1">
      <c r="A568" s="96" t="str">
        <f t="array" ref="A568">IF(B568="","",INDEX('Bán nhanh'!$A$4:$A$103,INT((ROW()-4)/10)+1))</f>
        <v/>
      </c>
      <c r="B568" s="36" t="str">
        <f t="array" ref="B568">IF(OR(INDEX('Bán nhanh'!$D$3:$M$3,1,MOD(ROW()-4,10)+1)="",INDEX('Bán nhanh'!$D$4:$M$103,INT((ROW()-4)/10)+1,MOD(ROW()-4,10)+1)&lt;=0),"",INDEX('Bán nhanh'!$D$3:$M$3,1,MOD(ROW()-4,10)+1))</f>
        <v/>
      </c>
      <c r="C568" s="36" t="str">
        <f t="array" ref="C568">IFERROR(INDEX('Sản phẩm'!$A$4:$A$103,MATCH(B568,'Sản phẩm'!$D$4:$D$103,0)),"")</f>
        <v/>
      </c>
      <c r="D568" s="36" t="str">
        <f t="array" ref="D568">IF(B568="","",INDEX('Bán nhanh'!$B$4:$B$103,INT((ROW()-4)/10)+1))</f>
        <v/>
      </c>
      <c r="E568" s="36" t="str">
        <f t="array" ref="E568">IFERROR(INDEX('Mẻ sữa'!$B$4:$B$203,MATCH(D568,'Mẻ sữa'!$C$4:$C$203,0)),"")</f>
        <v/>
      </c>
      <c r="F568" s="82">
        <f t="array" ref="F568">IF(B568="",0,INDEX('Bán nhanh'!$D$4:$M$103,INT((ROW()-4)/10)+1,MOD(ROW()-4,10)+1))</f>
        <v>0</v>
      </c>
      <c r="G568" s="83">
        <f t="array" ref="G568">IFERROR(INDEX('Sản phẩm'!$F$4:$F$103,MATCH(B568,'Sản phẩm'!$D$4:$D$103,0)),0)</f>
        <v>0</v>
      </c>
      <c r="H568" s="83">
        <f t="shared" si="5"/>
        <v>0</v>
      </c>
      <c r="I568" s="83">
        <f t="shared" si="1"/>
        <v>0</v>
      </c>
      <c r="J568" s="83">
        <f t="array" ref="J568">IFERROR(INDEX('Sản phẩm'!$G$4:$G$103,MATCH(B568,'Sản phẩm'!$D$4:$D$103,0)),0)</f>
        <v>0</v>
      </c>
      <c r="K568" s="83">
        <f t="array" ref="K568">IFERROR(J568*INDEX('Mẻ sữa'!$N$4:$N$203,MATCH(D568,'Mẻ sữa'!$C$4:$C$203,0)),0)</f>
        <v>0</v>
      </c>
      <c r="L568" s="83">
        <f t="array" ref="L568">IFERROR(INDEX('Sản phẩm'!$I$4:$I$103,MATCH(B568,'Sản phẩm'!$D$4:$D$103,0)),0)</f>
        <v>0</v>
      </c>
      <c r="M568" s="97" t="str">
        <f t="array" ref="M568">IFERROR(INDEX('Sản phẩm'!$J$4:$J$103,MATCH(B568,'Sản phẩm'!$D$4:$D$103,0)),0)</f>
        <v/>
      </c>
      <c r="N568" s="83">
        <f>IF(B568="",0,(K568+L568+M568)*'Thiết lập'!$B$8)</f>
        <v>0</v>
      </c>
      <c r="O568" s="83">
        <f t="shared" si="2"/>
        <v>0</v>
      </c>
      <c r="P568" s="83">
        <f t="shared" si="3"/>
        <v>0</v>
      </c>
      <c r="Q568" s="83">
        <f t="shared" si="4"/>
        <v>0</v>
      </c>
      <c r="R568" s="36" t="str">
        <f t="array" ref="R568">IF(B568="","",INDEX('Bán nhanh'!$C$4:$C$103,INT((ROW()-4)/10)+1))</f>
        <v/>
      </c>
      <c r="S568" s="36" t="str">
        <f t="array" ref="S568">IF(B568="","",INDEX('Bán nhanh'!$P$4:$P$103,INT((ROW()-4)/10)+1))</f>
        <v/>
      </c>
      <c r="T568" s="36"/>
      <c r="U568" s="36"/>
      <c r="V568" s="36"/>
      <c r="W568" s="36"/>
      <c r="X568" s="36"/>
      <c r="Y568" s="36"/>
      <c r="Z568" s="36"/>
    </row>
    <row r="569" ht="15.75" customHeight="1">
      <c r="A569" s="96" t="str">
        <f t="array" ref="A569">IF(B569="","",INDEX('Bán nhanh'!$A$4:$A$103,INT((ROW()-4)/10)+1))</f>
        <v/>
      </c>
      <c r="B569" s="36" t="str">
        <f t="array" ref="B569">IF(OR(INDEX('Bán nhanh'!$D$3:$M$3,1,MOD(ROW()-4,10)+1)="",INDEX('Bán nhanh'!$D$4:$M$103,INT((ROW()-4)/10)+1,MOD(ROW()-4,10)+1)&lt;=0),"",INDEX('Bán nhanh'!$D$3:$M$3,1,MOD(ROW()-4,10)+1))</f>
        <v/>
      </c>
      <c r="C569" s="36" t="str">
        <f t="array" ref="C569">IFERROR(INDEX('Sản phẩm'!$A$4:$A$103,MATCH(B569,'Sản phẩm'!$D$4:$D$103,0)),"")</f>
        <v/>
      </c>
      <c r="D569" s="36" t="str">
        <f t="array" ref="D569">IF(B569="","",INDEX('Bán nhanh'!$B$4:$B$103,INT((ROW()-4)/10)+1))</f>
        <v/>
      </c>
      <c r="E569" s="36" t="str">
        <f t="array" ref="E569">IFERROR(INDEX('Mẻ sữa'!$B$4:$B$203,MATCH(D569,'Mẻ sữa'!$C$4:$C$203,0)),"")</f>
        <v/>
      </c>
      <c r="F569" s="82">
        <f t="array" ref="F569">IF(B569="",0,INDEX('Bán nhanh'!$D$4:$M$103,INT((ROW()-4)/10)+1,MOD(ROW()-4,10)+1))</f>
        <v>0</v>
      </c>
      <c r="G569" s="83">
        <f t="array" ref="G569">IFERROR(INDEX('Sản phẩm'!$F$4:$F$103,MATCH(B569,'Sản phẩm'!$D$4:$D$103,0)),0)</f>
        <v>0</v>
      </c>
      <c r="H569" s="83">
        <f t="shared" si="5"/>
        <v>0</v>
      </c>
      <c r="I569" s="83">
        <f t="shared" si="1"/>
        <v>0</v>
      </c>
      <c r="J569" s="83">
        <f t="array" ref="J569">IFERROR(INDEX('Sản phẩm'!$G$4:$G$103,MATCH(B569,'Sản phẩm'!$D$4:$D$103,0)),0)</f>
        <v>0</v>
      </c>
      <c r="K569" s="83">
        <f t="array" ref="K569">IFERROR(J569*INDEX('Mẻ sữa'!$N$4:$N$203,MATCH(D569,'Mẻ sữa'!$C$4:$C$203,0)),0)</f>
        <v>0</v>
      </c>
      <c r="L569" s="83">
        <f t="array" ref="L569">IFERROR(INDEX('Sản phẩm'!$I$4:$I$103,MATCH(B569,'Sản phẩm'!$D$4:$D$103,0)),0)</f>
        <v>0</v>
      </c>
      <c r="M569" s="97" t="str">
        <f t="array" ref="M569">IFERROR(INDEX('Sản phẩm'!$J$4:$J$103,MATCH(B569,'Sản phẩm'!$D$4:$D$103,0)),0)</f>
        <v/>
      </c>
      <c r="N569" s="83">
        <f>IF(B569="",0,(K569+L569+M569)*'Thiết lập'!$B$8)</f>
        <v>0</v>
      </c>
      <c r="O569" s="83">
        <f t="shared" si="2"/>
        <v>0</v>
      </c>
      <c r="P569" s="83">
        <f t="shared" si="3"/>
        <v>0</v>
      </c>
      <c r="Q569" s="83">
        <f t="shared" si="4"/>
        <v>0</v>
      </c>
      <c r="R569" s="36" t="str">
        <f t="array" ref="R569">IF(B569="","",INDEX('Bán nhanh'!$C$4:$C$103,INT((ROW()-4)/10)+1))</f>
        <v/>
      </c>
      <c r="S569" s="36" t="str">
        <f t="array" ref="S569">IF(B569="","",INDEX('Bán nhanh'!$P$4:$P$103,INT((ROW()-4)/10)+1))</f>
        <v/>
      </c>
      <c r="T569" s="36"/>
      <c r="U569" s="36"/>
      <c r="V569" s="36"/>
      <c r="W569" s="36"/>
      <c r="X569" s="36"/>
      <c r="Y569" s="36"/>
      <c r="Z569" s="36"/>
    </row>
    <row r="570" ht="15.75" customHeight="1">
      <c r="A570" s="96" t="str">
        <f t="array" ref="A570">IF(B570="","",INDEX('Bán nhanh'!$A$4:$A$103,INT((ROW()-4)/10)+1))</f>
        <v/>
      </c>
      <c r="B570" s="36" t="str">
        <f t="array" ref="B570">IF(OR(INDEX('Bán nhanh'!$D$3:$M$3,1,MOD(ROW()-4,10)+1)="",INDEX('Bán nhanh'!$D$4:$M$103,INT((ROW()-4)/10)+1,MOD(ROW()-4,10)+1)&lt;=0),"",INDEX('Bán nhanh'!$D$3:$M$3,1,MOD(ROW()-4,10)+1))</f>
        <v/>
      </c>
      <c r="C570" s="36" t="str">
        <f t="array" ref="C570">IFERROR(INDEX('Sản phẩm'!$A$4:$A$103,MATCH(B570,'Sản phẩm'!$D$4:$D$103,0)),"")</f>
        <v/>
      </c>
      <c r="D570" s="36" t="str">
        <f t="array" ref="D570">IF(B570="","",INDEX('Bán nhanh'!$B$4:$B$103,INT((ROW()-4)/10)+1))</f>
        <v/>
      </c>
      <c r="E570" s="36" t="str">
        <f t="array" ref="E570">IFERROR(INDEX('Mẻ sữa'!$B$4:$B$203,MATCH(D570,'Mẻ sữa'!$C$4:$C$203,0)),"")</f>
        <v/>
      </c>
      <c r="F570" s="82">
        <f t="array" ref="F570">IF(B570="",0,INDEX('Bán nhanh'!$D$4:$M$103,INT((ROW()-4)/10)+1,MOD(ROW()-4,10)+1))</f>
        <v>0</v>
      </c>
      <c r="G570" s="83">
        <f t="array" ref="G570">IFERROR(INDEX('Sản phẩm'!$F$4:$F$103,MATCH(B570,'Sản phẩm'!$D$4:$D$103,0)),0)</f>
        <v>0</v>
      </c>
      <c r="H570" s="83">
        <f t="shared" si="5"/>
        <v>0</v>
      </c>
      <c r="I570" s="83">
        <f t="shared" si="1"/>
        <v>0</v>
      </c>
      <c r="J570" s="83">
        <f t="array" ref="J570">IFERROR(INDEX('Sản phẩm'!$G$4:$G$103,MATCH(B570,'Sản phẩm'!$D$4:$D$103,0)),0)</f>
        <v>0</v>
      </c>
      <c r="K570" s="83">
        <f t="array" ref="K570">IFERROR(J570*INDEX('Mẻ sữa'!$N$4:$N$203,MATCH(D570,'Mẻ sữa'!$C$4:$C$203,0)),0)</f>
        <v>0</v>
      </c>
      <c r="L570" s="83">
        <f t="array" ref="L570">IFERROR(INDEX('Sản phẩm'!$I$4:$I$103,MATCH(B570,'Sản phẩm'!$D$4:$D$103,0)),0)</f>
        <v>0</v>
      </c>
      <c r="M570" s="97" t="str">
        <f t="array" ref="M570">IFERROR(INDEX('Sản phẩm'!$J$4:$J$103,MATCH(B570,'Sản phẩm'!$D$4:$D$103,0)),0)</f>
        <v/>
      </c>
      <c r="N570" s="83">
        <f>IF(B570="",0,(K570+L570+M570)*'Thiết lập'!$B$8)</f>
        <v>0</v>
      </c>
      <c r="O570" s="83">
        <f t="shared" si="2"/>
        <v>0</v>
      </c>
      <c r="P570" s="83">
        <f t="shared" si="3"/>
        <v>0</v>
      </c>
      <c r="Q570" s="83">
        <f t="shared" si="4"/>
        <v>0</v>
      </c>
      <c r="R570" s="36" t="str">
        <f t="array" ref="R570">IF(B570="","",INDEX('Bán nhanh'!$C$4:$C$103,INT((ROW()-4)/10)+1))</f>
        <v/>
      </c>
      <c r="S570" s="36" t="str">
        <f t="array" ref="S570">IF(B570="","",INDEX('Bán nhanh'!$P$4:$P$103,INT((ROW()-4)/10)+1))</f>
        <v/>
      </c>
      <c r="T570" s="36"/>
      <c r="U570" s="36"/>
      <c r="V570" s="36"/>
      <c r="W570" s="36"/>
      <c r="X570" s="36"/>
      <c r="Y570" s="36"/>
      <c r="Z570" s="36"/>
    </row>
    <row r="571" ht="15.75" customHeight="1">
      <c r="A571" s="96" t="str">
        <f t="array" ref="A571">IF(B571="","",INDEX('Bán nhanh'!$A$4:$A$103,INT((ROW()-4)/10)+1))</f>
        <v/>
      </c>
      <c r="B571" s="36" t="str">
        <f t="array" ref="B571">IF(OR(INDEX('Bán nhanh'!$D$3:$M$3,1,MOD(ROW()-4,10)+1)="",INDEX('Bán nhanh'!$D$4:$M$103,INT((ROW()-4)/10)+1,MOD(ROW()-4,10)+1)&lt;=0),"",INDEX('Bán nhanh'!$D$3:$M$3,1,MOD(ROW()-4,10)+1))</f>
        <v/>
      </c>
      <c r="C571" s="36" t="str">
        <f t="array" ref="C571">IFERROR(INDEX('Sản phẩm'!$A$4:$A$103,MATCH(B571,'Sản phẩm'!$D$4:$D$103,0)),"")</f>
        <v/>
      </c>
      <c r="D571" s="36" t="str">
        <f t="array" ref="D571">IF(B571="","",INDEX('Bán nhanh'!$B$4:$B$103,INT((ROW()-4)/10)+1))</f>
        <v/>
      </c>
      <c r="E571" s="36" t="str">
        <f t="array" ref="E571">IFERROR(INDEX('Mẻ sữa'!$B$4:$B$203,MATCH(D571,'Mẻ sữa'!$C$4:$C$203,0)),"")</f>
        <v/>
      </c>
      <c r="F571" s="82">
        <f t="array" ref="F571">IF(B571="",0,INDEX('Bán nhanh'!$D$4:$M$103,INT((ROW()-4)/10)+1,MOD(ROW()-4,10)+1))</f>
        <v>0</v>
      </c>
      <c r="G571" s="83">
        <f t="array" ref="G571">IFERROR(INDEX('Sản phẩm'!$F$4:$F$103,MATCH(B571,'Sản phẩm'!$D$4:$D$103,0)),0)</f>
        <v>0</v>
      </c>
      <c r="H571" s="83">
        <f t="shared" si="5"/>
        <v>0</v>
      </c>
      <c r="I571" s="83">
        <f t="shared" si="1"/>
        <v>0</v>
      </c>
      <c r="J571" s="83">
        <f t="array" ref="J571">IFERROR(INDEX('Sản phẩm'!$G$4:$G$103,MATCH(B571,'Sản phẩm'!$D$4:$D$103,0)),0)</f>
        <v>0</v>
      </c>
      <c r="K571" s="83">
        <f t="array" ref="K571">IFERROR(J571*INDEX('Mẻ sữa'!$N$4:$N$203,MATCH(D571,'Mẻ sữa'!$C$4:$C$203,0)),0)</f>
        <v>0</v>
      </c>
      <c r="L571" s="83">
        <f t="array" ref="L571">IFERROR(INDEX('Sản phẩm'!$I$4:$I$103,MATCH(B571,'Sản phẩm'!$D$4:$D$103,0)),0)</f>
        <v>0</v>
      </c>
      <c r="M571" s="97" t="str">
        <f t="array" ref="M571">IFERROR(INDEX('Sản phẩm'!$J$4:$J$103,MATCH(B571,'Sản phẩm'!$D$4:$D$103,0)),0)</f>
        <v/>
      </c>
      <c r="N571" s="83">
        <f>IF(B571="",0,(K571+L571+M571)*'Thiết lập'!$B$8)</f>
        <v>0</v>
      </c>
      <c r="O571" s="83">
        <f t="shared" si="2"/>
        <v>0</v>
      </c>
      <c r="P571" s="83">
        <f t="shared" si="3"/>
        <v>0</v>
      </c>
      <c r="Q571" s="83">
        <f t="shared" si="4"/>
        <v>0</v>
      </c>
      <c r="R571" s="36" t="str">
        <f t="array" ref="R571">IF(B571="","",INDEX('Bán nhanh'!$C$4:$C$103,INT((ROW()-4)/10)+1))</f>
        <v/>
      </c>
      <c r="S571" s="36" t="str">
        <f t="array" ref="S571">IF(B571="","",INDEX('Bán nhanh'!$P$4:$P$103,INT((ROW()-4)/10)+1))</f>
        <v/>
      </c>
      <c r="T571" s="36"/>
      <c r="U571" s="36"/>
      <c r="V571" s="36"/>
      <c r="W571" s="36"/>
      <c r="X571" s="36"/>
      <c r="Y571" s="36"/>
      <c r="Z571" s="36"/>
    </row>
    <row r="572" ht="15.75" customHeight="1">
      <c r="A572" s="96" t="str">
        <f t="array" ref="A572">IF(B572="","",INDEX('Bán nhanh'!$A$4:$A$103,INT((ROW()-4)/10)+1))</f>
        <v/>
      </c>
      <c r="B572" s="36" t="str">
        <f t="array" ref="B572">IF(OR(INDEX('Bán nhanh'!$D$3:$M$3,1,MOD(ROW()-4,10)+1)="",INDEX('Bán nhanh'!$D$4:$M$103,INT((ROW()-4)/10)+1,MOD(ROW()-4,10)+1)&lt;=0),"",INDEX('Bán nhanh'!$D$3:$M$3,1,MOD(ROW()-4,10)+1))</f>
        <v/>
      </c>
      <c r="C572" s="36" t="str">
        <f t="array" ref="C572">IFERROR(INDEX('Sản phẩm'!$A$4:$A$103,MATCH(B572,'Sản phẩm'!$D$4:$D$103,0)),"")</f>
        <v/>
      </c>
      <c r="D572" s="36" t="str">
        <f t="array" ref="D572">IF(B572="","",INDEX('Bán nhanh'!$B$4:$B$103,INT((ROW()-4)/10)+1))</f>
        <v/>
      </c>
      <c r="E572" s="36" t="str">
        <f t="array" ref="E572">IFERROR(INDEX('Mẻ sữa'!$B$4:$B$203,MATCH(D572,'Mẻ sữa'!$C$4:$C$203,0)),"")</f>
        <v/>
      </c>
      <c r="F572" s="82">
        <f t="array" ref="F572">IF(B572="",0,INDEX('Bán nhanh'!$D$4:$M$103,INT((ROW()-4)/10)+1,MOD(ROW()-4,10)+1))</f>
        <v>0</v>
      </c>
      <c r="G572" s="83">
        <f t="array" ref="G572">IFERROR(INDEX('Sản phẩm'!$F$4:$F$103,MATCH(B572,'Sản phẩm'!$D$4:$D$103,0)),0)</f>
        <v>0</v>
      </c>
      <c r="H572" s="83">
        <f t="shared" si="5"/>
        <v>0</v>
      </c>
      <c r="I572" s="83">
        <f t="shared" si="1"/>
        <v>0</v>
      </c>
      <c r="J572" s="83">
        <f t="array" ref="J572">IFERROR(INDEX('Sản phẩm'!$G$4:$G$103,MATCH(B572,'Sản phẩm'!$D$4:$D$103,0)),0)</f>
        <v>0</v>
      </c>
      <c r="K572" s="83">
        <f t="array" ref="K572">IFERROR(J572*INDEX('Mẻ sữa'!$N$4:$N$203,MATCH(D572,'Mẻ sữa'!$C$4:$C$203,0)),0)</f>
        <v>0</v>
      </c>
      <c r="L572" s="83">
        <f t="array" ref="L572">IFERROR(INDEX('Sản phẩm'!$I$4:$I$103,MATCH(B572,'Sản phẩm'!$D$4:$D$103,0)),0)</f>
        <v>0</v>
      </c>
      <c r="M572" s="97" t="str">
        <f t="array" ref="M572">IFERROR(INDEX('Sản phẩm'!$J$4:$J$103,MATCH(B572,'Sản phẩm'!$D$4:$D$103,0)),0)</f>
        <v/>
      </c>
      <c r="N572" s="83">
        <f>IF(B572="",0,(K572+L572+M572)*'Thiết lập'!$B$8)</f>
        <v>0</v>
      </c>
      <c r="O572" s="83">
        <f t="shared" si="2"/>
        <v>0</v>
      </c>
      <c r="P572" s="83">
        <f t="shared" si="3"/>
        <v>0</v>
      </c>
      <c r="Q572" s="83">
        <f t="shared" si="4"/>
        <v>0</v>
      </c>
      <c r="R572" s="36" t="str">
        <f t="array" ref="R572">IF(B572="","",INDEX('Bán nhanh'!$C$4:$C$103,INT((ROW()-4)/10)+1))</f>
        <v/>
      </c>
      <c r="S572" s="36" t="str">
        <f t="array" ref="S572">IF(B572="","",INDEX('Bán nhanh'!$P$4:$P$103,INT((ROW()-4)/10)+1))</f>
        <v/>
      </c>
      <c r="T572" s="36"/>
      <c r="U572" s="36"/>
      <c r="V572" s="36"/>
      <c r="W572" s="36"/>
      <c r="X572" s="36"/>
      <c r="Y572" s="36"/>
      <c r="Z572" s="36"/>
    </row>
    <row r="573" ht="15.75" customHeight="1">
      <c r="A573" s="96" t="str">
        <f t="array" ref="A573">IF(B573="","",INDEX('Bán nhanh'!$A$4:$A$103,INT((ROW()-4)/10)+1))</f>
        <v/>
      </c>
      <c r="B573" s="36" t="str">
        <f t="array" ref="B573">IF(OR(INDEX('Bán nhanh'!$D$3:$M$3,1,MOD(ROW()-4,10)+1)="",INDEX('Bán nhanh'!$D$4:$M$103,INT((ROW()-4)/10)+1,MOD(ROW()-4,10)+1)&lt;=0),"",INDEX('Bán nhanh'!$D$3:$M$3,1,MOD(ROW()-4,10)+1))</f>
        <v/>
      </c>
      <c r="C573" s="36" t="str">
        <f t="array" ref="C573">IFERROR(INDEX('Sản phẩm'!$A$4:$A$103,MATCH(B573,'Sản phẩm'!$D$4:$D$103,0)),"")</f>
        <v/>
      </c>
      <c r="D573" s="36" t="str">
        <f t="array" ref="D573">IF(B573="","",INDEX('Bán nhanh'!$B$4:$B$103,INT((ROW()-4)/10)+1))</f>
        <v/>
      </c>
      <c r="E573" s="36" t="str">
        <f t="array" ref="E573">IFERROR(INDEX('Mẻ sữa'!$B$4:$B$203,MATCH(D573,'Mẻ sữa'!$C$4:$C$203,0)),"")</f>
        <v/>
      </c>
      <c r="F573" s="82">
        <f t="array" ref="F573">IF(B573="",0,INDEX('Bán nhanh'!$D$4:$M$103,INT((ROW()-4)/10)+1,MOD(ROW()-4,10)+1))</f>
        <v>0</v>
      </c>
      <c r="G573" s="83">
        <f t="array" ref="G573">IFERROR(INDEX('Sản phẩm'!$F$4:$F$103,MATCH(B573,'Sản phẩm'!$D$4:$D$103,0)),0)</f>
        <v>0</v>
      </c>
      <c r="H573" s="83">
        <f t="shared" si="5"/>
        <v>0</v>
      </c>
      <c r="I573" s="83">
        <f t="shared" si="1"/>
        <v>0</v>
      </c>
      <c r="J573" s="83">
        <f t="array" ref="J573">IFERROR(INDEX('Sản phẩm'!$G$4:$G$103,MATCH(B573,'Sản phẩm'!$D$4:$D$103,0)),0)</f>
        <v>0</v>
      </c>
      <c r="K573" s="83">
        <f t="array" ref="K573">IFERROR(J573*INDEX('Mẻ sữa'!$N$4:$N$203,MATCH(D573,'Mẻ sữa'!$C$4:$C$203,0)),0)</f>
        <v>0</v>
      </c>
      <c r="L573" s="83">
        <f t="array" ref="L573">IFERROR(INDEX('Sản phẩm'!$I$4:$I$103,MATCH(B573,'Sản phẩm'!$D$4:$D$103,0)),0)</f>
        <v>0</v>
      </c>
      <c r="M573" s="97" t="str">
        <f t="array" ref="M573">IFERROR(INDEX('Sản phẩm'!$J$4:$J$103,MATCH(B573,'Sản phẩm'!$D$4:$D$103,0)),0)</f>
        <v/>
      </c>
      <c r="N573" s="83">
        <f>IF(B573="",0,(K573+L573+M573)*'Thiết lập'!$B$8)</f>
        <v>0</v>
      </c>
      <c r="O573" s="83">
        <f t="shared" si="2"/>
        <v>0</v>
      </c>
      <c r="P573" s="83">
        <f t="shared" si="3"/>
        <v>0</v>
      </c>
      <c r="Q573" s="83">
        <f t="shared" si="4"/>
        <v>0</v>
      </c>
      <c r="R573" s="36" t="str">
        <f t="array" ref="R573">IF(B573="","",INDEX('Bán nhanh'!$C$4:$C$103,INT((ROW()-4)/10)+1))</f>
        <v/>
      </c>
      <c r="S573" s="36" t="str">
        <f t="array" ref="S573">IF(B573="","",INDEX('Bán nhanh'!$P$4:$P$103,INT((ROW()-4)/10)+1))</f>
        <v/>
      </c>
      <c r="T573" s="36"/>
      <c r="U573" s="36"/>
      <c r="V573" s="36"/>
      <c r="W573" s="36"/>
      <c r="X573" s="36"/>
      <c r="Y573" s="36"/>
      <c r="Z573" s="36"/>
    </row>
    <row r="574" ht="15.75" customHeight="1">
      <c r="A574" s="96" t="str">
        <f t="array" ref="A574">IF(B574="","",INDEX('Bán nhanh'!$A$4:$A$103,INT((ROW()-4)/10)+1))</f>
        <v/>
      </c>
      <c r="B574" s="36" t="str">
        <f t="array" ref="B574">IF(OR(INDEX('Bán nhanh'!$D$3:$M$3,1,MOD(ROW()-4,10)+1)="",INDEX('Bán nhanh'!$D$4:$M$103,INT((ROW()-4)/10)+1,MOD(ROW()-4,10)+1)&lt;=0),"",INDEX('Bán nhanh'!$D$3:$M$3,1,MOD(ROW()-4,10)+1))</f>
        <v/>
      </c>
      <c r="C574" s="36" t="str">
        <f t="array" ref="C574">IFERROR(INDEX('Sản phẩm'!$A$4:$A$103,MATCH(B574,'Sản phẩm'!$D$4:$D$103,0)),"")</f>
        <v/>
      </c>
      <c r="D574" s="36" t="str">
        <f t="array" ref="D574">IF(B574="","",INDEX('Bán nhanh'!$B$4:$B$103,INT((ROW()-4)/10)+1))</f>
        <v/>
      </c>
      <c r="E574" s="36" t="str">
        <f t="array" ref="E574">IFERROR(INDEX('Mẻ sữa'!$B$4:$B$203,MATCH(D574,'Mẻ sữa'!$C$4:$C$203,0)),"")</f>
        <v/>
      </c>
      <c r="F574" s="82">
        <f t="array" ref="F574">IF(B574="",0,INDEX('Bán nhanh'!$D$4:$M$103,INT((ROW()-4)/10)+1,MOD(ROW()-4,10)+1))</f>
        <v>0</v>
      </c>
      <c r="G574" s="83">
        <f t="array" ref="G574">IFERROR(INDEX('Sản phẩm'!$F$4:$F$103,MATCH(B574,'Sản phẩm'!$D$4:$D$103,0)),0)</f>
        <v>0</v>
      </c>
      <c r="H574" s="83">
        <f t="shared" si="5"/>
        <v>0</v>
      </c>
      <c r="I574" s="83">
        <f t="shared" si="1"/>
        <v>0</v>
      </c>
      <c r="J574" s="83">
        <f t="array" ref="J574">IFERROR(INDEX('Sản phẩm'!$G$4:$G$103,MATCH(B574,'Sản phẩm'!$D$4:$D$103,0)),0)</f>
        <v>0</v>
      </c>
      <c r="K574" s="83">
        <f t="array" ref="K574">IFERROR(J574*INDEX('Mẻ sữa'!$N$4:$N$203,MATCH(D574,'Mẻ sữa'!$C$4:$C$203,0)),0)</f>
        <v>0</v>
      </c>
      <c r="L574" s="83">
        <f t="array" ref="L574">IFERROR(INDEX('Sản phẩm'!$I$4:$I$103,MATCH(B574,'Sản phẩm'!$D$4:$D$103,0)),0)</f>
        <v>0</v>
      </c>
      <c r="M574" s="97" t="str">
        <f t="array" ref="M574">IFERROR(INDEX('Sản phẩm'!$J$4:$J$103,MATCH(B574,'Sản phẩm'!$D$4:$D$103,0)),0)</f>
        <v/>
      </c>
      <c r="N574" s="83">
        <f>IF(B574="",0,(K574+L574+M574)*'Thiết lập'!$B$8)</f>
        <v>0</v>
      </c>
      <c r="O574" s="83">
        <f t="shared" si="2"/>
        <v>0</v>
      </c>
      <c r="P574" s="83">
        <f t="shared" si="3"/>
        <v>0</v>
      </c>
      <c r="Q574" s="83">
        <f t="shared" si="4"/>
        <v>0</v>
      </c>
      <c r="R574" s="36" t="str">
        <f t="array" ref="R574">IF(B574="","",INDEX('Bán nhanh'!$C$4:$C$103,INT((ROW()-4)/10)+1))</f>
        <v/>
      </c>
      <c r="S574" s="36" t="str">
        <f t="array" ref="S574">IF(B574="","",INDEX('Bán nhanh'!$P$4:$P$103,INT((ROW()-4)/10)+1))</f>
        <v/>
      </c>
      <c r="T574" s="36"/>
      <c r="U574" s="36"/>
      <c r="V574" s="36"/>
      <c r="W574" s="36"/>
      <c r="X574" s="36"/>
      <c r="Y574" s="36"/>
      <c r="Z574" s="36"/>
    </row>
    <row r="575" ht="15.75" customHeight="1">
      <c r="A575" s="96" t="str">
        <f t="array" ref="A575">IF(B575="","",INDEX('Bán nhanh'!$A$4:$A$103,INT((ROW()-4)/10)+1))</f>
        <v/>
      </c>
      <c r="B575" s="36" t="str">
        <f t="array" ref="B575">IF(OR(INDEX('Bán nhanh'!$D$3:$M$3,1,MOD(ROW()-4,10)+1)="",INDEX('Bán nhanh'!$D$4:$M$103,INT((ROW()-4)/10)+1,MOD(ROW()-4,10)+1)&lt;=0),"",INDEX('Bán nhanh'!$D$3:$M$3,1,MOD(ROW()-4,10)+1))</f>
        <v/>
      </c>
      <c r="C575" s="36" t="str">
        <f t="array" ref="C575">IFERROR(INDEX('Sản phẩm'!$A$4:$A$103,MATCH(B575,'Sản phẩm'!$D$4:$D$103,0)),"")</f>
        <v/>
      </c>
      <c r="D575" s="36" t="str">
        <f t="array" ref="D575">IF(B575="","",INDEX('Bán nhanh'!$B$4:$B$103,INT((ROW()-4)/10)+1))</f>
        <v/>
      </c>
      <c r="E575" s="36" t="str">
        <f t="array" ref="E575">IFERROR(INDEX('Mẻ sữa'!$B$4:$B$203,MATCH(D575,'Mẻ sữa'!$C$4:$C$203,0)),"")</f>
        <v/>
      </c>
      <c r="F575" s="82">
        <f t="array" ref="F575">IF(B575="",0,INDEX('Bán nhanh'!$D$4:$M$103,INT((ROW()-4)/10)+1,MOD(ROW()-4,10)+1))</f>
        <v>0</v>
      </c>
      <c r="G575" s="83">
        <f t="array" ref="G575">IFERROR(INDEX('Sản phẩm'!$F$4:$F$103,MATCH(B575,'Sản phẩm'!$D$4:$D$103,0)),0)</f>
        <v>0</v>
      </c>
      <c r="H575" s="83">
        <f t="shared" si="5"/>
        <v>0</v>
      </c>
      <c r="I575" s="83">
        <f t="shared" si="1"/>
        <v>0</v>
      </c>
      <c r="J575" s="83">
        <f t="array" ref="J575">IFERROR(INDEX('Sản phẩm'!$G$4:$G$103,MATCH(B575,'Sản phẩm'!$D$4:$D$103,0)),0)</f>
        <v>0</v>
      </c>
      <c r="K575" s="83">
        <f t="array" ref="K575">IFERROR(J575*INDEX('Mẻ sữa'!$N$4:$N$203,MATCH(D575,'Mẻ sữa'!$C$4:$C$203,0)),0)</f>
        <v>0</v>
      </c>
      <c r="L575" s="83">
        <f t="array" ref="L575">IFERROR(INDEX('Sản phẩm'!$I$4:$I$103,MATCH(B575,'Sản phẩm'!$D$4:$D$103,0)),0)</f>
        <v>0</v>
      </c>
      <c r="M575" s="97" t="str">
        <f t="array" ref="M575">IFERROR(INDEX('Sản phẩm'!$J$4:$J$103,MATCH(B575,'Sản phẩm'!$D$4:$D$103,0)),0)</f>
        <v/>
      </c>
      <c r="N575" s="83">
        <f>IF(B575="",0,(K575+L575+M575)*'Thiết lập'!$B$8)</f>
        <v>0</v>
      </c>
      <c r="O575" s="83">
        <f t="shared" si="2"/>
        <v>0</v>
      </c>
      <c r="P575" s="83">
        <f t="shared" si="3"/>
        <v>0</v>
      </c>
      <c r="Q575" s="83">
        <f t="shared" si="4"/>
        <v>0</v>
      </c>
      <c r="R575" s="36" t="str">
        <f t="array" ref="R575">IF(B575="","",INDEX('Bán nhanh'!$C$4:$C$103,INT((ROW()-4)/10)+1))</f>
        <v/>
      </c>
      <c r="S575" s="36" t="str">
        <f t="array" ref="S575">IF(B575="","",INDEX('Bán nhanh'!$P$4:$P$103,INT((ROW()-4)/10)+1))</f>
        <v/>
      </c>
      <c r="T575" s="36"/>
      <c r="U575" s="36"/>
      <c r="V575" s="36"/>
      <c r="W575" s="36"/>
      <c r="X575" s="36"/>
      <c r="Y575" s="36"/>
      <c r="Z575" s="36"/>
    </row>
    <row r="576" ht="15.75" customHeight="1">
      <c r="A576" s="96" t="str">
        <f t="array" ref="A576">IF(B576="","",INDEX('Bán nhanh'!$A$4:$A$103,INT((ROW()-4)/10)+1))</f>
        <v/>
      </c>
      <c r="B576" s="36" t="str">
        <f t="array" ref="B576">IF(OR(INDEX('Bán nhanh'!$D$3:$M$3,1,MOD(ROW()-4,10)+1)="",INDEX('Bán nhanh'!$D$4:$M$103,INT((ROW()-4)/10)+1,MOD(ROW()-4,10)+1)&lt;=0),"",INDEX('Bán nhanh'!$D$3:$M$3,1,MOD(ROW()-4,10)+1))</f>
        <v/>
      </c>
      <c r="C576" s="36" t="str">
        <f t="array" ref="C576">IFERROR(INDEX('Sản phẩm'!$A$4:$A$103,MATCH(B576,'Sản phẩm'!$D$4:$D$103,0)),"")</f>
        <v/>
      </c>
      <c r="D576" s="36" t="str">
        <f t="array" ref="D576">IF(B576="","",INDEX('Bán nhanh'!$B$4:$B$103,INT((ROW()-4)/10)+1))</f>
        <v/>
      </c>
      <c r="E576" s="36" t="str">
        <f t="array" ref="E576">IFERROR(INDEX('Mẻ sữa'!$B$4:$B$203,MATCH(D576,'Mẻ sữa'!$C$4:$C$203,0)),"")</f>
        <v/>
      </c>
      <c r="F576" s="82">
        <f t="array" ref="F576">IF(B576="",0,INDEX('Bán nhanh'!$D$4:$M$103,INT((ROW()-4)/10)+1,MOD(ROW()-4,10)+1))</f>
        <v>0</v>
      </c>
      <c r="G576" s="83">
        <f t="array" ref="G576">IFERROR(INDEX('Sản phẩm'!$F$4:$F$103,MATCH(B576,'Sản phẩm'!$D$4:$D$103,0)),0)</f>
        <v>0</v>
      </c>
      <c r="H576" s="83">
        <f t="shared" si="5"/>
        <v>0</v>
      </c>
      <c r="I576" s="83">
        <f t="shared" si="1"/>
        <v>0</v>
      </c>
      <c r="J576" s="83">
        <f t="array" ref="J576">IFERROR(INDEX('Sản phẩm'!$G$4:$G$103,MATCH(B576,'Sản phẩm'!$D$4:$D$103,0)),0)</f>
        <v>0</v>
      </c>
      <c r="K576" s="83">
        <f t="array" ref="K576">IFERROR(J576*INDEX('Mẻ sữa'!$N$4:$N$203,MATCH(D576,'Mẻ sữa'!$C$4:$C$203,0)),0)</f>
        <v>0</v>
      </c>
      <c r="L576" s="83">
        <f t="array" ref="L576">IFERROR(INDEX('Sản phẩm'!$I$4:$I$103,MATCH(B576,'Sản phẩm'!$D$4:$D$103,0)),0)</f>
        <v>0</v>
      </c>
      <c r="M576" s="97" t="str">
        <f t="array" ref="M576">IFERROR(INDEX('Sản phẩm'!$J$4:$J$103,MATCH(B576,'Sản phẩm'!$D$4:$D$103,0)),0)</f>
        <v/>
      </c>
      <c r="N576" s="83">
        <f>IF(B576="",0,(K576+L576+M576)*'Thiết lập'!$B$8)</f>
        <v>0</v>
      </c>
      <c r="O576" s="83">
        <f t="shared" si="2"/>
        <v>0</v>
      </c>
      <c r="P576" s="83">
        <f t="shared" si="3"/>
        <v>0</v>
      </c>
      <c r="Q576" s="83">
        <f t="shared" si="4"/>
        <v>0</v>
      </c>
      <c r="R576" s="36" t="str">
        <f t="array" ref="R576">IF(B576="","",INDEX('Bán nhanh'!$C$4:$C$103,INT((ROW()-4)/10)+1))</f>
        <v/>
      </c>
      <c r="S576" s="36" t="str">
        <f t="array" ref="S576">IF(B576="","",INDEX('Bán nhanh'!$P$4:$P$103,INT((ROW()-4)/10)+1))</f>
        <v/>
      </c>
      <c r="T576" s="36"/>
      <c r="U576" s="36"/>
      <c r="V576" s="36"/>
      <c r="W576" s="36"/>
      <c r="X576" s="36"/>
      <c r="Y576" s="36"/>
      <c r="Z576" s="36"/>
    </row>
    <row r="577" ht="15.75" customHeight="1">
      <c r="A577" s="96" t="str">
        <f t="array" ref="A577">IF(B577="","",INDEX('Bán nhanh'!$A$4:$A$103,INT((ROW()-4)/10)+1))</f>
        <v/>
      </c>
      <c r="B577" s="36" t="str">
        <f t="array" ref="B577">IF(OR(INDEX('Bán nhanh'!$D$3:$M$3,1,MOD(ROW()-4,10)+1)="",INDEX('Bán nhanh'!$D$4:$M$103,INT((ROW()-4)/10)+1,MOD(ROW()-4,10)+1)&lt;=0),"",INDEX('Bán nhanh'!$D$3:$M$3,1,MOD(ROW()-4,10)+1))</f>
        <v/>
      </c>
      <c r="C577" s="36" t="str">
        <f t="array" ref="C577">IFERROR(INDEX('Sản phẩm'!$A$4:$A$103,MATCH(B577,'Sản phẩm'!$D$4:$D$103,0)),"")</f>
        <v/>
      </c>
      <c r="D577" s="36" t="str">
        <f t="array" ref="D577">IF(B577="","",INDEX('Bán nhanh'!$B$4:$B$103,INT((ROW()-4)/10)+1))</f>
        <v/>
      </c>
      <c r="E577" s="36" t="str">
        <f t="array" ref="E577">IFERROR(INDEX('Mẻ sữa'!$B$4:$B$203,MATCH(D577,'Mẻ sữa'!$C$4:$C$203,0)),"")</f>
        <v/>
      </c>
      <c r="F577" s="82">
        <f t="array" ref="F577">IF(B577="",0,INDEX('Bán nhanh'!$D$4:$M$103,INT((ROW()-4)/10)+1,MOD(ROW()-4,10)+1))</f>
        <v>0</v>
      </c>
      <c r="G577" s="83">
        <f t="array" ref="G577">IFERROR(INDEX('Sản phẩm'!$F$4:$F$103,MATCH(B577,'Sản phẩm'!$D$4:$D$103,0)),0)</f>
        <v>0</v>
      </c>
      <c r="H577" s="83">
        <f t="shared" si="5"/>
        <v>0</v>
      </c>
      <c r="I577" s="83">
        <f t="shared" si="1"/>
        <v>0</v>
      </c>
      <c r="J577" s="83">
        <f t="array" ref="J577">IFERROR(INDEX('Sản phẩm'!$G$4:$G$103,MATCH(B577,'Sản phẩm'!$D$4:$D$103,0)),0)</f>
        <v>0</v>
      </c>
      <c r="K577" s="83">
        <f t="array" ref="K577">IFERROR(J577*INDEX('Mẻ sữa'!$N$4:$N$203,MATCH(D577,'Mẻ sữa'!$C$4:$C$203,0)),0)</f>
        <v>0</v>
      </c>
      <c r="L577" s="83">
        <f t="array" ref="L577">IFERROR(INDEX('Sản phẩm'!$I$4:$I$103,MATCH(B577,'Sản phẩm'!$D$4:$D$103,0)),0)</f>
        <v>0</v>
      </c>
      <c r="M577" s="97" t="str">
        <f t="array" ref="M577">IFERROR(INDEX('Sản phẩm'!$J$4:$J$103,MATCH(B577,'Sản phẩm'!$D$4:$D$103,0)),0)</f>
        <v/>
      </c>
      <c r="N577" s="83">
        <f>IF(B577="",0,(K577+L577+M577)*'Thiết lập'!$B$8)</f>
        <v>0</v>
      </c>
      <c r="O577" s="83">
        <f t="shared" si="2"/>
        <v>0</v>
      </c>
      <c r="P577" s="83">
        <f t="shared" si="3"/>
        <v>0</v>
      </c>
      <c r="Q577" s="83">
        <f t="shared" si="4"/>
        <v>0</v>
      </c>
      <c r="R577" s="36" t="str">
        <f t="array" ref="R577">IF(B577="","",INDEX('Bán nhanh'!$C$4:$C$103,INT((ROW()-4)/10)+1))</f>
        <v/>
      </c>
      <c r="S577" s="36" t="str">
        <f t="array" ref="S577">IF(B577="","",INDEX('Bán nhanh'!$P$4:$P$103,INT((ROW()-4)/10)+1))</f>
        <v/>
      </c>
      <c r="T577" s="36"/>
      <c r="U577" s="36"/>
      <c r="V577" s="36"/>
      <c r="W577" s="36"/>
      <c r="X577" s="36"/>
      <c r="Y577" s="36"/>
      <c r="Z577" s="36"/>
    </row>
    <row r="578" ht="15.75" customHeight="1">
      <c r="A578" s="96" t="str">
        <f t="array" ref="A578">IF(B578="","",INDEX('Bán nhanh'!$A$4:$A$103,INT((ROW()-4)/10)+1))</f>
        <v/>
      </c>
      <c r="B578" s="36" t="str">
        <f t="array" ref="B578">IF(OR(INDEX('Bán nhanh'!$D$3:$M$3,1,MOD(ROW()-4,10)+1)="",INDEX('Bán nhanh'!$D$4:$M$103,INT((ROW()-4)/10)+1,MOD(ROW()-4,10)+1)&lt;=0),"",INDEX('Bán nhanh'!$D$3:$M$3,1,MOD(ROW()-4,10)+1))</f>
        <v/>
      </c>
      <c r="C578" s="36" t="str">
        <f t="array" ref="C578">IFERROR(INDEX('Sản phẩm'!$A$4:$A$103,MATCH(B578,'Sản phẩm'!$D$4:$D$103,0)),"")</f>
        <v/>
      </c>
      <c r="D578" s="36" t="str">
        <f t="array" ref="D578">IF(B578="","",INDEX('Bán nhanh'!$B$4:$B$103,INT((ROW()-4)/10)+1))</f>
        <v/>
      </c>
      <c r="E578" s="36" t="str">
        <f t="array" ref="E578">IFERROR(INDEX('Mẻ sữa'!$B$4:$B$203,MATCH(D578,'Mẻ sữa'!$C$4:$C$203,0)),"")</f>
        <v/>
      </c>
      <c r="F578" s="82">
        <f t="array" ref="F578">IF(B578="",0,INDEX('Bán nhanh'!$D$4:$M$103,INT((ROW()-4)/10)+1,MOD(ROW()-4,10)+1))</f>
        <v>0</v>
      </c>
      <c r="G578" s="83">
        <f t="array" ref="G578">IFERROR(INDEX('Sản phẩm'!$F$4:$F$103,MATCH(B578,'Sản phẩm'!$D$4:$D$103,0)),0)</f>
        <v>0</v>
      </c>
      <c r="H578" s="83">
        <f t="shared" si="5"/>
        <v>0</v>
      </c>
      <c r="I578" s="83">
        <f t="shared" si="1"/>
        <v>0</v>
      </c>
      <c r="J578" s="83">
        <f t="array" ref="J578">IFERROR(INDEX('Sản phẩm'!$G$4:$G$103,MATCH(B578,'Sản phẩm'!$D$4:$D$103,0)),0)</f>
        <v>0</v>
      </c>
      <c r="K578" s="83">
        <f t="array" ref="K578">IFERROR(J578*INDEX('Mẻ sữa'!$N$4:$N$203,MATCH(D578,'Mẻ sữa'!$C$4:$C$203,0)),0)</f>
        <v>0</v>
      </c>
      <c r="L578" s="83">
        <f t="array" ref="L578">IFERROR(INDEX('Sản phẩm'!$I$4:$I$103,MATCH(B578,'Sản phẩm'!$D$4:$D$103,0)),0)</f>
        <v>0</v>
      </c>
      <c r="M578" s="97" t="str">
        <f t="array" ref="M578">IFERROR(INDEX('Sản phẩm'!$J$4:$J$103,MATCH(B578,'Sản phẩm'!$D$4:$D$103,0)),0)</f>
        <v/>
      </c>
      <c r="N578" s="83">
        <f>IF(B578="",0,(K578+L578+M578)*'Thiết lập'!$B$8)</f>
        <v>0</v>
      </c>
      <c r="O578" s="83">
        <f t="shared" si="2"/>
        <v>0</v>
      </c>
      <c r="P578" s="83">
        <f t="shared" si="3"/>
        <v>0</v>
      </c>
      <c r="Q578" s="83">
        <f t="shared" si="4"/>
        <v>0</v>
      </c>
      <c r="R578" s="36" t="str">
        <f t="array" ref="R578">IF(B578="","",INDEX('Bán nhanh'!$C$4:$C$103,INT((ROW()-4)/10)+1))</f>
        <v/>
      </c>
      <c r="S578" s="36" t="str">
        <f t="array" ref="S578">IF(B578="","",INDEX('Bán nhanh'!$P$4:$P$103,INT((ROW()-4)/10)+1))</f>
        <v/>
      </c>
      <c r="T578" s="36"/>
      <c r="U578" s="36"/>
      <c r="V578" s="36"/>
      <c r="W578" s="36"/>
      <c r="X578" s="36"/>
      <c r="Y578" s="36"/>
      <c r="Z578" s="36"/>
    </row>
    <row r="579" ht="15.75" customHeight="1">
      <c r="A579" s="96" t="str">
        <f t="array" ref="A579">IF(B579="","",INDEX('Bán nhanh'!$A$4:$A$103,INT((ROW()-4)/10)+1))</f>
        <v/>
      </c>
      <c r="B579" s="36" t="str">
        <f t="array" ref="B579">IF(OR(INDEX('Bán nhanh'!$D$3:$M$3,1,MOD(ROW()-4,10)+1)="",INDEX('Bán nhanh'!$D$4:$M$103,INT((ROW()-4)/10)+1,MOD(ROW()-4,10)+1)&lt;=0),"",INDEX('Bán nhanh'!$D$3:$M$3,1,MOD(ROW()-4,10)+1))</f>
        <v/>
      </c>
      <c r="C579" s="36" t="str">
        <f t="array" ref="C579">IFERROR(INDEX('Sản phẩm'!$A$4:$A$103,MATCH(B579,'Sản phẩm'!$D$4:$D$103,0)),"")</f>
        <v/>
      </c>
      <c r="D579" s="36" t="str">
        <f t="array" ref="D579">IF(B579="","",INDEX('Bán nhanh'!$B$4:$B$103,INT((ROW()-4)/10)+1))</f>
        <v/>
      </c>
      <c r="E579" s="36" t="str">
        <f t="array" ref="E579">IFERROR(INDEX('Mẻ sữa'!$B$4:$B$203,MATCH(D579,'Mẻ sữa'!$C$4:$C$203,0)),"")</f>
        <v/>
      </c>
      <c r="F579" s="82">
        <f t="array" ref="F579">IF(B579="",0,INDEX('Bán nhanh'!$D$4:$M$103,INT((ROW()-4)/10)+1,MOD(ROW()-4,10)+1))</f>
        <v>0</v>
      </c>
      <c r="G579" s="83">
        <f t="array" ref="G579">IFERROR(INDEX('Sản phẩm'!$F$4:$F$103,MATCH(B579,'Sản phẩm'!$D$4:$D$103,0)),0)</f>
        <v>0</v>
      </c>
      <c r="H579" s="83">
        <f t="shared" si="5"/>
        <v>0</v>
      </c>
      <c r="I579" s="83">
        <f t="shared" si="1"/>
        <v>0</v>
      </c>
      <c r="J579" s="83">
        <f t="array" ref="J579">IFERROR(INDEX('Sản phẩm'!$G$4:$G$103,MATCH(B579,'Sản phẩm'!$D$4:$D$103,0)),0)</f>
        <v>0</v>
      </c>
      <c r="K579" s="83">
        <f t="array" ref="K579">IFERROR(J579*INDEX('Mẻ sữa'!$N$4:$N$203,MATCH(D579,'Mẻ sữa'!$C$4:$C$203,0)),0)</f>
        <v>0</v>
      </c>
      <c r="L579" s="83">
        <f t="array" ref="L579">IFERROR(INDEX('Sản phẩm'!$I$4:$I$103,MATCH(B579,'Sản phẩm'!$D$4:$D$103,0)),0)</f>
        <v>0</v>
      </c>
      <c r="M579" s="97" t="str">
        <f t="array" ref="M579">IFERROR(INDEX('Sản phẩm'!$J$4:$J$103,MATCH(B579,'Sản phẩm'!$D$4:$D$103,0)),0)</f>
        <v/>
      </c>
      <c r="N579" s="83">
        <f>IF(B579="",0,(K579+L579+M579)*'Thiết lập'!$B$8)</f>
        <v>0</v>
      </c>
      <c r="O579" s="83">
        <f t="shared" si="2"/>
        <v>0</v>
      </c>
      <c r="P579" s="83">
        <f t="shared" si="3"/>
        <v>0</v>
      </c>
      <c r="Q579" s="83">
        <f t="shared" si="4"/>
        <v>0</v>
      </c>
      <c r="R579" s="36" t="str">
        <f t="array" ref="R579">IF(B579="","",INDEX('Bán nhanh'!$C$4:$C$103,INT((ROW()-4)/10)+1))</f>
        <v/>
      </c>
      <c r="S579" s="36" t="str">
        <f t="array" ref="S579">IF(B579="","",INDEX('Bán nhanh'!$P$4:$P$103,INT((ROW()-4)/10)+1))</f>
        <v/>
      </c>
      <c r="T579" s="36"/>
      <c r="U579" s="36"/>
      <c r="V579" s="36"/>
      <c r="W579" s="36"/>
      <c r="X579" s="36"/>
      <c r="Y579" s="36"/>
      <c r="Z579" s="36"/>
    </row>
    <row r="580" ht="15.75" customHeight="1">
      <c r="A580" s="96" t="str">
        <f t="array" ref="A580">IF(B580="","",INDEX('Bán nhanh'!$A$4:$A$103,INT((ROW()-4)/10)+1))</f>
        <v/>
      </c>
      <c r="B580" s="36" t="str">
        <f t="array" ref="B580">IF(OR(INDEX('Bán nhanh'!$D$3:$M$3,1,MOD(ROW()-4,10)+1)="",INDEX('Bán nhanh'!$D$4:$M$103,INT((ROW()-4)/10)+1,MOD(ROW()-4,10)+1)&lt;=0),"",INDEX('Bán nhanh'!$D$3:$M$3,1,MOD(ROW()-4,10)+1))</f>
        <v/>
      </c>
      <c r="C580" s="36" t="str">
        <f t="array" ref="C580">IFERROR(INDEX('Sản phẩm'!$A$4:$A$103,MATCH(B580,'Sản phẩm'!$D$4:$D$103,0)),"")</f>
        <v/>
      </c>
      <c r="D580" s="36" t="str">
        <f t="array" ref="D580">IF(B580="","",INDEX('Bán nhanh'!$B$4:$B$103,INT((ROW()-4)/10)+1))</f>
        <v/>
      </c>
      <c r="E580" s="36" t="str">
        <f t="array" ref="E580">IFERROR(INDEX('Mẻ sữa'!$B$4:$B$203,MATCH(D580,'Mẻ sữa'!$C$4:$C$203,0)),"")</f>
        <v/>
      </c>
      <c r="F580" s="82">
        <f t="array" ref="F580">IF(B580="",0,INDEX('Bán nhanh'!$D$4:$M$103,INT((ROW()-4)/10)+1,MOD(ROW()-4,10)+1))</f>
        <v>0</v>
      </c>
      <c r="G580" s="83">
        <f t="array" ref="G580">IFERROR(INDEX('Sản phẩm'!$F$4:$F$103,MATCH(B580,'Sản phẩm'!$D$4:$D$103,0)),0)</f>
        <v>0</v>
      </c>
      <c r="H580" s="83">
        <f t="shared" si="5"/>
        <v>0</v>
      </c>
      <c r="I580" s="83">
        <f t="shared" si="1"/>
        <v>0</v>
      </c>
      <c r="J580" s="83">
        <f t="array" ref="J580">IFERROR(INDEX('Sản phẩm'!$G$4:$G$103,MATCH(B580,'Sản phẩm'!$D$4:$D$103,0)),0)</f>
        <v>0</v>
      </c>
      <c r="K580" s="83">
        <f t="array" ref="K580">IFERROR(J580*INDEX('Mẻ sữa'!$N$4:$N$203,MATCH(D580,'Mẻ sữa'!$C$4:$C$203,0)),0)</f>
        <v>0</v>
      </c>
      <c r="L580" s="83">
        <f t="array" ref="L580">IFERROR(INDEX('Sản phẩm'!$I$4:$I$103,MATCH(B580,'Sản phẩm'!$D$4:$D$103,0)),0)</f>
        <v>0</v>
      </c>
      <c r="M580" s="97" t="str">
        <f t="array" ref="M580">IFERROR(INDEX('Sản phẩm'!$J$4:$J$103,MATCH(B580,'Sản phẩm'!$D$4:$D$103,0)),0)</f>
        <v/>
      </c>
      <c r="N580" s="83">
        <f>IF(B580="",0,(K580+L580+M580)*'Thiết lập'!$B$8)</f>
        <v>0</v>
      </c>
      <c r="O580" s="83">
        <f t="shared" si="2"/>
        <v>0</v>
      </c>
      <c r="P580" s="83">
        <f t="shared" si="3"/>
        <v>0</v>
      </c>
      <c r="Q580" s="83">
        <f t="shared" si="4"/>
        <v>0</v>
      </c>
      <c r="R580" s="36" t="str">
        <f t="array" ref="R580">IF(B580="","",INDEX('Bán nhanh'!$C$4:$C$103,INT((ROW()-4)/10)+1))</f>
        <v/>
      </c>
      <c r="S580" s="36" t="str">
        <f t="array" ref="S580">IF(B580="","",INDEX('Bán nhanh'!$P$4:$P$103,INT((ROW()-4)/10)+1))</f>
        <v/>
      </c>
      <c r="T580" s="36"/>
      <c r="U580" s="36"/>
      <c r="V580" s="36"/>
      <c r="W580" s="36"/>
      <c r="X580" s="36"/>
      <c r="Y580" s="36"/>
      <c r="Z580" s="36"/>
    </row>
    <row r="581" ht="15.75" customHeight="1">
      <c r="A581" s="96" t="str">
        <f t="array" ref="A581">IF(B581="","",INDEX('Bán nhanh'!$A$4:$A$103,INT((ROW()-4)/10)+1))</f>
        <v/>
      </c>
      <c r="B581" s="36" t="str">
        <f t="array" ref="B581">IF(OR(INDEX('Bán nhanh'!$D$3:$M$3,1,MOD(ROW()-4,10)+1)="",INDEX('Bán nhanh'!$D$4:$M$103,INT((ROW()-4)/10)+1,MOD(ROW()-4,10)+1)&lt;=0),"",INDEX('Bán nhanh'!$D$3:$M$3,1,MOD(ROW()-4,10)+1))</f>
        <v/>
      </c>
      <c r="C581" s="36" t="str">
        <f t="array" ref="C581">IFERROR(INDEX('Sản phẩm'!$A$4:$A$103,MATCH(B581,'Sản phẩm'!$D$4:$D$103,0)),"")</f>
        <v/>
      </c>
      <c r="D581" s="36" t="str">
        <f t="array" ref="D581">IF(B581="","",INDEX('Bán nhanh'!$B$4:$B$103,INT((ROW()-4)/10)+1))</f>
        <v/>
      </c>
      <c r="E581" s="36" t="str">
        <f t="array" ref="E581">IFERROR(INDEX('Mẻ sữa'!$B$4:$B$203,MATCH(D581,'Mẻ sữa'!$C$4:$C$203,0)),"")</f>
        <v/>
      </c>
      <c r="F581" s="82">
        <f t="array" ref="F581">IF(B581="",0,INDEX('Bán nhanh'!$D$4:$M$103,INT((ROW()-4)/10)+1,MOD(ROW()-4,10)+1))</f>
        <v>0</v>
      </c>
      <c r="G581" s="83">
        <f t="array" ref="G581">IFERROR(INDEX('Sản phẩm'!$F$4:$F$103,MATCH(B581,'Sản phẩm'!$D$4:$D$103,0)),0)</f>
        <v>0</v>
      </c>
      <c r="H581" s="83">
        <f t="shared" si="5"/>
        <v>0</v>
      </c>
      <c r="I581" s="83">
        <f t="shared" si="1"/>
        <v>0</v>
      </c>
      <c r="J581" s="83">
        <f t="array" ref="J581">IFERROR(INDEX('Sản phẩm'!$G$4:$G$103,MATCH(B581,'Sản phẩm'!$D$4:$D$103,0)),0)</f>
        <v>0</v>
      </c>
      <c r="K581" s="83">
        <f t="array" ref="K581">IFERROR(J581*INDEX('Mẻ sữa'!$N$4:$N$203,MATCH(D581,'Mẻ sữa'!$C$4:$C$203,0)),0)</f>
        <v>0</v>
      </c>
      <c r="L581" s="83">
        <f t="array" ref="L581">IFERROR(INDEX('Sản phẩm'!$I$4:$I$103,MATCH(B581,'Sản phẩm'!$D$4:$D$103,0)),0)</f>
        <v>0</v>
      </c>
      <c r="M581" s="97" t="str">
        <f t="array" ref="M581">IFERROR(INDEX('Sản phẩm'!$J$4:$J$103,MATCH(B581,'Sản phẩm'!$D$4:$D$103,0)),0)</f>
        <v/>
      </c>
      <c r="N581" s="83">
        <f>IF(B581="",0,(K581+L581+M581)*'Thiết lập'!$B$8)</f>
        <v>0</v>
      </c>
      <c r="O581" s="83">
        <f t="shared" si="2"/>
        <v>0</v>
      </c>
      <c r="P581" s="83">
        <f t="shared" si="3"/>
        <v>0</v>
      </c>
      <c r="Q581" s="83">
        <f t="shared" si="4"/>
        <v>0</v>
      </c>
      <c r="R581" s="36" t="str">
        <f t="array" ref="R581">IF(B581="","",INDEX('Bán nhanh'!$C$4:$C$103,INT((ROW()-4)/10)+1))</f>
        <v/>
      </c>
      <c r="S581" s="36" t="str">
        <f t="array" ref="S581">IF(B581="","",INDEX('Bán nhanh'!$P$4:$P$103,INT((ROW()-4)/10)+1))</f>
        <v/>
      </c>
      <c r="T581" s="36"/>
      <c r="U581" s="36"/>
      <c r="V581" s="36"/>
      <c r="W581" s="36"/>
      <c r="X581" s="36"/>
      <c r="Y581" s="36"/>
      <c r="Z581" s="36"/>
    </row>
    <row r="582" ht="15.75" customHeight="1">
      <c r="A582" s="96" t="str">
        <f t="array" ref="A582">IF(B582="","",INDEX('Bán nhanh'!$A$4:$A$103,INT((ROW()-4)/10)+1))</f>
        <v/>
      </c>
      <c r="B582" s="36" t="str">
        <f t="array" ref="B582">IF(OR(INDEX('Bán nhanh'!$D$3:$M$3,1,MOD(ROW()-4,10)+1)="",INDEX('Bán nhanh'!$D$4:$M$103,INT((ROW()-4)/10)+1,MOD(ROW()-4,10)+1)&lt;=0),"",INDEX('Bán nhanh'!$D$3:$M$3,1,MOD(ROW()-4,10)+1))</f>
        <v/>
      </c>
      <c r="C582" s="36" t="str">
        <f t="array" ref="C582">IFERROR(INDEX('Sản phẩm'!$A$4:$A$103,MATCH(B582,'Sản phẩm'!$D$4:$D$103,0)),"")</f>
        <v/>
      </c>
      <c r="D582" s="36" t="str">
        <f t="array" ref="D582">IF(B582="","",INDEX('Bán nhanh'!$B$4:$B$103,INT((ROW()-4)/10)+1))</f>
        <v/>
      </c>
      <c r="E582" s="36" t="str">
        <f t="array" ref="E582">IFERROR(INDEX('Mẻ sữa'!$B$4:$B$203,MATCH(D582,'Mẻ sữa'!$C$4:$C$203,0)),"")</f>
        <v/>
      </c>
      <c r="F582" s="82">
        <f t="array" ref="F582">IF(B582="",0,INDEX('Bán nhanh'!$D$4:$M$103,INT((ROW()-4)/10)+1,MOD(ROW()-4,10)+1))</f>
        <v>0</v>
      </c>
      <c r="G582" s="83">
        <f t="array" ref="G582">IFERROR(INDEX('Sản phẩm'!$F$4:$F$103,MATCH(B582,'Sản phẩm'!$D$4:$D$103,0)),0)</f>
        <v>0</v>
      </c>
      <c r="H582" s="83">
        <f t="shared" si="5"/>
        <v>0</v>
      </c>
      <c r="I582" s="83">
        <f t="shared" si="1"/>
        <v>0</v>
      </c>
      <c r="J582" s="83">
        <f t="array" ref="J582">IFERROR(INDEX('Sản phẩm'!$G$4:$G$103,MATCH(B582,'Sản phẩm'!$D$4:$D$103,0)),0)</f>
        <v>0</v>
      </c>
      <c r="K582" s="83">
        <f t="array" ref="K582">IFERROR(J582*INDEX('Mẻ sữa'!$N$4:$N$203,MATCH(D582,'Mẻ sữa'!$C$4:$C$203,0)),0)</f>
        <v>0</v>
      </c>
      <c r="L582" s="83">
        <f t="array" ref="L582">IFERROR(INDEX('Sản phẩm'!$I$4:$I$103,MATCH(B582,'Sản phẩm'!$D$4:$D$103,0)),0)</f>
        <v>0</v>
      </c>
      <c r="M582" s="97" t="str">
        <f t="array" ref="M582">IFERROR(INDEX('Sản phẩm'!$J$4:$J$103,MATCH(B582,'Sản phẩm'!$D$4:$D$103,0)),0)</f>
        <v/>
      </c>
      <c r="N582" s="83">
        <f>IF(B582="",0,(K582+L582+M582)*'Thiết lập'!$B$8)</f>
        <v>0</v>
      </c>
      <c r="O582" s="83">
        <f t="shared" si="2"/>
        <v>0</v>
      </c>
      <c r="P582" s="83">
        <f t="shared" si="3"/>
        <v>0</v>
      </c>
      <c r="Q582" s="83">
        <f t="shared" si="4"/>
        <v>0</v>
      </c>
      <c r="R582" s="36" t="str">
        <f t="array" ref="R582">IF(B582="","",INDEX('Bán nhanh'!$C$4:$C$103,INT((ROW()-4)/10)+1))</f>
        <v/>
      </c>
      <c r="S582" s="36" t="str">
        <f t="array" ref="S582">IF(B582="","",INDEX('Bán nhanh'!$P$4:$P$103,INT((ROW()-4)/10)+1))</f>
        <v/>
      </c>
      <c r="T582" s="36"/>
      <c r="U582" s="36"/>
      <c r="V582" s="36"/>
      <c r="W582" s="36"/>
      <c r="X582" s="36"/>
      <c r="Y582" s="36"/>
      <c r="Z582" s="36"/>
    </row>
    <row r="583" ht="15.75" customHeight="1">
      <c r="A583" s="96" t="str">
        <f t="array" ref="A583">IF(B583="","",INDEX('Bán nhanh'!$A$4:$A$103,INT((ROW()-4)/10)+1))</f>
        <v/>
      </c>
      <c r="B583" s="36" t="str">
        <f t="array" ref="B583">IF(OR(INDEX('Bán nhanh'!$D$3:$M$3,1,MOD(ROW()-4,10)+1)="",INDEX('Bán nhanh'!$D$4:$M$103,INT((ROW()-4)/10)+1,MOD(ROW()-4,10)+1)&lt;=0),"",INDEX('Bán nhanh'!$D$3:$M$3,1,MOD(ROW()-4,10)+1))</f>
        <v/>
      </c>
      <c r="C583" s="36" t="str">
        <f t="array" ref="C583">IFERROR(INDEX('Sản phẩm'!$A$4:$A$103,MATCH(B583,'Sản phẩm'!$D$4:$D$103,0)),"")</f>
        <v/>
      </c>
      <c r="D583" s="36" t="str">
        <f t="array" ref="D583">IF(B583="","",INDEX('Bán nhanh'!$B$4:$B$103,INT((ROW()-4)/10)+1))</f>
        <v/>
      </c>
      <c r="E583" s="36" t="str">
        <f t="array" ref="E583">IFERROR(INDEX('Mẻ sữa'!$B$4:$B$203,MATCH(D583,'Mẻ sữa'!$C$4:$C$203,0)),"")</f>
        <v/>
      </c>
      <c r="F583" s="82">
        <f t="array" ref="F583">IF(B583="",0,INDEX('Bán nhanh'!$D$4:$M$103,INT((ROW()-4)/10)+1,MOD(ROW()-4,10)+1))</f>
        <v>0</v>
      </c>
      <c r="G583" s="83">
        <f t="array" ref="G583">IFERROR(INDEX('Sản phẩm'!$F$4:$F$103,MATCH(B583,'Sản phẩm'!$D$4:$D$103,0)),0)</f>
        <v>0</v>
      </c>
      <c r="H583" s="83">
        <f t="shared" si="5"/>
        <v>0</v>
      </c>
      <c r="I583" s="83">
        <f t="shared" si="1"/>
        <v>0</v>
      </c>
      <c r="J583" s="83">
        <f t="array" ref="J583">IFERROR(INDEX('Sản phẩm'!$G$4:$G$103,MATCH(B583,'Sản phẩm'!$D$4:$D$103,0)),0)</f>
        <v>0</v>
      </c>
      <c r="K583" s="83">
        <f t="array" ref="K583">IFERROR(J583*INDEX('Mẻ sữa'!$N$4:$N$203,MATCH(D583,'Mẻ sữa'!$C$4:$C$203,0)),0)</f>
        <v>0</v>
      </c>
      <c r="L583" s="83">
        <f t="array" ref="L583">IFERROR(INDEX('Sản phẩm'!$I$4:$I$103,MATCH(B583,'Sản phẩm'!$D$4:$D$103,0)),0)</f>
        <v>0</v>
      </c>
      <c r="M583" s="97" t="str">
        <f t="array" ref="M583">IFERROR(INDEX('Sản phẩm'!$J$4:$J$103,MATCH(B583,'Sản phẩm'!$D$4:$D$103,0)),0)</f>
        <v/>
      </c>
      <c r="N583" s="83">
        <f>IF(B583="",0,(K583+L583+M583)*'Thiết lập'!$B$8)</f>
        <v>0</v>
      </c>
      <c r="O583" s="83">
        <f t="shared" si="2"/>
        <v>0</v>
      </c>
      <c r="P583" s="83">
        <f t="shared" si="3"/>
        <v>0</v>
      </c>
      <c r="Q583" s="83">
        <f t="shared" si="4"/>
        <v>0</v>
      </c>
      <c r="R583" s="36" t="str">
        <f t="array" ref="R583">IF(B583="","",INDEX('Bán nhanh'!$C$4:$C$103,INT((ROW()-4)/10)+1))</f>
        <v/>
      </c>
      <c r="S583" s="36" t="str">
        <f t="array" ref="S583">IF(B583="","",INDEX('Bán nhanh'!$P$4:$P$103,INT((ROW()-4)/10)+1))</f>
        <v/>
      </c>
      <c r="T583" s="36"/>
      <c r="U583" s="36"/>
      <c r="V583" s="36"/>
      <c r="W583" s="36"/>
      <c r="X583" s="36"/>
      <c r="Y583" s="36"/>
      <c r="Z583" s="36"/>
    </row>
    <row r="584" ht="15.75" customHeight="1">
      <c r="A584" s="96" t="str">
        <f t="array" ref="A584">IF(B584="","",INDEX('Bán nhanh'!$A$4:$A$103,INT((ROW()-4)/10)+1))</f>
        <v/>
      </c>
      <c r="B584" s="36" t="str">
        <f t="array" ref="B584">IF(OR(INDEX('Bán nhanh'!$D$3:$M$3,1,MOD(ROW()-4,10)+1)="",INDEX('Bán nhanh'!$D$4:$M$103,INT((ROW()-4)/10)+1,MOD(ROW()-4,10)+1)&lt;=0),"",INDEX('Bán nhanh'!$D$3:$M$3,1,MOD(ROW()-4,10)+1))</f>
        <v/>
      </c>
      <c r="C584" s="36" t="str">
        <f t="array" ref="C584">IFERROR(INDEX('Sản phẩm'!$A$4:$A$103,MATCH(B584,'Sản phẩm'!$D$4:$D$103,0)),"")</f>
        <v/>
      </c>
      <c r="D584" s="36" t="str">
        <f t="array" ref="D584">IF(B584="","",INDEX('Bán nhanh'!$B$4:$B$103,INT((ROW()-4)/10)+1))</f>
        <v/>
      </c>
      <c r="E584" s="36" t="str">
        <f t="array" ref="E584">IFERROR(INDEX('Mẻ sữa'!$B$4:$B$203,MATCH(D584,'Mẻ sữa'!$C$4:$C$203,0)),"")</f>
        <v/>
      </c>
      <c r="F584" s="82">
        <f t="array" ref="F584">IF(B584="",0,INDEX('Bán nhanh'!$D$4:$M$103,INT((ROW()-4)/10)+1,MOD(ROW()-4,10)+1))</f>
        <v>0</v>
      </c>
      <c r="G584" s="83">
        <f t="array" ref="G584">IFERROR(INDEX('Sản phẩm'!$F$4:$F$103,MATCH(B584,'Sản phẩm'!$D$4:$D$103,0)),0)</f>
        <v>0</v>
      </c>
      <c r="H584" s="83">
        <f t="shared" si="5"/>
        <v>0</v>
      </c>
      <c r="I584" s="83">
        <f t="shared" si="1"/>
        <v>0</v>
      </c>
      <c r="J584" s="83">
        <f t="array" ref="J584">IFERROR(INDEX('Sản phẩm'!$G$4:$G$103,MATCH(B584,'Sản phẩm'!$D$4:$D$103,0)),0)</f>
        <v>0</v>
      </c>
      <c r="K584" s="83">
        <f t="array" ref="K584">IFERROR(J584*INDEX('Mẻ sữa'!$N$4:$N$203,MATCH(D584,'Mẻ sữa'!$C$4:$C$203,0)),0)</f>
        <v>0</v>
      </c>
      <c r="L584" s="83">
        <f t="array" ref="L584">IFERROR(INDEX('Sản phẩm'!$I$4:$I$103,MATCH(B584,'Sản phẩm'!$D$4:$D$103,0)),0)</f>
        <v>0</v>
      </c>
      <c r="M584" s="97" t="str">
        <f t="array" ref="M584">IFERROR(INDEX('Sản phẩm'!$J$4:$J$103,MATCH(B584,'Sản phẩm'!$D$4:$D$103,0)),0)</f>
        <v/>
      </c>
      <c r="N584" s="83">
        <f>IF(B584="",0,(K584+L584+M584)*'Thiết lập'!$B$8)</f>
        <v>0</v>
      </c>
      <c r="O584" s="83">
        <f t="shared" si="2"/>
        <v>0</v>
      </c>
      <c r="P584" s="83">
        <f t="shared" si="3"/>
        <v>0</v>
      </c>
      <c r="Q584" s="83">
        <f t="shared" si="4"/>
        <v>0</v>
      </c>
      <c r="R584" s="36" t="str">
        <f t="array" ref="R584">IF(B584="","",INDEX('Bán nhanh'!$C$4:$C$103,INT((ROW()-4)/10)+1))</f>
        <v/>
      </c>
      <c r="S584" s="36" t="str">
        <f t="array" ref="S584">IF(B584="","",INDEX('Bán nhanh'!$P$4:$P$103,INT((ROW()-4)/10)+1))</f>
        <v/>
      </c>
      <c r="T584" s="36"/>
      <c r="U584" s="36"/>
      <c r="V584" s="36"/>
      <c r="W584" s="36"/>
      <c r="X584" s="36"/>
      <c r="Y584" s="36"/>
      <c r="Z584" s="36"/>
    </row>
    <row r="585" ht="15.75" customHeight="1">
      <c r="A585" s="96" t="str">
        <f t="array" ref="A585">IF(B585="","",INDEX('Bán nhanh'!$A$4:$A$103,INT((ROW()-4)/10)+1))</f>
        <v/>
      </c>
      <c r="B585" s="36" t="str">
        <f t="array" ref="B585">IF(OR(INDEX('Bán nhanh'!$D$3:$M$3,1,MOD(ROW()-4,10)+1)="",INDEX('Bán nhanh'!$D$4:$M$103,INT((ROW()-4)/10)+1,MOD(ROW()-4,10)+1)&lt;=0),"",INDEX('Bán nhanh'!$D$3:$M$3,1,MOD(ROW()-4,10)+1))</f>
        <v/>
      </c>
      <c r="C585" s="36" t="str">
        <f t="array" ref="C585">IFERROR(INDEX('Sản phẩm'!$A$4:$A$103,MATCH(B585,'Sản phẩm'!$D$4:$D$103,0)),"")</f>
        <v/>
      </c>
      <c r="D585" s="36" t="str">
        <f t="array" ref="D585">IF(B585="","",INDEX('Bán nhanh'!$B$4:$B$103,INT((ROW()-4)/10)+1))</f>
        <v/>
      </c>
      <c r="E585" s="36" t="str">
        <f t="array" ref="E585">IFERROR(INDEX('Mẻ sữa'!$B$4:$B$203,MATCH(D585,'Mẻ sữa'!$C$4:$C$203,0)),"")</f>
        <v/>
      </c>
      <c r="F585" s="82">
        <f t="array" ref="F585">IF(B585="",0,INDEX('Bán nhanh'!$D$4:$M$103,INT((ROW()-4)/10)+1,MOD(ROW()-4,10)+1))</f>
        <v>0</v>
      </c>
      <c r="G585" s="83">
        <f t="array" ref="G585">IFERROR(INDEX('Sản phẩm'!$F$4:$F$103,MATCH(B585,'Sản phẩm'!$D$4:$D$103,0)),0)</f>
        <v>0</v>
      </c>
      <c r="H585" s="83">
        <f t="shared" si="5"/>
        <v>0</v>
      </c>
      <c r="I585" s="83">
        <f t="shared" si="1"/>
        <v>0</v>
      </c>
      <c r="J585" s="83">
        <f t="array" ref="J585">IFERROR(INDEX('Sản phẩm'!$G$4:$G$103,MATCH(B585,'Sản phẩm'!$D$4:$D$103,0)),0)</f>
        <v>0</v>
      </c>
      <c r="K585" s="83">
        <f t="array" ref="K585">IFERROR(J585*INDEX('Mẻ sữa'!$N$4:$N$203,MATCH(D585,'Mẻ sữa'!$C$4:$C$203,0)),0)</f>
        <v>0</v>
      </c>
      <c r="L585" s="83">
        <f t="array" ref="L585">IFERROR(INDEX('Sản phẩm'!$I$4:$I$103,MATCH(B585,'Sản phẩm'!$D$4:$D$103,0)),0)</f>
        <v>0</v>
      </c>
      <c r="M585" s="97" t="str">
        <f t="array" ref="M585">IFERROR(INDEX('Sản phẩm'!$J$4:$J$103,MATCH(B585,'Sản phẩm'!$D$4:$D$103,0)),0)</f>
        <v/>
      </c>
      <c r="N585" s="83">
        <f>IF(B585="",0,(K585+L585+M585)*'Thiết lập'!$B$8)</f>
        <v>0</v>
      </c>
      <c r="O585" s="83">
        <f t="shared" si="2"/>
        <v>0</v>
      </c>
      <c r="P585" s="83">
        <f t="shared" si="3"/>
        <v>0</v>
      </c>
      <c r="Q585" s="83">
        <f t="shared" si="4"/>
        <v>0</v>
      </c>
      <c r="R585" s="36" t="str">
        <f t="array" ref="R585">IF(B585="","",INDEX('Bán nhanh'!$C$4:$C$103,INT((ROW()-4)/10)+1))</f>
        <v/>
      </c>
      <c r="S585" s="36" t="str">
        <f t="array" ref="S585">IF(B585="","",INDEX('Bán nhanh'!$P$4:$P$103,INT((ROW()-4)/10)+1))</f>
        <v/>
      </c>
      <c r="T585" s="36"/>
      <c r="U585" s="36"/>
      <c r="V585" s="36"/>
      <c r="W585" s="36"/>
      <c r="X585" s="36"/>
      <c r="Y585" s="36"/>
      <c r="Z585" s="36"/>
    </row>
    <row r="586" ht="15.75" customHeight="1">
      <c r="A586" s="96" t="str">
        <f t="array" ref="A586">IF(B586="","",INDEX('Bán nhanh'!$A$4:$A$103,INT((ROW()-4)/10)+1))</f>
        <v/>
      </c>
      <c r="B586" s="36" t="str">
        <f t="array" ref="B586">IF(OR(INDEX('Bán nhanh'!$D$3:$M$3,1,MOD(ROW()-4,10)+1)="",INDEX('Bán nhanh'!$D$4:$M$103,INT((ROW()-4)/10)+1,MOD(ROW()-4,10)+1)&lt;=0),"",INDEX('Bán nhanh'!$D$3:$M$3,1,MOD(ROW()-4,10)+1))</f>
        <v/>
      </c>
      <c r="C586" s="36" t="str">
        <f t="array" ref="C586">IFERROR(INDEX('Sản phẩm'!$A$4:$A$103,MATCH(B586,'Sản phẩm'!$D$4:$D$103,0)),"")</f>
        <v/>
      </c>
      <c r="D586" s="36" t="str">
        <f t="array" ref="D586">IF(B586="","",INDEX('Bán nhanh'!$B$4:$B$103,INT((ROW()-4)/10)+1))</f>
        <v/>
      </c>
      <c r="E586" s="36" t="str">
        <f t="array" ref="E586">IFERROR(INDEX('Mẻ sữa'!$B$4:$B$203,MATCH(D586,'Mẻ sữa'!$C$4:$C$203,0)),"")</f>
        <v/>
      </c>
      <c r="F586" s="82">
        <f t="array" ref="F586">IF(B586="",0,INDEX('Bán nhanh'!$D$4:$M$103,INT((ROW()-4)/10)+1,MOD(ROW()-4,10)+1))</f>
        <v>0</v>
      </c>
      <c r="G586" s="83">
        <f t="array" ref="G586">IFERROR(INDEX('Sản phẩm'!$F$4:$F$103,MATCH(B586,'Sản phẩm'!$D$4:$D$103,0)),0)</f>
        <v>0</v>
      </c>
      <c r="H586" s="83">
        <f t="shared" si="5"/>
        <v>0</v>
      </c>
      <c r="I586" s="83">
        <f t="shared" si="1"/>
        <v>0</v>
      </c>
      <c r="J586" s="83">
        <f t="array" ref="J586">IFERROR(INDEX('Sản phẩm'!$G$4:$G$103,MATCH(B586,'Sản phẩm'!$D$4:$D$103,0)),0)</f>
        <v>0</v>
      </c>
      <c r="K586" s="83">
        <f t="array" ref="K586">IFERROR(J586*INDEX('Mẻ sữa'!$N$4:$N$203,MATCH(D586,'Mẻ sữa'!$C$4:$C$203,0)),0)</f>
        <v>0</v>
      </c>
      <c r="L586" s="83">
        <f t="array" ref="L586">IFERROR(INDEX('Sản phẩm'!$I$4:$I$103,MATCH(B586,'Sản phẩm'!$D$4:$D$103,0)),0)</f>
        <v>0</v>
      </c>
      <c r="M586" s="97" t="str">
        <f t="array" ref="M586">IFERROR(INDEX('Sản phẩm'!$J$4:$J$103,MATCH(B586,'Sản phẩm'!$D$4:$D$103,0)),0)</f>
        <v/>
      </c>
      <c r="N586" s="83">
        <f>IF(B586="",0,(K586+L586+M586)*'Thiết lập'!$B$8)</f>
        <v>0</v>
      </c>
      <c r="O586" s="83">
        <f t="shared" si="2"/>
        <v>0</v>
      </c>
      <c r="P586" s="83">
        <f t="shared" si="3"/>
        <v>0</v>
      </c>
      <c r="Q586" s="83">
        <f t="shared" si="4"/>
        <v>0</v>
      </c>
      <c r="R586" s="36" t="str">
        <f t="array" ref="R586">IF(B586="","",INDEX('Bán nhanh'!$C$4:$C$103,INT((ROW()-4)/10)+1))</f>
        <v/>
      </c>
      <c r="S586" s="36" t="str">
        <f t="array" ref="S586">IF(B586="","",INDEX('Bán nhanh'!$P$4:$P$103,INT((ROW()-4)/10)+1))</f>
        <v/>
      </c>
      <c r="T586" s="36"/>
      <c r="U586" s="36"/>
      <c r="V586" s="36"/>
      <c r="W586" s="36"/>
      <c r="X586" s="36"/>
      <c r="Y586" s="36"/>
      <c r="Z586" s="36"/>
    </row>
    <row r="587" ht="15.75" customHeight="1">
      <c r="A587" s="96" t="str">
        <f t="array" ref="A587">IF(B587="","",INDEX('Bán nhanh'!$A$4:$A$103,INT((ROW()-4)/10)+1))</f>
        <v/>
      </c>
      <c r="B587" s="36" t="str">
        <f t="array" ref="B587">IF(OR(INDEX('Bán nhanh'!$D$3:$M$3,1,MOD(ROW()-4,10)+1)="",INDEX('Bán nhanh'!$D$4:$M$103,INT((ROW()-4)/10)+1,MOD(ROW()-4,10)+1)&lt;=0),"",INDEX('Bán nhanh'!$D$3:$M$3,1,MOD(ROW()-4,10)+1))</f>
        <v/>
      </c>
      <c r="C587" s="36" t="str">
        <f t="array" ref="C587">IFERROR(INDEX('Sản phẩm'!$A$4:$A$103,MATCH(B587,'Sản phẩm'!$D$4:$D$103,0)),"")</f>
        <v/>
      </c>
      <c r="D587" s="36" t="str">
        <f t="array" ref="D587">IF(B587="","",INDEX('Bán nhanh'!$B$4:$B$103,INT((ROW()-4)/10)+1))</f>
        <v/>
      </c>
      <c r="E587" s="36" t="str">
        <f t="array" ref="E587">IFERROR(INDEX('Mẻ sữa'!$B$4:$B$203,MATCH(D587,'Mẻ sữa'!$C$4:$C$203,0)),"")</f>
        <v/>
      </c>
      <c r="F587" s="82">
        <f t="array" ref="F587">IF(B587="",0,INDEX('Bán nhanh'!$D$4:$M$103,INT((ROW()-4)/10)+1,MOD(ROW()-4,10)+1))</f>
        <v>0</v>
      </c>
      <c r="G587" s="83">
        <f t="array" ref="G587">IFERROR(INDEX('Sản phẩm'!$F$4:$F$103,MATCH(B587,'Sản phẩm'!$D$4:$D$103,0)),0)</f>
        <v>0</v>
      </c>
      <c r="H587" s="83">
        <f t="shared" si="5"/>
        <v>0</v>
      </c>
      <c r="I587" s="83">
        <f t="shared" si="1"/>
        <v>0</v>
      </c>
      <c r="J587" s="83">
        <f t="array" ref="J587">IFERROR(INDEX('Sản phẩm'!$G$4:$G$103,MATCH(B587,'Sản phẩm'!$D$4:$D$103,0)),0)</f>
        <v>0</v>
      </c>
      <c r="K587" s="83">
        <f t="array" ref="K587">IFERROR(J587*INDEX('Mẻ sữa'!$N$4:$N$203,MATCH(D587,'Mẻ sữa'!$C$4:$C$203,0)),0)</f>
        <v>0</v>
      </c>
      <c r="L587" s="83">
        <f t="array" ref="L587">IFERROR(INDEX('Sản phẩm'!$I$4:$I$103,MATCH(B587,'Sản phẩm'!$D$4:$D$103,0)),0)</f>
        <v>0</v>
      </c>
      <c r="M587" s="97" t="str">
        <f t="array" ref="M587">IFERROR(INDEX('Sản phẩm'!$J$4:$J$103,MATCH(B587,'Sản phẩm'!$D$4:$D$103,0)),0)</f>
        <v/>
      </c>
      <c r="N587" s="83">
        <f>IF(B587="",0,(K587+L587+M587)*'Thiết lập'!$B$8)</f>
        <v>0</v>
      </c>
      <c r="O587" s="83">
        <f t="shared" si="2"/>
        <v>0</v>
      </c>
      <c r="P587" s="83">
        <f t="shared" si="3"/>
        <v>0</v>
      </c>
      <c r="Q587" s="83">
        <f t="shared" si="4"/>
        <v>0</v>
      </c>
      <c r="R587" s="36" t="str">
        <f t="array" ref="R587">IF(B587="","",INDEX('Bán nhanh'!$C$4:$C$103,INT((ROW()-4)/10)+1))</f>
        <v/>
      </c>
      <c r="S587" s="36" t="str">
        <f t="array" ref="S587">IF(B587="","",INDEX('Bán nhanh'!$P$4:$P$103,INT((ROW()-4)/10)+1))</f>
        <v/>
      </c>
      <c r="T587" s="36"/>
      <c r="U587" s="36"/>
      <c r="V587" s="36"/>
      <c r="W587" s="36"/>
      <c r="X587" s="36"/>
      <c r="Y587" s="36"/>
      <c r="Z587" s="36"/>
    </row>
    <row r="588" ht="15.75" customHeight="1">
      <c r="A588" s="96" t="str">
        <f t="array" ref="A588">IF(B588="","",INDEX('Bán nhanh'!$A$4:$A$103,INT((ROW()-4)/10)+1))</f>
        <v/>
      </c>
      <c r="B588" s="36" t="str">
        <f t="array" ref="B588">IF(OR(INDEX('Bán nhanh'!$D$3:$M$3,1,MOD(ROW()-4,10)+1)="",INDEX('Bán nhanh'!$D$4:$M$103,INT((ROW()-4)/10)+1,MOD(ROW()-4,10)+1)&lt;=0),"",INDEX('Bán nhanh'!$D$3:$M$3,1,MOD(ROW()-4,10)+1))</f>
        <v/>
      </c>
      <c r="C588" s="36" t="str">
        <f t="array" ref="C588">IFERROR(INDEX('Sản phẩm'!$A$4:$A$103,MATCH(B588,'Sản phẩm'!$D$4:$D$103,0)),"")</f>
        <v/>
      </c>
      <c r="D588" s="36" t="str">
        <f t="array" ref="D588">IF(B588="","",INDEX('Bán nhanh'!$B$4:$B$103,INT((ROW()-4)/10)+1))</f>
        <v/>
      </c>
      <c r="E588" s="36" t="str">
        <f t="array" ref="E588">IFERROR(INDEX('Mẻ sữa'!$B$4:$B$203,MATCH(D588,'Mẻ sữa'!$C$4:$C$203,0)),"")</f>
        <v/>
      </c>
      <c r="F588" s="82">
        <f t="array" ref="F588">IF(B588="",0,INDEX('Bán nhanh'!$D$4:$M$103,INT((ROW()-4)/10)+1,MOD(ROW()-4,10)+1))</f>
        <v>0</v>
      </c>
      <c r="G588" s="83">
        <f t="array" ref="G588">IFERROR(INDEX('Sản phẩm'!$F$4:$F$103,MATCH(B588,'Sản phẩm'!$D$4:$D$103,0)),0)</f>
        <v>0</v>
      </c>
      <c r="H588" s="83">
        <f t="shared" si="5"/>
        <v>0</v>
      </c>
      <c r="I588" s="83">
        <f t="shared" si="1"/>
        <v>0</v>
      </c>
      <c r="J588" s="83">
        <f t="array" ref="J588">IFERROR(INDEX('Sản phẩm'!$G$4:$G$103,MATCH(B588,'Sản phẩm'!$D$4:$D$103,0)),0)</f>
        <v>0</v>
      </c>
      <c r="K588" s="83">
        <f t="array" ref="K588">IFERROR(J588*INDEX('Mẻ sữa'!$N$4:$N$203,MATCH(D588,'Mẻ sữa'!$C$4:$C$203,0)),0)</f>
        <v>0</v>
      </c>
      <c r="L588" s="83">
        <f t="array" ref="L588">IFERROR(INDEX('Sản phẩm'!$I$4:$I$103,MATCH(B588,'Sản phẩm'!$D$4:$D$103,0)),0)</f>
        <v>0</v>
      </c>
      <c r="M588" s="97" t="str">
        <f t="array" ref="M588">IFERROR(INDEX('Sản phẩm'!$J$4:$J$103,MATCH(B588,'Sản phẩm'!$D$4:$D$103,0)),0)</f>
        <v/>
      </c>
      <c r="N588" s="83">
        <f>IF(B588="",0,(K588+L588+M588)*'Thiết lập'!$B$8)</f>
        <v>0</v>
      </c>
      <c r="O588" s="83">
        <f t="shared" si="2"/>
        <v>0</v>
      </c>
      <c r="P588" s="83">
        <f t="shared" si="3"/>
        <v>0</v>
      </c>
      <c r="Q588" s="83">
        <f t="shared" si="4"/>
        <v>0</v>
      </c>
      <c r="R588" s="36" t="str">
        <f t="array" ref="R588">IF(B588="","",INDEX('Bán nhanh'!$C$4:$C$103,INT((ROW()-4)/10)+1))</f>
        <v/>
      </c>
      <c r="S588" s="36" t="str">
        <f t="array" ref="S588">IF(B588="","",INDEX('Bán nhanh'!$P$4:$P$103,INT((ROW()-4)/10)+1))</f>
        <v/>
      </c>
      <c r="T588" s="36"/>
      <c r="U588" s="36"/>
      <c r="V588" s="36"/>
      <c r="W588" s="36"/>
      <c r="X588" s="36"/>
      <c r="Y588" s="36"/>
      <c r="Z588" s="36"/>
    </row>
    <row r="589" ht="15.75" customHeight="1">
      <c r="A589" s="96" t="str">
        <f t="array" ref="A589">IF(B589="","",INDEX('Bán nhanh'!$A$4:$A$103,INT((ROW()-4)/10)+1))</f>
        <v/>
      </c>
      <c r="B589" s="36" t="str">
        <f t="array" ref="B589">IF(OR(INDEX('Bán nhanh'!$D$3:$M$3,1,MOD(ROW()-4,10)+1)="",INDEX('Bán nhanh'!$D$4:$M$103,INT((ROW()-4)/10)+1,MOD(ROW()-4,10)+1)&lt;=0),"",INDEX('Bán nhanh'!$D$3:$M$3,1,MOD(ROW()-4,10)+1))</f>
        <v/>
      </c>
      <c r="C589" s="36" t="str">
        <f t="array" ref="C589">IFERROR(INDEX('Sản phẩm'!$A$4:$A$103,MATCH(B589,'Sản phẩm'!$D$4:$D$103,0)),"")</f>
        <v/>
      </c>
      <c r="D589" s="36" t="str">
        <f t="array" ref="D589">IF(B589="","",INDEX('Bán nhanh'!$B$4:$B$103,INT((ROW()-4)/10)+1))</f>
        <v/>
      </c>
      <c r="E589" s="36" t="str">
        <f t="array" ref="E589">IFERROR(INDEX('Mẻ sữa'!$B$4:$B$203,MATCH(D589,'Mẻ sữa'!$C$4:$C$203,0)),"")</f>
        <v/>
      </c>
      <c r="F589" s="82">
        <f t="array" ref="F589">IF(B589="",0,INDEX('Bán nhanh'!$D$4:$M$103,INT((ROW()-4)/10)+1,MOD(ROW()-4,10)+1))</f>
        <v>0</v>
      </c>
      <c r="G589" s="83">
        <f t="array" ref="G589">IFERROR(INDEX('Sản phẩm'!$F$4:$F$103,MATCH(B589,'Sản phẩm'!$D$4:$D$103,0)),0)</f>
        <v>0</v>
      </c>
      <c r="H589" s="83">
        <f t="shared" si="5"/>
        <v>0</v>
      </c>
      <c r="I589" s="83">
        <f t="shared" si="1"/>
        <v>0</v>
      </c>
      <c r="J589" s="83">
        <f t="array" ref="J589">IFERROR(INDEX('Sản phẩm'!$G$4:$G$103,MATCH(B589,'Sản phẩm'!$D$4:$D$103,0)),0)</f>
        <v>0</v>
      </c>
      <c r="K589" s="83">
        <f t="array" ref="K589">IFERROR(J589*INDEX('Mẻ sữa'!$N$4:$N$203,MATCH(D589,'Mẻ sữa'!$C$4:$C$203,0)),0)</f>
        <v>0</v>
      </c>
      <c r="L589" s="83">
        <f t="array" ref="L589">IFERROR(INDEX('Sản phẩm'!$I$4:$I$103,MATCH(B589,'Sản phẩm'!$D$4:$D$103,0)),0)</f>
        <v>0</v>
      </c>
      <c r="M589" s="97" t="str">
        <f t="array" ref="M589">IFERROR(INDEX('Sản phẩm'!$J$4:$J$103,MATCH(B589,'Sản phẩm'!$D$4:$D$103,0)),0)</f>
        <v/>
      </c>
      <c r="N589" s="83">
        <f>IF(B589="",0,(K589+L589+M589)*'Thiết lập'!$B$8)</f>
        <v>0</v>
      </c>
      <c r="O589" s="83">
        <f t="shared" si="2"/>
        <v>0</v>
      </c>
      <c r="P589" s="83">
        <f t="shared" si="3"/>
        <v>0</v>
      </c>
      <c r="Q589" s="83">
        <f t="shared" si="4"/>
        <v>0</v>
      </c>
      <c r="R589" s="36" t="str">
        <f t="array" ref="R589">IF(B589="","",INDEX('Bán nhanh'!$C$4:$C$103,INT((ROW()-4)/10)+1))</f>
        <v/>
      </c>
      <c r="S589" s="36" t="str">
        <f t="array" ref="S589">IF(B589="","",INDEX('Bán nhanh'!$P$4:$P$103,INT((ROW()-4)/10)+1))</f>
        <v/>
      </c>
      <c r="T589" s="36"/>
      <c r="U589" s="36"/>
      <c r="V589" s="36"/>
      <c r="W589" s="36"/>
      <c r="X589" s="36"/>
      <c r="Y589" s="36"/>
      <c r="Z589" s="36"/>
    </row>
    <row r="590" ht="15.75" customHeight="1">
      <c r="A590" s="96" t="str">
        <f t="array" ref="A590">IF(B590="","",INDEX('Bán nhanh'!$A$4:$A$103,INT((ROW()-4)/10)+1))</f>
        <v/>
      </c>
      <c r="B590" s="36" t="str">
        <f t="array" ref="B590">IF(OR(INDEX('Bán nhanh'!$D$3:$M$3,1,MOD(ROW()-4,10)+1)="",INDEX('Bán nhanh'!$D$4:$M$103,INT((ROW()-4)/10)+1,MOD(ROW()-4,10)+1)&lt;=0),"",INDEX('Bán nhanh'!$D$3:$M$3,1,MOD(ROW()-4,10)+1))</f>
        <v/>
      </c>
      <c r="C590" s="36" t="str">
        <f t="array" ref="C590">IFERROR(INDEX('Sản phẩm'!$A$4:$A$103,MATCH(B590,'Sản phẩm'!$D$4:$D$103,0)),"")</f>
        <v/>
      </c>
      <c r="D590" s="36" t="str">
        <f t="array" ref="D590">IF(B590="","",INDEX('Bán nhanh'!$B$4:$B$103,INT((ROW()-4)/10)+1))</f>
        <v/>
      </c>
      <c r="E590" s="36" t="str">
        <f t="array" ref="E590">IFERROR(INDEX('Mẻ sữa'!$B$4:$B$203,MATCH(D590,'Mẻ sữa'!$C$4:$C$203,0)),"")</f>
        <v/>
      </c>
      <c r="F590" s="82">
        <f t="array" ref="F590">IF(B590="",0,INDEX('Bán nhanh'!$D$4:$M$103,INT((ROW()-4)/10)+1,MOD(ROW()-4,10)+1))</f>
        <v>0</v>
      </c>
      <c r="G590" s="83">
        <f t="array" ref="G590">IFERROR(INDEX('Sản phẩm'!$F$4:$F$103,MATCH(B590,'Sản phẩm'!$D$4:$D$103,0)),0)</f>
        <v>0</v>
      </c>
      <c r="H590" s="83">
        <f t="shared" si="5"/>
        <v>0</v>
      </c>
      <c r="I590" s="83">
        <f t="shared" si="1"/>
        <v>0</v>
      </c>
      <c r="J590" s="83">
        <f t="array" ref="J590">IFERROR(INDEX('Sản phẩm'!$G$4:$G$103,MATCH(B590,'Sản phẩm'!$D$4:$D$103,0)),0)</f>
        <v>0</v>
      </c>
      <c r="K590" s="83">
        <f t="array" ref="K590">IFERROR(J590*INDEX('Mẻ sữa'!$N$4:$N$203,MATCH(D590,'Mẻ sữa'!$C$4:$C$203,0)),0)</f>
        <v>0</v>
      </c>
      <c r="L590" s="83">
        <f t="array" ref="L590">IFERROR(INDEX('Sản phẩm'!$I$4:$I$103,MATCH(B590,'Sản phẩm'!$D$4:$D$103,0)),0)</f>
        <v>0</v>
      </c>
      <c r="M590" s="97" t="str">
        <f t="array" ref="M590">IFERROR(INDEX('Sản phẩm'!$J$4:$J$103,MATCH(B590,'Sản phẩm'!$D$4:$D$103,0)),0)</f>
        <v/>
      </c>
      <c r="N590" s="83">
        <f>IF(B590="",0,(K590+L590+M590)*'Thiết lập'!$B$8)</f>
        <v>0</v>
      </c>
      <c r="O590" s="83">
        <f t="shared" si="2"/>
        <v>0</v>
      </c>
      <c r="P590" s="83">
        <f t="shared" si="3"/>
        <v>0</v>
      </c>
      <c r="Q590" s="83">
        <f t="shared" si="4"/>
        <v>0</v>
      </c>
      <c r="R590" s="36" t="str">
        <f t="array" ref="R590">IF(B590="","",INDEX('Bán nhanh'!$C$4:$C$103,INT((ROW()-4)/10)+1))</f>
        <v/>
      </c>
      <c r="S590" s="36" t="str">
        <f t="array" ref="S590">IF(B590="","",INDEX('Bán nhanh'!$P$4:$P$103,INT((ROW()-4)/10)+1))</f>
        <v/>
      </c>
      <c r="T590" s="36"/>
      <c r="U590" s="36"/>
      <c r="V590" s="36"/>
      <c r="W590" s="36"/>
      <c r="X590" s="36"/>
      <c r="Y590" s="36"/>
      <c r="Z590" s="36"/>
    </row>
    <row r="591" ht="15.75" customHeight="1">
      <c r="A591" s="96" t="str">
        <f t="array" ref="A591">IF(B591="","",INDEX('Bán nhanh'!$A$4:$A$103,INT((ROW()-4)/10)+1))</f>
        <v/>
      </c>
      <c r="B591" s="36" t="str">
        <f t="array" ref="B591">IF(OR(INDEX('Bán nhanh'!$D$3:$M$3,1,MOD(ROW()-4,10)+1)="",INDEX('Bán nhanh'!$D$4:$M$103,INT((ROW()-4)/10)+1,MOD(ROW()-4,10)+1)&lt;=0),"",INDEX('Bán nhanh'!$D$3:$M$3,1,MOD(ROW()-4,10)+1))</f>
        <v/>
      </c>
      <c r="C591" s="36" t="str">
        <f t="array" ref="C591">IFERROR(INDEX('Sản phẩm'!$A$4:$A$103,MATCH(B591,'Sản phẩm'!$D$4:$D$103,0)),"")</f>
        <v/>
      </c>
      <c r="D591" s="36" t="str">
        <f t="array" ref="D591">IF(B591="","",INDEX('Bán nhanh'!$B$4:$B$103,INT((ROW()-4)/10)+1))</f>
        <v/>
      </c>
      <c r="E591" s="36" t="str">
        <f t="array" ref="E591">IFERROR(INDEX('Mẻ sữa'!$B$4:$B$203,MATCH(D591,'Mẻ sữa'!$C$4:$C$203,0)),"")</f>
        <v/>
      </c>
      <c r="F591" s="82">
        <f t="array" ref="F591">IF(B591="",0,INDEX('Bán nhanh'!$D$4:$M$103,INT((ROW()-4)/10)+1,MOD(ROW()-4,10)+1))</f>
        <v>0</v>
      </c>
      <c r="G591" s="83">
        <f t="array" ref="G591">IFERROR(INDEX('Sản phẩm'!$F$4:$F$103,MATCH(B591,'Sản phẩm'!$D$4:$D$103,0)),0)</f>
        <v>0</v>
      </c>
      <c r="H591" s="83">
        <f t="shared" si="5"/>
        <v>0</v>
      </c>
      <c r="I591" s="83">
        <f t="shared" si="1"/>
        <v>0</v>
      </c>
      <c r="J591" s="83">
        <f t="array" ref="J591">IFERROR(INDEX('Sản phẩm'!$G$4:$G$103,MATCH(B591,'Sản phẩm'!$D$4:$D$103,0)),0)</f>
        <v>0</v>
      </c>
      <c r="K591" s="83">
        <f t="array" ref="K591">IFERROR(J591*INDEX('Mẻ sữa'!$N$4:$N$203,MATCH(D591,'Mẻ sữa'!$C$4:$C$203,0)),0)</f>
        <v>0</v>
      </c>
      <c r="L591" s="83">
        <f t="array" ref="L591">IFERROR(INDEX('Sản phẩm'!$I$4:$I$103,MATCH(B591,'Sản phẩm'!$D$4:$D$103,0)),0)</f>
        <v>0</v>
      </c>
      <c r="M591" s="97" t="str">
        <f t="array" ref="M591">IFERROR(INDEX('Sản phẩm'!$J$4:$J$103,MATCH(B591,'Sản phẩm'!$D$4:$D$103,0)),0)</f>
        <v/>
      </c>
      <c r="N591" s="83">
        <f>IF(B591="",0,(K591+L591+M591)*'Thiết lập'!$B$8)</f>
        <v>0</v>
      </c>
      <c r="O591" s="83">
        <f t="shared" si="2"/>
        <v>0</v>
      </c>
      <c r="P591" s="83">
        <f t="shared" si="3"/>
        <v>0</v>
      </c>
      <c r="Q591" s="83">
        <f t="shared" si="4"/>
        <v>0</v>
      </c>
      <c r="R591" s="36" t="str">
        <f t="array" ref="R591">IF(B591="","",INDEX('Bán nhanh'!$C$4:$C$103,INT((ROW()-4)/10)+1))</f>
        <v/>
      </c>
      <c r="S591" s="36" t="str">
        <f t="array" ref="S591">IF(B591="","",INDEX('Bán nhanh'!$P$4:$P$103,INT((ROW()-4)/10)+1))</f>
        <v/>
      </c>
      <c r="T591" s="36"/>
      <c r="U591" s="36"/>
      <c r="V591" s="36"/>
      <c r="W591" s="36"/>
      <c r="X591" s="36"/>
      <c r="Y591" s="36"/>
      <c r="Z591" s="36"/>
    </row>
    <row r="592" ht="15.75" customHeight="1">
      <c r="A592" s="96" t="str">
        <f t="array" ref="A592">IF(B592="","",INDEX('Bán nhanh'!$A$4:$A$103,INT((ROW()-4)/10)+1))</f>
        <v/>
      </c>
      <c r="B592" s="36" t="str">
        <f t="array" ref="B592">IF(OR(INDEX('Bán nhanh'!$D$3:$M$3,1,MOD(ROW()-4,10)+1)="",INDEX('Bán nhanh'!$D$4:$M$103,INT((ROW()-4)/10)+1,MOD(ROW()-4,10)+1)&lt;=0),"",INDEX('Bán nhanh'!$D$3:$M$3,1,MOD(ROW()-4,10)+1))</f>
        <v/>
      </c>
      <c r="C592" s="36" t="str">
        <f t="array" ref="C592">IFERROR(INDEX('Sản phẩm'!$A$4:$A$103,MATCH(B592,'Sản phẩm'!$D$4:$D$103,0)),"")</f>
        <v/>
      </c>
      <c r="D592" s="36" t="str">
        <f t="array" ref="D592">IF(B592="","",INDEX('Bán nhanh'!$B$4:$B$103,INT((ROW()-4)/10)+1))</f>
        <v/>
      </c>
      <c r="E592" s="36" t="str">
        <f t="array" ref="E592">IFERROR(INDEX('Mẻ sữa'!$B$4:$B$203,MATCH(D592,'Mẻ sữa'!$C$4:$C$203,0)),"")</f>
        <v/>
      </c>
      <c r="F592" s="82">
        <f t="array" ref="F592">IF(B592="",0,INDEX('Bán nhanh'!$D$4:$M$103,INT((ROW()-4)/10)+1,MOD(ROW()-4,10)+1))</f>
        <v>0</v>
      </c>
      <c r="G592" s="83">
        <f t="array" ref="G592">IFERROR(INDEX('Sản phẩm'!$F$4:$F$103,MATCH(B592,'Sản phẩm'!$D$4:$D$103,0)),0)</f>
        <v>0</v>
      </c>
      <c r="H592" s="83">
        <f t="shared" si="5"/>
        <v>0</v>
      </c>
      <c r="I592" s="83">
        <f t="shared" si="1"/>
        <v>0</v>
      </c>
      <c r="J592" s="83">
        <f t="array" ref="J592">IFERROR(INDEX('Sản phẩm'!$G$4:$G$103,MATCH(B592,'Sản phẩm'!$D$4:$D$103,0)),0)</f>
        <v>0</v>
      </c>
      <c r="K592" s="83">
        <f t="array" ref="K592">IFERROR(J592*INDEX('Mẻ sữa'!$N$4:$N$203,MATCH(D592,'Mẻ sữa'!$C$4:$C$203,0)),0)</f>
        <v>0</v>
      </c>
      <c r="L592" s="83">
        <f t="array" ref="L592">IFERROR(INDEX('Sản phẩm'!$I$4:$I$103,MATCH(B592,'Sản phẩm'!$D$4:$D$103,0)),0)</f>
        <v>0</v>
      </c>
      <c r="M592" s="97" t="str">
        <f t="array" ref="M592">IFERROR(INDEX('Sản phẩm'!$J$4:$J$103,MATCH(B592,'Sản phẩm'!$D$4:$D$103,0)),0)</f>
        <v/>
      </c>
      <c r="N592" s="83">
        <f>IF(B592="",0,(K592+L592+M592)*'Thiết lập'!$B$8)</f>
        <v>0</v>
      </c>
      <c r="O592" s="83">
        <f t="shared" si="2"/>
        <v>0</v>
      </c>
      <c r="P592" s="83">
        <f t="shared" si="3"/>
        <v>0</v>
      </c>
      <c r="Q592" s="83">
        <f t="shared" si="4"/>
        <v>0</v>
      </c>
      <c r="R592" s="36" t="str">
        <f t="array" ref="R592">IF(B592="","",INDEX('Bán nhanh'!$C$4:$C$103,INT((ROW()-4)/10)+1))</f>
        <v/>
      </c>
      <c r="S592" s="36" t="str">
        <f t="array" ref="S592">IF(B592="","",INDEX('Bán nhanh'!$P$4:$P$103,INT((ROW()-4)/10)+1))</f>
        <v/>
      </c>
      <c r="T592" s="36"/>
      <c r="U592" s="36"/>
      <c r="V592" s="36"/>
      <c r="W592" s="36"/>
      <c r="X592" s="36"/>
      <c r="Y592" s="36"/>
      <c r="Z592" s="36"/>
    </row>
    <row r="593" ht="15.75" customHeight="1">
      <c r="A593" s="96" t="str">
        <f t="array" ref="A593">IF(B593="","",INDEX('Bán nhanh'!$A$4:$A$103,INT((ROW()-4)/10)+1))</f>
        <v/>
      </c>
      <c r="B593" s="36" t="str">
        <f t="array" ref="B593">IF(OR(INDEX('Bán nhanh'!$D$3:$M$3,1,MOD(ROW()-4,10)+1)="",INDEX('Bán nhanh'!$D$4:$M$103,INT((ROW()-4)/10)+1,MOD(ROW()-4,10)+1)&lt;=0),"",INDEX('Bán nhanh'!$D$3:$M$3,1,MOD(ROW()-4,10)+1))</f>
        <v/>
      </c>
      <c r="C593" s="36" t="str">
        <f t="array" ref="C593">IFERROR(INDEX('Sản phẩm'!$A$4:$A$103,MATCH(B593,'Sản phẩm'!$D$4:$D$103,0)),"")</f>
        <v/>
      </c>
      <c r="D593" s="36" t="str">
        <f t="array" ref="D593">IF(B593="","",INDEX('Bán nhanh'!$B$4:$B$103,INT((ROW()-4)/10)+1))</f>
        <v/>
      </c>
      <c r="E593" s="36" t="str">
        <f t="array" ref="E593">IFERROR(INDEX('Mẻ sữa'!$B$4:$B$203,MATCH(D593,'Mẻ sữa'!$C$4:$C$203,0)),"")</f>
        <v/>
      </c>
      <c r="F593" s="82">
        <f t="array" ref="F593">IF(B593="",0,INDEX('Bán nhanh'!$D$4:$M$103,INT((ROW()-4)/10)+1,MOD(ROW()-4,10)+1))</f>
        <v>0</v>
      </c>
      <c r="G593" s="83">
        <f t="array" ref="G593">IFERROR(INDEX('Sản phẩm'!$F$4:$F$103,MATCH(B593,'Sản phẩm'!$D$4:$D$103,0)),0)</f>
        <v>0</v>
      </c>
      <c r="H593" s="83">
        <f t="shared" si="5"/>
        <v>0</v>
      </c>
      <c r="I593" s="83">
        <f t="shared" si="1"/>
        <v>0</v>
      </c>
      <c r="J593" s="83">
        <f t="array" ref="J593">IFERROR(INDEX('Sản phẩm'!$G$4:$G$103,MATCH(B593,'Sản phẩm'!$D$4:$D$103,0)),0)</f>
        <v>0</v>
      </c>
      <c r="K593" s="83">
        <f t="array" ref="K593">IFERROR(J593*INDEX('Mẻ sữa'!$N$4:$N$203,MATCH(D593,'Mẻ sữa'!$C$4:$C$203,0)),0)</f>
        <v>0</v>
      </c>
      <c r="L593" s="83">
        <f t="array" ref="L593">IFERROR(INDEX('Sản phẩm'!$I$4:$I$103,MATCH(B593,'Sản phẩm'!$D$4:$D$103,0)),0)</f>
        <v>0</v>
      </c>
      <c r="M593" s="97" t="str">
        <f t="array" ref="M593">IFERROR(INDEX('Sản phẩm'!$J$4:$J$103,MATCH(B593,'Sản phẩm'!$D$4:$D$103,0)),0)</f>
        <v/>
      </c>
      <c r="N593" s="83">
        <f>IF(B593="",0,(K593+L593+M593)*'Thiết lập'!$B$8)</f>
        <v>0</v>
      </c>
      <c r="O593" s="83">
        <f t="shared" si="2"/>
        <v>0</v>
      </c>
      <c r="P593" s="83">
        <f t="shared" si="3"/>
        <v>0</v>
      </c>
      <c r="Q593" s="83">
        <f t="shared" si="4"/>
        <v>0</v>
      </c>
      <c r="R593" s="36" t="str">
        <f t="array" ref="R593">IF(B593="","",INDEX('Bán nhanh'!$C$4:$C$103,INT((ROW()-4)/10)+1))</f>
        <v/>
      </c>
      <c r="S593" s="36" t="str">
        <f t="array" ref="S593">IF(B593="","",INDEX('Bán nhanh'!$P$4:$P$103,INT((ROW()-4)/10)+1))</f>
        <v/>
      </c>
      <c r="T593" s="36"/>
      <c r="U593" s="36"/>
      <c r="V593" s="36"/>
      <c r="W593" s="36"/>
      <c r="X593" s="36"/>
      <c r="Y593" s="36"/>
      <c r="Z593" s="36"/>
    </row>
    <row r="594" ht="15.75" customHeight="1">
      <c r="A594" s="96" t="str">
        <f t="array" ref="A594">IF(B594="","",INDEX('Bán nhanh'!$A$4:$A$103,INT((ROW()-4)/10)+1))</f>
        <v/>
      </c>
      <c r="B594" s="36" t="str">
        <f t="array" ref="B594">IF(OR(INDEX('Bán nhanh'!$D$3:$M$3,1,MOD(ROW()-4,10)+1)="",INDEX('Bán nhanh'!$D$4:$M$103,INT((ROW()-4)/10)+1,MOD(ROW()-4,10)+1)&lt;=0),"",INDEX('Bán nhanh'!$D$3:$M$3,1,MOD(ROW()-4,10)+1))</f>
        <v/>
      </c>
      <c r="C594" s="36" t="str">
        <f t="array" ref="C594">IFERROR(INDEX('Sản phẩm'!$A$4:$A$103,MATCH(B594,'Sản phẩm'!$D$4:$D$103,0)),"")</f>
        <v/>
      </c>
      <c r="D594" s="36" t="str">
        <f t="array" ref="D594">IF(B594="","",INDEX('Bán nhanh'!$B$4:$B$103,INT((ROW()-4)/10)+1))</f>
        <v/>
      </c>
      <c r="E594" s="36" t="str">
        <f t="array" ref="E594">IFERROR(INDEX('Mẻ sữa'!$B$4:$B$203,MATCH(D594,'Mẻ sữa'!$C$4:$C$203,0)),"")</f>
        <v/>
      </c>
      <c r="F594" s="82">
        <f t="array" ref="F594">IF(B594="",0,INDEX('Bán nhanh'!$D$4:$M$103,INT((ROW()-4)/10)+1,MOD(ROW()-4,10)+1))</f>
        <v>0</v>
      </c>
      <c r="G594" s="83">
        <f t="array" ref="G594">IFERROR(INDEX('Sản phẩm'!$F$4:$F$103,MATCH(B594,'Sản phẩm'!$D$4:$D$103,0)),0)</f>
        <v>0</v>
      </c>
      <c r="H594" s="83">
        <f t="shared" si="5"/>
        <v>0</v>
      </c>
      <c r="I594" s="83">
        <f t="shared" si="1"/>
        <v>0</v>
      </c>
      <c r="J594" s="83">
        <f t="array" ref="J594">IFERROR(INDEX('Sản phẩm'!$G$4:$G$103,MATCH(B594,'Sản phẩm'!$D$4:$D$103,0)),0)</f>
        <v>0</v>
      </c>
      <c r="K594" s="83">
        <f t="array" ref="K594">IFERROR(J594*INDEX('Mẻ sữa'!$N$4:$N$203,MATCH(D594,'Mẻ sữa'!$C$4:$C$203,0)),0)</f>
        <v>0</v>
      </c>
      <c r="L594" s="83">
        <f t="array" ref="L594">IFERROR(INDEX('Sản phẩm'!$I$4:$I$103,MATCH(B594,'Sản phẩm'!$D$4:$D$103,0)),0)</f>
        <v>0</v>
      </c>
      <c r="M594" s="97" t="str">
        <f t="array" ref="M594">IFERROR(INDEX('Sản phẩm'!$J$4:$J$103,MATCH(B594,'Sản phẩm'!$D$4:$D$103,0)),0)</f>
        <v/>
      </c>
      <c r="N594" s="83">
        <f>IF(B594="",0,(K594+L594+M594)*'Thiết lập'!$B$8)</f>
        <v>0</v>
      </c>
      <c r="O594" s="83">
        <f t="shared" si="2"/>
        <v>0</v>
      </c>
      <c r="P594" s="83">
        <f t="shared" si="3"/>
        <v>0</v>
      </c>
      <c r="Q594" s="83">
        <f t="shared" si="4"/>
        <v>0</v>
      </c>
      <c r="R594" s="36" t="str">
        <f t="array" ref="R594">IF(B594="","",INDEX('Bán nhanh'!$C$4:$C$103,INT((ROW()-4)/10)+1))</f>
        <v/>
      </c>
      <c r="S594" s="36" t="str">
        <f t="array" ref="S594">IF(B594="","",INDEX('Bán nhanh'!$P$4:$P$103,INT((ROW()-4)/10)+1))</f>
        <v/>
      </c>
      <c r="T594" s="36"/>
      <c r="U594" s="36"/>
      <c r="V594" s="36"/>
      <c r="W594" s="36"/>
      <c r="X594" s="36"/>
      <c r="Y594" s="36"/>
      <c r="Z594" s="36"/>
    </row>
    <row r="595" ht="15.75" customHeight="1">
      <c r="A595" s="96" t="str">
        <f t="array" ref="A595">IF(B595="","",INDEX('Bán nhanh'!$A$4:$A$103,INT((ROW()-4)/10)+1))</f>
        <v/>
      </c>
      <c r="B595" s="36" t="str">
        <f t="array" ref="B595">IF(OR(INDEX('Bán nhanh'!$D$3:$M$3,1,MOD(ROW()-4,10)+1)="",INDEX('Bán nhanh'!$D$4:$M$103,INT((ROW()-4)/10)+1,MOD(ROW()-4,10)+1)&lt;=0),"",INDEX('Bán nhanh'!$D$3:$M$3,1,MOD(ROW()-4,10)+1))</f>
        <v/>
      </c>
      <c r="C595" s="36" t="str">
        <f t="array" ref="C595">IFERROR(INDEX('Sản phẩm'!$A$4:$A$103,MATCH(B595,'Sản phẩm'!$D$4:$D$103,0)),"")</f>
        <v/>
      </c>
      <c r="D595" s="36" t="str">
        <f t="array" ref="D595">IF(B595="","",INDEX('Bán nhanh'!$B$4:$B$103,INT((ROW()-4)/10)+1))</f>
        <v/>
      </c>
      <c r="E595" s="36" t="str">
        <f t="array" ref="E595">IFERROR(INDEX('Mẻ sữa'!$B$4:$B$203,MATCH(D595,'Mẻ sữa'!$C$4:$C$203,0)),"")</f>
        <v/>
      </c>
      <c r="F595" s="82">
        <f t="array" ref="F595">IF(B595="",0,INDEX('Bán nhanh'!$D$4:$M$103,INT((ROW()-4)/10)+1,MOD(ROW()-4,10)+1))</f>
        <v>0</v>
      </c>
      <c r="G595" s="83">
        <f t="array" ref="G595">IFERROR(INDEX('Sản phẩm'!$F$4:$F$103,MATCH(B595,'Sản phẩm'!$D$4:$D$103,0)),0)</f>
        <v>0</v>
      </c>
      <c r="H595" s="83">
        <f t="shared" si="5"/>
        <v>0</v>
      </c>
      <c r="I595" s="83">
        <f t="shared" si="1"/>
        <v>0</v>
      </c>
      <c r="J595" s="83">
        <f t="array" ref="J595">IFERROR(INDEX('Sản phẩm'!$G$4:$G$103,MATCH(B595,'Sản phẩm'!$D$4:$D$103,0)),0)</f>
        <v>0</v>
      </c>
      <c r="K595" s="83">
        <f t="array" ref="K595">IFERROR(J595*INDEX('Mẻ sữa'!$N$4:$N$203,MATCH(D595,'Mẻ sữa'!$C$4:$C$203,0)),0)</f>
        <v>0</v>
      </c>
      <c r="L595" s="83">
        <f t="array" ref="L595">IFERROR(INDEX('Sản phẩm'!$I$4:$I$103,MATCH(B595,'Sản phẩm'!$D$4:$D$103,0)),0)</f>
        <v>0</v>
      </c>
      <c r="M595" s="97" t="str">
        <f t="array" ref="M595">IFERROR(INDEX('Sản phẩm'!$J$4:$J$103,MATCH(B595,'Sản phẩm'!$D$4:$D$103,0)),0)</f>
        <v/>
      </c>
      <c r="N595" s="83">
        <f>IF(B595="",0,(K595+L595+M595)*'Thiết lập'!$B$8)</f>
        <v>0</v>
      </c>
      <c r="O595" s="83">
        <f t="shared" si="2"/>
        <v>0</v>
      </c>
      <c r="P595" s="83">
        <f t="shared" si="3"/>
        <v>0</v>
      </c>
      <c r="Q595" s="83">
        <f t="shared" si="4"/>
        <v>0</v>
      </c>
      <c r="R595" s="36" t="str">
        <f t="array" ref="R595">IF(B595="","",INDEX('Bán nhanh'!$C$4:$C$103,INT((ROW()-4)/10)+1))</f>
        <v/>
      </c>
      <c r="S595" s="36" t="str">
        <f t="array" ref="S595">IF(B595="","",INDEX('Bán nhanh'!$P$4:$P$103,INT((ROW()-4)/10)+1))</f>
        <v/>
      </c>
      <c r="T595" s="36"/>
      <c r="U595" s="36"/>
      <c r="V595" s="36"/>
      <c r="W595" s="36"/>
      <c r="X595" s="36"/>
      <c r="Y595" s="36"/>
      <c r="Z595" s="36"/>
    </row>
    <row r="596" ht="15.75" customHeight="1">
      <c r="A596" s="96" t="str">
        <f t="array" ref="A596">IF(B596="","",INDEX('Bán nhanh'!$A$4:$A$103,INT((ROW()-4)/10)+1))</f>
        <v/>
      </c>
      <c r="B596" s="36" t="str">
        <f t="array" ref="B596">IF(OR(INDEX('Bán nhanh'!$D$3:$M$3,1,MOD(ROW()-4,10)+1)="",INDEX('Bán nhanh'!$D$4:$M$103,INT((ROW()-4)/10)+1,MOD(ROW()-4,10)+1)&lt;=0),"",INDEX('Bán nhanh'!$D$3:$M$3,1,MOD(ROW()-4,10)+1))</f>
        <v/>
      </c>
      <c r="C596" s="36" t="str">
        <f t="array" ref="C596">IFERROR(INDEX('Sản phẩm'!$A$4:$A$103,MATCH(B596,'Sản phẩm'!$D$4:$D$103,0)),"")</f>
        <v/>
      </c>
      <c r="D596" s="36" t="str">
        <f t="array" ref="D596">IF(B596="","",INDEX('Bán nhanh'!$B$4:$B$103,INT((ROW()-4)/10)+1))</f>
        <v/>
      </c>
      <c r="E596" s="36" t="str">
        <f t="array" ref="E596">IFERROR(INDEX('Mẻ sữa'!$B$4:$B$203,MATCH(D596,'Mẻ sữa'!$C$4:$C$203,0)),"")</f>
        <v/>
      </c>
      <c r="F596" s="82">
        <f t="array" ref="F596">IF(B596="",0,INDEX('Bán nhanh'!$D$4:$M$103,INT((ROW()-4)/10)+1,MOD(ROW()-4,10)+1))</f>
        <v>0</v>
      </c>
      <c r="G596" s="83">
        <f t="array" ref="G596">IFERROR(INDEX('Sản phẩm'!$F$4:$F$103,MATCH(B596,'Sản phẩm'!$D$4:$D$103,0)),0)</f>
        <v>0</v>
      </c>
      <c r="H596" s="83">
        <f t="shared" si="5"/>
        <v>0</v>
      </c>
      <c r="I596" s="83">
        <f t="shared" si="1"/>
        <v>0</v>
      </c>
      <c r="J596" s="83">
        <f t="array" ref="J596">IFERROR(INDEX('Sản phẩm'!$G$4:$G$103,MATCH(B596,'Sản phẩm'!$D$4:$D$103,0)),0)</f>
        <v>0</v>
      </c>
      <c r="K596" s="83">
        <f t="array" ref="K596">IFERROR(J596*INDEX('Mẻ sữa'!$N$4:$N$203,MATCH(D596,'Mẻ sữa'!$C$4:$C$203,0)),0)</f>
        <v>0</v>
      </c>
      <c r="L596" s="83">
        <f t="array" ref="L596">IFERROR(INDEX('Sản phẩm'!$I$4:$I$103,MATCH(B596,'Sản phẩm'!$D$4:$D$103,0)),0)</f>
        <v>0</v>
      </c>
      <c r="M596" s="97" t="str">
        <f t="array" ref="M596">IFERROR(INDEX('Sản phẩm'!$J$4:$J$103,MATCH(B596,'Sản phẩm'!$D$4:$D$103,0)),0)</f>
        <v/>
      </c>
      <c r="N596" s="83">
        <f>IF(B596="",0,(K596+L596+M596)*'Thiết lập'!$B$8)</f>
        <v>0</v>
      </c>
      <c r="O596" s="83">
        <f t="shared" si="2"/>
        <v>0</v>
      </c>
      <c r="P596" s="83">
        <f t="shared" si="3"/>
        <v>0</v>
      </c>
      <c r="Q596" s="83">
        <f t="shared" si="4"/>
        <v>0</v>
      </c>
      <c r="R596" s="36" t="str">
        <f t="array" ref="R596">IF(B596="","",INDEX('Bán nhanh'!$C$4:$C$103,INT((ROW()-4)/10)+1))</f>
        <v/>
      </c>
      <c r="S596" s="36" t="str">
        <f t="array" ref="S596">IF(B596="","",INDEX('Bán nhanh'!$P$4:$P$103,INT((ROW()-4)/10)+1))</f>
        <v/>
      </c>
      <c r="T596" s="36"/>
      <c r="U596" s="36"/>
      <c r="V596" s="36"/>
      <c r="W596" s="36"/>
      <c r="X596" s="36"/>
      <c r="Y596" s="36"/>
      <c r="Z596" s="36"/>
    </row>
    <row r="597" ht="15.75" customHeight="1">
      <c r="A597" s="96" t="str">
        <f t="array" ref="A597">IF(B597="","",INDEX('Bán nhanh'!$A$4:$A$103,INT((ROW()-4)/10)+1))</f>
        <v/>
      </c>
      <c r="B597" s="36" t="str">
        <f t="array" ref="B597">IF(OR(INDEX('Bán nhanh'!$D$3:$M$3,1,MOD(ROW()-4,10)+1)="",INDEX('Bán nhanh'!$D$4:$M$103,INT((ROW()-4)/10)+1,MOD(ROW()-4,10)+1)&lt;=0),"",INDEX('Bán nhanh'!$D$3:$M$3,1,MOD(ROW()-4,10)+1))</f>
        <v/>
      </c>
      <c r="C597" s="36" t="str">
        <f t="array" ref="C597">IFERROR(INDEX('Sản phẩm'!$A$4:$A$103,MATCH(B597,'Sản phẩm'!$D$4:$D$103,0)),"")</f>
        <v/>
      </c>
      <c r="D597" s="36" t="str">
        <f t="array" ref="D597">IF(B597="","",INDEX('Bán nhanh'!$B$4:$B$103,INT((ROW()-4)/10)+1))</f>
        <v/>
      </c>
      <c r="E597" s="36" t="str">
        <f t="array" ref="E597">IFERROR(INDEX('Mẻ sữa'!$B$4:$B$203,MATCH(D597,'Mẻ sữa'!$C$4:$C$203,0)),"")</f>
        <v/>
      </c>
      <c r="F597" s="82">
        <f t="array" ref="F597">IF(B597="",0,INDEX('Bán nhanh'!$D$4:$M$103,INT((ROW()-4)/10)+1,MOD(ROW()-4,10)+1))</f>
        <v>0</v>
      </c>
      <c r="G597" s="83">
        <f t="array" ref="G597">IFERROR(INDEX('Sản phẩm'!$F$4:$F$103,MATCH(B597,'Sản phẩm'!$D$4:$D$103,0)),0)</f>
        <v>0</v>
      </c>
      <c r="H597" s="83">
        <f t="shared" si="5"/>
        <v>0</v>
      </c>
      <c r="I597" s="83">
        <f t="shared" si="1"/>
        <v>0</v>
      </c>
      <c r="J597" s="83">
        <f t="array" ref="J597">IFERROR(INDEX('Sản phẩm'!$G$4:$G$103,MATCH(B597,'Sản phẩm'!$D$4:$D$103,0)),0)</f>
        <v>0</v>
      </c>
      <c r="K597" s="83">
        <f t="array" ref="K597">IFERROR(J597*INDEX('Mẻ sữa'!$N$4:$N$203,MATCH(D597,'Mẻ sữa'!$C$4:$C$203,0)),0)</f>
        <v>0</v>
      </c>
      <c r="L597" s="83">
        <f t="array" ref="L597">IFERROR(INDEX('Sản phẩm'!$I$4:$I$103,MATCH(B597,'Sản phẩm'!$D$4:$D$103,0)),0)</f>
        <v>0</v>
      </c>
      <c r="M597" s="97" t="str">
        <f t="array" ref="M597">IFERROR(INDEX('Sản phẩm'!$J$4:$J$103,MATCH(B597,'Sản phẩm'!$D$4:$D$103,0)),0)</f>
        <v/>
      </c>
      <c r="N597" s="83">
        <f>IF(B597="",0,(K597+L597+M597)*'Thiết lập'!$B$8)</f>
        <v>0</v>
      </c>
      <c r="O597" s="83">
        <f t="shared" si="2"/>
        <v>0</v>
      </c>
      <c r="P597" s="83">
        <f t="shared" si="3"/>
        <v>0</v>
      </c>
      <c r="Q597" s="83">
        <f t="shared" si="4"/>
        <v>0</v>
      </c>
      <c r="R597" s="36" t="str">
        <f t="array" ref="R597">IF(B597="","",INDEX('Bán nhanh'!$C$4:$C$103,INT((ROW()-4)/10)+1))</f>
        <v/>
      </c>
      <c r="S597" s="36" t="str">
        <f t="array" ref="S597">IF(B597="","",INDEX('Bán nhanh'!$P$4:$P$103,INT((ROW()-4)/10)+1))</f>
        <v/>
      </c>
      <c r="T597" s="36"/>
      <c r="U597" s="36"/>
      <c r="V597" s="36"/>
      <c r="W597" s="36"/>
      <c r="X597" s="36"/>
      <c r="Y597" s="36"/>
      <c r="Z597" s="36"/>
    </row>
    <row r="598" ht="15.75" customHeight="1">
      <c r="A598" s="96" t="str">
        <f t="array" ref="A598">IF(B598="","",INDEX('Bán nhanh'!$A$4:$A$103,INT((ROW()-4)/10)+1))</f>
        <v/>
      </c>
      <c r="B598" s="36" t="str">
        <f t="array" ref="B598">IF(OR(INDEX('Bán nhanh'!$D$3:$M$3,1,MOD(ROW()-4,10)+1)="",INDEX('Bán nhanh'!$D$4:$M$103,INT((ROW()-4)/10)+1,MOD(ROW()-4,10)+1)&lt;=0),"",INDEX('Bán nhanh'!$D$3:$M$3,1,MOD(ROW()-4,10)+1))</f>
        <v/>
      </c>
      <c r="C598" s="36" t="str">
        <f t="array" ref="C598">IFERROR(INDEX('Sản phẩm'!$A$4:$A$103,MATCH(B598,'Sản phẩm'!$D$4:$D$103,0)),"")</f>
        <v/>
      </c>
      <c r="D598" s="36" t="str">
        <f t="array" ref="D598">IF(B598="","",INDEX('Bán nhanh'!$B$4:$B$103,INT((ROW()-4)/10)+1))</f>
        <v/>
      </c>
      <c r="E598" s="36" t="str">
        <f t="array" ref="E598">IFERROR(INDEX('Mẻ sữa'!$B$4:$B$203,MATCH(D598,'Mẻ sữa'!$C$4:$C$203,0)),"")</f>
        <v/>
      </c>
      <c r="F598" s="82">
        <f t="array" ref="F598">IF(B598="",0,INDEX('Bán nhanh'!$D$4:$M$103,INT((ROW()-4)/10)+1,MOD(ROW()-4,10)+1))</f>
        <v>0</v>
      </c>
      <c r="G598" s="83">
        <f t="array" ref="G598">IFERROR(INDEX('Sản phẩm'!$F$4:$F$103,MATCH(B598,'Sản phẩm'!$D$4:$D$103,0)),0)</f>
        <v>0</v>
      </c>
      <c r="H598" s="83">
        <f t="shared" si="5"/>
        <v>0</v>
      </c>
      <c r="I598" s="83">
        <f t="shared" si="1"/>
        <v>0</v>
      </c>
      <c r="J598" s="83">
        <f t="array" ref="J598">IFERROR(INDEX('Sản phẩm'!$G$4:$G$103,MATCH(B598,'Sản phẩm'!$D$4:$D$103,0)),0)</f>
        <v>0</v>
      </c>
      <c r="K598" s="83">
        <f t="array" ref="K598">IFERROR(J598*INDEX('Mẻ sữa'!$N$4:$N$203,MATCH(D598,'Mẻ sữa'!$C$4:$C$203,0)),0)</f>
        <v>0</v>
      </c>
      <c r="L598" s="83">
        <f t="array" ref="L598">IFERROR(INDEX('Sản phẩm'!$I$4:$I$103,MATCH(B598,'Sản phẩm'!$D$4:$D$103,0)),0)</f>
        <v>0</v>
      </c>
      <c r="M598" s="97" t="str">
        <f t="array" ref="M598">IFERROR(INDEX('Sản phẩm'!$J$4:$J$103,MATCH(B598,'Sản phẩm'!$D$4:$D$103,0)),0)</f>
        <v/>
      </c>
      <c r="N598" s="83">
        <f>IF(B598="",0,(K598+L598+M598)*'Thiết lập'!$B$8)</f>
        <v>0</v>
      </c>
      <c r="O598" s="83">
        <f t="shared" si="2"/>
        <v>0</v>
      </c>
      <c r="P598" s="83">
        <f t="shared" si="3"/>
        <v>0</v>
      </c>
      <c r="Q598" s="83">
        <f t="shared" si="4"/>
        <v>0</v>
      </c>
      <c r="R598" s="36" t="str">
        <f t="array" ref="R598">IF(B598="","",INDEX('Bán nhanh'!$C$4:$C$103,INT((ROW()-4)/10)+1))</f>
        <v/>
      </c>
      <c r="S598" s="36" t="str">
        <f t="array" ref="S598">IF(B598="","",INDEX('Bán nhanh'!$P$4:$P$103,INT((ROW()-4)/10)+1))</f>
        <v/>
      </c>
      <c r="T598" s="36"/>
      <c r="U598" s="36"/>
      <c r="V598" s="36"/>
      <c r="W598" s="36"/>
      <c r="X598" s="36"/>
      <c r="Y598" s="36"/>
      <c r="Z598" s="36"/>
    </row>
    <row r="599" ht="15.75" customHeight="1">
      <c r="A599" s="96" t="str">
        <f t="array" ref="A599">IF(B599="","",INDEX('Bán nhanh'!$A$4:$A$103,INT((ROW()-4)/10)+1))</f>
        <v/>
      </c>
      <c r="B599" s="36" t="str">
        <f t="array" ref="B599">IF(OR(INDEX('Bán nhanh'!$D$3:$M$3,1,MOD(ROW()-4,10)+1)="",INDEX('Bán nhanh'!$D$4:$M$103,INT((ROW()-4)/10)+1,MOD(ROW()-4,10)+1)&lt;=0),"",INDEX('Bán nhanh'!$D$3:$M$3,1,MOD(ROW()-4,10)+1))</f>
        <v/>
      </c>
      <c r="C599" s="36" t="str">
        <f t="array" ref="C599">IFERROR(INDEX('Sản phẩm'!$A$4:$A$103,MATCH(B599,'Sản phẩm'!$D$4:$D$103,0)),"")</f>
        <v/>
      </c>
      <c r="D599" s="36" t="str">
        <f t="array" ref="D599">IF(B599="","",INDEX('Bán nhanh'!$B$4:$B$103,INT((ROW()-4)/10)+1))</f>
        <v/>
      </c>
      <c r="E599" s="36" t="str">
        <f t="array" ref="E599">IFERROR(INDEX('Mẻ sữa'!$B$4:$B$203,MATCH(D599,'Mẻ sữa'!$C$4:$C$203,0)),"")</f>
        <v/>
      </c>
      <c r="F599" s="82">
        <f t="array" ref="F599">IF(B599="",0,INDEX('Bán nhanh'!$D$4:$M$103,INT((ROW()-4)/10)+1,MOD(ROW()-4,10)+1))</f>
        <v>0</v>
      </c>
      <c r="G599" s="83">
        <f t="array" ref="G599">IFERROR(INDEX('Sản phẩm'!$F$4:$F$103,MATCH(B599,'Sản phẩm'!$D$4:$D$103,0)),0)</f>
        <v>0</v>
      </c>
      <c r="H599" s="83">
        <f t="shared" si="5"/>
        <v>0</v>
      </c>
      <c r="I599" s="83">
        <f t="shared" si="1"/>
        <v>0</v>
      </c>
      <c r="J599" s="83">
        <f t="array" ref="J599">IFERROR(INDEX('Sản phẩm'!$G$4:$G$103,MATCH(B599,'Sản phẩm'!$D$4:$D$103,0)),0)</f>
        <v>0</v>
      </c>
      <c r="K599" s="83">
        <f t="array" ref="K599">IFERROR(J599*INDEX('Mẻ sữa'!$N$4:$N$203,MATCH(D599,'Mẻ sữa'!$C$4:$C$203,0)),0)</f>
        <v>0</v>
      </c>
      <c r="L599" s="83">
        <f t="array" ref="L599">IFERROR(INDEX('Sản phẩm'!$I$4:$I$103,MATCH(B599,'Sản phẩm'!$D$4:$D$103,0)),0)</f>
        <v>0</v>
      </c>
      <c r="M599" s="97" t="str">
        <f t="array" ref="M599">IFERROR(INDEX('Sản phẩm'!$J$4:$J$103,MATCH(B599,'Sản phẩm'!$D$4:$D$103,0)),0)</f>
        <v/>
      </c>
      <c r="N599" s="83">
        <f>IF(B599="",0,(K599+L599+M599)*'Thiết lập'!$B$8)</f>
        <v>0</v>
      </c>
      <c r="O599" s="83">
        <f t="shared" si="2"/>
        <v>0</v>
      </c>
      <c r="P599" s="83">
        <f t="shared" si="3"/>
        <v>0</v>
      </c>
      <c r="Q599" s="83">
        <f t="shared" si="4"/>
        <v>0</v>
      </c>
      <c r="R599" s="36" t="str">
        <f t="array" ref="R599">IF(B599="","",INDEX('Bán nhanh'!$C$4:$C$103,INT((ROW()-4)/10)+1))</f>
        <v/>
      </c>
      <c r="S599" s="36" t="str">
        <f t="array" ref="S599">IF(B599="","",INDEX('Bán nhanh'!$P$4:$P$103,INT((ROW()-4)/10)+1))</f>
        <v/>
      </c>
      <c r="T599" s="36"/>
      <c r="U599" s="36"/>
      <c r="V599" s="36"/>
      <c r="W599" s="36"/>
      <c r="X599" s="36"/>
      <c r="Y599" s="36"/>
      <c r="Z599" s="36"/>
    </row>
    <row r="600" ht="15.75" customHeight="1">
      <c r="A600" s="96" t="str">
        <f t="array" ref="A600">IF(B600="","",INDEX('Bán nhanh'!$A$4:$A$103,INT((ROW()-4)/10)+1))</f>
        <v/>
      </c>
      <c r="B600" s="36" t="str">
        <f t="array" ref="B600">IF(OR(INDEX('Bán nhanh'!$D$3:$M$3,1,MOD(ROW()-4,10)+1)="",INDEX('Bán nhanh'!$D$4:$M$103,INT((ROW()-4)/10)+1,MOD(ROW()-4,10)+1)&lt;=0),"",INDEX('Bán nhanh'!$D$3:$M$3,1,MOD(ROW()-4,10)+1))</f>
        <v/>
      </c>
      <c r="C600" s="36" t="str">
        <f t="array" ref="C600">IFERROR(INDEX('Sản phẩm'!$A$4:$A$103,MATCH(B600,'Sản phẩm'!$D$4:$D$103,0)),"")</f>
        <v/>
      </c>
      <c r="D600" s="36" t="str">
        <f t="array" ref="D600">IF(B600="","",INDEX('Bán nhanh'!$B$4:$B$103,INT((ROW()-4)/10)+1))</f>
        <v/>
      </c>
      <c r="E600" s="36" t="str">
        <f t="array" ref="E600">IFERROR(INDEX('Mẻ sữa'!$B$4:$B$203,MATCH(D600,'Mẻ sữa'!$C$4:$C$203,0)),"")</f>
        <v/>
      </c>
      <c r="F600" s="82">
        <f t="array" ref="F600">IF(B600="",0,INDEX('Bán nhanh'!$D$4:$M$103,INT((ROW()-4)/10)+1,MOD(ROW()-4,10)+1))</f>
        <v>0</v>
      </c>
      <c r="G600" s="83">
        <f t="array" ref="G600">IFERROR(INDEX('Sản phẩm'!$F$4:$F$103,MATCH(B600,'Sản phẩm'!$D$4:$D$103,0)),0)</f>
        <v>0</v>
      </c>
      <c r="H600" s="83">
        <f t="shared" si="5"/>
        <v>0</v>
      </c>
      <c r="I600" s="83">
        <f t="shared" si="1"/>
        <v>0</v>
      </c>
      <c r="J600" s="83">
        <f t="array" ref="J600">IFERROR(INDEX('Sản phẩm'!$G$4:$G$103,MATCH(B600,'Sản phẩm'!$D$4:$D$103,0)),0)</f>
        <v>0</v>
      </c>
      <c r="K600" s="83">
        <f t="array" ref="K600">IFERROR(J600*INDEX('Mẻ sữa'!$N$4:$N$203,MATCH(D600,'Mẻ sữa'!$C$4:$C$203,0)),0)</f>
        <v>0</v>
      </c>
      <c r="L600" s="83">
        <f t="array" ref="L600">IFERROR(INDEX('Sản phẩm'!$I$4:$I$103,MATCH(B600,'Sản phẩm'!$D$4:$D$103,0)),0)</f>
        <v>0</v>
      </c>
      <c r="M600" s="97" t="str">
        <f t="array" ref="M600">IFERROR(INDEX('Sản phẩm'!$J$4:$J$103,MATCH(B600,'Sản phẩm'!$D$4:$D$103,0)),0)</f>
        <v/>
      </c>
      <c r="N600" s="83">
        <f>IF(B600="",0,(K600+L600+M600)*'Thiết lập'!$B$8)</f>
        <v>0</v>
      </c>
      <c r="O600" s="83">
        <f t="shared" si="2"/>
        <v>0</v>
      </c>
      <c r="P600" s="83">
        <f t="shared" si="3"/>
        <v>0</v>
      </c>
      <c r="Q600" s="83">
        <f t="shared" si="4"/>
        <v>0</v>
      </c>
      <c r="R600" s="36" t="str">
        <f t="array" ref="R600">IF(B600="","",INDEX('Bán nhanh'!$C$4:$C$103,INT((ROW()-4)/10)+1))</f>
        <v/>
      </c>
      <c r="S600" s="36" t="str">
        <f t="array" ref="S600">IF(B600="","",INDEX('Bán nhanh'!$P$4:$P$103,INT((ROW()-4)/10)+1))</f>
        <v/>
      </c>
      <c r="T600" s="36"/>
      <c r="U600" s="36"/>
      <c r="V600" s="36"/>
      <c r="W600" s="36"/>
      <c r="X600" s="36"/>
      <c r="Y600" s="36"/>
      <c r="Z600" s="36"/>
    </row>
    <row r="601" ht="15.75" customHeight="1">
      <c r="A601" s="96" t="str">
        <f t="array" ref="A601">IF(B601="","",INDEX('Bán nhanh'!$A$4:$A$103,INT((ROW()-4)/10)+1))</f>
        <v/>
      </c>
      <c r="B601" s="36" t="str">
        <f t="array" ref="B601">IF(OR(INDEX('Bán nhanh'!$D$3:$M$3,1,MOD(ROW()-4,10)+1)="",INDEX('Bán nhanh'!$D$4:$M$103,INT((ROW()-4)/10)+1,MOD(ROW()-4,10)+1)&lt;=0),"",INDEX('Bán nhanh'!$D$3:$M$3,1,MOD(ROW()-4,10)+1))</f>
        <v/>
      </c>
      <c r="C601" s="36" t="str">
        <f t="array" ref="C601">IFERROR(INDEX('Sản phẩm'!$A$4:$A$103,MATCH(B601,'Sản phẩm'!$D$4:$D$103,0)),"")</f>
        <v/>
      </c>
      <c r="D601" s="36" t="str">
        <f t="array" ref="D601">IF(B601="","",INDEX('Bán nhanh'!$B$4:$B$103,INT((ROW()-4)/10)+1))</f>
        <v/>
      </c>
      <c r="E601" s="36" t="str">
        <f t="array" ref="E601">IFERROR(INDEX('Mẻ sữa'!$B$4:$B$203,MATCH(D601,'Mẻ sữa'!$C$4:$C$203,0)),"")</f>
        <v/>
      </c>
      <c r="F601" s="82">
        <f t="array" ref="F601">IF(B601="",0,INDEX('Bán nhanh'!$D$4:$M$103,INT((ROW()-4)/10)+1,MOD(ROW()-4,10)+1))</f>
        <v>0</v>
      </c>
      <c r="G601" s="83">
        <f t="array" ref="G601">IFERROR(INDEX('Sản phẩm'!$F$4:$F$103,MATCH(B601,'Sản phẩm'!$D$4:$D$103,0)),0)</f>
        <v>0</v>
      </c>
      <c r="H601" s="83">
        <f t="shared" si="5"/>
        <v>0</v>
      </c>
      <c r="I601" s="83">
        <f t="shared" si="1"/>
        <v>0</v>
      </c>
      <c r="J601" s="83">
        <f t="array" ref="J601">IFERROR(INDEX('Sản phẩm'!$G$4:$G$103,MATCH(B601,'Sản phẩm'!$D$4:$D$103,0)),0)</f>
        <v>0</v>
      </c>
      <c r="K601" s="83">
        <f t="array" ref="K601">IFERROR(J601*INDEX('Mẻ sữa'!$N$4:$N$203,MATCH(D601,'Mẻ sữa'!$C$4:$C$203,0)),0)</f>
        <v>0</v>
      </c>
      <c r="L601" s="83">
        <f t="array" ref="L601">IFERROR(INDEX('Sản phẩm'!$I$4:$I$103,MATCH(B601,'Sản phẩm'!$D$4:$D$103,0)),0)</f>
        <v>0</v>
      </c>
      <c r="M601" s="97" t="str">
        <f t="array" ref="M601">IFERROR(INDEX('Sản phẩm'!$J$4:$J$103,MATCH(B601,'Sản phẩm'!$D$4:$D$103,0)),0)</f>
        <v/>
      </c>
      <c r="N601" s="83">
        <f>IF(B601="",0,(K601+L601+M601)*'Thiết lập'!$B$8)</f>
        <v>0</v>
      </c>
      <c r="O601" s="83">
        <f t="shared" si="2"/>
        <v>0</v>
      </c>
      <c r="P601" s="83">
        <f t="shared" si="3"/>
        <v>0</v>
      </c>
      <c r="Q601" s="83">
        <f t="shared" si="4"/>
        <v>0</v>
      </c>
      <c r="R601" s="36" t="str">
        <f t="array" ref="R601">IF(B601="","",INDEX('Bán nhanh'!$C$4:$C$103,INT((ROW()-4)/10)+1))</f>
        <v/>
      </c>
      <c r="S601" s="36" t="str">
        <f t="array" ref="S601">IF(B601="","",INDEX('Bán nhanh'!$P$4:$P$103,INT((ROW()-4)/10)+1))</f>
        <v/>
      </c>
      <c r="T601" s="36"/>
      <c r="U601" s="36"/>
      <c r="V601" s="36"/>
      <c r="W601" s="36"/>
      <c r="X601" s="36"/>
      <c r="Y601" s="36"/>
      <c r="Z601" s="36"/>
    </row>
    <row r="602" ht="15.75" customHeight="1">
      <c r="A602" s="96" t="str">
        <f t="array" ref="A602">IF(B602="","",INDEX('Bán nhanh'!$A$4:$A$103,INT((ROW()-4)/10)+1))</f>
        <v/>
      </c>
      <c r="B602" s="36" t="str">
        <f t="array" ref="B602">IF(OR(INDEX('Bán nhanh'!$D$3:$M$3,1,MOD(ROW()-4,10)+1)="",INDEX('Bán nhanh'!$D$4:$M$103,INT((ROW()-4)/10)+1,MOD(ROW()-4,10)+1)&lt;=0),"",INDEX('Bán nhanh'!$D$3:$M$3,1,MOD(ROW()-4,10)+1))</f>
        <v/>
      </c>
      <c r="C602" s="36" t="str">
        <f t="array" ref="C602">IFERROR(INDEX('Sản phẩm'!$A$4:$A$103,MATCH(B602,'Sản phẩm'!$D$4:$D$103,0)),"")</f>
        <v/>
      </c>
      <c r="D602" s="36" t="str">
        <f t="array" ref="D602">IF(B602="","",INDEX('Bán nhanh'!$B$4:$B$103,INT((ROW()-4)/10)+1))</f>
        <v/>
      </c>
      <c r="E602" s="36" t="str">
        <f t="array" ref="E602">IFERROR(INDEX('Mẻ sữa'!$B$4:$B$203,MATCH(D602,'Mẻ sữa'!$C$4:$C$203,0)),"")</f>
        <v/>
      </c>
      <c r="F602" s="82">
        <f t="array" ref="F602">IF(B602="",0,INDEX('Bán nhanh'!$D$4:$M$103,INT((ROW()-4)/10)+1,MOD(ROW()-4,10)+1))</f>
        <v>0</v>
      </c>
      <c r="G602" s="83">
        <f t="array" ref="G602">IFERROR(INDEX('Sản phẩm'!$F$4:$F$103,MATCH(B602,'Sản phẩm'!$D$4:$D$103,0)),0)</f>
        <v>0</v>
      </c>
      <c r="H602" s="83">
        <f t="shared" si="5"/>
        <v>0</v>
      </c>
      <c r="I602" s="83">
        <f t="shared" si="1"/>
        <v>0</v>
      </c>
      <c r="J602" s="83">
        <f t="array" ref="J602">IFERROR(INDEX('Sản phẩm'!$G$4:$G$103,MATCH(B602,'Sản phẩm'!$D$4:$D$103,0)),0)</f>
        <v>0</v>
      </c>
      <c r="K602" s="83">
        <f t="array" ref="K602">IFERROR(J602*INDEX('Mẻ sữa'!$N$4:$N$203,MATCH(D602,'Mẻ sữa'!$C$4:$C$203,0)),0)</f>
        <v>0</v>
      </c>
      <c r="L602" s="83">
        <f t="array" ref="L602">IFERROR(INDEX('Sản phẩm'!$I$4:$I$103,MATCH(B602,'Sản phẩm'!$D$4:$D$103,0)),0)</f>
        <v>0</v>
      </c>
      <c r="M602" s="97" t="str">
        <f t="array" ref="M602">IFERROR(INDEX('Sản phẩm'!$J$4:$J$103,MATCH(B602,'Sản phẩm'!$D$4:$D$103,0)),0)</f>
        <v/>
      </c>
      <c r="N602" s="83">
        <f>IF(B602="",0,(K602+L602+M602)*'Thiết lập'!$B$8)</f>
        <v>0</v>
      </c>
      <c r="O602" s="83">
        <f t="shared" si="2"/>
        <v>0</v>
      </c>
      <c r="P602" s="83">
        <f t="shared" si="3"/>
        <v>0</v>
      </c>
      <c r="Q602" s="83">
        <f t="shared" si="4"/>
        <v>0</v>
      </c>
      <c r="R602" s="36" t="str">
        <f t="array" ref="R602">IF(B602="","",INDEX('Bán nhanh'!$C$4:$C$103,INT((ROW()-4)/10)+1))</f>
        <v/>
      </c>
      <c r="S602" s="36" t="str">
        <f t="array" ref="S602">IF(B602="","",INDEX('Bán nhanh'!$P$4:$P$103,INT((ROW()-4)/10)+1))</f>
        <v/>
      </c>
      <c r="T602" s="36"/>
      <c r="U602" s="36"/>
      <c r="V602" s="36"/>
      <c r="W602" s="36"/>
      <c r="X602" s="36"/>
      <c r="Y602" s="36"/>
      <c r="Z602" s="36"/>
    </row>
    <row r="603" ht="15.75" customHeight="1">
      <c r="A603" s="96" t="str">
        <f t="array" ref="A603">IF(B603="","",INDEX('Bán nhanh'!$A$4:$A$103,INT((ROW()-4)/10)+1))</f>
        <v/>
      </c>
      <c r="B603" s="36" t="str">
        <f t="array" ref="B603">IF(OR(INDEX('Bán nhanh'!$D$3:$M$3,1,MOD(ROW()-4,10)+1)="",INDEX('Bán nhanh'!$D$4:$M$103,INT((ROW()-4)/10)+1,MOD(ROW()-4,10)+1)&lt;=0),"",INDEX('Bán nhanh'!$D$3:$M$3,1,MOD(ROW()-4,10)+1))</f>
        <v/>
      </c>
      <c r="C603" s="36" t="str">
        <f t="array" ref="C603">IFERROR(INDEX('Sản phẩm'!$A$4:$A$103,MATCH(B603,'Sản phẩm'!$D$4:$D$103,0)),"")</f>
        <v/>
      </c>
      <c r="D603" s="36" t="str">
        <f t="array" ref="D603">IF(B603="","",INDEX('Bán nhanh'!$B$4:$B$103,INT((ROW()-4)/10)+1))</f>
        <v/>
      </c>
      <c r="E603" s="36" t="str">
        <f t="array" ref="E603">IFERROR(INDEX('Mẻ sữa'!$B$4:$B$203,MATCH(D603,'Mẻ sữa'!$C$4:$C$203,0)),"")</f>
        <v/>
      </c>
      <c r="F603" s="82">
        <f t="array" ref="F603">IF(B603="",0,INDEX('Bán nhanh'!$D$4:$M$103,INT((ROW()-4)/10)+1,MOD(ROW()-4,10)+1))</f>
        <v>0</v>
      </c>
      <c r="G603" s="83">
        <f t="array" ref="G603">IFERROR(INDEX('Sản phẩm'!$F$4:$F$103,MATCH(B603,'Sản phẩm'!$D$4:$D$103,0)),0)</f>
        <v>0</v>
      </c>
      <c r="H603" s="83">
        <f t="shared" si="5"/>
        <v>0</v>
      </c>
      <c r="I603" s="83">
        <f t="shared" si="1"/>
        <v>0</v>
      </c>
      <c r="J603" s="83">
        <f t="array" ref="J603">IFERROR(INDEX('Sản phẩm'!$G$4:$G$103,MATCH(B603,'Sản phẩm'!$D$4:$D$103,0)),0)</f>
        <v>0</v>
      </c>
      <c r="K603" s="83">
        <f t="array" ref="K603">IFERROR(J603*INDEX('Mẻ sữa'!$N$4:$N$203,MATCH(D603,'Mẻ sữa'!$C$4:$C$203,0)),0)</f>
        <v>0</v>
      </c>
      <c r="L603" s="83">
        <f t="array" ref="L603">IFERROR(INDEX('Sản phẩm'!$I$4:$I$103,MATCH(B603,'Sản phẩm'!$D$4:$D$103,0)),0)</f>
        <v>0</v>
      </c>
      <c r="M603" s="97" t="str">
        <f t="array" ref="M603">IFERROR(INDEX('Sản phẩm'!$J$4:$J$103,MATCH(B603,'Sản phẩm'!$D$4:$D$103,0)),0)</f>
        <v/>
      </c>
      <c r="N603" s="83">
        <f>IF(B603="",0,(K603+L603+M603)*'Thiết lập'!$B$8)</f>
        <v>0</v>
      </c>
      <c r="O603" s="83">
        <f t="shared" si="2"/>
        <v>0</v>
      </c>
      <c r="P603" s="83">
        <f t="shared" si="3"/>
        <v>0</v>
      </c>
      <c r="Q603" s="83">
        <f t="shared" si="4"/>
        <v>0</v>
      </c>
      <c r="R603" s="36" t="str">
        <f t="array" ref="R603">IF(B603="","",INDEX('Bán nhanh'!$C$4:$C$103,INT((ROW()-4)/10)+1))</f>
        <v/>
      </c>
      <c r="S603" s="36" t="str">
        <f t="array" ref="S603">IF(B603="","",INDEX('Bán nhanh'!$P$4:$P$103,INT((ROW()-4)/10)+1))</f>
        <v/>
      </c>
      <c r="T603" s="36"/>
      <c r="U603" s="36"/>
      <c r="V603" s="36"/>
      <c r="W603" s="36"/>
      <c r="X603" s="36"/>
      <c r="Y603" s="36"/>
      <c r="Z603" s="36"/>
    </row>
    <row r="604" ht="15.75" customHeight="1">
      <c r="A604" s="96" t="str">
        <f t="array" ref="A604">IF(B604="","",INDEX('Bán nhanh'!$A$4:$A$103,INT((ROW()-4)/10)+1))</f>
        <v/>
      </c>
      <c r="B604" s="36" t="str">
        <f t="array" ref="B604">IF(OR(INDEX('Bán nhanh'!$D$3:$M$3,1,MOD(ROW()-4,10)+1)="",INDEX('Bán nhanh'!$D$4:$M$103,INT((ROW()-4)/10)+1,MOD(ROW()-4,10)+1)&lt;=0),"",INDEX('Bán nhanh'!$D$3:$M$3,1,MOD(ROW()-4,10)+1))</f>
        <v/>
      </c>
      <c r="C604" s="36" t="str">
        <f t="array" ref="C604">IFERROR(INDEX('Sản phẩm'!$A$4:$A$103,MATCH(B604,'Sản phẩm'!$D$4:$D$103,0)),"")</f>
        <v/>
      </c>
      <c r="D604" s="36" t="str">
        <f t="array" ref="D604">IF(B604="","",INDEX('Bán nhanh'!$B$4:$B$103,INT((ROW()-4)/10)+1))</f>
        <v/>
      </c>
      <c r="E604" s="36" t="str">
        <f t="array" ref="E604">IFERROR(INDEX('Mẻ sữa'!$B$4:$B$203,MATCH(D604,'Mẻ sữa'!$C$4:$C$203,0)),"")</f>
        <v/>
      </c>
      <c r="F604" s="82">
        <f t="array" ref="F604">IF(B604="",0,INDEX('Bán nhanh'!$D$4:$M$103,INT((ROW()-4)/10)+1,MOD(ROW()-4,10)+1))</f>
        <v>0</v>
      </c>
      <c r="G604" s="83">
        <f t="array" ref="G604">IFERROR(INDEX('Sản phẩm'!$F$4:$F$103,MATCH(B604,'Sản phẩm'!$D$4:$D$103,0)),0)</f>
        <v>0</v>
      </c>
      <c r="H604" s="83">
        <f t="shared" si="5"/>
        <v>0</v>
      </c>
      <c r="I604" s="83">
        <f t="shared" si="1"/>
        <v>0</v>
      </c>
      <c r="J604" s="83">
        <f t="array" ref="J604">IFERROR(INDEX('Sản phẩm'!$G$4:$G$103,MATCH(B604,'Sản phẩm'!$D$4:$D$103,0)),0)</f>
        <v>0</v>
      </c>
      <c r="K604" s="83">
        <f t="array" ref="K604">IFERROR(J604*INDEX('Mẻ sữa'!$N$4:$N$203,MATCH(D604,'Mẻ sữa'!$C$4:$C$203,0)),0)</f>
        <v>0</v>
      </c>
      <c r="L604" s="83">
        <f t="array" ref="L604">IFERROR(INDEX('Sản phẩm'!$I$4:$I$103,MATCH(B604,'Sản phẩm'!$D$4:$D$103,0)),0)</f>
        <v>0</v>
      </c>
      <c r="M604" s="97" t="str">
        <f t="array" ref="M604">IFERROR(INDEX('Sản phẩm'!$J$4:$J$103,MATCH(B604,'Sản phẩm'!$D$4:$D$103,0)),0)</f>
        <v/>
      </c>
      <c r="N604" s="83">
        <f>IF(B604="",0,(K604+L604+M604)*'Thiết lập'!$B$8)</f>
        <v>0</v>
      </c>
      <c r="O604" s="83">
        <f t="shared" si="2"/>
        <v>0</v>
      </c>
      <c r="P604" s="83">
        <f t="shared" si="3"/>
        <v>0</v>
      </c>
      <c r="Q604" s="83">
        <f t="shared" si="4"/>
        <v>0</v>
      </c>
      <c r="R604" s="36" t="str">
        <f t="array" ref="R604">IF(B604="","",INDEX('Bán nhanh'!$C$4:$C$103,INT((ROW()-4)/10)+1))</f>
        <v/>
      </c>
      <c r="S604" s="36" t="str">
        <f t="array" ref="S604">IF(B604="","",INDEX('Bán nhanh'!$P$4:$P$103,INT((ROW()-4)/10)+1))</f>
        <v/>
      </c>
      <c r="T604" s="36"/>
      <c r="U604" s="36"/>
      <c r="V604" s="36"/>
      <c r="W604" s="36"/>
      <c r="X604" s="36"/>
      <c r="Y604" s="36"/>
      <c r="Z604" s="36"/>
    </row>
    <row r="605" ht="15.75" customHeight="1">
      <c r="A605" s="96" t="str">
        <f t="array" ref="A605">IF(B605="","",INDEX('Bán nhanh'!$A$4:$A$103,INT((ROW()-4)/10)+1))</f>
        <v/>
      </c>
      <c r="B605" s="36" t="str">
        <f t="array" ref="B605">IF(OR(INDEX('Bán nhanh'!$D$3:$M$3,1,MOD(ROW()-4,10)+1)="",INDEX('Bán nhanh'!$D$4:$M$103,INT((ROW()-4)/10)+1,MOD(ROW()-4,10)+1)&lt;=0),"",INDEX('Bán nhanh'!$D$3:$M$3,1,MOD(ROW()-4,10)+1))</f>
        <v/>
      </c>
      <c r="C605" s="36" t="str">
        <f t="array" ref="C605">IFERROR(INDEX('Sản phẩm'!$A$4:$A$103,MATCH(B605,'Sản phẩm'!$D$4:$D$103,0)),"")</f>
        <v/>
      </c>
      <c r="D605" s="36" t="str">
        <f t="array" ref="D605">IF(B605="","",INDEX('Bán nhanh'!$B$4:$B$103,INT((ROW()-4)/10)+1))</f>
        <v/>
      </c>
      <c r="E605" s="36" t="str">
        <f t="array" ref="E605">IFERROR(INDEX('Mẻ sữa'!$B$4:$B$203,MATCH(D605,'Mẻ sữa'!$C$4:$C$203,0)),"")</f>
        <v/>
      </c>
      <c r="F605" s="82">
        <f t="array" ref="F605">IF(B605="",0,INDEX('Bán nhanh'!$D$4:$M$103,INT((ROW()-4)/10)+1,MOD(ROW()-4,10)+1))</f>
        <v>0</v>
      </c>
      <c r="G605" s="83">
        <f t="array" ref="G605">IFERROR(INDEX('Sản phẩm'!$F$4:$F$103,MATCH(B605,'Sản phẩm'!$D$4:$D$103,0)),0)</f>
        <v>0</v>
      </c>
      <c r="H605" s="83">
        <f t="shared" si="5"/>
        <v>0</v>
      </c>
      <c r="I605" s="83">
        <f t="shared" si="1"/>
        <v>0</v>
      </c>
      <c r="J605" s="83">
        <f t="array" ref="J605">IFERROR(INDEX('Sản phẩm'!$G$4:$G$103,MATCH(B605,'Sản phẩm'!$D$4:$D$103,0)),0)</f>
        <v>0</v>
      </c>
      <c r="K605" s="83">
        <f t="array" ref="K605">IFERROR(J605*INDEX('Mẻ sữa'!$N$4:$N$203,MATCH(D605,'Mẻ sữa'!$C$4:$C$203,0)),0)</f>
        <v>0</v>
      </c>
      <c r="L605" s="83">
        <f t="array" ref="L605">IFERROR(INDEX('Sản phẩm'!$I$4:$I$103,MATCH(B605,'Sản phẩm'!$D$4:$D$103,0)),0)</f>
        <v>0</v>
      </c>
      <c r="M605" s="97" t="str">
        <f t="array" ref="M605">IFERROR(INDEX('Sản phẩm'!$J$4:$J$103,MATCH(B605,'Sản phẩm'!$D$4:$D$103,0)),0)</f>
        <v/>
      </c>
      <c r="N605" s="83">
        <f>IF(B605="",0,(K605+L605+M605)*'Thiết lập'!$B$8)</f>
        <v>0</v>
      </c>
      <c r="O605" s="83">
        <f t="shared" si="2"/>
        <v>0</v>
      </c>
      <c r="P605" s="83">
        <f t="shared" si="3"/>
        <v>0</v>
      </c>
      <c r="Q605" s="83">
        <f t="shared" si="4"/>
        <v>0</v>
      </c>
      <c r="R605" s="36" t="str">
        <f t="array" ref="R605">IF(B605="","",INDEX('Bán nhanh'!$C$4:$C$103,INT((ROW()-4)/10)+1))</f>
        <v/>
      </c>
      <c r="S605" s="36" t="str">
        <f t="array" ref="S605">IF(B605="","",INDEX('Bán nhanh'!$P$4:$P$103,INT((ROW()-4)/10)+1))</f>
        <v/>
      </c>
      <c r="T605" s="36"/>
      <c r="U605" s="36"/>
      <c r="V605" s="36"/>
      <c r="W605" s="36"/>
      <c r="X605" s="36"/>
      <c r="Y605" s="36"/>
      <c r="Z605" s="36"/>
    </row>
    <row r="606" ht="15.75" customHeight="1">
      <c r="A606" s="96" t="str">
        <f t="array" ref="A606">IF(B606="","",INDEX('Bán nhanh'!$A$4:$A$103,INT((ROW()-4)/10)+1))</f>
        <v/>
      </c>
      <c r="B606" s="36" t="str">
        <f t="array" ref="B606">IF(OR(INDEX('Bán nhanh'!$D$3:$M$3,1,MOD(ROW()-4,10)+1)="",INDEX('Bán nhanh'!$D$4:$M$103,INT((ROW()-4)/10)+1,MOD(ROW()-4,10)+1)&lt;=0),"",INDEX('Bán nhanh'!$D$3:$M$3,1,MOD(ROW()-4,10)+1))</f>
        <v/>
      </c>
      <c r="C606" s="36" t="str">
        <f t="array" ref="C606">IFERROR(INDEX('Sản phẩm'!$A$4:$A$103,MATCH(B606,'Sản phẩm'!$D$4:$D$103,0)),"")</f>
        <v/>
      </c>
      <c r="D606" s="36" t="str">
        <f t="array" ref="D606">IF(B606="","",INDEX('Bán nhanh'!$B$4:$B$103,INT((ROW()-4)/10)+1))</f>
        <v/>
      </c>
      <c r="E606" s="36" t="str">
        <f t="array" ref="E606">IFERROR(INDEX('Mẻ sữa'!$B$4:$B$203,MATCH(D606,'Mẻ sữa'!$C$4:$C$203,0)),"")</f>
        <v/>
      </c>
      <c r="F606" s="82">
        <f t="array" ref="F606">IF(B606="",0,INDEX('Bán nhanh'!$D$4:$M$103,INT((ROW()-4)/10)+1,MOD(ROW()-4,10)+1))</f>
        <v>0</v>
      </c>
      <c r="G606" s="83">
        <f t="array" ref="G606">IFERROR(INDEX('Sản phẩm'!$F$4:$F$103,MATCH(B606,'Sản phẩm'!$D$4:$D$103,0)),0)</f>
        <v>0</v>
      </c>
      <c r="H606" s="83">
        <f t="shared" si="5"/>
        <v>0</v>
      </c>
      <c r="I606" s="83">
        <f t="shared" si="1"/>
        <v>0</v>
      </c>
      <c r="J606" s="83">
        <f t="array" ref="J606">IFERROR(INDEX('Sản phẩm'!$G$4:$G$103,MATCH(B606,'Sản phẩm'!$D$4:$D$103,0)),0)</f>
        <v>0</v>
      </c>
      <c r="K606" s="83">
        <f t="array" ref="K606">IFERROR(J606*INDEX('Mẻ sữa'!$N$4:$N$203,MATCH(D606,'Mẻ sữa'!$C$4:$C$203,0)),0)</f>
        <v>0</v>
      </c>
      <c r="L606" s="83">
        <f t="array" ref="L606">IFERROR(INDEX('Sản phẩm'!$I$4:$I$103,MATCH(B606,'Sản phẩm'!$D$4:$D$103,0)),0)</f>
        <v>0</v>
      </c>
      <c r="M606" s="97" t="str">
        <f t="array" ref="M606">IFERROR(INDEX('Sản phẩm'!$J$4:$J$103,MATCH(B606,'Sản phẩm'!$D$4:$D$103,0)),0)</f>
        <v/>
      </c>
      <c r="N606" s="83">
        <f>IF(B606="",0,(K606+L606+M606)*'Thiết lập'!$B$8)</f>
        <v>0</v>
      </c>
      <c r="O606" s="83">
        <f t="shared" si="2"/>
        <v>0</v>
      </c>
      <c r="P606" s="83">
        <f t="shared" si="3"/>
        <v>0</v>
      </c>
      <c r="Q606" s="83">
        <f t="shared" si="4"/>
        <v>0</v>
      </c>
      <c r="R606" s="36" t="str">
        <f t="array" ref="R606">IF(B606="","",INDEX('Bán nhanh'!$C$4:$C$103,INT((ROW()-4)/10)+1))</f>
        <v/>
      </c>
      <c r="S606" s="36" t="str">
        <f t="array" ref="S606">IF(B606="","",INDEX('Bán nhanh'!$P$4:$P$103,INT((ROW()-4)/10)+1))</f>
        <v/>
      </c>
      <c r="T606" s="36"/>
      <c r="U606" s="36"/>
      <c r="V606" s="36"/>
      <c r="W606" s="36"/>
      <c r="X606" s="36"/>
      <c r="Y606" s="36"/>
      <c r="Z606" s="36"/>
    </row>
    <row r="607" ht="15.75" customHeight="1">
      <c r="A607" s="96" t="str">
        <f t="array" ref="A607">IF(B607="","",INDEX('Bán nhanh'!$A$4:$A$103,INT((ROW()-4)/10)+1))</f>
        <v/>
      </c>
      <c r="B607" s="36" t="str">
        <f t="array" ref="B607">IF(OR(INDEX('Bán nhanh'!$D$3:$M$3,1,MOD(ROW()-4,10)+1)="",INDEX('Bán nhanh'!$D$4:$M$103,INT((ROW()-4)/10)+1,MOD(ROW()-4,10)+1)&lt;=0),"",INDEX('Bán nhanh'!$D$3:$M$3,1,MOD(ROW()-4,10)+1))</f>
        <v/>
      </c>
      <c r="C607" s="36" t="str">
        <f t="array" ref="C607">IFERROR(INDEX('Sản phẩm'!$A$4:$A$103,MATCH(B607,'Sản phẩm'!$D$4:$D$103,0)),"")</f>
        <v/>
      </c>
      <c r="D607" s="36" t="str">
        <f t="array" ref="D607">IF(B607="","",INDEX('Bán nhanh'!$B$4:$B$103,INT((ROW()-4)/10)+1))</f>
        <v/>
      </c>
      <c r="E607" s="36" t="str">
        <f t="array" ref="E607">IFERROR(INDEX('Mẻ sữa'!$B$4:$B$203,MATCH(D607,'Mẻ sữa'!$C$4:$C$203,0)),"")</f>
        <v/>
      </c>
      <c r="F607" s="82">
        <f t="array" ref="F607">IF(B607="",0,INDEX('Bán nhanh'!$D$4:$M$103,INT((ROW()-4)/10)+1,MOD(ROW()-4,10)+1))</f>
        <v>0</v>
      </c>
      <c r="G607" s="83">
        <f t="array" ref="G607">IFERROR(INDEX('Sản phẩm'!$F$4:$F$103,MATCH(B607,'Sản phẩm'!$D$4:$D$103,0)),0)</f>
        <v>0</v>
      </c>
      <c r="H607" s="83">
        <f t="shared" si="5"/>
        <v>0</v>
      </c>
      <c r="I607" s="83">
        <f t="shared" si="1"/>
        <v>0</v>
      </c>
      <c r="J607" s="83">
        <f t="array" ref="J607">IFERROR(INDEX('Sản phẩm'!$G$4:$G$103,MATCH(B607,'Sản phẩm'!$D$4:$D$103,0)),0)</f>
        <v>0</v>
      </c>
      <c r="K607" s="83">
        <f t="array" ref="K607">IFERROR(J607*INDEX('Mẻ sữa'!$N$4:$N$203,MATCH(D607,'Mẻ sữa'!$C$4:$C$203,0)),0)</f>
        <v>0</v>
      </c>
      <c r="L607" s="83">
        <f t="array" ref="L607">IFERROR(INDEX('Sản phẩm'!$I$4:$I$103,MATCH(B607,'Sản phẩm'!$D$4:$D$103,0)),0)</f>
        <v>0</v>
      </c>
      <c r="M607" s="97" t="str">
        <f t="array" ref="M607">IFERROR(INDEX('Sản phẩm'!$J$4:$J$103,MATCH(B607,'Sản phẩm'!$D$4:$D$103,0)),0)</f>
        <v/>
      </c>
      <c r="N607" s="83">
        <f>IF(B607="",0,(K607+L607+M607)*'Thiết lập'!$B$8)</f>
        <v>0</v>
      </c>
      <c r="O607" s="83">
        <f t="shared" si="2"/>
        <v>0</v>
      </c>
      <c r="P607" s="83">
        <f t="shared" si="3"/>
        <v>0</v>
      </c>
      <c r="Q607" s="83">
        <f t="shared" si="4"/>
        <v>0</v>
      </c>
      <c r="R607" s="36" t="str">
        <f t="array" ref="R607">IF(B607="","",INDEX('Bán nhanh'!$C$4:$C$103,INT((ROW()-4)/10)+1))</f>
        <v/>
      </c>
      <c r="S607" s="36" t="str">
        <f t="array" ref="S607">IF(B607="","",INDEX('Bán nhanh'!$P$4:$P$103,INT((ROW()-4)/10)+1))</f>
        <v/>
      </c>
      <c r="T607" s="36"/>
      <c r="U607" s="36"/>
      <c r="V607" s="36"/>
      <c r="W607" s="36"/>
      <c r="X607" s="36"/>
      <c r="Y607" s="36"/>
      <c r="Z607" s="36"/>
    </row>
    <row r="608" ht="15.75" customHeight="1">
      <c r="A608" s="96" t="str">
        <f t="array" ref="A608">IF(B608="","",INDEX('Bán nhanh'!$A$4:$A$103,INT((ROW()-4)/10)+1))</f>
        <v/>
      </c>
      <c r="B608" s="36" t="str">
        <f t="array" ref="B608">IF(OR(INDEX('Bán nhanh'!$D$3:$M$3,1,MOD(ROW()-4,10)+1)="",INDEX('Bán nhanh'!$D$4:$M$103,INT((ROW()-4)/10)+1,MOD(ROW()-4,10)+1)&lt;=0),"",INDEX('Bán nhanh'!$D$3:$M$3,1,MOD(ROW()-4,10)+1))</f>
        <v/>
      </c>
      <c r="C608" s="36" t="str">
        <f t="array" ref="C608">IFERROR(INDEX('Sản phẩm'!$A$4:$A$103,MATCH(B608,'Sản phẩm'!$D$4:$D$103,0)),"")</f>
        <v/>
      </c>
      <c r="D608" s="36" t="str">
        <f t="array" ref="D608">IF(B608="","",INDEX('Bán nhanh'!$B$4:$B$103,INT((ROW()-4)/10)+1))</f>
        <v/>
      </c>
      <c r="E608" s="36" t="str">
        <f t="array" ref="E608">IFERROR(INDEX('Mẻ sữa'!$B$4:$B$203,MATCH(D608,'Mẻ sữa'!$C$4:$C$203,0)),"")</f>
        <v/>
      </c>
      <c r="F608" s="82">
        <f t="array" ref="F608">IF(B608="",0,INDEX('Bán nhanh'!$D$4:$M$103,INT((ROW()-4)/10)+1,MOD(ROW()-4,10)+1))</f>
        <v>0</v>
      </c>
      <c r="G608" s="83">
        <f t="array" ref="G608">IFERROR(INDEX('Sản phẩm'!$F$4:$F$103,MATCH(B608,'Sản phẩm'!$D$4:$D$103,0)),0)</f>
        <v>0</v>
      </c>
      <c r="H608" s="83">
        <f t="shared" si="5"/>
        <v>0</v>
      </c>
      <c r="I608" s="83">
        <f t="shared" si="1"/>
        <v>0</v>
      </c>
      <c r="J608" s="83">
        <f t="array" ref="J608">IFERROR(INDEX('Sản phẩm'!$G$4:$G$103,MATCH(B608,'Sản phẩm'!$D$4:$D$103,0)),0)</f>
        <v>0</v>
      </c>
      <c r="K608" s="83">
        <f t="array" ref="K608">IFERROR(J608*INDEX('Mẻ sữa'!$N$4:$N$203,MATCH(D608,'Mẻ sữa'!$C$4:$C$203,0)),0)</f>
        <v>0</v>
      </c>
      <c r="L608" s="83">
        <f t="array" ref="L608">IFERROR(INDEX('Sản phẩm'!$I$4:$I$103,MATCH(B608,'Sản phẩm'!$D$4:$D$103,0)),0)</f>
        <v>0</v>
      </c>
      <c r="M608" s="97" t="str">
        <f t="array" ref="M608">IFERROR(INDEX('Sản phẩm'!$J$4:$J$103,MATCH(B608,'Sản phẩm'!$D$4:$D$103,0)),0)</f>
        <v/>
      </c>
      <c r="N608" s="83">
        <f>IF(B608="",0,(K608+L608+M608)*'Thiết lập'!$B$8)</f>
        <v>0</v>
      </c>
      <c r="O608" s="83">
        <f t="shared" si="2"/>
        <v>0</v>
      </c>
      <c r="P608" s="83">
        <f t="shared" si="3"/>
        <v>0</v>
      </c>
      <c r="Q608" s="83">
        <f t="shared" si="4"/>
        <v>0</v>
      </c>
      <c r="R608" s="36" t="str">
        <f t="array" ref="R608">IF(B608="","",INDEX('Bán nhanh'!$C$4:$C$103,INT((ROW()-4)/10)+1))</f>
        <v/>
      </c>
      <c r="S608" s="36" t="str">
        <f t="array" ref="S608">IF(B608="","",INDEX('Bán nhanh'!$P$4:$P$103,INT((ROW()-4)/10)+1))</f>
        <v/>
      </c>
      <c r="T608" s="36"/>
      <c r="U608" s="36"/>
      <c r="V608" s="36"/>
      <c r="W608" s="36"/>
      <c r="X608" s="36"/>
      <c r="Y608" s="36"/>
      <c r="Z608" s="36"/>
    </row>
    <row r="609" ht="15.75" customHeight="1">
      <c r="A609" s="96" t="str">
        <f t="array" ref="A609">IF(B609="","",INDEX('Bán nhanh'!$A$4:$A$103,INT((ROW()-4)/10)+1))</f>
        <v/>
      </c>
      <c r="B609" s="36" t="str">
        <f t="array" ref="B609">IF(OR(INDEX('Bán nhanh'!$D$3:$M$3,1,MOD(ROW()-4,10)+1)="",INDEX('Bán nhanh'!$D$4:$M$103,INT((ROW()-4)/10)+1,MOD(ROW()-4,10)+1)&lt;=0),"",INDEX('Bán nhanh'!$D$3:$M$3,1,MOD(ROW()-4,10)+1))</f>
        <v/>
      </c>
      <c r="C609" s="36" t="str">
        <f t="array" ref="C609">IFERROR(INDEX('Sản phẩm'!$A$4:$A$103,MATCH(B609,'Sản phẩm'!$D$4:$D$103,0)),"")</f>
        <v/>
      </c>
      <c r="D609" s="36" t="str">
        <f t="array" ref="D609">IF(B609="","",INDEX('Bán nhanh'!$B$4:$B$103,INT((ROW()-4)/10)+1))</f>
        <v/>
      </c>
      <c r="E609" s="36" t="str">
        <f t="array" ref="E609">IFERROR(INDEX('Mẻ sữa'!$B$4:$B$203,MATCH(D609,'Mẻ sữa'!$C$4:$C$203,0)),"")</f>
        <v/>
      </c>
      <c r="F609" s="82">
        <f t="array" ref="F609">IF(B609="",0,INDEX('Bán nhanh'!$D$4:$M$103,INT((ROW()-4)/10)+1,MOD(ROW()-4,10)+1))</f>
        <v>0</v>
      </c>
      <c r="G609" s="83">
        <f t="array" ref="G609">IFERROR(INDEX('Sản phẩm'!$F$4:$F$103,MATCH(B609,'Sản phẩm'!$D$4:$D$103,0)),0)</f>
        <v>0</v>
      </c>
      <c r="H609" s="83">
        <f t="shared" si="5"/>
        <v>0</v>
      </c>
      <c r="I609" s="83">
        <f t="shared" si="1"/>
        <v>0</v>
      </c>
      <c r="J609" s="83">
        <f t="array" ref="J609">IFERROR(INDEX('Sản phẩm'!$G$4:$G$103,MATCH(B609,'Sản phẩm'!$D$4:$D$103,0)),0)</f>
        <v>0</v>
      </c>
      <c r="K609" s="83">
        <f t="array" ref="K609">IFERROR(J609*INDEX('Mẻ sữa'!$N$4:$N$203,MATCH(D609,'Mẻ sữa'!$C$4:$C$203,0)),0)</f>
        <v>0</v>
      </c>
      <c r="L609" s="83">
        <f t="array" ref="L609">IFERROR(INDEX('Sản phẩm'!$I$4:$I$103,MATCH(B609,'Sản phẩm'!$D$4:$D$103,0)),0)</f>
        <v>0</v>
      </c>
      <c r="M609" s="97" t="str">
        <f t="array" ref="M609">IFERROR(INDEX('Sản phẩm'!$J$4:$J$103,MATCH(B609,'Sản phẩm'!$D$4:$D$103,0)),0)</f>
        <v/>
      </c>
      <c r="N609" s="83">
        <f>IF(B609="",0,(K609+L609+M609)*'Thiết lập'!$B$8)</f>
        <v>0</v>
      </c>
      <c r="O609" s="83">
        <f t="shared" si="2"/>
        <v>0</v>
      </c>
      <c r="P609" s="83">
        <f t="shared" si="3"/>
        <v>0</v>
      </c>
      <c r="Q609" s="83">
        <f t="shared" si="4"/>
        <v>0</v>
      </c>
      <c r="R609" s="36" t="str">
        <f t="array" ref="R609">IF(B609="","",INDEX('Bán nhanh'!$C$4:$C$103,INT((ROW()-4)/10)+1))</f>
        <v/>
      </c>
      <c r="S609" s="36" t="str">
        <f t="array" ref="S609">IF(B609="","",INDEX('Bán nhanh'!$P$4:$P$103,INT((ROW()-4)/10)+1))</f>
        <v/>
      </c>
      <c r="T609" s="36"/>
      <c r="U609" s="36"/>
      <c r="V609" s="36"/>
      <c r="W609" s="36"/>
      <c r="X609" s="36"/>
      <c r="Y609" s="36"/>
      <c r="Z609" s="36"/>
    </row>
    <row r="610" ht="15.75" customHeight="1">
      <c r="A610" s="96" t="str">
        <f t="array" ref="A610">IF(B610="","",INDEX('Bán nhanh'!$A$4:$A$103,INT((ROW()-4)/10)+1))</f>
        <v/>
      </c>
      <c r="B610" s="36" t="str">
        <f t="array" ref="B610">IF(OR(INDEX('Bán nhanh'!$D$3:$M$3,1,MOD(ROW()-4,10)+1)="",INDEX('Bán nhanh'!$D$4:$M$103,INT((ROW()-4)/10)+1,MOD(ROW()-4,10)+1)&lt;=0),"",INDEX('Bán nhanh'!$D$3:$M$3,1,MOD(ROW()-4,10)+1))</f>
        <v/>
      </c>
      <c r="C610" s="36" t="str">
        <f t="array" ref="C610">IFERROR(INDEX('Sản phẩm'!$A$4:$A$103,MATCH(B610,'Sản phẩm'!$D$4:$D$103,0)),"")</f>
        <v/>
      </c>
      <c r="D610" s="36" t="str">
        <f t="array" ref="D610">IF(B610="","",INDEX('Bán nhanh'!$B$4:$B$103,INT((ROW()-4)/10)+1))</f>
        <v/>
      </c>
      <c r="E610" s="36" t="str">
        <f t="array" ref="E610">IFERROR(INDEX('Mẻ sữa'!$B$4:$B$203,MATCH(D610,'Mẻ sữa'!$C$4:$C$203,0)),"")</f>
        <v/>
      </c>
      <c r="F610" s="82">
        <f t="array" ref="F610">IF(B610="",0,INDEX('Bán nhanh'!$D$4:$M$103,INT((ROW()-4)/10)+1,MOD(ROW()-4,10)+1))</f>
        <v>0</v>
      </c>
      <c r="G610" s="83">
        <f t="array" ref="G610">IFERROR(INDEX('Sản phẩm'!$F$4:$F$103,MATCH(B610,'Sản phẩm'!$D$4:$D$103,0)),0)</f>
        <v>0</v>
      </c>
      <c r="H610" s="83">
        <f t="shared" si="5"/>
        <v>0</v>
      </c>
      <c r="I610" s="83">
        <f t="shared" si="1"/>
        <v>0</v>
      </c>
      <c r="J610" s="83">
        <f t="array" ref="J610">IFERROR(INDEX('Sản phẩm'!$G$4:$G$103,MATCH(B610,'Sản phẩm'!$D$4:$D$103,0)),0)</f>
        <v>0</v>
      </c>
      <c r="K610" s="83">
        <f t="array" ref="K610">IFERROR(J610*INDEX('Mẻ sữa'!$N$4:$N$203,MATCH(D610,'Mẻ sữa'!$C$4:$C$203,0)),0)</f>
        <v>0</v>
      </c>
      <c r="L610" s="83">
        <f t="array" ref="L610">IFERROR(INDEX('Sản phẩm'!$I$4:$I$103,MATCH(B610,'Sản phẩm'!$D$4:$D$103,0)),0)</f>
        <v>0</v>
      </c>
      <c r="M610" s="97" t="str">
        <f t="array" ref="M610">IFERROR(INDEX('Sản phẩm'!$J$4:$J$103,MATCH(B610,'Sản phẩm'!$D$4:$D$103,0)),0)</f>
        <v/>
      </c>
      <c r="N610" s="83">
        <f>IF(B610="",0,(K610+L610+M610)*'Thiết lập'!$B$8)</f>
        <v>0</v>
      </c>
      <c r="O610" s="83">
        <f t="shared" si="2"/>
        <v>0</v>
      </c>
      <c r="P610" s="83">
        <f t="shared" si="3"/>
        <v>0</v>
      </c>
      <c r="Q610" s="83">
        <f t="shared" si="4"/>
        <v>0</v>
      </c>
      <c r="R610" s="36" t="str">
        <f t="array" ref="R610">IF(B610="","",INDEX('Bán nhanh'!$C$4:$C$103,INT((ROW()-4)/10)+1))</f>
        <v/>
      </c>
      <c r="S610" s="36" t="str">
        <f t="array" ref="S610">IF(B610="","",INDEX('Bán nhanh'!$P$4:$P$103,INT((ROW()-4)/10)+1))</f>
        <v/>
      </c>
      <c r="T610" s="36"/>
      <c r="U610" s="36"/>
      <c r="V610" s="36"/>
      <c r="W610" s="36"/>
      <c r="X610" s="36"/>
      <c r="Y610" s="36"/>
      <c r="Z610" s="36"/>
    </row>
    <row r="611" ht="15.75" customHeight="1">
      <c r="A611" s="96" t="str">
        <f t="array" ref="A611">IF(B611="","",INDEX('Bán nhanh'!$A$4:$A$103,INT((ROW()-4)/10)+1))</f>
        <v/>
      </c>
      <c r="B611" s="36" t="str">
        <f t="array" ref="B611">IF(OR(INDEX('Bán nhanh'!$D$3:$M$3,1,MOD(ROW()-4,10)+1)="",INDEX('Bán nhanh'!$D$4:$M$103,INT((ROW()-4)/10)+1,MOD(ROW()-4,10)+1)&lt;=0),"",INDEX('Bán nhanh'!$D$3:$M$3,1,MOD(ROW()-4,10)+1))</f>
        <v/>
      </c>
      <c r="C611" s="36" t="str">
        <f t="array" ref="C611">IFERROR(INDEX('Sản phẩm'!$A$4:$A$103,MATCH(B611,'Sản phẩm'!$D$4:$D$103,0)),"")</f>
        <v/>
      </c>
      <c r="D611" s="36" t="str">
        <f t="array" ref="D611">IF(B611="","",INDEX('Bán nhanh'!$B$4:$B$103,INT((ROW()-4)/10)+1))</f>
        <v/>
      </c>
      <c r="E611" s="36" t="str">
        <f t="array" ref="E611">IFERROR(INDEX('Mẻ sữa'!$B$4:$B$203,MATCH(D611,'Mẻ sữa'!$C$4:$C$203,0)),"")</f>
        <v/>
      </c>
      <c r="F611" s="82">
        <f t="array" ref="F611">IF(B611="",0,INDEX('Bán nhanh'!$D$4:$M$103,INT((ROW()-4)/10)+1,MOD(ROW()-4,10)+1))</f>
        <v>0</v>
      </c>
      <c r="G611" s="83">
        <f t="array" ref="G611">IFERROR(INDEX('Sản phẩm'!$F$4:$F$103,MATCH(B611,'Sản phẩm'!$D$4:$D$103,0)),0)</f>
        <v>0</v>
      </c>
      <c r="H611" s="83">
        <f t="shared" si="5"/>
        <v>0</v>
      </c>
      <c r="I611" s="83">
        <f t="shared" si="1"/>
        <v>0</v>
      </c>
      <c r="J611" s="83">
        <f t="array" ref="J611">IFERROR(INDEX('Sản phẩm'!$G$4:$G$103,MATCH(B611,'Sản phẩm'!$D$4:$D$103,0)),0)</f>
        <v>0</v>
      </c>
      <c r="K611" s="83">
        <f t="array" ref="K611">IFERROR(J611*INDEX('Mẻ sữa'!$N$4:$N$203,MATCH(D611,'Mẻ sữa'!$C$4:$C$203,0)),0)</f>
        <v>0</v>
      </c>
      <c r="L611" s="83">
        <f t="array" ref="L611">IFERROR(INDEX('Sản phẩm'!$I$4:$I$103,MATCH(B611,'Sản phẩm'!$D$4:$D$103,0)),0)</f>
        <v>0</v>
      </c>
      <c r="M611" s="97" t="str">
        <f t="array" ref="M611">IFERROR(INDEX('Sản phẩm'!$J$4:$J$103,MATCH(B611,'Sản phẩm'!$D$4:$D$103,0)),0)</f>
        <v/>
      </c>
      <c r="N611" s="83">
        <f>IF(B611="",0,(K611+L611+M611)*'Thiết lập'!$B$8)</f>
        <v>0</v>
      </c>
      <c r="O611" s="83">
        <f t="shared" si="2"/>
        <v>0</v>
      </c>
      <c r="P611" s="83">
        <f t="shared" si="3"/>
        <v>0</v>
      </c>
      <c r="Q611" s="83">
        <f t="shared" si="4"/>
        <v>0</v>
      </c>
      <c r="R611" s="36" t="str">
        <f t="array" ref="R611">IF(B611="","",INDEX('Bán nhanh'!$C$4:$C$103,INT((ROW()-4)/10)+1))</f>
        <v/>
      </c>
      <c r="S611" s="36" t="str">
        <f t="array" ref="S611">IF(B611="","",INDEX('Bán nhanh'!$P$4:$P$103,INT((ROW()-4)/10)+1))</f>
        <v/>
      </c>
      <c r="T611" s="36"/>
      <c r="U611" s="36"/>
      <c r="V611" s="36"/>
      <c r="W611" s="36"/>
      <c r="X611" s="36"/>
      <c r="Y611" s="36"/>
      <c r="Z611" s="36"/>
    </row>
    <row r="612" ht="15.75" customHeight="1">
      <c r="A612" s="96" t="str">
        <f t="array" ref="A612">IF(B612="","",INDEX('Bán nhanh'!$A$4:$A$103,INT((ROW()-4)/10)+1))</f>
        <v/>
      </c>
      <c r="B612" s="36" t="str">
        <f t="array" ref="B612">IF(OR(INDEX('Bán nhanh'!$D$3:$M$3,1,MOD(ROW()-4,10)+1)="",INDEX('Bán nhanh'!$D$4:$M$103,INT((ROW()-4)/10)+1,MOD(ROW()-4,10)+1)&lt;=0),"",INDEX('Bán nhanh'!$D$3:$M$3,1,MOD(ROW()-4,10)+1))</f>
        <v/>
      </c>
      <c r="C612" s="36" t="str">
        <f t="array" ref="C612">IFERROR(INDEX('Sản phẩm'!$A$4:$A$103,MATCH(B612,'Sản phẩm'!$D$4:$D$103,0)),"")</f>
        <v/>
      </c>
      <c r="D612" s="36" t="str">
        <f t="array" ref="D612">IF(B612="","",INDEX('Bán nhanh'!$B$4:$B$103,INT((ROW()-4)/10)+1))</f>
        <v/>
      </c>
      <c r="E612" s="36" t="str">
        <f t="array" ref="E612">IFERROR(INDEX('Mẻ sữa'!$B$4:$B$203,MATCH(D612,'Mẻ sữa'!$C$4:$C$203,0)),"")</f>
        <v/>
      </c>
      <c r="F612" s="82">
        <f t="array" ref="F612">IF(B612="",0,INDEX('Bán nhanh'!$D$4:$M$103,INT((ROW()-4)/10)+1,MOD(ROW()-4,10)+1))</f>
        <v>0</v>
      </c>
      <c r="G612" s="83">
        <f t="array" ref="G612">IFERROR(INDEX('Sản phẩm'!$F$4:$F$103,MATCH(B612,'Sản phẩm'!$D$4:$D$103,0)),0)</f>
        <v>0</v>
      </c>
      <c r="H612" s="83">
        <f t="shared" si="5"/>
        <v>0</v>
      </c>
      <c r="I612" s="83">
        <f t="shared" si="1"/>
        <v>0</v>
      </c>
      <c r="J612" s="83">
        <f t="array" ref="J612">IFERROR(INDEX('Sản phẩm'!$G$4:$G$103,MATCH(B612,'Sản phẩm'!$D$4:$D$103,0)),0)</f>
        <v>0</v>
      </c>
      <c r="K612" s="83">
        <f t="array" ref="K612">IFERROR(J612*INDEX('Mẻ sữa'!$N$4:$N$203,MATCH(D612,'Mẻ sữa'!$C$4:$C$203,0)),0)</f>
        <v>0</v>
      </c>
      <c r="L612" s="83">
        <f t="array" ref="L612">IFERROR(INDEX('Sản phẩm'!$I$4:$I$103,MATCH(B612,'Sản phẩm'!$D$4:$D$103,0)),0)</f>
        <v>0</v>
      </c>
      <c r="M612" s="97" t="str">
        <f t="array" ref="M612">IFERROR(INDEX('Sản phẩm'!$J$4:$J$103,MATCH(B612,'Sản phẩm'!$D$4:$D$103,0)),0)</f>
        <v/>
      </c>
      <c r="N612" s="83">
        <f>IF(B612="",0,(K612+L612+M612)*'Thiết lập'!$B$8)</f>
        <v>0</v>
      </c>
      <c r="O612" s="83">
        <f t="shared" si="2"/>
        <v>0</v>
      </c>
      <c r="P612" s="83">
        <f t="shared" si="3"/>
        <v>0</v>
      </c>
      <c r="Q612" s="83">
        <f t="shared" si="4"/>
        <v>0</v>
      </c>
      <c r="R612" s="36" t="str">
        <f t="array" ref="R612">IF(B612="","",INDEX('Bán nhanh'!$C$4:$C$103,INT((ROW()-4)/10)+1))</f>
        <v/>
      </c>
      <c r="S612" s="36" t="str">
        <f t="array" ref="S612">IF(B612="","",INDEX('Bán nhanh'!$P$4:$P$103,INT((ROW()-4)/10)+1))</f>
        <v/>
      </c>
      <c r="T612" s="36"/>
      <c r="U612" s="36"/>
      <c r="V612" s="36"/>
      <c r="W612" s="36"/>
      <c r="X612" s="36"/>
      <c r="Y612" s="36"/>
      <c r="Z612" s="36"/>
    </row>
    <row r="613" ht="15.75" customHeight="1">
      <c r="A613" s="96" t="str">
        <f t="array" ref="A613">IF(B613="","",INDEX('Bán nhanh'!$A$4:$A$103,INT((ROW()-4)/10)+1))</f>
        <v/>
      </c>
      <c r="B613" s="36" t="str">
        <f t="array" ref="B613">IF(OR(INDEX('Bán nhanh'!$D$3:$M$3,1,MOD(ROW()-4,10)+1)="",INDEX('Bán nhanh'!$D$4:$M$103,INT((ROW()-4)/10)+1,MOD(ROW()-4,10)+1)&lt;=0),"",INDEX('Bán nhanh'!$D$3:$M$3,1,MOD(ROW()-4,10)+1))</f>
        <v/>
      </c>
      <c r="C613" s="36" t="str">
        <f t="array" ref="C613">IFERROR(INDEX('Sản phẩm'!$A$4:$A$103,MATCH(B613,'Sản phẩm'!$D$4:$D$103,0)),"")</f>
        <v/>
      </c>
      <c r="D613" s="36" t="str">
        <f t="array" ref="D613">IF(B613="","",INDEX('Bán nhanh'!$B$4:$B$103,INT((ROW()-4)/10)+1))</f>
        <v/>
      </c>
      <c r="E613" s="36" t="str">
        <f t="array" ref="E613">IFERROR(INDEX('Mẻ sữa'!$B$4:$B$203,MATCH(D613,'Mẻ sữa'!$C$4:$C$203,0)),"")</f>
        <v/>
      </c>
      <c r="F613" s="82">
        <f t="array" ref="F613">IF(B613="",0,INDEX('Bán nhanh'!$D$4:$M$103,INT((ROW()-4)/10)+1,MOD(ROW()-4,10)+1))</f>
        <v>0</v>
      </c>
      <c r="G613" s="83">
        <f t="array" ref="G613">IFERROR(INDEX('Sản phẩm'!$F$4:$F$103,MATCH(B613,'Sản phẩm'!$D$4:$D$103,0)),0)</f>
        <v>0</v>
      </c>
      <c r="H613" s="83">
        <f t="shared" si="5"/>
        <v>0</v>
      </c>
      <c r="I613" s="83">
        <f t="shared" si="1"/>
        <v>0</v>
      </c>
      <c r="J613" s="83">
        <f t="array" ref="J613">IFERROR(INDEX('Sản phẩm'!$G$4:$G$103,MATCH(B613,'Sản phẩm'!$D$4:$D$103,0)),0)</f>
        <v>0</v>
      </c>
      <c r="K613" s="83">
        <f t="array" ref="K613">IFERROR(J613*INDEX('Mẻ sữa'!$N$4:$N$203,MATCH(D613,'Mẻ sữa'!$C$4:$C$203,0)),0)</f>
        <v>0</v>
      </c>
      <c r="L613" s="83">
        <f t="array" ref="L613">IFERROR(INDEX('Sản phẩm'!$I$4:$I$103,MATCH(B613,'Sản phẩm'!$D$4:$D$103,0)),0)</f>
        <v>0</v>
      </c>
      <c r="M613" s="97" t="str">
        <f t="array" ref="M613">IFERROR(INDEX('Sản phẩm'!$J$4:$J$103,MATCH(B613,'Sản phẩm'!$D$4:$D$103,0)),0)</f>
        <v/>
      </c>
      <c r="N613" s="83">
        <f>IF(B613="",0,(K613+L613+M613)*'Thiết lập'!$B$8)</f>
        <v>0</v>
      </c>
      <c r="O613" s="83">
        <f t="shared" si="2"/>
        <v>0</v>
      </c>
      <c r="P613" s="83">
        <f t="shared" si="3"/>
        <v>0</v>
      </c>
      <c r="Q613" s="83">
        <f t="shared" si="4"/>
        <v>0</v>
      </c>
      <c r="R613" s="36" t="str">
        <f t="array" ref="R613">IF(B613="","",INDEX('Bán nhanh'!$C$4:$C$103,INT((ROW()-4)/10)+1))</f>
        <v/>
      </c>
      <c r="S613" s="36" t="str">
        <f t="array" ref="S613">IF(B613="","",INDEX('Bán nhanh'!$P$4:$P$103,INT((ROW()-4)/10)+1))</f>
        <v/>
      </c>
      <c r="T613" s="36"/>
      <c r="U613" s="36"/>
      <c r="V613" s="36"/>
      <c r="W613" s="36"/>
      <c r="X613" s="36"/>
      <c r="Y613" s="36"/>
      <c r="Z613" s="36"/>
    </row>
    <row r="614" ht="15.75" customHeight="1">
      <c r="A614" s="96" t="str">
        <f t="array" ref="A614">IF(B614="","",INDEX('Bán nhanh'!$A$4:$A$103,INT((ROW()-4)/10)+1))</f>
        <v/>
      </c>
      <c r="B614" s="36" t="str">
        <f t="array" ref="B614">IF(OR(INDEX('Bán nhanh'!$D$3:$M$3,1,MOD(ROW()-4,10)+1)="",INDEX('Bán nhanh'!$D$4:$M$103,INT((ROW()-4)/10)+1,MOD(ROW()-4,10)+1)&lt;=0),"",INDEX('Bán nhanh'!$D$3:$M$3,1,MOD(ROW()-4,10)+1))</f>
        <v/>
      </c>
      <c r="C614" s="36" t="str">
        <f t="array" ref="C614">IFERROR(INDEX('Sản phẩm'!$A$4:$A$103,MATCH(B614,'Sản phẩm'!$D$4:$D$103,0)),"")</f>
        <v/>
      </c>
      <c r="D614" s="36" t="str">
        <f t="array" ref="D614">IF(B614="","",INDEX('Bán nhanh'!$B$4:$B$103,INT((ROW()-4)/10)+1))</f>
        <v/>
      </c>
      <c r="E614" s="36" t="str">
        <f t="array" ref="E614">IFERROR(INDEX('Mẻ sữa'!$B$4:$B$203,MATCH(D614,'Mẻ sữa'!$C$4:$C$203,0)),"")</f>
        <v/>
      </c>
      <c r="F614" s="82">
        <f t="array" ref="F614">IF(B614="",0,INDEX('Bán nhanh'!$D$4:$M$103,INT((ROW()-4)/10)+1,MOD(ROW()-4,10)+1))</f>
        <v>0</v>
      </c>
      <c r="G614" s="83">
        <f t="array" ref="G614">IFERROR(INDEX('Sản phẩm'!$F$4:$F$103,MATCH(B614,'Sản phẩm'!$D$4:$D$103,0)),0)</f>
        <v>0</v>
      </c>
      <c r="H614" s="83">
        <f t="shared" si="5"/>
        <v>0</v>
      </c>
      <c r="I614" s="83">
        <f t="shared" si="1"/>
        <v>0</v>
      </c>
      <c r="J614" s="83">
        <f t="array" ref="J614">IFERROR(INDEX('Sản phẩm'!$G$4:$G$103,MATCH(B614,'Sản phẩm'!$D$4:$D$103,0)),0)</f>
        <v>0</v>
      </c>
      <c r="K614" s="83">
        <f t="array" ref="K614">IFERROR(J614*INDEX('Mẻ sữa'!$N$4:$N$203,MATCH(D614,'Mẻ sữa'!$C$4:$C$203,0)),0)</f>
        <v>0</v>
      </c>
      <c r="L614" s="83">
        <f t="array" ref="L614">IFERROR(INDEX('Sản phẩm'!$I$4:$I$103,MATCH(B614,'Sản phẩm'!$D$4:$D$103,0)),0)</f>
        <v>0</v>
      </c>
      <c r="M614" s="97" t="str">
        <f t="array" ref="M614">IFERROR(INDEX('Sản phẩm'!$J$4:$J$103,MATCH(B614,'Sản phẩm'!$D$4:$D$103,0)),0)</f>
        <v/>
      </c>
      <c r="N614" s="83">
        <f>IF(B614="",0,(K614+L614+M614)*'Thiết lập'!$B$8)</f>
        <v>0</v>
      </c>
      <c r="O614" s="83">
        <f t="shared" si="2"/>
        <v>0</v>
      </c>
      <c r="P614" s="83">
        <f t="shared" si="3"/>
        <v>0</v>
      </c>
      <c r="Q614" s="83">
        <f t="shared" si="4"/>
        <v>0</v>
      </c>
      <c r="R614" s="36" t="str">
        <f t="array" ref="R614">IF(B614="","",INDEX('Bán nhanh'!$C$4:$C$103,INT((ROW()-4)/10)+1))</f>
        <v/>
      </c>
      <c r="S614" s="36" t="str">
        <f t="array" ref="S614">IF(B614="","",INDEX('Bán nhanh'!$P$4:$P$103,INT((ROW()-4)/10)+1))</f>
        <v/>
      </c>
      <c r="T614" s="36"/>
      <c r="U614" s="36"/>
      <c r="V614" s="36"/>
      <c r="W614" s="36"/>
      <c r="X614" s="36"/>
      <c r="Y614" s="36"/>
      <c r="Z614" s="36"/>
    </row>
    <row r="615" ht="15.75" customHeight="1">
      <c r="A615" s="96" t="str">
        <f t="array" ref="A615">IF(B615="","",INDEX('Bán nhanh'!$A$4:$A$103,INT((ROW()-4)/10)+1))</f>
        <v/>
      </c>
      <c r="B615" s="36" t="str">
        <f t="array" ref="B615">IF(OR(INDEX('Bán nhanh'!$D$3:$M$3,1,MOD(ROW()-4,10)+1)="",INDEX('Bán nhanh'!$D$4:$M$103,INT((ROW()-4)/10)+1,MOD(ROW()-4,10)+1)&lt;=0),"",INDEX('Bán nhanh'!$D$3:$M$3,1,MOD(ROW()-4,10)+1))</f>
        <v/>
      </c>
      <c r="C615" s="36" t="str">
        <f t="array" ref="C615">IFERROR(INDEX('Sản phẩm'!$A$4:$A$103,MATCH(B615,'Sản phẩm'!$D$4:$D$103,0)),"")</f>
        <v/>
      </c>
      <c r="D615" s="36" t="str">
        <f t="array" ref="D615">IF(B615="","",INDEX('Bán nhanh'!$B$4:$B$103,INT((ROW()-4)/10)+1))</f>
        <v/>
      </c>
      <c r="E615" s="36" t="str">
        <f t="array" ref="E615">IFERROR(INDEX('Mẻ sữa'!$B$4:$B$203,MATCH(D615,'Mẻ sữa'!$C$4:$C$203,0)),"")</f>
        <v/>
      </c>
      <c r="F615" s="82">
        <f t="array" ref="F615">IF(B615="",0,INDEX('Bán nhanh'!$D$4:$M$103,INT((ROW()-4)/10)+1,MOD(ROW()-4,10)+1))</f>
        <v>0</v>
      </c>
      <c r="G615" s="83">
        <f t="array" ref="G615">IFERROR(INDEX('Sản phẩm'!$F$4:$F$103,MATCH(B615,'Sản phẩm'!$D$4:$D$103,0)),0)</f>
        <v>0</v>
      </c>
      <c r="H615" s="83">
        <f t="shared" si="5"/>
        <v>0</v>
      </c>
      <c r="I615" s="83">
        <f t="shared" si="1"/>
        <v>0</v>
      </c>
      <c r="J615" s="83">
        <f t="array" ref="J615">IFERROR(INDEX('Sản phẩm'!$G$4:$G$103,MATCH(B615,'Sản phẩm'!$D$4:$D$103,0)),0)</f>
        <v>0</v>
      </c>
      <c r="K615" s="83">
        <f t="array" ref="K615">IFERROR(J615*INDEX('Mẻ sữa'!$N$4:$N$203,MATCH(D615,'Mẻ sữa'!$C$4:$C$203,0)),0)</f>
        <v>0</v>
      </c>
      <c r="L615" s="83">
        <f t="array" ref="L615">IFERROR(INDEX('Sản phẩm'!$I$4:$I$103,MATCH(B615,'Sản phẩm'!$D$4:$D$103,0)),0)</f>
        <v>0</v>
      </c>
      <c r="M615" s="97" t="str">
        <f t="array" ref="M615">IFERROR(INDEX('Sản phẩm'!$J$4:$J$103,MATCH(B615,'Sản phẩm'!$D$4:$D$103,0)),0)</f>
        <v/>
      </c>
      <c r="N615" s="83">
        <f>IF(B615="",0,(K615+L615+M615)*'Thiết lập'!$B$8)</f>
        <v>0</v>
      </c>
      <c r="O615" s="83">
        <f t="shared" si="2"/>
        <v>0</v>
      </c>
      <c r="P615" s="83">
        <f t="shared" si="3"/>
        <v>0</v>
      </c>
      <c r="Q615" s="83">
        <f t="shared" si="4"/>
        <v>0</v>
      </c>
      <c r="R615" s="36" t="str">
        <f t="array" ref="R615">IF(B615="","",INDEX('Bán nhanh'!$C$4:$C$103,INT((ROW()-4)/10)+1))</f>
        <v/>
      </c>
      <c r="S615" s="36" t="str">
        <f t="array" ref="S615">IF(B615="","",INDEX('Bán nhanh'!$P$4:$P$103,INT((ROW()-4)/10)+1))</f>
        <v/>
      </c>
      <c r="T615" s="36"/>
      <c r="U615" s="36"/>
      <c r="V615" s="36"/>
      <c r="W615" s="36"/>
      <c r="X615" s="36"/>
      <c r="Y615" s="36"/>
      <c r="Z615" s="36"/>
    </row>
    <row r="616" ht="15.75" customHeight="1">
      <c r="A616" s="96" t="str">
        <f t="array" ref="A616">IF(B616="","",INDEX('Bán nhanh'!$A$4:$A$103,INT((ROW()-4)/10)+1))</f>
        <v/>
      </c>
      <c r="B616" s="36" t="str">
        <f t="array" ref="B616">IF(OR(INDEX('Bán nhanh'!$D$3:$M$3,1,MOD(ROW()-4,10)+1)="",INDEX('Bán nhanh'!$D$4:$M$103,INT((ROW()-4)/10)+1,MOD(ROW()-4,10)+1)&lt;=0),"",INDEX('Bán nhanh'!$D$3:$M$3,1,MOD(ROW()-4,10)+1))</f>
        <v/>
      </c>
      <c r="C616" s="36" t="str">
        <f t="array" ref="C616">IFERROR(INDEX('Sản phẩm'!$A$4:$A$103,MATCH(B616,'Sản phẩm'!$D$4:$D$103,0)),"")</f>
        <v/>
      </c>
      <c r="D616" s="36" t="str">
        <f t="array" ref="D616">IF(B616="","",INDEX('Bán nhanh'!$B$4:$B$103,INT((ROW()-4)/10)+1))</f>
        <v/>
      </c>
      <c r="E616" s="36" t="str">
        <f t="array" ref="E616">IFERROR(INDEX('Mẻ sữa'!$B$4:$B$203,MATCH(D616,'Mẻ sữa'!$C$4:$C$203,0)),"")</f>
        <v/>
      </c>
      <c r="F616" s="82">
        <f t="array" ref="F616">IF(B616="",0,INDEX('Bán nhanh'!$D$4:$M$103,INT((ROW()-4)/10)+1,MOD(ROW()-4,10)+1))</f>
        <v>0</v>
      </c>
      <c r="G616" s="83">
        <f t="array" ref="G616">IFERROR(INDEX('Sản phẩm'!$F$4:$F$103,MATCH(B616,'Sản phẩm'!$D$4:$D$103,0)),0)</f>
        <v>0</v>
      </c>
      <c r="H616" s="83">
        <f t="shared" si="5"/>
        <v>0</v>
      </c>
      <c r="I616" s="83">
        <f t="shared" si="1"/>
        <v>0</v>
      </c>
      <c r="J616" s="83">
        <f t="array" ref="J616">IFERROR(INDEX('Sản phẩm'!$G$4:$G$103,MATCH(B616,'Sản phẩm'!$D$4:$D$103,0)),0)</f>
        <v>0</v>
      </c>
      <c r="K616" s="83">
        <f t="array" ref="K616">IFERROR(J616*INDEX('Mẻ sữa'!$N$4:$N$203,MATCH(D616,'Mẻ sữa'!$C$4:$C$203,0)),0)</f>
        <v>0</v>
      </c>
      <c r="L616" s="83">
        <f t="array" ref="L616">IFERROR(INDEX('Sản phẩm'!$I$4:$I$103,MATCH(B616,'Sản phẩm'!$D$4:$D$103,0)),0)</f>
        <v>0</v>
      </c>
      <c r="M616" s="97" t="str">
        <f t="array" ref="M616">IFERROR(INDEX('Sản phẩm'!$J$4:$J$103,MATCH(B616,'Sản phẩm'!$D$4:$D$103,0)),0)</f>
        <v/>
      </c>
      <c r="N616" s="83">
        <f>IF(B616="",0,(K616+L616+M616)*'Thiết lập'!$B$8)</f>
        <v>0</v>
      </c>
      <c r="O616" s="83">
        <f t="shared" si="2"/>
        <v>0</v>
      </c>
      <c r="P616" s="83">
        <f t="shared" si="3"/>
        <v>0</v>
      </c>
      <c r="Q616" s="83">
        <f t="shared" si="4"/>
        <v>0</v>
      </c>
      <c r="R616" s="36" t="str">
        <f t="array" ref="R616">IF(B616="","",INDEX('Bán nhanh'!$C$4:$C$103,INT((ROW()-4)/10)+1))</f>
        <v/>
      </c>
      <c r="S616" s="36" t="str">
        <f t="array" ref="S616">IF(B616="","",INDEX('Bán nhanh'!$P$4:$P$103,INT((ROW()-4)/10)+1))</f>
        <v/>
      </c>
      <c r="T616" s="36"/>
      <c r="U616" s="36"/>
      <c r="V616" s="36"/>
      <c r="W616" s="36"/>
      <c r="X616" s="36"/>
      <c r="Y616" s="36"/>
      <c r="Z616" s="36"/>
    </row>
    <row r="617" ht="15.75" customHeight="1">
      <c r="A617" s="96" t="str">
        <f t="array" ref="A617">IF(B617="","",INDEX('Bán nhanh'!$A$4:$A$103,INT((ROW()-4)/10)+1))</f>
        <v/>
      </c>
      <c r="B617" s="36" t="str">
        <f t="array" ref="B617">IF(OR(INDEX('Bán nhanh'!$D$3:$M$3,1,MOD(ROW()-4,10)+1)="",INDEX('Bán nhanh'!$D$4:$M$103,INT((ROW()-4)/10)+1,MOD(ROW()-4,10)+1)&lt;=0),"",INDEX('Bán nhanh'!$D$3:$M$3,1,MOD(ROW()-4,10)+1))</f>
        <v/>
      </c>
      <c r="C617" s="36" t="str">
        <f t="array" ref="C617">IFERROR(INDEX('Sản phẩm'!$A$4:$A$103,MATCH(B617,'Sản phẩm'!$D$4:$D$103,0)),"")</f>
        <v/>
      </c>
      <c r="D617" s="36" t="str">
        <f t="array" ref="D617">IF(B617="","",INDEX('Bán nhanh'!$B$4:$B$103,INT((ROW()-4)/10)+1))</f>
        <v/>
      </c>
      <c r="E617" s="36" t="str">
        <f t="array" ref="E617">IFERROR(INDEX('Mẻ sữa'!$B$4:$B$203,MATCH(D617,'Mẻ sữa'!$C$4:$C$203,0)),"")</f>
        <v/>
      </c>
      <c r="F617" s="82">
        <f t="array" ref="F617">IF(B617="",0,INDEX('Bán nhanh'!$D$4:$M$103,INT((ROW()-4)/10)+1,MOD(ROW()-4,10)+1))</f>
        <v>0</v>
      </c>
      <c r="G617" s="83">
        <f t="array" ref="G617">IFERROR(INDEX('Sản phẩm'!$F$4:$F$103,MATCH(B617,'Sản phẩm'!$D$4:$D$103,0)),0)</f>
        <v>0</v>
      </c>
      <c r="H617" s="83">
        <f t="shared" si="5"/>
        <v>0</v>
      </c>
      <c r="I617" s="83">
        <f t="shared" si="1"/>
        <v>0</v>
      </c>
      <c r="J617" s="83">
        <f t="array" ref="J617">IFERROR(INDEX('Sản phẩm'!$G$4:$G$103,MATCH(B617,'Sản phẩm'!$D$4:$D$103,0)),0)</f>
        <v>0</v>
      </c>
      <c r="K617" s="83">
        <f t="array" ref="K617">IFERROR(J617*INDEX('Mẻ sữa'!$N$4:$N$203,MATCH(D617,'Mẻ sữa'!$C$4:$C$203,0)),0)</f>
        <v>0</v>
      </c>
      <c r="L617" s="83">
        <f t="array" ref="L617">IFERROR(INDEX('Sản phẩm'!$I$4:$I$103,MATCH(B617,'Sản phẩm'!$D$4:$D$103,0)),0)</f>
        <v>0</v>
      </c>
      <c r="M617" s="97" t="str">
        <f t="array" ref="M617">IFERROR(INDEX('Sản phẩm'!$J$4:$J$103,MATCH(B617,'Sản phẩm'!$D$4:$D$103,0)),0)</f>
        <v/>
      </c>
      <c r="N617" s="83">
        <f>IF(B617="",0,(K617+L617+M617)*'Thiết lập'!$B$8)</f>
        <v>0</v>
      </c>
      <c r="O617" s="83">
        <f t="shared" si="2"/>
        <v>0</v>
      </c>
      <c r="P617" s="83">
        <f t="shared" si="3"/>
        <v>0</v>
      </c>
      <c r="Q617" s="83">
        <f t="shared" si="4"/>
        <v>0</v>
      </c>
      <c r="R617" s="36" t="str">
        <f t="array" ref="R617">IF(B617="","",INDEX('Bán nhanh'!$C$4:$C$103,INT((ROW()-4)/10)+1))</f>
        <v/>
      </c>
      <c r="S617" s="36" t="str">
        <f t="array" ref="S617">IF(B617="","",INDEX('Bán nhanh'!$P$4:$P$103,INT((ROW()-4)/10)+1))</f>
        <v/>
      </c>
      <c r="T617" s="36"/>
      <c r="U617" s="36"/>
      <c r="V617" s="36"/>
      <c r="W617" s="36"/>
      <c r="X617" s="36"/>
      <c r="Y617" s="36"/>
      <c r="Z617" s="36"/>
    </row>
    <row r="618" ht="15.75" customHeight="1">
      <c r="A618" s="96" t="str">
        <f t="array" ref="A618">IF(B618="","",INDEX('Bán nhanh'!$A$4:$A$103,INT((ROW()-4)/10)+1))</f>
        <v/>
      </c>
      <c r="B618" s="36" t="str">
        <f t="array" ref="B618">IF(OR(INDEX('Bán nhanh'!$D$3:$M$3,1,MOD(ROW()-4,10)+1)="",INDEX('Bán nhanh'!$D$4:$M$103,INT((ROW()-4)/10)+1,MOD(ROW()-4,10)+1)&lt;=0),"",INDEX('Bán nhanh'!$D$3:$M$3,1,MOD(ROW()-4,10)+1))</f>
        <v/>
      </c>
      <c r="C618" s="36" t="str">
        <f t="array" ref="C618">IFERROR(INDEX('Sản phẩm'!$A$4:$A$103,MATCH(B618,'Sản phẩm'!$D$4:$D$103,0)),"")</f>
        <v/>
      </c>
      <c r="D618" s="36" t="str">
        <f t="array" ref="D618">IF(B618="","",INDEX('Bán nhanh'!$B$4:$B$103,INT((ROW()-4)/10)+1))</f>
        <v/>
      </c>
      <c r="E618" s="36" t="str">
        <f t="array" ref="E618">IFERROR(INDEX('Mẻ sữa'!$B$4:$B$203,MATCH(D618,'Mẻ sữa'!$C$4:$C$203,0)),"")</f>
        <v/>
      </c>
      <c r="F618" s="82">
        <f t="array" ref="F618">IF(B618="",0,INDEX('Bán nhanh'!$D$4:$M$103,INT((ROW()-4)/10)+1,MOD(ROW()-4,10)+1))</f>
        <v>0</v>
      </c>
      <c r="G618" s="83">
        <f t="array" ref="G618">IFERROR(INDEX('Sản phẩm'!$F$4:$F$103,MATCH(B618,'Sản phẩm'!$D$4:$D$103,0)),0)</f>
        <v>0</v>
      </c>
      <c r="H618" s="83">
        <f t="shared" si="5"/>
        <v>0</v>
      </c>
      <c r="I618" s="83">
        <f t="shared" si="1"/>
        <v>0</v>
      </c>
      <c r="J618" s="83">
        <f t="array" ref="J618">IFERROR(INDEX('Sản phẩm'!$G$4:$G$103,MATCH(B618,'Sản phẩm'!$D$4:$D$103,0)),0)</f>
        <v>0</v>
      </c>
      <c r="K618" s="83">
        <f t="array" ref="K618">IFERROR(J618*INDEX('Mẻ sữa'!$N$4:$N$203,MATCH(D618,'Mẻ sữa'!$C$4:$C$203,0)),0)</f>
        <v>0</v>
      </c>
      <c r="L618" s="83">
        <f t="array" ref="L618">IFERROR(INDEX('Sản phẩm'!$I$4:$I$103,MATCH(B618,'Sản phẩm'!$D$4:$D$103,0)),0)</f>
        <v>0</v>
      </c>
      <c r="M618" s="97" t="str">
        <f t="array" ref="M618">IFERROR(INDEX('Sản phẩm'!$J$4:$J$103,MATCH(B618,'Sản phẩm'!$D$4:$D$103,0)),0)</f>
        <v/>
      </c>
      <c r="N618" s="83">
        <f>IF(B618="",0,(K618+L618+M618)*'Thiết lập'!$B$8)</f>
        <v>0</v>
      </c>
      <c r="O618" s="83">
        <f t="shared" si="2"/>
        <v>0</v>
      </c>
      <c r="P618" s="83">
        <f t="shared" si="3"/>
        <v>0</v>
      </c>
      <c r="Q618" s="83">
        <f t="shared" si="4"/>
        <v>0</v>
      </c>
      <c r="R618" s="36" t="str">
        <f t="array" ref="R618">IF(B618="","",INDEX('Bán nhanh'!$C$4:$C$103,INT((ROW()-4)/10)+1))</f>
        <v/>
      </c>
      <c r="S618" s="36" t="str">
        <f t="array" ref="S618">IF(B618="","",INDEX('Bán nhanh'!$P$4:$P$103,INT((ROW()-4)/10)+1))</f>
        <v/>
      </c>
      <c r="T618" s="36"/>
      <c r="U618" s="36"/>
      <c r="V618" s="36"/>
      <c r="W618" s="36"/>
      <c r="X618" s="36"/>
      <c r="Y618" s="36"/>
      <c r="Z618" s="36"/>
    </row>
    <row r="619" ht="15.75" customHeight="1">
      <c r="A619" s="96" t="str">
        <f t="array" ref="A619">IF(B619="","",INDEX('Bán nhanh'!$A$4:$A$103,INT((ROW()-4)/10)+1))</f>
        <v/>
      </c>
      <c r="B619" s="36" t="str">
        <f t="array" ref="B619">IF(OR(INDEX('Bán nhanh'!$D$3:$M$3,1,MOD(ROW()-4,10)+1)="",INDEX('Bán nhanh'!$D$4:$M$103,INT((ROW()-4)/10)+1,MOD(ROW()-4,10)+1)&lt;=0),"",INDEX('Bán nhanh'!$D$3:$M$3,1,MOD(ROW()-4,10)+1))</f>
        <v/>
      </c>
      <c r="C619" s="36" t="str">
        <f t="array" ref="C619">IFERROR(INDEX('Sản phẩm'!$A$4:$A$103,MATCH(B619,'Sản phẩm'!$D$4:$D$103,0)),"")</f>
        <v/>
      </c>
      <c r="D619" s="36" t="str">
        <f t="array" ref="D619">IF(B619="","",INDEX('Bán nhanh'!$B$4:$B$103,INT((ROW()-4)/10)+1))</f>
        <v/>
      </c>
      <c r="E619" s="36" t="str">
        <f t="array" ref="E619">IFERROR(INDEX('Mẻ sữa'!$B$4:$B$203,MATCH(D619,'Mẻ sữa'!$C$4:$C$203,0)),"")</f>
        <v/>
      </c>
      <c r="F619" s="82">
        <f t="array" ref="F619">IF(B619="",0,INDEX('Bán nhanh'!$D$4:$M$103,INT((ROW()-4)/10)+1,MOD(ROW()-4,10)+1))</f>
        <v>0</v>
      </c>
      <c r="G619" s="83">
        <f t="array" ref="G619">IFERROR(INDEX('Sản phẩm'!$F$4:$F$103,MATCH(B619,'Sản phẩm'!$D$4:$D$103,0)),0)</f>
        <v>0</v>
      </c>
      <c r="H619" s="83">
        <f t="shared" si="5"/>
        <v>0</v>
      </c>
      <c r="I619" s="83">
        <f t="shared" si="1"/>
        <v>0</v>
      </c>
      <c r="J619" s="83">
        <f t="array" ref="J619">IFERROR(INDEX('Sản phẩm'!$G$4:$G$103,MATCH(B619,'Sản phẩm'!$D$4:$D$103,0)),0)</f>
        <v>0</v>
      </c>
      <c r="K619" s="83">
        <f t="array" ref="K619">IFERROR(J619*INDEX('Mẻ sữa'!$N$4:$N$203,MATCH(D619,'Mẻ sữa'!$C$4:$C$203,0)),0)</f>
        <v>0</v>
      </c>
      <c r="L619" s="83">
        <f t="array" ref="L619">IFERROR(INDEX('Sản phẩm'!$I$4:$I$103,MATCH(B619,'Sản phẩm'!$D$4:$D$103,0)),0)</f>
        <v>0</v>
      </c>
      <c r="M619" s="97" t="str">
        <f t="array" ref="M619">IFERROR(INDEX('Sản phẩm'!$J$4:$J$103,MATCH(B619,'Sản phẩm'!$D$4:$D$103,0)),0)</f>
        <v/>
      </c>
      <c r="N619" s="83">
        <f>IF(B619="",0,(K619+L619+M619)*'Thiết lập'!$B$8)</f>
        <v>0</v>
      </c>
      <c r="O619" s="83">
        <f t="shared" si="2"/>
        <v>0</v>
      </c>
      <c r="P619" s="83">
        <f t="shared" si="3"/>
        <v>0</v>
      </c>
      <c r="Q619" s="83">
        <f t="shared" si="4"/>
        <v>0</v>
      </c>
      <c r="R619" s="36" t="str">
        <f t="array" ref="R619">IF(B619="","",INDEX('Bán nhanh'!$C$4:$C$103,INT((ROW()-4)/10)+1))</f>
        <v/>
      </c>
      <c r="S619" s="36" t="str">
        <f t="array" ref="S619">IF(B619="","",INDEX('Bán nhanh'!$P$4:$P$103,INT((ROW()-4)/10)+1))</f>
        <v/>
      </c>
      <c r="T619" s="36"/>
      <c r="U619" s="36"/>
      <c r="V619" s="36"/>
      <c r="W619" s="36"/>
      <c r="X619" s="36"/>
      <c r="Y619" s="36"/>
      <c r="Z619" s="36"/>
    </row>
    <row r="620" ht="15.75" customHeight="1">
      <c r="A620" s="96" t="str">
        <f t="array" ref="A620">IF(B620="","",INDEX('Bán nhanh'!$A$4:$A$103,INT((ROW()-4)/10)+1))</f>
        <v/>
      </c>
      <c r="B620" s="36" t="str">
        <f t="array" ref="B620">IF(OR(INDEX('Bán nhanh'!$D$3:$M$3,1,MOD(ROW()-4,10)+1)="",INDEX('Bán nhanh'!$D$4:$M$103,INT((ROW()-4)/10)+1,MOD(ROW()-4,10)+1)&lt;=0),"",INDEX('Bán nhanh'!$D$3:$M$3,1,MOD(ROW()-4,10)+1))</f>
        <v/>
      </c>
      <c r="C620" s="36" t="str">
        <f t="array" ref="C620">IFERROR(INDEX('Sản phẩm'!$A$4:$A$103,MATCH(B620,'Sản phẩm'!$D$4:$D$103,0)),"")</f>
        <v/>
      </c>
      <c r="D620" s="36" t="str">
        <f t="array" ref="D620">IF(B620="","",INDEX('Bán nhanh'!$B$4:$B$103,INT((ROW()-4)/10)+1))</f>
        <v/>
      </c>
      <c r="E620" s="36" t="str">
        <f t="array" ref="E620">IFERROR(INDEX('Mẻ sữa'!$B$4:$B$203,MATCH(D620,'Mẻ sữa'!$C$4:$C$203,0)),"")</f>
        <v/>
      </c>
      <c r="F620" s="82">
        <f t="array" ref="F620">IF(B620="",0,INDEX('Bán nhanh'!$D$4:$M$103,INT((ROW()-4)/10)+1,MOD(ROW()-4,10)+1))</f>
        <v>0</v>
      </c>
      <c r="G620" s="83">
        <f t="array" ref="G620">IFERROR(INDEX('Sản phẩm'!$F$4:$F$103,MATCH(B620,'Sản phẩm'!$D$4:$D$103,0)),0)</f>
        <v>0</v>
      </c>
      <c r="H620" s="83">
        <f t="shared" si="5"/>
        <v>0</v>
      </c>
      <c r="I620" s="83">
        <f t="shared" si="1"/>
        <v>0</v>
      </c>
      <c r="J620" s="83">
        <f t="array" ref="J620">IFERROR(INDEX('Sản phẩm'!$G$4:$G$103,MATCH(B620,'Sản phẩm'!$D$4:$D$103,0)),0)</f>
        <v>0</v>
      </c>
      <c r="K620" s="83">
        <f t="array" ref="K620">IFERROR(J620*INDEX('Mẻ sữa'!$N$4:$N$203,MATCH(D620,'Mẻ sữa'!$C$4:$C$203,0)),0)</f>
        <v>0</v>
      </c>
      <c r="L620" s="83">
        <f t="array" ref="L620">IFERROR(INDEX('Sản phẩm'!$I$4:$I$103,MATCH(B620,'Sản phẩm'!$D$4:$D$103,0)),0)</f>
        <v>0</v>
      </c>
      <c r="M620" s="97" t="str">
        <f t="array" ref="M620">IFERROR(INDEX('Sản phẩm'!$J$4:$J$103,MATCH(B620,'Sản phẩm'!$D$4:$D$103,0)),0)</f>
        <v/>
      </c>
      <c r="N620" s="83">
        <f>IF(B620="",0,(K620+L620+M620)*'Thiết lập'!$B$8)</f>
        <v>0</v>
      </c>
      <c r="O620" s="83">
        <f t="shared" si="2"/>
        <v>0</v>
      </c>
      <c r="P620" s="83">
        <f t="shared" si="3"/>
        <v>0</v>
      </c>
      <c r="Q620" s="83">
        <f t="shared" si="4"/>
        <v>0</v>
      </c>
      <c r="R620" s="36" t="str">
        <f t="array" ref="R620">IF(B620="","",INDEX('Bán nhanh'!$C$4:$C$103,INT((ROW()-4)/10)+1))</f>
        <v/>
      </c>
      <c r="S620" s="36" t="str">
        <f t="array" ref="S620">IF(B620="","",INDEX('Bán nhanh'!$P$4:$P$103,INT((ROW()-4)/10)+1))</f>
        <v/>
      </c>
      <c r="T620" s="36"/>
      <c r="U620" s="36"/>
      <c r="V620" s="36"/>
      <c r="W620" s="36"/>
      <c r="X620" s="36"/>
      <c r="Y620" s="36"/>
      <c r="Z620" s="36"/>
    </row>
    <row r="621" ht="15.75" customHeight="1">
      <c r="A621" s="96" t="str">
        <f t="array" ref="A621">IF(B621="","",INDEX('Bán nhanh'!$A$4:$A$103,INT((ROW()-4)/10)+1))</f>
        <v/>
      </c>
      <c r="B621" s="36" t="str">
        <f t="array" ref="B621">IF(OR(INDEX('Bán nhanh'!$D$3:$M$3,1,MOD(ROW()-4,10)+1)="",INDEX('Bán nhanh'!$D$4:$M$103,INT((ROW()-4)/10)+1,MOD(ROW()-4,10)+1)&lt;=0),"",INDEX('Bán nhanh'!$D$3:$M$3,1,MOD(ROW()-4,10)+1))</f>
        <v/>
      </c>
      <c r="C621" s="36" t="str">
        <f t="array" ref="C621">IFERROR(INDEX('Sản phẩm'!$A$4:$A$103,MATCH(B621,'Sản phẩm'!$D$4:$D$103,0)),"")</f>
        <v/>
      </c>
      <c r="D621" s="36" t="str">
        <f t="array" ref="D621">IF(B621="","",INDEX('Bán nhanh'!$B$4:$B$103,INT((ROW()-4)/10)+1))</f>
        <v/>
      </c>
      <c r="E621" s="36" t="str">
        <f t="array" ref="E621">IFERROR(INDEX('Mẻ sữa'!$B$4:$B$203,MATCH(D621,'Mẻ sữa'!$C$4:$C$203,0)),"")</f>
        <v/>
      </c>
      <c r="F621" s="82">
        <f t="array" ref="F621">IF(B621="",0,INDEX('Bán nhanh'!$D$4:$M$103,INT((ROW()-4)/10)+1,MOD(ROW()-4,10)+1))</f>
        <v>0</v>
      </c>
      <c r="G621" s="83">
        <f t="array" ref="G621">IFERROR(INDEX('Sản phẩm'!$F$4:$F$103,MATCH(B621,'Sản phẩm'!$D$4:$D$103,0)),0)</f>
        <v>0</v>
      </c>
      <c r="H621" s="83">
        <f t="shared" si="5"/>
        <v>0</v>
      </c>
      <c r="I621" s="83">
        <f t="shared" si="1"/>
        <v>0</v>
      </c>
      <c r="J621" s="83">
        <f t="array" ref="J621">IFERROR(INDEX('Sản phẩm'!$G$4:$G$103,MATCH(B621,'Sản phẩm'!$D$4:$D$103,0)),0)</f>
        <v>0</v>
      </c>
      <c r="K621" s="83">
        <f t="array" ref="K621">IFERROR(J621*INDEX('Mẻ sữa'!$N$4:$N$203,MATCH(D621,'Mẻ sữa'!$C$4:$C$203,0)),0)</f>
        <v>0</v>
      </c>
      <c r="L621" s="83">
        <f t="array" ref="L621">IFERROR(INDEX('Sản phẩm'!$I$4:$I$103,MATCH(B621,'Sản phẩm'!$D$4:$D$103,0)),0)</f>
        <v>0</v>
      </c>
      <c r="M621" s="97" t="str">
        <f t="array" ref="M621">IFERROR(INDEX('Sản phẩm'!$J$4:$J$103,MATCH(B621,'Sản phẩm'!$D$4:$D$103,0)),0)</f>
        <v/>
      </c>
      <c r="N621" s="83">
        <f>IF(B621="",0,(K621+L621+M621)*'Thiết lập'!$B$8)</f>
        <v>0</v>
      </c>
      <c r="O621" s="83">
        <f t="shared" si="2"/>
        <v>0</v>
      </c>
      <c r="P621" s="83">
        <f t="shared" si="3"/>
        <v>0</v>
      </c>
      <c r="Q621" s="83">
        <f t="shared" si="4"/>
        <v>0</v>
      </c>
      <c r="R621" s="36" t="str">
        <f t="array" ref="R621">IF(B621="","",INDEX('Bán nhanh'!$C$4:$C$103,INT((ROW()-4)/10)+1))</f>
        <v/>
      </c>
      <c r="S621" s="36" t="str">
        <f t="array" ref="S621">IF(B621="","",INDEX('Bán nhanh'!$P$4:$P$103,INT((ROW()-4)/10)+1))</f>
        <v/>
      </c>
      <c r="T621" s="36"/>
      <c r="U621" s="36"/>
      <c r="V621" s="36"/>
      <c r="W621" s="36"/>
      <c r="X621" s="36"/>
      <c r="Y621" s="36"/>
      <c r="Z621" s="36"/>
    </row>
    <row r="622" ht="15.75" customHeight="1">
      <c r="A622" s="96" t="str">
        <f t="array" ref="A622">IF(B622="","",INDEX('Bán nhanh'!$A$4:$A$103,INT((ROW()-4)/10)+1))</f>
        <v/>
      </c>
      <c r="B622" s="36" t="str">
        <f t="array" ref="B622">IF(OR(INDEX('Bán nhanh'!$D$3:$M$3,1,MOD(ROW()-4,10)+1)="",INDEX('Bán nhanh'!$D$4:$M$103,INT((ROW()-4)/10)+1,MOD(ROW()-4,10)+1)&lt;=0),"",INDEX('Bán nhanh'!$D$3:$M$3,1,MOD(ROW()-4,10)+1))</f>
        <v/>
      </c>
      <c r="C622" s="36" t="str">
        <f t="array" ref="C622">IFERROR(INDEX('Sản phẩm'!$A$4:$A$103,MATCH(B622,'Sản phẩm'!$D$4:$D$103,0)),"")</f>
        <v/>
      </c>
      <c r="D622" s="36" t="str">
        <f t="array" ref="D622">IF(B622="","",INDEX('Bán nhanh'!$B$4:$B$103,INT((ROW()-4)/10)+1))</f>
        <v/>
      </c>
      <c r="E622" s="36" t="str">
        <f t="array" ref="E622">IFERROR(INDEX('Mẻ sữa'!$B$4:$B$203,MATCH(D622,'Mẻ sữa'!$C$4:$C$203,0)),"")</f>
        <v/>
      </c>
      <c r="F622" s="82">
        <f t="array" ref="F622">IF(B622="",0,INDEX('Bán nhanh'!$D$4:$M$103,INT((ROW()-4)/10)+1,MOD(ROW()-4,10)+1))</f>
        <v>0</v>
      </c>
      <c r="G622" s="83">
        <f t="array" ref="G622">IFERROR(INDEX('Sản phẩm'!$F$4:$F$103,MATCH(B622,'Sản phẩm'!$D$4:$D$103,0)),0)</f>
        <v>0</v>
      </c>
      <c r="H622" s="83">
        <f t="shared" si="5"/>
        <v>0</v>
      </c>
      <c r="I622" s="83">
        <f t="shared" si="1"/>
        <v>0</v>
      </c>
      <c r="J622" s="83">
        <f t="array" ref="J622">IFERROR(INDEX('Sản phẩm'!$G$4:$G$103,MATCH(B622,'Sản phẩm'!$D$4:$D$103,0)),0)</f>
        <v>0</v>
      </c>
      <c r="K622" s="83">
        <f t="array" ref="K622">IFERROR(J622*INDEX('Mẻ sữa'!$N$4:$N$203,MATCH(D622,'Mẻ sữa'!$C$4:$C$203,0)),0)</f>
        <v>0</v>
      </c>
      <c r="L622" s="83">
        <f t="array" ref="L622">IFERROR(INDEX('Sản phẩm'!$I$4:$I$103,MATCH(B622,'Sản phẩm'!$D$4:$D$103,0)),0)</f>
        <v>0</v>
      </c>
      <c r="M622" s="97" t="str">
        <f t="array" ref="M622">IFERROR(INDEX('Sản phẩm'!$J$4:$J$103,MATCH(B622,'Sản phẩm'!$D$4:$D$103,0)),0)</f>
        <v/>
      </c>
      <c r="N622" s="83">
        <f>IF(B622="",0,(K622+L622+M622)*'Thiết lập'!$B$8)</f>
        <v>0</v>
      </c>
      <c r="O622" s="83">
        <f t="shared" si="2"/>
        <v>0</v>
      </c>
      <c r="P622" s="83">
        <f t="shared" si="3"/>
        <v>0</v>
      </c>
      <c r="Q622" s="83">
        <f t="shared" si="4"/>
        <v>0</v>
      </c>
      <c r="R622" s="36" t="str">
        <f t="array" ref="R622">IF(B622="","",INDEX('Bán nhanh'!$C$4:$C$103,INT((ROW()-4)/10)+1))</f>
        <v/>
      </c>
      <c r="S622" s="36" t="str">
        <f t="array" ref="S622">IF(B622="","",INDEX('Bán nhanh'!$P$4:$P$103,INT((ROW()-4)/10)+1))</f>
        <v/>
      </c>
      <c r="T622" s="36"/>
      <c r="U622" s="36"/>
      <c r="V622" s="36"/>
      <c r="W622" s="36"/>
      <c r="X622" s="36"/>
      <c r="Y622" s="36"/>
      <c r="Z622" s="36"/>
    </row>
    <row r="623" ht="15.75" customHeight="1">
      <c r="A623" s="96" t="str">
        <f t="array" ref="A623">IF(B623="","",INDEX('Bán nhanh'!$A$4:$A$103,INT((ROW()-4)/10)+1))</f>
        <v/>
      </c>
      <c r="B623" s="36" t="str">
        <f t="array" ref="B623">IF(OR(INDEX('Bán nhanh'!$D$3:$M$3,1,MOD(ROW()-4,10)+1)="",INDEX('Bán nhanh'!$D$4:$M$103,INT((ROW()-4)/10)+1,MOD(ROW()-4,10)+1)&lt;=0),"",INDEX('Bán nhanh'!$D$3:$M$3,1,MOD(ROW()-4,10)+1))</f>
        <v/>
      </c>
      <c r="C623" s="36" t="str">
        <f t="array" ref="C623">IFERROR(INDEX('Sản phẩm'!$A$4:$A$103,MATCH(B623,'Sản phẩm'!$D$4:$D$103,0)),"")</f>
        <v/>
      </c>
      <c r="D623" s="36" t="str">
        <f t="array" ref="D623">IF(B623="","",INDEX('Bán nhanh'!$B$4:$B$103,INT((ROW()-4)/10)+1))</f>
        <v/>
      </c>
      <c r="E623" s="36" t="str">
        <f t="array" ref="E623">IFERROR(INDEX('Mẻ sữa'!$B$4:$B$203,MATCH(D623,'Mẻ sữa'!$C$4:$C$203,0)),"")</f>
        <v/>
      </c>
      <c r="F623" s="82">
        <f t="array" ref="F623">IF(B623="",0,INDEX('Bán nhanh'!$D$4:$M$103,INT((ROW()-4)/10)+1,MOD(ROW()-4,10)+1))</f>
        <v>0</v>
      </c>
      <c r="G623" s="83">
        <f t="array" ref="G623">IFERROR(INDEX('Sản phẩm'!$F$4:$F$103,MATCH(B623,'Sản phẩm'!$D$4:$D$103,0)),0)</f>
        <v>0</v>
      </c>
      <c r="H623" s="83">
        <f t="shared" si="5"/>
        <v>0</v>
      </c>
      <c r="I623" s="83">
        <f t="shared" si="1"/>
        <v>0</v>
      </c>
      <c r="J623" s="83">
        <f t="array" ref="J623">IFERROR(INDEX('Sản phẩm'!$G$4:$G$103,MATCH(B623,'Sản phẩm'!$D$4:$D$103,0)),0)</f>
        <v>0</v>
      </c>
      <c r="K623" s="83">
        <f t="array" ref="K623">IFERROR(J623*INDEX('Mẻ sữa'!$N$4:$N$203,MATCH(D623,'Mẻ sữa'!$C$4:$C$203,0)),0)</f>
        <v>0</v>
      </c>
      <c r="L623" s="83">
        <f t="array" ref="L623">IFERROR(INDEX('Sản phẩm'!$I$4:$I$103,MATCH(B623,'Sản phẩm'!$D$4:$D$103,0)),0)</f>
        <v>0</v>
      </c>
      <c r="M623" s="97" t="str">
        <f t="array" ref="M623">IFERROR(INDEX('Sản phẩm'!$J$4:$J$103,MATCH(B623,'Sản phẩm'!$D$4:$D$103,0)),0)</f>
        <v/>
      </c>
      <c r="N623" s="83">
        <f>IF(B623="",0,(K623+L623+M623)*'Thiết lập'!$B$8)</f>
        <v>0</v>
      </c>
      <c r="O623" s="83">
        <f t="shared" si="2"/>
        <v>0</v>
      </c>
      <c r="P623" s="83">
        <f t="shared" si="3"/>
        <v>0</v>
      </c>
      <c r="Q623" s="83">
        <f t="shared" si="4"/>
        <v>0</v>
      </c>
      <c r="R623" s="36" t="str">
        <f t="array" ref="R623">IF(B623="","",INDEX('Bán nhanh'!$C$4:$C$103,INT((ROW()-4)/10)+1))</f>
        <v/>
      </c>
      <c r="S623" s="36" t="str">
        <f t="array" ref="S623">IF(B623="","",INDEX('Bán nhanh'!$P$4:$P$103,INT((ROW()-4)/10)+1))</f>
        <v/>
      </c>
      <c r="T623" s="36"/>
      <c r="U623" s="36"/>
      <c r="V623" s="36"/>
      <c r="W623" s="36"/>
      <c r="X623" s="36"/>
      <c r="Y623" s="36"/>
      <c r="Z623" s="36"/>
    </row>
    <row r="624" ht="15.75" customHeight="1">
      <c r="A624" s="96" t="str">
        <f t="array" ref="A624">IF(B624="","",INDEX('Bán nhanh'!$A$4:$A$103,INT((ROW()-4)/10)+1))</f>
        <v/>
      </c>
      <c r="B624" s="36" t="str">
        <f t="array" ref="B624">IF(OR(INDEX('Bán nhanh'!$D$3:$M$3,1,MOD(ROW()-4,10)+1)="",INDEX('Bán nhanh'!$D$4:$M$103,INT((ROW()-4)/10)+1,MOD(ROW()-4,10)+1)&lt;=0),"",INDEX('Bán nhanh'!$D$3:$M$3,1,MOD(ROW()-4,10)+1))</f>
        <v/>
      </c>
      <c r="C624" s="36" t="str">
        <f t="array" ref="C624">IFERROR(INDEX('Sản phẩm'!$A$4:$A$103,MATCH(B624,'Sản phẩm'!$D$4:$D$103,0)),"")</f>
        <v/>
      </c>
      <c r="D624" s="36" t="str">
        <f t="array" ref="D624">IF(B624="","",INDEX('Bán nhanh'!$B$4:$B$103,INT((ROW()-4)/10)+1))</f>
        <v/>
      </c>
      <c r="E624" s="36" t="str">
        <f t="array" ref="E624">IFERROR(INDEX('Mẻ sữa'!$B$4:$B$203,MATCH(D624,'Mẻ sữa'!$C$4:$C$203,0)),"")</f>
        <v/>
      </c>
      <c r="F624" s="82">
        <f t="array" ref="F624">IF(B624="",0,INDEX('Bán nhanh'!$D$4:$M$103,INT((ROW()-4)/10)+1,MOD(ROW()-4,10)+1))</f>
        <v>0</v>
      </c>
      <c r="G624" s="83">
        <f t="array" ref="G624">IFERROR(INDEX('Sản phẩm'!$F$4:$F$103,MATCH(B624,'Sản phẩm'!$D$4:$D$103,0)),0)</f>
        <v>0</v>
      </c>
      <c r="H624" s="83">
        <f t="shared" si="5"/>
        <v>0</v>
      </c>
      <c r="I624" s="83">
        <f t="shared" si="1"/>
        <v>0</v>
      </c>
      <c r="J624" s="83">
        <f t="array" ref="J624">IFERROR(INDEX('Sản phẩm'!$G$4:$G$103,MATCH(B624,'Sản phẩm'!$D$4:$D$103,0)),0)</f>
        <v>0</v>
      </c>
      <c r="K624" s="83">
        <f t="array" ref="K624">IFERROR(J624*INDEX('Mẻ sữa'!$N$4:$N$203,MATCH(D624,'Mẻ sữa'!$C$4:$C$203,0)),0)</f>
        <v>0</v>
      </c>
      <c r="L624" s="83">
        <f t="array" ref="L624">IFERROR(INDEX('Sản phẩm'!$I$4:$I$103,MATCH(B624,'Sản phẩm'!$D$4:$D$103,0)),0)</f>
        <v>0</v>
      </c>
      <c r="M624" s="97" t="str">
        <f t="array" ref="M624">IFERROR(INDEX('Sản phẩm'!$J$4:$J$103,MATCH(B624,'Sản phẩm'!$D$4:$D$103,0)),0)</f>
        <v/>
      </c>
      <c r="N624" s="83">
        <f>IF(B624="",0,(K624+L624+M624)*'Thiết lập'!$B$8)</f>
        <v>0</v>
      </c>
      <c r="O624" s="83">
        <f t="shared" si="2"/>
        <v>0</v>
      </c>
      <c r="P624" s="83">
        <f t="shared" si="3"/>
        <v>0</v>
      </c>
      <c r="Q624" s="83">
        <f t="shared" si="4"/>
        <v>0</v>
      </c>
      <c r="R624" s="36" t="str">
        <f t="array" ref="R624">IF(B624="","",INDEX('Bán nhanh'!$C$4:$C$103,INT((ROW()-4)/10)+1))</f>
        <v/>
      </c>
      <c r="S624" s="36" t="str">
        <f t="array" ref="S624">IF(B624="","",INDEX('Bán nhanh'!$P$4:$P$103,INT((ROW()-4)/10)+1))</f>
        <v/>
      </c>
      <c r="T624" s="36"/>
      <c r="U624" s="36"/>
      <c r="V624" s="36"/>
      <c r="W624" s="36"/>
      <c r="X624" s="36"/>
      <c r="Y624" s="36"/>
      <c r="Z624" s="36"/>
    </row>
    <row r="625" ht="15.75" customHeight="1">
      <c r="A625" s="96" t="str">
        <f t="array" ref="A625">IF(B625="","",INDEX('Bán nhanh'!$A$4:$A$103,INT((ROW()-4)/10)+1))</f>
        <v/>
      </c>
      <c r="B625" s="36" t="str">
        <f t="array" ref="B625">IF(OR(INDEX('Bán nhanh'!$D$3:$M$3,1,MOD(ROW()-4,10)+1)="",INDEX('Bán nhanh'!$D$4:$M$103,INT((ROW()-4)/10)+1,MOD(ROW()-4,10)+1)&lt;=0),"",INDEX('Bán nhanh'!$D$3:$M$3,1,MOD(ROW()-4,10)+1))</f>
        <v/>
      </c>
      <c r="C625" s="36" t="str">
        <f t="array" ref="C625">IFERROR(INDEX('Sản phẩm'!$A$4:$A$103,MATCH(B625,'Sản phẩm'!$D$4:$D$103,0)),"")</f>
        <v/>
      </c>
      <c r="D625" s="36" t="str">
        <f t="array" ref="D625">IF(B625="","",INDEX('Bán nhanh'!$B$4:$B$103,INT((ROW()-4)/10)+1))</f>
        <v/>
      </c>
      <c r="E625" s="36" t="str">
        <f t="array" ref="E625">IFERROR(INDEX('Mẻ sữa'!$B$4:$B$203,MATCH(D625,'Mẻ sữa'!$C$4:$C$203,0)),"")</f>
        <v/>
      </c>
      <c r="F625" s="82">
        <f t="array" ref="F625">IF(B625="",0,INDEX('Bán nhanh'!$D$4:$M$103,INT((ROW()-4)/10)+1,MOD(ROW()-4,10)+1))</f>
        <v>0</v>
      </c>
      <c r="G625" s="83">
        <f t="array" ref="G625">IFERROR(INDEX('Sản phẩm'!$F$4:$F$103,MATCH(B625,'Sản phẩm'!$D$4:$D$103,0)),0)</f>
        <v>0</v>
      </c>
      <c r="H625" s="83">
        <f t="shared" si="5"/>
        <v>0</v>
      </c>
      <c r="I625" s="83">
        <f t="shared" si="1"/>
        <v>0</v>
      </c>
      <c r="J625" s="83">
        <f t="array" ref="J625">IFERROR(INDEX('Sản phẩm'!$G$4:$G$103,MATCH(B625,'Sản phẩm'!$D$4:$D$103,0)),0)</f>
        <v>0</v>
      </c>
      <c r="K625" s="83">
        <f t="array" ref="K625">IFERROR(J625*INDEX('Mẻ sữa'!$N$4:$N$203,MATCH(D625,'Mẻ sữa'!$C$4:$C$203,0)),0)</f>
        <v>0</v>
      </c>
      <c r="L625" s="83">
        <f t="array" ref="L625">IFERROR(INDEX('Sản phẩm'!$I$4:$I$103,MATCH(B625,'Sản phẩm'!$D$4:$D$103,0)),0)</f>
        <v>0</v>
      </c>
      <c r="M625" s="97" t="str">
        <f t="array" ref="M625">IFERROR(INDEX('Sản phẩm'!$J$4:$J$103,MATCH(B625,'Sản phẩm'!$D$4:$D$103,0)),0)</f>
        <v/>
      </c>
      <c r="N625" s="83">
        <f>IF(B625="",0,(K625+L625+M625)*'Thiết lập'!$B$8)</f>
        <v>0</v>
      </c>
      <c r="O625" s="83">
        <f t="shared" si="2"/>
        <v>0</v>
      </c>
      <c r="P625" s="83">
        <f t="shared" si="3"/>
        <v>0</v>
      </c>
      <c r="Q625" s="83">
        <f t="shared" si="4"/>
        <v>0</v>
      </c>
      <c r="R625" s="36" t="str">
        <f t="array" ref="R625">IF(B625="","",INDEX('Bán nhanh'!$C$4:$C$103,INT((ROW()-4)/10)+1))</f>
        <v/>
      </c>
      <c r="S625" s="36" t="str">
        <f t="array" ref="S625">IF(B625="","",INDEX('Bán nhanh'!$P$4:$P$103,INT((ROW()-4)/10)+1))</f>
        <v/>
      </c>
      <c r="T625" s="36"/>
      <c r="U625" s="36"/>
      <c r="V625" s="36"/>
      <c r="W625" s="36"/>
      <c r="X625" s="36"/>
      <c r="Y625" s="36"/>
      <c r="Z625" s="36"/>
    </row>
    <row r="626" ht="15.75" customHeight="1">
      <c r="A626" s="96" t="str">
        <f t="array" ref="A626">IF(B626="","",INDEX('Bán nhanh'!$A$4:$A$103,INT((ROW()-4)/10)+1))</f>
        <v/>
      </c>
      <c r="B626" s="36" t="str">
        <f t="array" ref="B626">IF(OR(INDEX('Bán nhanh'!$D$3:$M$3,1,MOD(ROW()-4,10)+1)="",INDEX('Bán nhanh'!$D$4:$M$103,INT((ROW()-4)/10)+1,MOD(ROW()-4,10)+1)&lt;=0),"",INDEX('Bán nhanh'!$D$3:$M$3,1,MOD(ROW()-4,10)+1))</f>
        <v/>
      </c>
      <c r="C626" s="36" t="str">
        <f t="array" ref="C626">IFERROR(INDEX('Sản phẩm'!$A$4:$A$103,MATCH(B626,'Sản phẩm'!$D$4:$D$103,0)),"")</f>
        <v/>
      </c>
      <c r="D626" s="36" t="str">
        <f t="array" ref="D626">IF(B626="","",INDEX('Bán nhanh'!$B$4:$B$103,INT((ROW()-4)/10)+1))</f>
        <v/>
      </c>
      <c r="E626" s="36" t="str">
        <f t="array" ref="E626">IFERROR(INDEX('Mẻ sữa'!$B$4:$B$203,MATCH(D626,'Mẻ sữa'!$C$4:$C$203,0)),"")</f>
        <v/>
      </c>
      <c r="F626" s="82">
        <f t="array" ref="F626">IF(B626="",0,INDEX('Bán nhanh'!$D$4:$M$103,INT((ROW()-4)/10)+1,MOD(ROW()-4,10)+1))</f>
        <v>0</v>
      </c>
      <c r="G626" s="83">
        <f t="array" ref="G626">IFERROR(INDEX('Sản phẩm'!$F$4:$F$103,MATCH(B626,'Sản phẩm'!$D$4:$D$103,0)),0)</f>
        <v>0</v>
      </c>
      <c r="H626" s="83">
        <f t="shared" si="5"/>
        <v>0</v>
      </c>
      <c r="I626" s="83">
        <f t="shared" si="1"/>
        <v>0</v>
      </c>
      <c r="J626" s="83">
        <f t="array" ref="J626">IFERROR(INDEX('Sản phẩm'!$G$4:$G$103,MATCH(B626,'Sản phẩm'!$D$4:$D$103,0)),0)</f>
        <v>0</v>
      </c>
      <c r="K626" s="83">
        <f t="array" ref="K626">IFERROR(J626*INDEX('Mẻ sữa'!$N$4:$N$203,MATCH(D626,'Mẻ sữa'!$C$4:$C$203,0)),0)</f>
        <v>0</v>
      </c>
      <c r="L626" s="83">
        <f t="array" ref="L626">IFERROR(INDEX('Sản phẩm'!$I$4:$I$103,MATCH(B626,'Sản phẩm'!$D$4:$D$103,0)),0)</f>
        <v>0</v>
      </c>
      <c r="M626" s="97" t="str">
        <f t="array" ref="M626">IFERROR(INDEX('Sản phẩm'!$J$4:$J$103,MATCH(B626,'Sản phẩm'!$D$4:$D$103,0)),0)</f>
        <v/>
      </c>
      <c r="N626" s="83">
        <f>IF(B626="",0,(K626+L626+M626)*'Thiết lập'!$B$8)</f>
        <v>0</v>
      </c>
      <c r="O626" s="83">
        <f t="shared" si="2"/>
        <v>0</v>
      </c>
      <c r="P626" s="83">
        <f t="shared" si="3"/>
        <v>0</v>
      </c>
      <c r="Q626" s="83">
        <f t="shared" si="4"/>
        <v>0</v>
      </c>
      <c r="R626" s="36" t="str">
        <f t="array" ref="R626">IF(B626="","",INDEX('Bán nhanh'!$C$4:$C$103,INT((ROW()-4)/10)+1))</f>
        <v/>
      </c>
      <c r="S626" s="36" t="str">
        <f t="array" ref="S626">IF(B626="","",INDEX('Bán nhanh'!$P$4:$P$103,INT((ROW()-4)/10)+1))</f>
        <v/>
      </c>
      <c r="T626" s="36"/>
      <c r="U626" s="36"/>
      <c r="V626" s="36"/>
      <c r="W626" s="36"/>
      <c r="X626" s="36"/>
      <c r="Y626" s="36"/>
      <c r="Z626" s="36"/>
    </row>
    <row r="627" ht="15.75" customHeight="1">
      <c r="A627" s="96" t="str">
        <f t="array" ref="A627">IF(B627="","",INDEX('Bán nhanh'!$A$4:$A$103,INT((ROW()-4)/10)+1))</f>
        <v/>
      </c>
      <c r="B627" s="36" t="str">
        <f t="array" ref="B627">IF(OR(INDEX('Bán nhanh'!$D$3:$M$3,1,MOD(ROW()-4,10)+1)="",INDEX('Bán nhanh'!$D$4:$M$103,INT((ROW()-4)/10)+1,MOD(ROW()-4,10)+1)&lt;=0),"",INDEX('Bán nhanh'!$D$3:$M$3,1,MOD(ROW()-4,10)+1))</f>
        <v/>
      </c>
      <c r="C627" s="36" t="str">
        <f t="array" ref="C627">IFERROR(INDEX('Sản phẩm'!$A$4:$A$103,MATCH(B627,'Sản phẩm'!$D$4:$D$103,0)),"")</f>
        <v/>
      </c>
      <c r="D627" s="36" t="str">
        <f t="array" ref="D627">IF(B627="","",INDEX('Bán nhanh'!$B$4:$B$103,INT((ROW()-4)/10)+1))</f>
        <v/>
      </c>
      <c r="E627" s="36" t="str">
        <f t="array" ref="E627">IFERROR(INDEX('Mẻ sữa'!$B$4:$B$203,MATCH(D627,'Mẻ sữa'!$C$4:$C$203,0)),"")</f>
        <v/>
      </c>
      <c r="F627" s="82">
        <f t="array" ref="F627">IF(B627="",0,INDEX('Bán nhanh'!$D$4:$M$103,INT((ROW()-4)/10)+1,MOD(ROW()-4,10)+1))</f>
        <v>0</v>
      </c>
      <c r="G627" s="83">
        <f t="array" ref="G627">IFERROR(INDEX('Sản phẩm'!$F$4:$F$103,MATCH(B627,'Sản phẩm'!$D$4:$D$103,0)),0)</f>
        <v>0</v>
      </c>
      <c r="H627" s="83">
        <f t="shared" si="5"/>
        <v>0</v>
      </c>
      <c r="I627" s="83">
        <f t="shared" si="1"/>
        <v>0</v>
      </c>
      <c r="J627" s="83">
        <f t="array" ref="J627">IFERROR(INDEX('Sản phẩm'!$G$4:$G$103,MATCH(B627,'Sản phẩm'!$D$4:$D$103,0)),0)</f>
        <v>0</v>
      </c>
      <c r="K627" s="83">
        <f t="array" ref="K627">IFERROR(J627*INDEX('Mẻ sữa'!$N$4:$N$203,MATCH(D627,'Mẻ sữa'!$C$4:$C$203,0)),0)</f>
        <v>0</v>
      </c>
      <c r="L627" s="83">
        <f t="array" ref="L627">IFERROR(INDEX('Sản phẩm'!$I$4:$I$103,MATCH(B627,'Sản phẩm'!$D$4:$D$103,0)),0)</f>
        <v>0</v>
      </c>
      <c r="M627" s="97" t="str">
        <f t="array" ref="M627">IFERROR(INDEX('Sản phẩm'!$J$4:$J$103,MATCH(B627,'Sản phẩm'!$D$4:$D$103,0)),0)</f>
        <v/>
      </c>
      <c r="N627" s="83">
        <f>IF(B627="",0,(K627+L627+M627)*'Thiết lập'!$B$8)</f>
        <v>0</v>
      </c>
      <c r="O627" s="83">
        <f t="shared" si="2"/>
        <v>0</v>
      </c>
      <c r="P627" s="83">
        <f t="shared" si="3"/>
        <v>0</v>
      </c>
      <c r="Q627" s="83">
        <f t="shared" si="4"/>
        <v>0</v>
      </c>
      <c r="R627" s="36" t="str">
        <f t="array" ref="R627">IF(B627="","",INDEX('Bán nhanh'!$C$4:$C$103,INT((ROW()-4)/10)+1))</f>
        <v/>
      </c>
      <c r="S627" s="36" t="str">
        <f t="array" ref="S627">IF(B627="","",INDEX('Bán nhanh'!$P$4:$P$103,INT((ROW()-4)/10)+1))</f>
        <v/>
      </c>
      <c r="T627" s="36"/>
      <c r="U627" s="36"/>
      <c r="V627" s="36"/>
      <c r="W627" s="36"/>
      <c r="X627" s="36"/>
      <c r="Y627" s="36"/>
      <c r="Z627" s="36"/>
    </row>
    <row r="628" ht="15.75" customHeight="1">
      <c r="A628" s="96" t="str">
        <f t="array" ref="A628">IF(B628="","",INDEX('Bán nhanh'!$A$4:$A$103,INT((ROW()-4)/10)+1))</f>
        <v/>
      </c>
      <c r="B628" s="36" t="str">
        <f t="array" ref="B628">IF(OR(INDEX('Bán nhanh'!$D$3:$M$3,1,MOD(ROW()-4,10)+1)="",INDEX('Bán nhanh'!$D$4:$M$103,INT((ROW()-4)/10)+1,MOD(ROW()-4,10)+1)&lt;=0),"",INDEX('Bán nhanh'!$D$3:$M$3,1,MOD(ROW()-4,10)+1))</f>
        <v/>
      </c>
      <c r="C628" s="36" t="str">
        <f t="array" ref="C628">IFERROR(INDEX('Sản phẩm'!$A$4:$A$103,MATCH(B628,'Sản phẩm'!$D$4:$D$103,0)),"")</f>
        <v/>
      </c>
      <c r="D628" s="36" t="str">
        <f t="array" ref="D628">IF(B628="","",INDEX('Bán nhanh'!$B$4:$B$103,INT((ROW()-4)/10)+1))</f>
        <v/>
      </c>
      <c r="E628" s="36" t="str">
        <f t="array" ref="E628">IFERROR(INDEX('Mẻ sữa'!$B$4:$B$203,MATCH(D628,'Mẻ sữa'!$C$4:$C$203,0)),"")</f>
        <v/>
      </c>
      <c r="F628" s="82">
        <f t="array" ref="F628">IF(B628="",0,INDEX('Bán nhanh'!$D$4:$M$103,INT((ROW()-4)/10)+1,MOD(ROW()-4,10)+1))</f>
        <v>0</v>
      </c>
      <c r="G628" s="83">
        <f t="array" ref="G628">IFERROR(INDEX('Sản phẩm'!$F$4:$F$103,MATCH(B628,'Sản phẩm'!$D$4:$D$103,0)),0)</f>
        <v>0</v>
      </c>
      <c r="H628" s="83">
        <f t="shared" si="5"/>
        <v>0</v>
      </c>
      <c r="I628" s="83">
        <f t="shared" si="1"/>
        <v>0</v>
      </c>
      <c r="J628" s="83">
        <f t="array" ref="J628">IFERROR(INDEX('Sản phẩm'!$G$4:$G$103,MATCH(B628,'Sản phẩm'!$D$4:$D$103,0)),0)</f>
        <v>0</v>
      </c>
      <c r="K628" s="83">
        <f t="array" ref="K628">IFERROR(J628*INDEX('Mẻ sữa'!$N$4:$N$203,MATCH(D628,'Mẻ sữa'!$C$4:$C$203,0)),0)</f>
        <v>0</v>
      </c>
      <c r="L628" s="83">
        <f t="array" ref="L628">IFERROR(INDEX('Sản phẩm'!$I$4:$I$103,MATCH(B628,'Sản phẩm'!$D$4:$D$103,0)),0)</f>
        <v>0</v>
      </c>
      <c r="M628" s="97" t="str">
        <f t="array" ref="M628">IFERROR(INDEX('Sản phẩm'!$J$4:$J$103,MATCH(B628,'Sản phẩm'!$D$4:$D$103,0)),0)</f>
        <v/>
      </c>
      <c r="N628" s="83">
        <f>IF(B628="",0,(K628+L628+M628)*'Thiết lập'!$B$8)</f>
        <v>0</v>
      </c>
      <c r="O628" s="83">
        <f t="shared" si="2"/>
        <v>0</v>
      </c>
      <c r="P628" s="83">
        <f t="shared" si="3"/>
        <v>0</v>
      </c>
      <c r="Q628" s="83">
        <f t="shared" si="4"/>
        <v>0</v>
      </c>
      <c r="R628" s="36" t="str">
        <f t="array" ref="R628">IF(B628="","",INDEX('Bán nhanh'!$C$4:$C$103,INT((ROW()-4)/10)+1))</f>
        <v/>
      </c>
      <c r="S628" s="36" t="str">
        <f t="array" ref="S628">IF(B628="","",INDEX('Bán nhanh'!$P$4:$P$103,INT((ROW()-4)/10)+1))</f>
        <v/>
      </c>
      <c r="T628" s="36"/>
      <c r="U628" s="36"/>
      <c r="V628" s="36"/>
      <c r="W628" s="36"/>
      <c r="X628" s="36"/>
      <c r="Y628" s="36"/>
      <c r="Z628" s="36"/>
    </row>
    <row r="629" ht="15.75" customHeight="1">
      <c r="A629" s="96" t="str">
        <f t="array" ref="A629">IF(B629="","",INDEX('Bán nhanh'!$A$4:$A$103,INT((ROW()-4)/10)+1))</f>
        <v/>
      </c>
      <c r="B629" s="36" t="str">
        <f t="array" ref="B629">IF(OR(INDEX('Bán nhanh'!$D$3:$M$3,1,MOD(ROW()-4,10)+1)="",INDEX('Bán nhanh'!$D$4:$M$103,INT((ROW()-4)/10)+1,MOD(ROW()-4,10)+1)&lt;=0),"",INDEX('Bán nhanh'!$D$3:$M$3,1,MOD(ROW()-4,10)+1))</f>
        <v/>
      </c>
      <c r="C629" s="36" t="str">
        <f t="array" ref="C629">IFERROR(INDEX('Sản phẩm'!$A$4:$A$103,MATCH(B629,'Sản phẩm'!$D$4:$D$103,0)),"")</f>
        <v/>
      </c>
      <c r="D629" s="36" t="str">
        <f t="array" ref="D629">IF(B629="","",INDEX('Bán nhanh'!$B$4:$B$103,INT((ROW()-4)/10)+1))</f>
        <v/>
      </c>
      <c r="E629" s="36" t="str">
        <f t="array" ref="E629">IFERROR(INDEX('Mẻ sữa'!$B$4:$B$203,MATCH(D629,'Mẻ sữa'!$C$4:$C$203,0)),"")</f>
        <v/>
      </c>
      <c r="F629" s="82">
        <f t="array" ref="F629">IF(B629="",0,INDEX('Bán nhanh'!$D$4:$M$103,INT((ROW()-4)/10)+1,MOD(ROW()-4,10)+1))</f>
        <v>0</v>
      </c>
      <c r="G629" s="83">
        <f t="array" ref="G629">IFERROR(INDEX('Sản phẩm'!$F$4:$F$103,MATCH(B629,'Sản phẩm'!$D$4:$D$103,0)),0)</f>
        <v>0</v>
      </c>
      <c r="H629" s="83">
        <f t="shared" si="5"/>
        <v>0</v>
      </c>
      <c r="I629" s="83">
        <f t="shared" si="1"/>
        <v>0</v>
      </c>
      <c r="J629" s="83">
        <f t="array" ref="J629">IFERROR(INDEX('Sản phẩm'!$G$4:$G$103,MATCH(B629,'Sản phẩm'!$D$4:$D$103,0)),0)</f>
        <v>0</v>
      </c>
      <c r="K629" s="83">
        <f t="array" ref="K629">IFERROR(J629*INDEX('Mẻ sữa'!$N$4:$N$203,MATCH(D629,'Mẻ sữa'!$C$4:$C$203,0)),0)</f>
        <v>0</v>
      </c>
      <c r="L629" s="83">
        <f t="array" ref="L629">IFERROR(INDEX('Sản phẩm'!$I$4:$I$103,MATCH(B629,'Sản phẩm'!$D$4:$D$103,0)),0)</f>
        <v>0</v>
      </c>
      <c r="M629" s="97" t="str">
        <f t="array" ref="M629">IFERROR(INDEX('Sản phẩm'!$J$4:$J$103,MATCH(B629,'Sản phẩm'!$D$4:$D$103,0)),0)</f>
        <v/>
      </c>
      <c r="N629" s="83">
        <f>IF(B629="",0,(K629+L629+M629)*'Thiết lập'!$B$8)</f>
        <v>0</v>
      </c>
      <c r="O629" s="83">
        <f t="shared" si="2"/>
        <v>0</v>
      </c>
      <c r="P629" s="83">
        <f t="shared" si="3"/>
        <v>0</v>
      </c>
      <c r="Q629" s="83">
        <f t="shared" si="4"/>
        <v>0</v>
      </c>
      <c r="R629" s="36" t="str">
        <f t="array" ref="R629">IF(B629="","",INDEX('Bán nhanh'!$C$4:$C$103,INT((ROW()-4)/10)+1))</f>
        <v/>
      </c>
      <c r="S629" s="36" t="str">
        <f t="array" ref="S629">IF(B629="","",INDEX('Bán nhanh'!$P$4:$P$103,INT((ROW()-4)/10)+1))</f>
        <v/>
      </c>
      <c r="T629" s="36"/>
      <c r="U629" s="36"/>
      <c r="V629" s="36"/>
      <c r="W629" s="36"/>
      <c r="X629" s="36"/>
      <c r="Y629" s="36"/>
      <c r="Z629" s="36"/>
    </row>
    <row r="630" ht="15.75" customHeight="1">
      <c r="A630" s="96" t="str">
        <f t="array" ref="A630">IF(B630="","",INDEX('Bán nhanh'!$A$4:$A$103,INT((ROW()-4)/10)+1))</f>
        <v/>
      </c>
      <c r="B630" s="36" t="str">
        <f t="array" ref="B630">IF(OR(INDEX('Bán nhanh'!$D$3:$M$3,1,MOD(ROW()-4,10)+1)="",INDEX('Bán nhanh'!$D$4:$M$103,INT((ROW()-4)/10)+1,MOD(ROW()-4,10)+1)&lt;=0),"",INDEX('Bán nhanh'!$D$3:$M$3,1,MOD(ROW()-4,10)+1))</f>
        <v/>
      </c>
      <c r="C630" s="36" t="str">
        <f t="array" ref="C630">IFERROR(INDEX('Sản phẩm'!$A$4:$A$103,MATCH(B630,'Sản phẩm'!$D$4:$D$103,0)),"")</f>
        <v/>
      </c>
      <c r="D630" s="36" t="str">
        <f t="array" ref="D630">IF(B630="","",INDEX('Bán nhanh'!$B$4:$B$103,INT((ROW()-4)/10)+1))</f>
        <v/>
      </c>
      <c r="E630" s="36" t="str">
        <f t="array" ref="E630">IFERROR(INDEX('Mẻ sữa'!$B$4:$B$203,MATCH(D630,'Mẻ sữa'!$C$4:$C$203,0)),"")</f>
        <v/>
      </c>
      <c r="F630" s="82">
        <f t="array" ref="F630">IF(B630="",0,INDEX('Bán nhanh'!$D$4:$M$103,INT((ROW()-4)/10)+1,MOD(ROW()-4,10)+1))</f>
        <v>0</v>
      </c>
      <c r="G630" s="83">
        <f t="array" ref="G630">IFERROR(INDEX('Sản phẩm'!$F$4:$F$103,MATCH(B630,'Sản phẩm'!$D$4:$D$103,0)),0)</f>
        <v>0</v>
      </c>
      <c r="H630" s="83">
        <f t="shared" si="5"/>
        <v>0</v>
      </c>
      <c r="I630" s="83">
        <f t="shared" si="1"/>
        <v>0</v>
      </c>
      <c r="J630" s="83">
        <f t="array" ref="J630">IFERROR(INDEX('Sản phẩm'!$G$4:$G$103,MATCH(B630,'Sản phẩm'!$D$4:$D$103,0)),0)</f>
        <v>0</v>
      </c>
      <c r="K630" s="83">
        <f t="array" ref="K630">IFERROR(J630*INDEX('Mẻ sữa'!$N$4:$N$203,MATCH(D630,'Mẻ sữa'!$C$4:$C$203,0)),0)</f>
        <v>0</v>
      </c>
      <c r="L630" s="83">
        <f t="array" ref="L630">IFERROR(INDEX('Sản phẩm'!$I$4:$I$103,MATCH(B630,'Sản phẩm'!$D$4:$D$103,0)),0)</f>
        <v>0</v>
      </c>
      <c r="M630" s="97" t="str">
        <f t="array" ref="M630">IFERROR(INDEX('Sản phẩm'!$J$4:$J$103,MATCH(B630,'Sản phẩm'!$D$4:$D$103,0)),0)</f>
        <v/>
      </c>
      <c r="N630" s="83">
        <f>IF(B630="",0,(K630+L630+M630)*'Thiết lập'!$B$8)</f>
        <v>0</v>
      </c>
      <c r="O630" s="83">
        <f t="shared" si="2"/>
        <v>0</v>
      </c>
      <c r="P630" s="83">
        <f t="shared" si="3"/>
        <v>0</v>
      </c>
      <c r="Q630" s="83">
        <f t="shared" si="4"/>
        <v>0</v>
      </c>
      <c r="R630" s="36" t="str">
        <f t="array" ref="R630">IF(B630="","",INDEX('Bán nhanh'!$C$4:$C$103,INT((ROW()-4)/10)+1))</f>
        <v/>
      </c>
      <c r="S630" s="36" t="str">
        <f t="array" ref="S630">IF(B630="","",INDEX('Bán nhanh'!$P$4:$P$103,INT((ROW()-4)/10)+1))</f>
        <v/>
      </c>
      <c r="T630" s="36"/>
      <c r="U630" s="36"/>
      <c r="V630" s="36"/>
      <c r="W630" s="36"/>
      <c r="X630" s="36"/>
      <c r="Y630" s="36"/>
      <c r="Z630" s="36"/>
    </row>
    <row r="631" ht="15.75" customHeight="1">
      <c r="A631" s="96" t="str">
        <f t="array" ref="A631">IF(B631="","",INDEX('Bán nhanh'!$A$4:$A$103,INT((ROW()-4)/10)+1))</f>
        <v/>
      </c>
      <c r="B631" s="36" t="str">
        <f t="array" ref="B631">IF(OR(INDEX('Bán nhanh'!$D$3:$M$3,1,MOD(ROW()-4,10)+1)="",INDEX('Bán nhanh'!$D$4:$M$103,INT((ROW()-4)/10)+1,MOD(ROW()-4,10)+1)&lt;=0),"",INDEX('Bán nhanh'!$D$3:$M$3,1,MOD(ROW()-4,10)+1))</f>
        <v/>
      </c>
      <c r="C631" s="36" t="str">
        <f t="array" ref="C631">IFERROR(INDEX('Sản phẩm'!$A$4:$A$103,MATCH(B631,'Sản phẩm'!$D$4:$D$103,0)),"")</f>
        <v/>
      </c>
      <c r="D631" s="36" t="str">
        <f t="array" ref="D631">IF(B631="","",INDEX('Bán nhanh'!$B$4:$B$103,INT((ROW()-4)/10)+1))</f>
        <v/>
      </c>
      <c r="E631" s="36" t="str">
        <f t="array" ref="E631">IFERROR(INDEX('Mẻ sữa'!$B$4:$B$203,MATCH(D631,'Mẻ sữa'!$C$4:$C$203,0)),"")</f>
        <v/>
      </c>
      <c r="F631" s="82">
        <f t="array" ref="F631">IF(B631="",0,INDEX('Bán nhanh'!$D$4:$M$103,INT((ROW()-4)/10)+1,MOD(ROW()-4,10)+1))</f>
        <v>0</v>
      </c>
      <c r="G631" s="83">
        <f t="array" ref="G631">IFERROR(INDEX('Sản phẩm'!$F$4:$F$103,MATCH(B631,'Sản phẩm'!$D$4:$D$103,0)),0)</f>
        <v>0</v>
      </c>
      <c r="H631" s="83">
        <f t="shared" si="5"/>
        <v>0</v>
      </c>
      <c r="I631" s="83">
        <f t="shared" si="1"/>
        <v>0</v>
      </c>
      <c r="J631" s="83">
        <f t="array" ref="J631">IFERROR(INDEX('Sản phẩm'!$G$4:$G$103,MATCH(B631,'Sản phẩm'!$D$4:$D$103,0)),0)</f>
        <v>0</v>
      </c>
      <c r="K631" s="83">
        <f t="array" ref="K631">IFERROR(J631*INDEX('Mẻ sữa'!$N$4:$N$203,MATCH(D631,'Mẻ sữa'!$C$4:$C$203,0)),0)</f>
        <v>0</v>
      </c>
      <c r="L631" s="83">
        <f t="array" ref="L631">IFERROR(INDEX('Sản phẩm'!$I$4:$I$103,MATCH(B631,'Sản phẩm'!$D$4:$D$103,0)),0)</f>
        <v>0</v>
      </c>
      <c r="M631" s="97" t="str">
        <f t="array" ref="M631">IFERROR(INDEX('Sản phẩm'!$J$4:$J$103,MATCH(B631,'Sản phẩm'!$D$4:$D$103,0)),0)</f>
        <v/>
      </c>
      <c r="N631" s="83">
        <f>IF(B631="",0,(K631+L631+M631)*'Thiết lập'!$B$8)</f>
        <v>0</v>
      </c>
      <c r="O631" s="83">
        <f t="shared" si="2"/>
        <v>0</v>
      </c>
      <c r="P631" s="83">
        <f t="shared" si="3"/>
        <v>0</v>
      </c>
      <c r="Q631" s="83">
        <f t="shared" si="4"/>
        <v>0</v>
      </c>
      <c r="R631" s="36" t="str">
        <f t="array" ref="R631">IF(B631="","",INDEX('Bán nhanh'!$C$4:$C$103,INT((ROW()-4)/10)+1))</f>
        <v/>
      </c>
      <c r="S631" s="36" t="str">
        <f t="array" ref="S631">IF(B631="","",INDEX('Bán nhanh'!$P$4:$P$103,INT((ROW()-4)/10)+1))</f>
        <v/>
      </c>
      <c r="T631" s="36"/>
      <c r="U631" s="36"/>
      <c r="V631" s="36"/>
      <c r="W631" s="36"/>
      <c r="X631" s="36"/>
      <c r="Y631" s="36"/>
      <c r="Z631" s="36"/>
    </row>
    <row r="632" ht="15.75" customHeight="1">
      <c r="A632" s="96" t="str">
        <f t="array" ref="A632">IF(B632="","",INDEX('Bán nhanh'!$A$4:$A$103,INT((ROW()-4)/10)+1))</f>
        <v/>
      </c>
      <c r="B632" s="36" t="str">
        <f t="array" ref="B632">IF(OR(INDEX('Bán nhanh'!$D$3:$M$3,1,MOD(ROW()-4,10)+1)="",INDEX('Bán nhanh'!$D$4:$M$103,INT((ROW()-4)/10)+1,MOD(ROW()-4,10)+1)&lt;=0),"",INDEX('Bán nhanh'!$D$3:$M$3,1,MOD(ROW()-4,10)+1))</f>
        <v/>
      </c>
      <c r="C632" s="36" t="str">
        <f t="array" ref="C632">IFERROR(INDEX('Sản phẩm'!$A$4:$A$103,MATCH(B632,'Sản phẩm'!$D$4:$D$103,0)),"")</f>
        <v/>
      </c>
      <c r="D632" s="36" t="str">
        <f t="array" ref="D632">IF(B632="","",INDEX('Bán nhanh'!$B$4:$B$103,INT((ROW()-4)/10)+1))</f>
        <v/>
      </c>
      <c r="E632" s="36" t="str">
        <f t="array" ref="E632">IFERROR(INDEX('Mẻ sữa'!$B$4:$B$203,MATCH(D632,'Mẻ sữa'!$C$4:$C$203,0)),"")</f>
        <v/>
      </c>
      <c r="F632" s="82">
        <f t="array" ref="F632">IF(B632="",0,INDEX('Bán nhanh'!$D$4:$M$103,INT((ROW()-4)/10)+1,MOD(ROW()-4,10)+1))</f>
        <v>0</v>
      </c>
      <c r="G632" s="83">
        <f t="array" ref="G632">IFERROR(INDEX('Sản phẩm'!$F$4:$F$103,MATCH(B632,'Sản phẩm'!$D$4:$D$103,0)),0)</f>
        <v>0</v>
      </c>
      <c r="H632" s="83">
        <f t="shared" si="5"/>
        <v>0</v>
      </c>
      <c r="I632" s="83">
        <f t="shared" si="1"/>
        <v>0</v>
      </c>
      <c r="J632" s="83">
        <f t="array" ref="J632">IFERROR(INDEX('Sản phẩm'!$G$4:$G$103,MATCH(B632,'Sản phẩm'!$D$4:$D$103,0)),0)</f>
        <v>0</v>
      </c>
      <c r="K632" s="83">
        <f t="array" ref="K632">IFERROR(J632*INDEX('Mẻ sữa'!$N$4:$N$203,MATCH(D632,'Mẻ sữa'!$C$4:$C$203,0)),0)</f>
        <v>0</v>
      </c>
      <c r="L632" s="83">
        <f t="array" ref="L632">IFERROR(INDEX('Sản phẩm'!$I$4:$I$103,MATCH(B632,'Sản phẩm'!$D$4:$D$103,0)),0)</f>
        <v>0</v>
      </c>
      <c r="M632" s="97" t="str">
        <f t="array" ref="M632">IFERROR(INDEX('Sản phẩm'!$J$4:$J$103,MATCH(B632,'Sản phẩm'!$D$4:$D$103,0)),0)</f>
        <v/>
      </c>
      <c r="N632" s="83">
        <f>IF(B632="",0,(K632+L632+M632)*'Thiết lập'!$B$8)</f>
        <v>0</v>
      </c>
      <c r="O632" s="83">
        <f t="shared" si="2"/>
        <v>0</v>
      </c>
      <c r="P632" s="83">
        <f t="shared" si="3"/>
        <v>0</v>
      </c>
      <c r="Q632" s="83">
        <f t="shared" si="4"/>
        <v>0</v>
      </c>
      <c r="R632" s="36" t="str">
        <f t="array" ref="R632">IF(B632="","",INDEX('Bán nhanh'!$C$4:$C$103,INT((ROW()-4)/10)+1))</f>
        <v/>
      </c>
      <c r="S632" s="36" t="str">
        <f t="array" ref="S632">IF(B632="","",INDEX('Bán nhanh'!$P$4:$P$103,INT((ROW()-4)/10)+1))</f>
        <v/>
      </c>
      <c r="T632" s="36"/>
      <c r="U632" s="36"/>
      <c r="V632" s="36"/>
      <c r="W632" s="36"/>
      <c r="X632" s="36"/>
      <c r="Y632" s="36"/>
      <c r="Z632" s="36"/>
    </row>
    <row r="633" ht="15.75" customHeight="1">
      <c r="A633" s="96" t="str">
        <f t="array" ref="A633">IF(B633="","",INDEX('Bán nhanh'!$A$4:$A$103,INT((ROW()-4)/10)+1))</f>
        <v/>
      </c>
      <c r="B633" s="36" t="str">
        <f t="array" ref="B633">IF(OR(INDEX('Bán nhanh'!$D$3:$M$3,1,MOD(ROW()-4,10)+1)="",INDEX('Bán nhanh'!$D$4:$M$103,INT((ROW()-4)/10)+1,MOD(ROW()-4,10)+1)&lt;=0),"",INDEX('Bán nhanh'!$D$3:$M$3,1,MOD(ROW()-4,10)+1))</f>
        <v/>
      </c>
      <c r="C633" s="36" t="str">
        <f t="array" ref="C633">IFERROR(INDEX('Sản phẩm'!$A$4:$A$103,MATCH(B633,'Sản phẩm'!$D$4:$D$103,0)),"")</f>
        <v/>
      </c>
      <c r="D633" s="36" t="str">
        <f t="array" ref="D633">IF(B633="","",INDEX('Bán nhanh'!$B$4:$B$103,INT((ROW()-4)/10)+1))</f>
        <v/>
      </c>
      <c r="E633" s="36" t="str">
        <f t="array" ref="E633">IFERROR(INDEX('Mẻ sữa'!$B$4:$B$203,MATCH(D633,'Mẻ sữa'!$C$4:$C$203,0)),"")</f>
        <v/>
      </c>
      <c r="F633" s="82">
        <f t="array" ref="F633">IF(B633="",0,INDEX('Bán nhanh'!$D$4:$M$103,INT((ROW()-4)/10)+1,MOD(ROW()-4,10)+1))</f>
        <v>0</v>
      </c>
      <c r="G633" s="83">
        <f t="array" ref="G633">IFERROR(INDEX('Sản phẩm'!$F$4:$F$103,MATCH(B633,'Sản phẩm'!$D$4:$D$103,0)),0)</f>
        <v>0</v>
      </c>
      <c r="H633" s="83">
        <f t="shared" si="5"/>
        <v>0</v>
      </c>
      <c r="I633" s="83">
        <f t="shared" si="1"/>
        <v>0</v>
      </c>
      <c r="J633" s="83">
        <f t="array" ref="J633">IFERROR(INDEX('Sản phẩm'!$G$4:$G$103,MATCH(B633,'Sản phẩm'!$D$4:$D$103,0)),0)</f>
        <v>0</v>
      </c>
      <c r="K633" s="83">
        <f t="array" ref="K633">IFERROR(J633*INDEX('Mẻ sữa'!$N$4:$N$203,MATCH(D633,'Mẻ sữa'!$C$4:$C$203,0)),0)</f>
        <v>0</v>
      </c>
      <c r="L633" s="83">
        <f t="array" ref="L633">IFERROR(INDEX('Sản phẩm'!$I$4:$I$103,MATCH(B633,'Sản phẩm'!$D$4:$D$103,0)),0)</f>
        <v>0</v>
      </c>
      <c r="M633" s="97" t="str">
        <f t="array" ref="M633">IFERROR(INDEX('Sản phẩm'!$J$4:$J$103,MATCH(B633,'Sản phẩm'!$D$4:$D$103,0)),0)</f>
        <v/>
      </c>
      <c r="N633" s="83">
        <f>IF(B633="",0,(K633+L633+M633)*'Thiết lập'!$B$8)</f>
        <v>0</v>
      </c>
      <c r="O633" s="83">
        <f t="shared" si="2"/>
        <v>0</v>
      </c>
      <c r="P633" s="83">
        <f t="shared" si="3"/>
        <v>0</v>
      </c>
      <c r="Q633" s="83">
        <f t="shared" si="4"/>
        <v>0</v>
      </c>
      <c r="R633" s="36" t="str">
        <f t="array" ref="R633">IF(B633="","",INDEX('Bán nhanh'!$C$4:$C$103,INT((ROW()-4)/10)+1))</f>
        <v/>
      </c>
      <c r="S633" s="36" t="str">
        <f t="array" ref="S633">IF(B633="","",INDEX('Bán nhanh'!$P$4:$P$103,INT((ROW()-4)/10)+1))</f>
        <v/>
      </c>
      <c r="T633" s="36"/>
      <c r="U633" s="36"/>
      <c r="V633" s="36"/>
      <c r="W633" s="36"/>
      <c r="X633" s="36"/>
      <c r="Y633" s="36"/>
      <c r="Z633" s="36"/>
    </row>
    <row r="634" ht="15.75" customHeight="1">
      <c r="A634" s="96" t="str">
        <f t="array" ref="A634">IF(B634="","",INDEX('Bán nhanh'!$A$4:$A$103,INT((ROW()-4)/10)+1))</f>
        <v/>
      </c>
      <c r="B634" s="36" t="str">
        <f t="array" ref="B634">IF(OR(INDEX('Bán nhanh'!$D$3:$M$3,1,MOD(ROW()-4,10)+1)="",INDEX('Bán nhanh'!$D$4:$M$103,INT((ROW()-4)/10)+1,MOD(ROW()-4,10)+1)&lt;=0),"",INDEX('Bán nhanh'!$D$3:$M$3,1,MOD(ROW()-4,10)+1))</f>
        <v/>
      </c>
      <c r="C634" s="36" t="str">
        <f t="array" ref="C634">IFERROR(INDEX('Sản phẩm'!$A$4:$A$103,MATCH(B634,'Sản phẩm'!$D$4:$D$103,0)),"")</f>
        <v/>
      </c>
      <c r="D634" s="36" t="str">
        <f t="array" ref="D634">IF(B634="","",INDEX('Bán nhanh'!$B$4:$B$103,INT((ROW()-4)/10)+1))</f>
        <v/>
      </c>
      <c r="E634" s="36" t="str">
        <f t="array" ref="E634">IFERROR(INDEX('Mẻ sữa'!$B$4:$B$203,MATCH(D634,'Mẻ sữa'!$C$4:$C$203,0)),"")</f>
        <v/>
      </c>
      <c r="F634" s="82">
        <f t="array" ref="F634">IF(B634="",0,INDEX('Bán nhanh'!$D$4:$M$103,INT((ROW()-4)/10)+1,MOD(ROW()-4,10)+1))</f>
        <v>0</v>
      </c>
      <c r="G634" s="83">
        <f t="array" ref="G634">IFERROR(INDEX('Sản phẩm'!$F$4:$F$103,MATCH(B634,'Sản phẩm'!$D$4:$D$103,0)),0)</f>
        <v>0</v>
      </c>
      <c r="H634" s="83">
        <f t="shared" si="5"/>
        <v>0</v>
      </c>
      <c r="I634" s="83">
        <f t="shared" si="1"/>
        <v>0</v>
      </c>
      <c r="J634" s="83">
        <f t="array" ref="J634">IFERROR(INDEX('Sản phẩm'!$G$4:$G$103,MATCH(B634,'Sản phẩm'!$D$4:$D$103,0)),0)</f>
        <v>0</v>
      </c>
      <c r="K634" s="83">
        <f t="array" ref="K634">IFERROR(J634*INDEX('Mẻ sữa'!$N$4:$N$203,MATCH(D634,'Mẻ sữa'!$C$4:$C$203,0)),0)</f>
        <v>0</v>
      </c>
      <c r="L634" s="83">
        <f t="array" ref="L634">IFERROR(INDEX('Sản phẩm'!$I$4:$I$103,MATCH(B634,'Sản phẩm'!$D$4:$D$103,0)),0)</f>
        <v>0</v>
      </c>
      <c r="M634" s="97" t="str">
        <f t="array" ref="M634">IFERROR(INDEX('Sản phẩm'!$J$4:$J$103,MATCH(B634,'Sản phẩm'!$D$4:$D$103,0)),0)</f>
        <v/>
      </c>
      <c r="N634" s="83">
        <f>IF(B634="",0,(K634+L634+M634)*'Thiết lập'!$B$8)</f>
        <v>0</v>
      </c>
      <c r="O634" s="83">
        <f t="shared" si="2"/>
        <v>0</v>
      </c>
      <c r="P634" s="83">
        <f t="shared" si="3"/>
        <v>0</v>
      </c>
      <c r="Q634" s="83">
        <f t="shared" si="4"/>
        <v>0</v>
      </c>
      <c r="R634" s="36" t="str">
        <f t="array" ref="R634">IF(B634="","",INDEX('Bán nhanh'!$C$4:$C$103,INT((ROW()-4)/10)+1))</f>
        <v/>
      </c>
      <c r="S634" s="36" t="str">
        <f t="array" ref="S634">IF(B634="","",INDEX('Bán nhanh'!$P$4:$P$103,INT((ROW()-4)/10)+1))</f>
        <v/>
      </c>
      <c r="T634" s="36"/>
      <c r="U634" s="36"/>
      <c r="V634" s="36"/>
      <c r="W634" s="36"/>
      <c r="X634" s="36"/>
      <c r="Y634" s="36"/>
      <c r="Z634" s="36"/>
    </row>
    <row r="635" ht="15.75" customHeight="1">
      <c r="A635" s="96" t="str">
        <f t="array" ref="A635">IF(B635="","",INDEX('Bán nhanh'!$A$4:$A$103,INT((ROW()-4)/10)+1))</f>
        <v/>
      </c>
      <c r="B635" s="36" t="str">
        <f t="array" ref="B635">IF(OR(INDEX('Bán nhanh'!$D$3:$M$3,1,MOD(ROW()-4,10)+1)="",INDEX('Bán nhanh'!$D$4:$M$103,INT((ROW()-4)/10)+1,MOD(ROW()-4,10)+1)&lt;=0),"",INDEX('Bán nhanh'!$D$3:$M$3,1,MOD(ROW()-4,10)+1))</f>
        <v/>
      </c>
      <c r="C635" s="36" t="str">
        <f t="array" ref="C635">IFERROR(INDEX('Sản phẩm'!$A$4:$A$103,MATCH(B635,'Sản phẩm'!$D$4:$D$103,0)),"")</f>
        <v/>
      </c>
      <c r="D635" s="36" t="str">
        <f t="array" ref="D635">IF(B635="","",INDEX('Bán nhanh'!$B$4:$B$103,INT((ROW()-4)/10)+1))</f>
        <v/>
      </c>
      <c r="E635" s="36" t="str">
        <f t="array" ref="E635">IFERROR(INDEX('Mẻ sữa'!$B$4:$B$203,MATCH(D635,'Mẻ sữa'!$C$4:$C$203,0)),"")</f>
        <v/>
      </c>
      <c r="F635" s="82">
        <f t="array" ref="F635">IF(B635="",0,INDEX('Bán nhanh'!$D$4:$M$103,INT((ROW()-4)/10)+1,MOD(ROW()-4,10)+1))</f>
        <v>0</v>
      </c>
      <c r="G635" s="83">
        <f t="array" ref="G635">IFERROR(INDEX('Sản phẩm'!$F$4:$F$103,MATCH(B635,'Sản phẩm'!$D$4:$D$103,0)),0)</f>
        <v>0</v>
      </c>
      <c r="H635" s="83">
        <f t="shared" si="5"/>
        <v>0</v>
      </c>
      <c r="I635" s="83">
        <f t="shared" si="1"/>
        <v>0</v>
      </c>
      <c r="J635" s="83">
        <f t="array" ref="J635">IFERROR(INDEX('Sản phẩm'!$G$4:$G$103,MATCH(B635,'Sản phẩm'!$D$4:$D$103,0)),0)</f>
        <v>0</v>
      </c>
      <c r="K635" s="83">
        <f t="array" ref="K635">IFERROR(J635*INDEX('Mẻ sữa'!$N$4:$N$203,MATCH(D635,'Mẻ sữa'!$C$4:$C$203,0)),0)</f>
        <v>0</v>
      </c>
      <c r="L635" s="83">
        <f t="array" ref="L635">IFERROR(INDEX('Sản phẩm'!$I$4:$I$103,MATCH(B635,'Sản phẩm'!$D$4:$D$103,0)),0)</f>
        <v>0</v>
      </c>
      <c r="M635" s="97" t="str">
        <f t="array" ref="M635">IFERROR(INDEX('Sản phẩm'!$J$4:$J$103,MATCH(B635,'Sản phẩm'!$D$4:$D$103,0)),0)</f>
        <v/>
      </c>
      <c r="N635" s="83">
        <f>IF(B635="",0,(K635+L635+M635)*'Thiết lập'!$B$8)</f>
        <v>0</v>
      </c>
      <c r="O635" s="83">
        <f t="shared" si="2"/>
        <v>0</v>
      </c>
      <c r="P635" s="83">
        <f t="shared" si="3"/>
        <v>0</v>
      </c>
      <c r="Q635" s="83">
        <f t="shared" si="4"/>
        <v>0</v>
      </c>
      <c r="R635" s="36" t="str">
        <f t="array" ref="R635">IF(B635="","",INDEX('Bán nhanh'!$C$4:$C$103,INT((ROW()-4)/10)+1))</f>
        <v/>
      </c>
      <c r="S635" s="36" t="str">
        <f t="array" ref="S635">IF(B635="","",INDEX('Bán nhanh'!$P$4:$P$103,INT((ROW()-4)/10)+1))</f>
        <v/>
      </c>
      <c r="T635" s="36"/>
      <c r="U635" s="36"/>
      <c r="V635" s="36"/>
      <c r="W635" s="36"/>
      <c r="X635" s="36"/>
      <c r="Y635" s="36"/>
      <c r="Z635" s="36"/>
    </row>
    <row r="636" ht="15.75" customHeight="1">
      <c r="A636" s="96" t="str">
        <f t="array" ref="A636">IF(B636="","",INDEX('Bán nhanh'!$A$4:$A$103,INT((ROW()-4)/10)+1))</f>
        <v/>
      </c>
      <c r="B636" s="36" t="str">
        <f t="array" ref="B636">IF(OR(INDEX('Bán nhanh'!$D$3:$M$3,1,MOD(ROW()-4,10)+1)="",INDEX('Bán nhanh'!$D$4:$M$103,INT((ROW()-4)/10)+1,MOD(ROW()-4,10)+1)&lt;=0),"",INDEX('Bán nhanh'!$D$3:$M$3,1,MOD(ROW()-4,10)+1))</f>
        <v/>
      </c>
      <c r="C636" s="36" t="str">
        <f t="array" ref="C636">IFERROR(INDEX('Sản phẩm'!$A$4:$A$103,MATCH(B636,'Sản phẩm'!$D$4:$D$103,0)),"")</f>
        <v/>
      </c>
      <c r="D636" s="36" t="str">
        <f t="array" ref="D636">IF(B636="","",INDEX('Bán nhanh'!$B$4:$B$103,INT((ROW()-4)/10)+1))</f>
        <v/>
      </c>
      <c r="E636" s="36" t="str">
        <f t="array" ref="E636">IFERROR(INDEX('Mẻ sữa'!$B$4:$B$203,MATCH(D636,'Mẻ sữa'!$C$4:$C$203,0)),"")</f>
        <v/>
      </c>
      <c r="F636" s="82">
        <f t="array" ref="F636">IF(B636="",0,INDEX('Bán nhanh'!$D$4:$M$103,INT((ROW()-4)/10)+1,MOD(ROW()-4,10)+1))</f>
        <v>0</v>
      </c>
      <c r="G636" s="83">
        <f t="array" ref="G636">IFERROR(INDEX('Sản phẩm'!$F$4:$F$103,MATCH(B636,'Sản phẩm'!$D$4:$D$103,0)),0)</f>
        <v>0</v>
      </c>
      <c r="H636" s="83">
        <f t="shared" si="5"/>
        <v>0</v>
      </c>
      <c r="I636" s="83">
        <f t="shared" si="1"/>
        <v>0</v>
      </c>
      <c r="J636" s="83">
        <f t="array" ref="J636">IFERROR(INDEX('Sản phẩm'!$G$4:$G$103,MATCH(B636,'Sản phẩm'!$D$4:$D$103,0)),0)</f>
        <v>0</v>
      </c>
      <c r="K636" s="83">
        <f t="array" ref="K636">IFERROR(J636*INDEX('Mẻ sữa'!$N$4:$N$203,MATCH(D636,'Mẻ sữa'!$C$4:$C$203,0)),0)</f>
        <v>0</v>
      </c>
      <c r="L636" s="83">
        <f t="array" ref="L636">IFERROR(INDEX('Sản phẩm'!$I$4:$I$103,MATCH(B636,'Sản phẩm'!$D$4:$D$103,0)),0)</f>
        <v>0</v>
      </c>
      <c r="M636" s="97" t="str">
        <f t="array" ref="M636">IFERROR(INDEX('Sản phẩm'!$J$4:$J$103,MATCH(B636,'Sản phẩm'!$D$4:$D$103,0)),0)</f>
        <v/>
      </c>
      <c r="N636" s="83">
        <f>IF(B636="",0,(K636+L636+M636)*'Thiết lập'!$B$8)</f>
        <v>0</v>
      </c>
      <c r="O636" s="83">
        <f t="shared" si="2"/>
        <v>0</v>
      </c>
      <c r="P636" s="83">
        <f t="shared" si="3"/>
        <v>0</v>
      </c>
      <c r="Q636" s="83">
        <f t="shared" si="4"/>
        <v>0</v>
      </c>
      <c r="R636" s="36" t="str">
        <f t="array" ref="R636">IF(B636="","",INDEX('Bán nhanh'!$C$4:$C$103,INT((ROW()-4)/10)+1))</f>
        <v/>
      </c>
      <c r="S636" s="36" t="str">
        <f t="array" ref="S636">IF(B636="","",INDEX('Bán nhanh'!$P$4:$P$103,INT((ROW()-4)/10)+1))</f>
        <v/>
      </c>
      <c r="T636" s="36"/>
      <c r="U636" s="36"/>
      <c r="V636" s="36"/>
      <c r="W636" s="36"/>
      <c r="X636" s="36"/>
      <c r="Y636" s="36"/>
      <c r="Z636" s="36"/>
    </row>
    <row r="637" ht="15.75" customHeight="1">
      <c r="A637" s="96" t="str">
        <f t="array" ref="A637">IF(B637="","",INDEX('Bán nhanh'!$A$4:$A$103,INT((ROW()-4)/10)+1))</f>
        <v/>
      </c>
      <c r="B637" s="36" t="str">
        <f t="array" ref="B637">IF(OR(INDEX('Bán nhanh'!$D$3:$M$3,1,MOD(ROW()-4,10)+1)="",INDEX('Bán nhanh'!$D$4:$M$103,INT((ROW()-4)/10)+1,MOD(ROW()-4,10)+1)&lt;=0),"",INDEX('Bán nhanh'!$D$3:$M$3,1,MOD(ROW()-4,10)+1))</f>
        <v/>
      </c>
      <c r="C637" s="36" t="str">
        <f t="array" ref="C637">IFERROR(INDEX('Sản phẩm'!$A$4:$A$103,MATCH(B637,'Sản phẩm'!$D$4:$D$103,0)),"")</f>
        <v/>
      </c>
      <c r="D637" s="36" t="str">
        <f t="array" ref="D637">IF(B637="","",INDEX('Bán nhanh'!$B$4:$B$103,INT((ROW()-4)/10)+1))</f>
        <v/>
      </c>
      <c r="E637" s="36" t="str">
        <f t="array" ref="E637">IFERROR(INDEX('Mẻ sữa'!$B$4:$B$203,MATCH(D637,'Mẻ sữa'!$C$4:$C$203,0)),"")</f>
        <v/>
      </c>
      <c r="F637" s="82">
        <f t="array" ref="F637">IF(B637="",0,INDEX('Bán nhanh'!$D$4:$M$103,INT((ROW()-4)/10)+1,MOD(ROW()-4,10)+1))</f>
        <v>0</v>
      </c>
      <c r="G637" s="83">
        <f t="array" ref="G637">IFERROR(INDEX('Sản phẩm'!$F$4:$F$103,MATCH(B637,'Sản phẩm'!$D$4:$D$103,0)),0)</f>
        <v>0</v>
      </c>
      <c r="H637" s="83">
        <f t="shared" si="5"/>
        <v>0</v>
      </c>
      <c r="I637" s="83">
        <f t="shared" si="1"/>
        <v>0</v>
      </c>
      <c r="J637" s="83">
        <f t="array" ref="J637">IFERROR(INDEX('Sản phẩm'!$G$4:$G$103,MATCH(B637,'Sản phẩm'!$D$4:$D$103,0)),0)</f>
        <v>0</v>
      </c>
      <c r="K637" s="83">
        <f t="array" ref="K637">IFERROR(J637*INDEX('Mẻ sữa'!$N$4:$N$203,MATCH(D637,'Mẻ sữa'!$C$4:$C$203,0)),0)</f>
        <v>0</v>
      </c>
      <c r="L637" s="83">
        <f t="array" ref="L637">IFERROR(INDEX('Sản phẩm'!$I$4:$I$103,MATCH(B637,'Sản phẩm'!$D$4:$D$103,0)),0)</f>
        <v>0</v>
      </c>
      <c r="M637" s="97" t="str">
        <f t="array" ref="M637">IFERROR(INDEX('Sản phẩm'!$J$4:$J$103,MATCH(B637,'Sản phẩm'!$D$4:$D$103,0)),0)</f>
        <v/>
      </c>
      <c r="N637" s="83">
        <f>IF(B637="",0,(K637+L637+M637)*'Thiết lập'!$B$8)</f>
        <v>0</v>
      </c>
      <c r="O637" s="83">
        <f t="shared" si="2"/>
        <v>0</v>
      </c>
      <c r="P637" s="83">
        <f t="shared" si="3"/>
        <v>0</v>
      </c>
      <c r="Q637" s="83">
        <f t="shared" si="4"/>
        <v>0</v>
      </c>
      <c r="R637" s="36" t="str">
        <f t="array" ref="R637">IF(B637="","",INDEX('Bán nhanh'!$C$4:$C$103,INT((ROW()-4)/10)+1))</f>
        <v/>
      </c>
      <c r="S637" s="36" t="str">
        <f t="array" ref="S637">IF(B637="","",INDEX('Bán nhanh'!$P$4:$P$103,INT((ROW()-4)/10)+1))</f>
        <v/>
      </c>
      <c r="T637" s="36"/>
      <c r="U637" s="36"/>
      <c r="V637" s="36"/>
      <c r="W637" s="36"/>
      <c r="X637" s="36"/>
      <c r="Y637" s="36"/>
      <c r="Z637" s="36"/>
    </row>
    <row r="638" ht="15.75" customHeight="1">
      <c r="A638" s="96" t="str">
        <f t="array" ref="A638">IF(B638="","",INDEX('Bán nhanh'!$A$4:$A$103,INT((ROW()-4)/10)+1))</f>
        <v/>
      </c>
      <c r="B638" s="36" t="str">
        <f t="array" ref="B638">IF(OR(INDEX('Bán nhanh'!$D$3:$M$3,1,MOD(ROW()-4,10)+1)="",INDEX('Bán nhanh'!$D$4:$M$103,INT((ROW()-4)/10)+1,MOD(ROW()-4,10)+1)&lt;=0),"",INDEX('Bán nhanh'!$D$3:$M$3,1,MOD(ROW()-4,10)+1))</f>
        <v/>
      </c>
      <c r="C638" s="36" t="str">
        <f t="array" ref="C638">IFERROR(INDEX('Sản phẩm'!$A$4:$A$103,MATCH(B638,'Sản phẩm'!$D$4:$D$103,0)),"")</f>
        <v/>
      </c>
      <c r="D638" s="36" t="str">
        <f t="array" ref="D638">IF(B638="","",INDEX('Bán nhanh'!$B$4:$B$103,INT((ROW()-4)/10)+1))</f>
        <v/>
      </c>
      <c r="E638" s="36" t="str">
        <f t="array" ref="E638">IFERROR(INDEX('Mẻ sữa'!$B$4:$B$203,MATCH(D638,'Mẻ sữa'!$C$4:$C$203,0)),"")</f>
        <v/>
      </c>
      <c r="F638" s="82">
        <f t="array" ref="F638">IF(B638="",0,INDEX('Bán nhanh'!$D$4:$M$103,INT((ROW()-4)/10)+1,MOD(ROW()-4,10)+1))</f>
        <v>0</v>
      </c>
      <c r="G638" s="83">
        <f t="array" ref="G638">IFERROR(INDEX('Sản phẩm'!$F$4:$F$103,MATCH(B638,'Sản phẩm'!$D$4:$D$103,0)),0)</f>
        <v>0</v>
      </c>
      <c r="H638" s="83">
        <f t="shared" si="5"/>
        <v>0</v>
      </c>
      <c r="I638" s="83">
        <f t="shared" si="1"/>
        <v>0</v>
      </c>
      <c r="J638" s="83">
        <f t="array" ref="J638">IFERROR(INDEX('Sản phẩm'!$G$4:$G$103,MATCH(B638,'Sản phẩm'!$D$4:$D$103,0)),0)</f>
        <v>0</v>
      </c>
      <c r="K638" s="83">
        <f t="array" ref="K638">IFERROR(J638*INDEX('Mẻ sữa'!$N$4:$N$203,MATCH(D638,'Mẻ sữa'!$C$4:$C$203,0)),0)</f>
        <v>0</v>
      </c>
      <c r="L638" s="83">
        <f t="array" ref="L638">IFERROR(INDEX('Sản phẩm'!$I$4:$I$103,MATCH(B638,'Sản phẩm'!$D$4:$D$103,0)),0)</f>
        <v>0</v>
      </c>
      <c r="M638" s="97" t="str">
        <f t="array" ref="M638">IFERROR(INDEX('Sản phẩm'!$J$4:$J$103,MATCH(B638,'Sản phẩm'!$D$4:$D$103,0)),0)</f>
        <v/>
      </c>
      <c r="N638" s="83">
        <f>IF(B638="",0,(K638+L638+M638)*'Thiết lập'!$B$8)</f>
        <v>0</v>
      </c>
      <c r="O638" s="83">
        <f t="shared" si="2"/>
        <v>0</v>
      </c>
      <c r="P638" s="83">
        <f t="shared" si="3"/>
        <v>0</v>
      </c>
      <c r="Q638" s="83">
        <f t="shared" si="4"/>
        <v>0</v>
      </c>
      <c r="R638" s="36" t="str">
        <f t="array" ref="R638">IF(B638="","",INDEX('Bán nhanh'!$C$4:$C$103,INT((ROW()-4)/10)+1))</f>
        <v/>
      </c>
      <c r="S638" s="36" t="str">
        <f t="array" ref="S638">IF(B638="","",INDEX('Bán nhanh'!$P$4:$P$103,INT((ROW()-4)/10)+1))</f>
        <v/>
      </c>
      <c r="T638" s="36"/>
      <c r="U638" s="36"/>
      <c r="V638" s="36"/>
      <c r="W638" s="36"/>
      <c r="X638" s="36"/>
      <c r="Y638" s="36"/>
      <c r="Z638" s="36"/>
    </row>
    <row r="639" ht="15.75" customHeight="1">
      <c r="A639" s="96" t="str">
        <f t="array" ref="A639">IF(B639="","",INDEX('Bán nhanh'!$A$4:$A$103,INT((ROW()-4)/10)+1))</f>
        <v/>
      </c>
      <c r="B639" s="36" t="str">
        <f t="array" ref="B639">IF(OR(INDEX('Bán nhanh'!$D$3:$M$3,1,MOD(ROW()-4,10)+1)="",INDEX('Bán nhanh'!$D$4:$M$103,INT((ROW()-4)/10)+1,MOD(ROW()-4,10)+1)&lt;=0),"",INDEX('Bán nhanh'!$D$3:$M$3,1,MOD(ROW()-4,10)+1))</f>
        <v/>
      </c>
      <c r="C639" s="36" t="str">
        <f t="array" ref="C639">IFERROR(INDEX('Sản phẩm'!$A$4:$A$103,MATCH(B639,'Sản phẩm'!$D$4:$D$103,0)),"")</f>
        <v/>
      </c>
      <c r="D639" s="36" t="str">
        <f t="array" ref="D639">IF(B639="","",INDEX('Bán nhanh'!$B$4:$B$103,INT((ROW()-4)/10)+1))</f>
        <v/>
      </c>
      <c r="E639" s="36" t="str">
        <f t="array" ref="E639">IFERROR(INDEX('Mẻ sữa'!$B$4:$B$203,MATCH(D639,'Mẻ sữa'!$C$4:$C$203,0)),"")</f>
        <v/>
      </c>
      <c r="F639" s="82">
        <f t="array" ref="F639">IF(B639="",0,INDEX('Bán nhanh'!$D$4:$M$103,INT((ROW()-4)/10)+1,MOD(ROW()-4,10)+1))</f>
        <v>0</v>
      </c>
      <c r="G639" s="83">
        <f t="array" ref="G639">IFERROR(INDEX('Sản phẩm'!$F$4:$F$103,MATCH(B639,'Sản phẩm'!$D$4:$D$103,0)),0)</f>
        <v>0</v>
      </c>
      <c r="H639" s="83">
        <f t="shared" si="5"/>
        <v>0</v>
      </c>
      <c r="I639" s="83">
        <f t="shared" si="1"/>
        <v>0</v>
      </c>
      <c r="J639" s="83">
        <f t="array" ref="J639">IFERROR(INDEX('Sản phẩm'!$G$4:$G$103,MATCH(B639,'Sản phẩm'!$D$4:$D$103,0)),0)</f>
        <v>0</v>
      </c>
      <c r="K639" s="83">
        <f t="array" ref="K639">IFERROR(J639*INDEX('Mẻ sữa'!$N$4:$N$203,MATCH(D639,'Mẻ sữa'!$C$4:$C$203,0)),0)</f>
        <v>0</v>
      </c>
      <c r="L639" s="83">
        <f t="array" ref="L639">IFERROR(INDEX('Sản phẩm'!$I$4:$I$103,MATCH(B639,'Sản phẩm'!$D$4:$D$103,0)),0)</f>
        <v>0</v>
      </c>
      <c r="M639" s="97" t="str">
        <f t="array" ref="M639">IFERROR(INDEX('Sản phẩm'!$J$4:$J$103,MATCH(B639,'Sản phẩm'!$D$4:$D$103,0)),0)</f>
        <v/>
      </c>
      <c r="N639" s="83">
        <f>IF(B639="",0,(K639+L639+M639)*'Thiết lập'!$B$8)</f>
        <v>0</v>
      </c>
      <c r="O639" s="83">
        <f t="shared" si="2"/>
        <v>0</v>
      </c>
      <c r="P639" s="83">
        <f t="shared" si="3"/>
        <v>0</v>
      </c>
      <c r="Q639" s="83">
        <f t="shared" si="4"/>
        <v>0</v>
      </c>
      <c r="R639" s="36" t="str">
        <f t="array" ref="R639">IF(B639="","",INDEX('Bán nhanh'!$C$4:$C$103,INT((ROW()-4)/10)+1))</f>
        <v/>
      </c>
      <c r="S639" s="36" t="str">
        <f t="array" ref="S639">IF(B639="","",INDEX('Bán nhanh'!$P$4:$P$103,INT((ROW()-4)/10)+1))</f>
        <v/>
      </c>
      <c r="T639" s="36"/>
      <c r="U639" s="36"/>
      <c r="V639" s="36"/>
      <c r="W639" s="36"/>
      <c r="X639" s="36"/>
      <c r="Y639" s="36"/>
      <c r="Z639" s="36"/>
    </row>
    <row r="640" ht="15.75" customHeight="1">
      <c r="A640" s="96" t="str">
        <f t="array" ref="A640">IF(B640="","",INDEX('Bán nhanh'!$A$4:$A$103,INT((ROW()-4)/10)+1))</f>
        <v/>
      </c>
      <c r="B640" s="36" t="str">
        <f t="array" ref="B640">IF(OR(INDEX('Bán nhanh'!$D$3:$M$3,1,MOD(ROW()-4,10)+1)="",INDEX('Bán nhanh'!$D$4:$M$103,INT((ROW()-4)/10)+1,MOD(ROW()-4,10)+1)&lt;=0),"",INDEX('Bán nhanh'!$D$3:$M$3,1,MOD(ROW()-4,10)+1))</f>
        <v/>
      </c>
      <c r="C640" s="36" t="str">
        <f t="array" ref="C640">IFERROR(INDEX('Sản phẩm'!$A$4:$A$103,MATCH(B640,'Sản phẩm'!$D$4:$D$103,0)),"")</f>
        <v/>
      </c>
      <c r="D640" s="36" t="str">
        <f t="array" ref="D640">IF(B640="","",INDEX('Bán nhanh'!$B$4:$B$103,INT((ROW()-4)/10)+1))</f>
        <v/>
      </c>
      <c r="E640" s="36" t="str">
        <f t="array" ref="E640">IFERROR(INDEX('Mẻ sữa'!$B$4:$B$203,MATCH(D640,'Mẻ sữa'!$C$4:$C$203,0)),"")</f>
        <v/>
      </c>
      <c r="F640" s="82">
        <f t="array" ref="F640">IF(B640="",0,INDEX('Bán nhanh'!$D$4:$M$103,INT((ROW()-4)/10)+1,MOD(ROW()-4,10)+1))</f>
        <v>0</v>
      </c>
      <c r="G640" s="83">
        <f t="array" ref="G640">IFERROR(INDEX('Sản phẩm'!$F$4:$F$103,MATCH(B640,'Sản phẩm'!$D$4:$D$103,0)),0)</f>
        <v>0</v>
      </c>
      <c r="H640" s="83">
        <f t="shared" si="5"/>
        <v>0</v>
      </c>
      <c r="I640" s="83">
        <f t="shared" si="1"/>
        <v>0</v>
      </c>
      <c r="J640" s="83">
        <f t="array" ref="J640">IFERROR(INDEX('Sản phẩm'!$G$4:$G$103,MATCH(B640,'Sản phẩm'!$D$4:$D$103,0)),0)</f>
        <v>0</v>
      </c>
      <c r="K640" s="83">
        <f t="array" ref="K640">IFERROR(J640*INDEX('Mẻ sữa'!$N$4:$N$203,MATCH(D640,'Mẻ sữa'!$C$4:$C$203,0)),0)</f>
        <v>0</v>
      </c>
      <c r="L640" s="83">
        <f t="array" ref="L640">IFERROR(INDEX('Sản phẩm'!$I$4:$I$103,MATCH(B640,'Sản phẩm'!$D$4:$D$103,0)),0)</f>
        <v>0</v>
      </c>
      <c r="M640" s="97" t="str">
        <f t="array" ref="M640">IFERROR(INDEX('Sản phẩm'!$J$4:$J$103,MATCH(B640,'Sản phẩm'!$D$4:$D$103,0)),0)</f>
        <v/>
      </c>
      <c r="N640" s="83">
        <f>IF(B640="",0,(K640+L640+M640)*'Thiết lập'!$B$8)</f>
        <v>0</v>
      </c>
      <c r="O640" s="83">
        <f t="shared" si="2"/>
        <v>0</v>
      </c>
      <c r="P640" s="83">
        <f t="shared" si="3"/>
        <v>0</v>
      </c>
      <c r="Q640" s="83">
        <f t="shared" si="4"/>
        <v>0</v>
      </c>
      <c r="R640" s="36" t="str">
        <f t="array" ref="R640">IF(B640="","",INDEX('Bán nhanh'!$C$4:$C$103,INT((ROW()-4)/10)+1))</f>
        <v/>
      </c>
      <c r="S640" s="36" t="str">
        <f t="array" ref="S640">IF(B640="","",INDEX('Bán nhanh'!$P$4:$P$103,INT((ROW()-4)/10)+1))</f>
        <v/>
      </c>
      <c r="T640" s="36"/>
      <c r="U640" s="36"/>
      <c r="V640" s="36"/>
      <c r="W640" s="36"/>
      <c r="X640" s="36"/>
      <c r="Y640" s="36"/>
      <c r="Z640" s="36"/>
    </row>
    <row r="641" ht="15.75" customHeight="1">
      <c r="A641" s="96" t="str">
        <f t="array" ref="A641">IF(B641="","",INDEX('Bán nhanh'!$A$4:$A$103,INT((ROW()-4)/10)+1))</f>
        <v/>
      </c>
      <c r="B641" s="36" t="str">
        <f t="array" ref="B641">IF(OR(INDEX('Bán nhanh'!$D$3:$M$3,1,MOD(ROW()-4,10)+1)="",INDEX('Bán nhanh'!$D$4:$M$103,INT((ROW()-4)/10)+1,MOD(ROW()-4,10)+1)&lt;=0),"",INDEX('Bán nhanh'!$D$3:$M$3,1,MOD(ROW()-4,10)+1))</f>
        <v/>
      </c>
      <c r="C641" s="36" t="str">
        <f t="array" ref="C641">IFERROR(INDEX('Sản phẩm'!$A$4:$A$103,MATCH(B641,'Sản phẩm'!$D$4:$D$103,0)),"")</f>
        <v/>
      </c>
      <c r="D641" s="36" t="str">
        <f t="array" ref="D641">IF(B641="","",INDEX('Bán nhanh'!$B$4:$B$103,INT((ROW()-4)/10)+1))</f>
        <v/>
      </c>
      <c r="E641" s="36" t="str">
        <f t="array" ref="E641">IFERROR(INDEX('Mẻ sữa'!$B$4:$B$203,MATCH(D641,'Mẻ sữa'!$C$4:$C$203,0)),"")</f>
        <v/>
      </c>
      <c r="F641" s="82">
        <f t="array" ref="F641">IF(B641="",0,INDEX('Bán nhanh'!$D$4:$M$103,INT((ROW()-4)/10)+1,MOD(ROW()-4,10)+1))</f>
        <v>0</v>
      </c>
      <c r="G641" s="83">
        <f t="array" ref="G641">IFERROR(INDEX('Sản phẩm'!$F$4:$F$103,MATCH(B641,'Sản phẩm'!$D$4:$D$103,0)),0)</f>
        <v>0</v>
      </c>
      <c r="H641" s="83">
        <f t="shared" si="5"/>
        <v>0</v>
      </c>
      <c r="I641" s="83">
        <f t="shared" si="1"/>
        <v>0</v>
      </c>
      <c r="J641" s="83">
        <f t="array" ref="J641">IFERROR(INDEX('Sản phẩm'!$G$4:$G$103,MATCH(B641,'Sản phẩm'!$D$4:$D$103,0)),0)</f>
        <v>0</v>
      </c>
      <c r="K641" s="83">
        <f t="array" ref="K641">IFERROR(J641*INDEX('Mẻ sữa'!$N$4:$N$203,MATCH(D641,'Mẻ sữa'!$C$4:$C$203,0)),0)</f>
        <v>0</v>
      </c>
      <c r="L641" s="83">
        <f t="array" ref="L641">IFERROR(INDEX('Sản phẩm'!$I$4:$I$103,MATCH(B641,'Sản phẩm'!$D$4:$D$103,0)),0)</f>
        <v>0</v>
      </c>
      <c r="M641" s="97" t="str">
        <f t="array" ref="M641">IFERROR(INDEX('Sản phẩm'!$J$4:$J$103,MATCH(B641,'Sản phẩm'!$D$4:$D$103,0)),0)</f>
        <v/>
      </c>
      <c r="N641" s="83">
        <f>IF(B641="",0,(K641+L641+M641)*'Thiết lập'!$B$8)</f>
        <v>0</v>
      </c>
      <c r="O641" s="83">
        <f t="shared" si="2"/>
        <v>0</v>
      </c>
      <c r="P641" s="83">
        <f t="shared" si="3"/>
        <v>0</v>
      </c>
      <c r="Q641" s="83">
        <f t="shared" si="4"/>
        <v>0</v>
      </c>
      <c r="R641" s="36" t="str">
        <f t="array" ref="R641">IF(B641="","",INDEX('Bán nhanh'!$C$4:$C$103,INT((ROW()-4)/10)+1))</f>
        <v/>
      </c>
      <c r="S641" s="36" t="str">
        <f t="array" ref="S641">IF(B641="","",INDEX('Bán nhanh'!$P$4:$P$103,INT((ROW()-4)/10)+1))</f>
        <v/>
      </c>
      <c r="T641" s="36"/>
      <c r="U641" s="36"/>
      <c r="V641" s="36"/>
      <c r="W641" s="36"/>
      <c r="X641" s="36"/>
      <c r="Y641" s="36"/>
      <c r="Z641" s="36"/>
    </row>
    <row r="642" ht="15.75" customHeight="1">
      <c r="A642" s="96" t="str">
        <f t="array" ref="A642">IF(B642="","",INDEX('Bán nhanh'!$A$4:$A$103,INT((ROW()-4)/10)+1))</f>
        <v/>
      </c>
      <c r="B642" s="36" t="str">
        <f t="array" ref="B642">IF(OR(INDEX('Bán nhanh'!$D$3:$M$3,1,MOD(ROW()-4,10)+1)="",INDEX('Bán nhanh'!$D$4:$M$103,INT((ROW()-4)/10)+1,MOD(ROW()-4,10)+1)&lt;=0),"",INDEX('Bán nhanh'!$D$3:$M$3,1,MOD(ROW()-4,10)+1))</f>
        <v/>
      </c>
      <c r="C642" s="36" t="str">
        <f t="array" ref="C642">IFERROR(INDEX('Sản phẩm'!$A$4:$A$103,MATCH(B642,'Sản phẩm'!$D$4:$D$103,0)),"")</f>
        <v/>
      </c>
      <c r="D642" s="36" t="str">
        <f t="array" ref="D642">IF(B642="","",INDEX('Bán nhanh'!$B$4:$B$103,INT((ROW()-4)/10)+1))</f>
        <v/>
      </c>
      <c r="E642" s="36" t="str">
        <f t="array" ref="E642">IFERROR(INDEX('Mẻ sữa'!$B$4:$B$203,MATCH(D642,'Mẻ sữa'!$C$4:$C$203,0)),"")</f>
        <v/>
      </c>
      <c r="F642" s="82">
        <f t="array" ref="F642">IF(B642="",0,INDEX('Bán nhanh'!$D$4:$M$103,INT((ROW()-4)/10)+1,MOD(ROW()-4,10)+1))</f>
        <v>0</v>
      </c>
      <c r="G642" s="83">
        <f t="array" ref="G642">IFERROR(INDEX('Sản phẩm'!$F$4:$F$103,MATCH(B642,'Sản phẩm'!$D$4:$D$103,0)),0)</f>
        <v>0</v>
      </c>
      <c r="H642" s="83">
        <f t="shared" si="5"/>
        <v>0</v>
      </c>
      <c r="I642" s="83">
        <f t="shared" si="1"/>
        <v>0</v>
      </c>
      <c r="J642" s="83">
        <f t="array" ref="J642">IFERROR(INDEX('Sản phẩm'!$G$4:$G$103,MATCH(B642,'Sản phẩm'!$D$4:$D$103,0)),0)</f>
        <v>0</v>
      </c>
      <c r="K642" s="83">
        <f t="array" ref="K642">IFERROR(J642*INDEX('Mẻ sữa'!$N$4:$N$203,MATCH(D642,'Mẻ sữa'!$C$4:$C$203,0)),0)</f>
        <v>0</v>
      </c>
      <c r="L642" s="83">
        <f t="array" ref="L642">IFERROR(INDEX('Sản phẩm'!$I$4:$I$103,MATCH(B642,'Sản phẩm'!$D$4:$D$103,0)),0)</f>
        <v>0</v>
      </c>
      <c r="M642" s="97" t="str">
        <f t="array" ref="M642">IFERROR(INDEX('Sản phẩm'!$J$4:$J$103,MATCH(B642,'Sản phẩm'!$D$4:$D$103,0)),0)</f>
        <v/>
      </c>
      <c r="N642" s="83">
        <f>IF(B642="",0,(K642+L642+M642)*'Thiết lập'!$B$8)</f>
        <v>0</v>
      </c>
      <c r="O642" s="83">
        <f t="shared" si="2"/>
        <v>0</v>
      </c>
      <c r="P642" s="83">
        <f t="shared" si="3"/>
        <v>0</v>
      </c>
      <c r="Q642" s="83">
        <f t="shared" si="4"/>
        <v>0</v>
      </c>
      <c r="R642" s="36" t="str">
        <f t="array" ref="R642">IF(B642="","",INDEX('Bán nhanh'!$C$4:$C$103,INT((ROW()-4)/10)+1))</f>
        <v/>
      </c>
      <c r="S642" s="36" t="str">
        <f t="array" ref="S642">IF(B642="","",INDEX('Bán nhanh'!$P$4:$P$103,INT((ROW()-4)/10)+1))</f>
        <v/>
      </c>
      <c r="T642" s="36"/>
      <c r="U642" s="36"/>
      <c r="V642" s="36"/>
      <c r="W642" s="36"/>
      <c r="X642" s="36"/>
      <c r="Y642" s="36"/>
      <c r="Z642" s="36"/>
    </row>
    <row r="643" ht="15.75" customHeight="1">
      <c r="A643" s="96" t="str">
        <f t="array" ref="A643">IF(B643="","",INDEX('Bán nhanh'!$A$4:$A$103,INT((ROW()-4)/10)+1))</f>
        <v/>
      </c>
      <c r="B643" s="36" t="str">
        <f t="array" ref="B643">IF(OR(INDEX('Bán nhanh'!$D$3:$M$3,1,MOD(ROW()-4,10)+1)="",INDEX('Bán nhanh'!$D$4:$M$103,INT((ROW()-4)/10)+1,MOD(ROW()-4,10)+1)&lt;=0),"",INDEX('Bán nhanh'!$D$3:$M$3,1,MOD(ROW()-4,10)+1))</f>
        <v/>
      </c>
      <c r="C643" s="36" t="str">
        <f t="array" ref="C643">IFERROR(INDEX('Sản phẩm'!$A$4:$A$103,MATCH(B643,'Sản phẩm'!$D$4:$D$103,0)),"")</f>
        <v/>
      </c>
      <c r="D643" s="36" t="str">
        <f t="array" ref="D643">IF(B643="","",INDEX('Bán nhanh'!$B$4:$B$103,INT((ROW()-4)/10)+1))</f>
        <v/>
      </c>
      <c r="E643" s="36" t="str">
        <f t="array" ref="E643">IFERROR(INDEX('Mẻ sữa'!$B$4:$B$203,MATCH(D643,'Mẻ sữa'!$C$4:$C$203,0)),"")</f>
        <v/>
      </c>
      <c r="F643" s="82">
        <f t="array" ref="F643">IF(B643="",0,INDEX('Bán nhanh'!$D$4:$M$103,INT((ROW()-4)/10)+1,MOD(ROW()-4,10)+1))</f>
        <v>0</v>
      </c>
      <c r="G643" s="83">
        <f t="array" ref="G643">IFERROR(INDEX('Sản phẩm'!$F$4:$F$103,MATCH(B643,'Sản phẩm'!$D$4:$D$103,0)),0)</f>
        <v>0</v>
      </c>
      <c r="H643" s="83">
        <f t="shared" si="5"/>
        <v>0</v>
      </c>
      <c r="I643" s="83">
        <f t="shared" si="1"/>
        <v>0</v>
      </c>
      <c r="J643" s="83">
        <f t="array" ref="J643">IFERROR(INDEX('Sản phẩm'!$G$4:$G$103,MATCH(B643,'Sản phẩm'!$D$4:$D$103,0)),0)</f>
        <v>0</v>
      </c>
      <c r="K643" s="83">
        <f t="array" ref="K643">IFERROR(J643*INDEX('Mẻ sữa'!$N$4:$N$203,MATCH(D643,'Mẻ sữa'!$C$4:$C$203,0)),0)</f>
        <v>0</v>
      </c>
      <c r="L643" s="83">
        <f t="array" ref="L643">IFERROR(INDEX('Sản phẩm'!$I$4:$I$103,MATCH(B643,'Sản phẩm'!$D$4:$D$103,0)),0)</f>
        <v>0</v>
      </c>
      <c r="M643" s="97" t="str">
        <f t="array" ref="M643">IFERROR(INDEX('Sản phẩm'!$J$4:$J$103,MATCH(B643,'Sản phẩm'!$D$4:$D$103,0)),0)</f>
        <v/>
      </c>
      <c r="N643" s="83">
        <f>IF(B643="",0,(K643+L643+M643)*'Thiết lập'!$B$8)</f>
        <v>0</v>
      </c>
      <c r="O643" s="83">
        <f t="shared" si="2"/>
        <v>0</v>
      </c>
      <c r="P643" s="83">
        <f t="shared" si="3"/>
        <v>0</v>
      </c>
      <c r="Q643" s="83">
        <f t="shared" si="4"/>
        <v>0</v>
      </c>
      <c r="R643" s="36" t="str">
        <f t="array" ref="R643">IF(B643="","",INDEX('Bán nhanh'!$C$4:$C$103,INT((ROW()-4)/10)+1))</f>
        <v/>
      </c>
      <c r="S643" s="36" t="str">
        <f t="array" ref="S643">IF(B643="","",INDEX('Bán nhanh'!$P$4:$P$103,INT((ROW()-4)/10)+1))</f>
        <v/>
      </c>
      <c r="T643" s="36"/>
      <c r="U643" s="36"/>
      <c r="V643" s="36"/>
      <c r="W643" s="36"/>
      <c r="X643" s="36"/>
      <c r="Y643" s="36"/>
      <c r="Z643" s="36"/>
    </row>
    <row r="644" ht="15.75" customHeight="1">
      <c r="A644" s="96" t="str">
        <f t="array" ref="A644">IF(B644="","",INDEX('Bán nhanh'!$A$4:$A$103,INT((ROW()-4)/10)+1))</f>
        <v/>
      </c>
      <c r="B644" s="36" t="str">
        <f t="array" ref="B644">IF(OR(INDEX('Bán nhanh'!$D$3:$M$3,1,MOD(ROW()-4,10)+1)="",INDEX('Bán nhanh'!$D$4:$M$103,INT((ROW()-4)/10)+1,MOD(ROW()-4,10)+1)&lt;=0),"",INDEX('Bán nhanh'!$D$3:$M$3,1,MOD(ROW()-4,10)+1))</f>
        <v/>
      </c>
      <c r="C644" s="36" t="str">
        <f t="array" ref="C644">IFERROR(INDEX('Sản phẩm'!$A$4:$A$103,MATCH(B644,'Sản phẩm'!$D$4:$D$103,0)),"")</f>
        <v/>
      </c>
      <c r="D644" s="36" t="str">
        <f t="array" ref="D644">IF(B644="","",INDEX('Bán nhanh'!$B$4:$B$103,INT((ROW()-4)/10)+1))</f>
        <v/>
      </c>
      <c r="E644" s="36" t="str">
        <f t="array" ref="E644">IFERROR(INDEX('Mẻ sữa'!$B$4:$B$203,MATCH(D644,'Mẻ sữa'!$C$4:$C$203,0)),"")</f>
        <v/>
      </c>
      <c r="F644" s="82">
        <f t="array" ref="F644">IF(B644="",0,INDEX('Bán nhanh'!$D$4:$M$103,INT((ROW()-4)/10)+1,MOD(ROW()-4,10)+1))</f>
        <v>0</v>
      </c>
      <c r="G644" s="83">
        <f t="array" ref="G644">IFERROR(INDEX('Sản phẩm'!$F$4:$F$103,MATCH(B644,'Sản phẩm'!$D$4:$D$103,0)),0)</f>
        <v>0</v>
      </c>
      <c r="H644" s="83">
        <f t="shared" si="5"/>
        <v>0</v>
      </c>
      <c r="I644" s="83">
        <f t="shared" si="1"/>
        <v>0</v>
      </c>
      <c r="J644" s="83">
        <f t="array" ref="J644">IFERROR(INDEX('Sản phẩm'!$G$4:$G$103,MATCH(B644,'Sản phẩm'!$D$4:$D$103,0)),0)</f>
        <v>0</v>
      </c>
      <c r="K644" s="83">
        <f t="array" ref="K644">IFERROR(J644*INDEX('Mẻ sữa'!$N$4:$N$203,MATCH(D644,'Mẻ sữa'!$C$4:$C$203,0)),0)</f>
        <v>0</v>
      </c>
      <c r="L644" s="83">
        <f t="array" ref="L644">IFERROR(INDEX('Sản phẩm'!$I$4:$I$103,MATCH(B644,'Sản phẩm'!$D$4:$D$103,0)),0)</f>
        <v>0</v>
      </c>
      <c r="M644" s="97" t="str">
        <f t="array" ref="M644">IFERROR(INDEX('Sản phẩm'!$J$4:$J$103,MATCH(B644,'Sản phẩm'!$D$4:$D$103,0)),0)</f>
        <v/>
      </c>
      <c r="N644" s="83">
        <f>IF(B644="",0,(K644+L644+M644)*'Thiết lập'!$B$8)</f>
        <v>0</v>
      </c>
      <c r="O644" s="83">
        <f t="shared" si="2"/>
        <v>0</v>
      </c>
      <c r="P644" s="83">
        <f t="shared" si="3"/>
        <v>0</v>
      </c>
      <c r="Q644" s="83">
        <f t="shared" si="4"/>
        <v>0</v>
      </c>
      <c r="R644" s="36" t="str">
        <f t="array" ref="R644">IF(B644="","",INDEX('Bán nhanh'!$C$4:$C$103,INT((ROW()-4)/10)+1))</f>
        <v/>
      </c>
      <c r="S644" s="36" t="str">
        <f t="array" ref="S644">IF(B644="","",INDEX('Bán nhanh'!$P$4:$P$103,INT((ROW()-4)/10)+1))</f>
        <v/>
      </c>
      <c r="T644" s="36"/>
      <c r="U644" s="36"/>
      <c r="V644" s="36"/>
      <c r="W644" s="36"/>
      <c r="X644" s="36"/>
      <c r="Y644" s="36"/>
      <c r="Z644" s="36"/>
    </row>
    <row r="645" ht="15.75" customHeight="1">
      <c r="A645" s="96" t="str">
        <f t="array" ref="A645">IF(B645="","",INDEX('Bán nhanh'!$A$4:$A$103,INT((ROW()-4)/10)+1))</f>
        <v/>
      </c>
      <c r="B645" s="36" t="str">
        <f t="array" ref="B645">IF(OR(INDEX('Bán nhanh'!$D$3:$M$3,1,MOD(ROW()-4,10)+1)="",INDEX('Bán nhanh'!$D$4:$M$103,INT((ROW()-4)/10)+1,MOD(ROW()-4,10)+1)&lt;=0),"",INDEX('Bán nhanh'!$D$3:$M$3,1,MOD(ROW()-4,10)+1))</f>
        <v/>
      </c>
      <c r="C645" s="36" t="str">
        <f t="array" ref="C645">IFERROR(INDEX('Sản phẩm'!$A$4:$A$103,MATCH(B645,'Sản phẩm'!$D$4:$D$103,0)),"")</f>
        <v/>
      </c>
      <c r="D645" s="36" t="str">
        <f t="array" ref="D645">IF(B645="","",INDEX('Bán nhanh'!$B$4:$B$103,INT((ROW()-4)/10)+1))</f>
        <v/>
      </c>
      <c r="E645" s="36" t="str">
        <f t="array" ref="E645">IFERROR(INDEX('Mẻ sữa'!$B$4:$B$203,MATCH(D645,'Mẻ sữa'!$C$4:$C$203,0)),"")</f>
        <v/>
      </c>
      <c r="F645" s="82">
        <f t="array" ref="F645">IF(B645="",0,INDEX('Bán nhanh'!$D$4:$M$103,INT((ROW()-4)/10)+1,MOD(ROW()-4,10)+1))</f>
        <v>0</v>
      </c>
      <c r="G645" s="83">
        <f t="array" ref="G645">IFERROR(INDEX('Sản phẩm'!$F$4:$F$103,MATCH(B645,'Sản phẩm'!$D$4:$D$103,0)),0)</f>
        <v>0</v>
      </c>
      <c r="H645" s="83">
        <f t="shared" si="5"/>
        <v>0</v>
      </c>
      <c r="I645" s="83">
        <f t="shared" si="1"/>
        <v>0</v>
      </c>
      <c r="J645" s="83">
        <f t="array" ref="J645">IFERROR(INDEX('Sản phẩm'!$G$4:$G$103,MATCH(B645,'Sản phẩm'!$D$4:$D$103,0)),0)</f>
        <v>0</v>
      </c>
      <c r="K645" s="83">
        <f t="array" ref="K645">IFERROR(J645*INDEX('Mẻ sữa'!$N$4:$N$203,MATCH(D645,'Mẻ sữa'!$C$4:$C$203,0)),0)</f>
        <v>0</v>
      </c>
      <c r="L645" s="83">
        <f t="array" ref="L645">IFERROR(INDEX('Sản phẩm'!$I$4:$I$103,MATCH(B645,'Sản phẩm'!$D$4:$D$103,0)),0)</f>
        <v>0</v>
      </c>
      <c r="M645" s="97" t="str">
        <f t="array" ref="M645">IFERROR(INDEX('Sản phẩm'!$J$4:$J$103,MATCH(B645,'Sản phẩm'!$D$4:$D$103,0)),0)</f>
        <v/>
      </c>
      <c r="N645" s="83">
        <f>IF(B645="",0,(K645+L645+M645)*'Thiết lập'!$B$8)</f>
        <v>0</v>
      </c>
      <c r="O645" s="83">
        <f t="shared" si="2"/>
        <v>0</v>
      </c>
      <c r="P645" s="83">
        <f t="shared" si="3"/>
        <v>0</v>
      </c>
      <c r="Q645" s="83">
        <f t="shared" si="4"/>
        <v>0</v>
      </c>
      <c r="R645" s="36" t="str">
        <f t="array" ref="R645">IF(B645="","",INDEX('Bán nhanh'!$C$4:$C$103,INT((ROW()-4)/10)+1))</f>
        <v/>
      </c>
      <c r="S645" s="36" t="str">
        <f t="array" ref="S645">IF(B645="","",INDEX('Bán nhanh'!$P$4:$P$103,INT((ROW()-4)/10)+1))</f>
        <v/>
      </c>
      <c r="T645" s="36"/>
      <c r="U645" s="36"/>
      <c r="V645" s="36"/>
      <c r="W645" s="36"/>
      <c r="X645" s="36"/>
      <c r="Y645" s="36"/>
      <c r="Z645" s="36"/>
    </row>
    <row r="646" ht="15.75" customHeight="1">
      <c r="A646" s="96" t="str">
        <f t="array" ref="A646">IF(B646="","",INDEX('Bán nhanh'!$A$4:$A$103,INT((ROW()-4)/10)+1))</f>
        <v/>
      </c>
      <c r="B646" s="36" t="str">
        <f t="array" ref="B646">IF(OR(INDEX('Bán nhanh'!$D$3:$M$3,1,MOD(ROW()-4,10)+1)="",INDEX('Bán nhanh'!$D$4:$M$103,INT((ROW()-4)/10)+1,MOD(ROW()-4,10)+1)&lt;=0),"",INDEX('Bán nhanh'!$D$3:$M$3,1,MOD(ROW()-4,10)+1))</f>
        <v/>
      </c>
      <c r="C646" s="36" t="str">
        <f t="array" ref="C646">IFERROR(INDEX('Sản phẩm'!$A$4:$A$103,MATCH(B646,'Sản phẩm'!$D$4:$D$103,0)),"")</f>
        <v/>
      </c>
      <c r="D646" s="36" t="str">
        <f t="array" ref="D646">IF(B646="","",INDEX('Bán nhanh'!$B$4:$B$103,INT((ROW()-4)/10)+1))</f>
        <v/>
      </c>
      <c r="E646" s="36" t="str">
        <f t="array" ref="E646">IFERROR(INDEX('Mẻ sữa'!$B$4:$B$203,MATCH(D646,'Mẻ sữa'!$C$4:$C$203,0)),"")</f>
        <v/>
      </c>
      <c r="F646" s="82">
        <f t="array" ref="F646">IF(B646="",0,INDEX('Bán nhanh'!$D$4:$M$103,INT((ROW()-4)/10)+1,MOD(ROW()-4,10)+1))</f>
        <v>0</v>
      </c>
      <c r="G646" s="83">
        <f t="array" ref="G646">IFERROR(INDEX('Sản phẩm'!$F$4:$F$103,MATCH(B646,'Sản phẩm'!$D$4:$D$103,0)),0)</f>
        <v>0</v>
      </c>
      <c r="H646" s="83">
        <f t="shared" si="5"/>
        <v>0</v>
      </c>
      <c r="I646" s="83">
        <f t="shared" si="1"/>
        <v>0</v>
      </c>
      <c r="J646" s="83">
        <f t="array" ref="J646">IFERROR(INDEX('Sản phẩm'!$G$4:$G$103,MATCH(B646,'Sản phẩm'!$D$4:$D$103,0)),0)</f>
        <v>0</v>
      </c>
      <c r="K646" s="83">
        <f t="array" ref="K646">IFERROR(J646*INDEX('Mẻ sữa'!$N$4:$N$203,MATCH(D646,'Mẻ sữa'!$C$4:$C$203,0)),0)</f>
        <v>0</v>
      </c>
      <c r="L646" s="83">
        <f t="array" ref="L646">IFERROR(INDEX('Sản phẩm'!$I$4:$I$103,MATCH(B646,'Sản phẩm'!$D$4:$D$103,0)),0)</f>
        <v>0</v>
      </c>
      <c r="M646" s="97" t="str">
        <f t="array" ref="M646">IFERROR(INDEX('Sản phẩm'!$J$4:$J$103,MATCH(B646,'Sản phẩm'!$D$4:$D$103,0)),0)</f>
        <v/>
      </c>
      <c r="N646" s="83">
        <f>IF(B646="",0,(K646+L646+M646)*'Thiết lập'!$B$8)</f>
        <v>0</v>
      </c>
      <c r="O646" s="83">
        <f t="shared" si="2"/>
        <v>0</v>
      </c>
      <c r="P646" s="83">
        <f t="shared" si="3"/>
        <v>0</v>
      </c>
      <c r="Q646" s="83">
        <f t="shared" si="4"/>
        <v>0</v>
      </c>
      <c r="R646" s="36" t="str">
        <f t="array" ref="R646">IF(B646="","",INDEX('Bán nhanh'!$C$4:$C$103,INT((ROW()-4)/10)+1))</f>
        <v/>
      </c>
      <c r="S646" s="36" t="str">
        <f t="array" ref="S646">IF(B646="","",INDEX('Bán nhanh'!$P$4:$P$103,INT((ROW()-4)/10)+1))</f>
        <v/>
      </c>
      <c r="T646" s="36"/>
      <c r="U646" s="36"/>
      <c r="V646" s="36"/>
      <c r="W646" s="36"/>
      <c r="X646" s="36"/>
      <c r="Y646" s="36"/>
      <c r="Z646" s="36"/>
    </row>
    <row r="647" ht="15.75" customHeight="1">
      <c r="A647" s="96" t="str">
        <f t="array" ref="A647">IF(B647="","",INDEX('Bán nhanh'!$A$4:$A$103,INT((ROW()-4)/10)+1))</f>
        <v/>
      </c>
      <c r="B647" s="36" t="str">
        <f t="array" ref="B647">IF(OR(INDEX('Bán nhanh'!$D$3:$M$3,1,MOD(ROW()-4,10)+1)="",INDEX('Bán nhanh'!$D$4:$M$103,INT((ROW()-4)/10)+1,MOD(ROW()-4,10)+1)&lt;=0),"",INDEX('Bán nhanh'!$D$3:$M$3,1,MOD(ROW()-4,10)+1))</f>
        <v/>
      </c>
      <c r="C647" s="36" t="str">
        <f t="array" ref="C647">IFERROR(INDEX('Sản phẩm'!$A$4:$A$103,MATCH(B647,'Sản phẩm'!$D$4:$D$103,0)),"")</f>
        <v/>
      </c>
      <c r="D647" s="36" t="str">
        <f t="array" ref="D647">IF(B647="","",INDEX('Bán nhanh'!$B$4:$B$103,INT((ROW()-4)/10)+1))</f>
        <v/>
      </c>
      <c r="E647" s="36" t="str">
        <f t="array" ref="E647">IFERROR(INDEX('Mẻ sữa'!$B$4:$B$203,MATCH(D647,'Mẻ sữa'!$C$4:$C$203,0)),"")</f>
        <v/>
      </c>
      <c r="F647" s="82">
        <f t="array" ref="F647">IF(B647="",0,INDEX('Bán nhanh'!$D$4:$M$103,INT((ROW()-4)/10)+1,MOD(ROW()-4,10)+1))</f>
        <v>0</v>
      </c>
      <c r="G647" s="83">
        <f t="array" ref="G647">IFERROR(INDEX('Sản phẩm'!$F$4:$F$103,MATCH(B647,'Sản phẩm'!$D$4:$D$103,0)),0)</f>
        <v>0</v>
      </c>
      <c r="H647" s="83">
        <f t="shared" si="5"/>
        <v>0</v>
      </c>
      <c r="I647" s="83">
        <f t="shared" si="1"/>
        <v>0</v>
      </c>
      <c r="J647" s="83">
        <f t="array" ref="J647">IFERROR(INDEX('Sản phẩm'!$G$4:$G$103,MATCH(B647,'Sản phẩm'!$D$4:$D$103,0)),0)</f>
        <v>0</v>
      </c>
      <c r="K647" s="83">
        <f t="array" ref="K647">IFERROR(J647*INDEX('Mẻ sữa'!$N$4:$N$203,MATCH(D647,'Mẻ sữa'!$C$4:$C$203,0)),0)</f>
        <v>0</v>
      </c>
      <c r="L647" s="83">
        <f t="array" ref="L647">IFERROR(INDEX('Sản phẩm'!$I$4:$I$103,MATCH(B647,'Sản phẩm'!$D$4:$D$103,0)),0)</f>
        <v>0</v>
      </c>
      <c r="M647" s="97" t="str">
        <f t="array" ref="M647">IFERROR(INDEX('Sản phẩm'!$J$4:$J$103,MATCH(B647,'Sản phẩm'!$D$4:$D$103,0)),0)</f>
        <v/>
      </c>
      <c r="N647" s="83">
        <f>IF(B647="",0,(K647+L647+M647)*'Thiết lập'!$B$8)</f>
        <v>0</v>
      </c>
      <c r="O647" s="83">
        <f t="shared" si="2"/>
        <v>0</v>
      </c>
      <c r="P647" s="83">
        <f t="shared" si="3"/>
        <v>0</v>
      </c>
      <c r="Q647" s="83">
        <f t="shared" si="4"/>
        <v>0</v>
      </c>
      <c r="R647" s="36" t="str">
        <f t="array" ref="R647">IF(B647="","",INDEX('Bán nhanh'!$C$4:$C$103,INT((ROW()-4)/10)+1))</f>
        <v/>
      </c>
      <c r="S647" s="36" t="str">
        <f t="array" ref="S647">IF(B647="","",INDEX('Bán nhanh'!$P$4:$P$103,INT((ROW()-4)/10)+1))</f>
        <v/>
      </c>
      <c r="T647" s="36"/>
      <c r="U647" s="36"/>
      <c r="V647" s="36"/>
      <c r="W647" s="36"/>
      <c r="X647" s="36"/>
      <c r="Y647" s="36"/>
      <c r="Z647" s="36"/>
    </row>
    <row r="648" ht="15.75" customHeight="1">
      <c r="A648" s="96" t="str">
        <f t="array" ref="A648">IF(B648="","",INDEX('Bán nhanh'!$A$4:$A$103,INT((ROW()-4)/10)+1))</f>
        <v/>
      </c>
      <c r="B648" s="36" t="str">
        <f t="array" ref="B648">IF(OR(INDEX('Bán nhanh'!$D$3:$M$3,1,MOD(ROW()-4,10)+1)="",INDEX('Bán nhanh'!$D$4:$M$103,INT((ROW()-4)/10)+1,MOD(ROW()-4,10)+1)&lt;=0),"",INDEX('Bán nhanh'!$D$3:$M$3,1,MOD(ROW()-4,10)+1))</f>
        <v/>
      </c>
      <c r="C648" s="36" t="str">
        <f t="array" ref="C648">IFERROR(INDEX('Sản phẩm'!$A$4:$A$103,MATCH(B648,'Sản phẩm'!$D$4:$D$103,0)),"")</f>
        <v/>
      </c>
      <c r="D648" s="36" t="str">
        <f t="array" ref="D648">IF(B648="","",INDEX('Bán nhanh'!$B$4:$B$103,INT((ROW()-4)/10)+1))</f>
        <v/>
      </c>
      <c r="E648" s="36" t="str">
        <f t="array" ref="E648">IFERROR(INDEX('Mẻ sữa'!$B$4:$B$203,MATCH(D648,'Mẻ sữa'!$C$4:$C$203,0)),"")</f>
        <v/>
      </c>
      <c r="F648" s="82">
        <f t="array" ref="F648">IF(B648="",0,INDEX('Bán nhanh'!$D$4:$M$103,INT((ROW()-4)/10)+1,MOD(ROW()-4,10)+1))</f>
        <v>0</v>
      </c>
      <c r="G648" s="83">
        <f t="array" ref="G648">IFERROR(INDEX('Sản phẩm'!$F$4:$F$103,MATCH(B648,'Sản phẩm'!$D$4:$D$103,0)),0)</f>
        <v>0</v>
      </c>
      <c r="H648" s="83">
        <f t="shared" si="5"/>
        <v>0</v>
      </c>
      <c r="I648" s="83">
        <f t="shared" si="1"/>
        <v>0</v>
      </c>
      <c r="J648" s="83">
        <f t="array" ref="J648">IFERROR(INDEX('Sản phẩm'!$G$4:$G$103,MATCH(B648,'Sản phẩm'!$D$4:$D$103,0)),0)</f>
        <v>0</v>
      </c>
      <c r="K648" s="83">
        <f t="array" ref="K648">IFERROR(J648*INDEX('Mẻ sữa'!$N$4:$N$203,MATCH(D648,'Mẻ sữa'!$C$4:$C$203,0)),0)</f>
        <v>0</v>
      </c>
      <c r="L648" s="83">
        <f t="array" ref="L648">IFERROR(INDEX('Sản phẩm'!$I$4:$I$103,MATCH(B648,'Sản phẩm'!$D$4:$D$103,0)),0)</f>
        <v>0</v>
      </c>
      <c r="M648" s="97" t="str">
        <f t="array" ref="M648">IFERROR(INDEX('Sản phẩm'!$J$4:$J$103,MATCH(B648,'Sản phẩm'!$D$4:$D$103,0)),0)</f>
        <v/>
      </c>
      <c r="N648" s="83">
        <f>IF(B648="",0,(K648+L648+M648)*'Thiết lập'!$B$8)</f>
        <v>0</v>
      </c>
      <c r="O648" s="83">
        <f t="shared" si="2"/>
        <v>0</v>
      </c>
      <c r="P648" s="83">
        <f t="shared" si="3"/>
        <v>0</v>
      </c>
      <c r="Q648" s="83">
        <f t="shared" si="4"/>
        <v>0</v>
      </c>
      <c r="R648" s="36" t="str">
        <f t="array" ref="R648">IF(B648="","",INDEX('Bán nhanh'!$C$4:$C$103,INT((ROW()-4)/10)+1))</f>
        <v/>
      </c>
      <c r="S648" s="36" t="str">
        <f t="array" ref="S648">IF(B648="","",INDEX('Bán nhanh'!$P$4:$P$103,INT((ROW()-4)/10)+1))</f>
        <v/>
      </c>
      <c r="T648" s="36"/>
      <c r="U648" s="36"/>
      <c r="V648" s="36"/>
      <c r="W648" s="36"/>
      <c r="X648" s="36"/>
      <c r="Y648" s="36"/>
      <c r="Z648" s="36"/>
    </row>
    <row r="649" ht="15.75" customHeight="1">
      <c r="A649" s="96" t="str">
        <f t="array" ref="A649">IF(B649="","",INDEX('Bán nhanh'!$A$4:$A$103,INT((ROW()-4)/10)+1))</f>
        <v/>
      </c>
      <c r="B649" s="36" t="str">
        <f t="array" ref="B649">IF(OR(INDEX('Bán nhanh'!$D$3:$M$3,1,MOD(ROW()-4,10)+1)="",INDEX('Bán nhanh'!$D$4:$M$103,INT((ROW()-4)/10)+1,MOD(ROW()-4,10)+1)&lt;=0),"",INDEX('Bán nhanh'!$D$3:$M$3,1,MOD(ROW()-4,10)+1))</f>
        <v/>
      </c>
      <c r="C649" s="36" t="str">
        <f t="array" ref="C649">IFERROR(INDEX('Sản phẩm'!$A$4:$A$103,MATCH(B649,'Sản phẩm'!$D$4:$D$103,0)),"")</f>
        <v/>
      </c>
      <c r="D649" s="36" t="str">
        <f t="array" ref="D649">IF(B649="","",INDEX('Bán nhanh'!$B$4:$B$103,INT((ROW()-4)/10)+1))</f>
        <v/>
      </c>
      <c r="E649" s="36" t="str">
        <f t="array" ref="E649">IFERROR(INDEX('Mẻ sữa'!$B$4:$B$203,MATCH(D649,'Mẻ sữa'!$C$4:$C$203,0)),"")</f>
        <v/>
      </c>
      <c r="F649" s="82">
        <f t="array" ref="F649">IF(B649="",0,INDEX('Bán nhanh'!$D$4:$M$103,INT((ROW()-4)/10)+1,MOD(ROW()-4,10)+1))</f>
        <v>0</v>
      </c>
      <c r="G649" s="83">
        <f t="array" ref="G649">IFERROR(INDEX('Sản phẩm'!$F$4:$F$103,MATCH(B649,'Sản phẩm'!$D$4:$D$103,0)),0)</f>
        <v>0</v>
      </c>
      <c r="H649" s="83">
        <f t="shared" si="5"/>
        <v>0</v>
      </c>
      <c r="I649" s="83">
        <f t="shared" si="1"/>
        <v>0</v>
      </c>
      <c r="J649" s="83">
        <f t="array" ref="J649">IFERROR(INDEX('Sản phẩm'!$G$4:$G$103,MATCH(B649,'Sản phẩm'!$D$4:$D$103,0)),0)</f>
        <v>0</v>
      </c>
      <c r="K649" s="83">
        <f t="array" ref="K649">IFERROR(J649*INDEX('Mẻ sữa'!$N$4:$N$203,MATCH(D649,'Mẻ sữa'!$C$4:$C$203,0)),0)</f>
        <v>0</v>
      </c>
      <c r="L649" s="83">
        <f t="array" ref="L649">IFERROR(INDEX('Sản phẩm'!$I$4:$I$103,MATCH(B649,'Sản phẩm'!$D$4:$D$103,0)),0)</f>
        <v>0</v>
      </c>
      <c r="M649" s="97" t="str">
        <f t="array" ref="M649">IFERROR(INDEX('Sản phẩm'!$J$4:$J$103,MATCH(B649,'Sản phẩm'!$D$4:$D$103,0)),0)</f>
        <v/>
      </c>
      <c r="N649" s="83">
        <f>IF(B649="",0,(K649+L649+M649)*'Thiết lập'!$B$8)</f>
        <v>0</v>
      </c>
      <c r="O649" s="83">
        <f t="shared" si="2"/>
        <v>0</v>
      </c>
      <c r="P649" s="83">
        <f t="shared" si="3"/>
        <v>0</v>
      </c>
      <c r="Q649" s="83">
        <f t="shared" si="4"/>
        <v>0</v>
      </c>
      <c r="R649" s="36" t="str">
        <f t="array" ref="R649">IF(B649="","",INDEX('Bán nhanh'!$C$4:$C$103,INT((ROW()-4)/10)+1))</f>
        <v/>
      </c>
      <c r="S649" s="36" t="str">
        <f t="array" ref="S649">IF(B649="","",INDEX('Bán nhanh'!$P$4:$P$103,INT((ROW()-4)/10)+1))</f>
        <v/>
      </c>
      <c r="T649" s="36"/>
      <c r="U649" s="36"/>
      <c r="V649" s="36"/>
      <c r="W649" s="36"/>
      <c r="X649" s="36"/>
      <c r="Y649" s="36"/>
      <c r="Z649" s="36"/>
    </row>
    <row r="650" ht="15.75" customHeight="1">
      <c r="A650" s="96" t="str">
        <f t="array" ref="A650">IF(B650="","",INDEX('Bán nhanh'!$A$4:$A$103,INT((ROW()-4)/10)+1))</f>
        <v/>
      </c>
      <c r="B650" s="36" t="str">
        <f t="array" ref="B650">IF(OR(INDEX('Bán nhanh'!$D$3:$M$3,1,MOD(ROW()-4,10)+1)="",INDEX('Bán nhanh'!$D$4:$M$103,INT((ROW()-4)/10)+1,MOD(ROW()-4,10)+1)&lt;=0),"",INDEX('Bán nhanh'!$D$3:$M$3,1,MOD(ROW()-4,10)+1))</f>
        <v/>
      </c>
      <c r="C650" s="36" t="str">
        <f t="array" ref="C650">IFERROR(INDEX('Sản phẩm'!$A$4:$A$103,MATCH(B650,'Sản phẩm'!$D$4:$D$103,0)),"")</f>
        <v/>
      </c>
      <c r="D650" s="36" t="str">
        <f t="array" ref="D650">IF(B650="","",INDEX('Bán nhanh'!$B$4:$B$103,INT((ROW()-4)/10)+1))</f>
        <v/>
      </c>
      <c r="E650" s="36" t="str">
        <f t="array" ref="E650">IFERROR(INDEX('Mẻ sữa'!$B$4:$B$203,MATCH(D650,'Mẻ sữa'!$C$4:$C$203,0)),"")</f>
        <v/>
      </c>
      <c r="F650" s="82">
        <f t="array" ref="F650">IF(B650="",0,INDEX('Bán nhanh'!$D$4:$M$103,INT((ROW()-4)/10)+1,MOD(ROW()-4,10)+1))</f>
        <v>0</v>
      </c>
      <c r="G650" s="83">
        <f t="array" ref="G650">IFERROR(INDEX('Sản phẩm'!$F$4:$F$103,MATCH(B650,'Sản phẩm'!$D$4:$D$103,0)),0)</f>
        <v>0</v>
      </c>
      <c r="H650" s="83">
        <f t="shared" si="5"/>
        <v>0</v>
      </c>
      <c r="I650" s="83">
        <f t="shared" si="1"/>
        <v>0</v>
      </c>
      <c r="J650" s="83">
        <f t="array" ref="J650">IFERROR(INDEX('Sản phẩm'!$G$4:$G$103,MATCH(B650,'Sản phẩm'!$D$4:$D$103,0)),0)</f>
        <v>0</v>
      </c>
      <c r="K650" s="83">
        <f t="array" ref="K650">IFERROR(J650*INDEX('Mẻ sữa'!$N$4:$N$203,MATCH(D650,'Mẻ sữa'!$C$4:$C$203,0)),0)</f>
        <v>0</v>
      </c>
      <c r="L650" s="83">
        <f t="array" ref="L650">IFERROR(INDEX('Sản phẩm'!$I$4:$I$103,MATCH(B650,'Sản phẩm'!$D$4:$D$103,0)),0)</f>
        <v>0</v>
      </c>
      <c r="M650" s="97" t="str">
        <f t="array" ref="M650">IFERROR(INDEX('Sản phẩm'!$J$4:$J$103,MATCH(B650,'Sản phẩm'!$D$4:$D$103,0)),0)</f>
        <v/>
      </c>
      <c r="N650" s="83">
        <f>IF(B650="",0,(K650+L650+M650)*'Thiết lập'!$B$8)</f>
        <v>0</v>
      </c>
      <c r="O650" s="83">
        <f t="shared" si="2"/>
        <v>0</v>
      </c>
      <c r="P650" s="83">
        <f t="shared" si="3"/>
        <v>0</v>
      </c>
      <c r="Q650" s="83">
        <f t="shared" si="4"/>
        <v>0</v>
      </c>
      <c r="R650" s="36" t="str">
        <f t="array" ref="R650">IF(B650="","",INDEX('Bán nhanh'!$C$4:$C$103,INT((ROW()-4)/10)+1))</f>
        <v/>
      </c>
      <c r="S650" s="36" t="str">
        <f t="array" ref="S650">IF(B650="","",INDEX('Bán nhanh'!$P$4:$P$103,INT((ROW()-4)/10)+1))</f>
        <v/>
      </c>
      <c r="T650" s="36"/>
      <c r="U650" s="36"/>
      <c r="V650" s="36"/>
      <c r="W650" s="36"/>
      <c r="X650" s="36"/>
      <c r="Y650" s="36"/>
      <c r="Z650" s="36"/>
    </row>
    <row r="651" ht="15.75" customHeight="1">
      <c r="A651" s="96" t="str">
        <f t="array" ref="A651">IF(B651="","",INDEX('Bán nhanh'!$A$4:$A$103,INT((ROW()-4)/10)+1))</f>
        <v/>
      </c>
      <c r="B651" s="36" t="str">
        <f t="array" ref="B651">IF(OR(INDEX('Bán nhanh'!$D$3:$M$3,1,MOD(ROW()-4,10)+1)="",INDEX('Bán nhanh'!$D$4:$M$103,INT((ROW()-4)/10)+1,MOD(ROW()-4,10)+1)&lt;=0),"",INDEX('Bán nhanh'!$D$3:$M$3,1,MOD(ROW()-4,10)+1))</f>
        <v/>
      </c>
      <c r="C651" s="36" t="str">
        <f t="array" ref="C651">IFERROR(INDEX('Sản phẩm'!$A$4:$A$103,MATCH(B651,'Sản phẩm'!$D$4:$D$103,0)),"")</f>
        <v/>
      </c>
      <c r="D651" s="36" t="str">
        <f t="array" ref="D651">IF(B651="","",INDEX('Bán nhanh'!$B$4:$B$103,INT((ROW()-4)/10)+1))</f>
        <v/>
      </c>
      <c r="E651" s="36" t="str">
        <f t="array" ref="E651">IFERROR(INDEX('Mẻ sữa'!$B$4:$B$203,MATCH(D651,'Mẻ sữa'!$C$4:$C$203,0)),"")</f>
        <v/>
      </c>
      <c r="F651" s="82">
        <f t="array" ref="F651">IF(B651="",0,INDEX('Bán nhanh'!$D$4:$M$103,INT((ROW()-4)/10)+1,MOD(ROW()-4,10)+1))</f>
        <v>0</v>
      </c>
      <c r="G651" s="83">
        <f t="array" ref="G651">IFERROR(INDEX('Sản phẩm'!$F$4:$F$103,MATCH(B651,'Sản phẩm'!$D$4:$D$103,0)),0)</f>
        <v>0</v>
      </c>
      <c r="H651" s="83">
        <f t="shared" si="5"/>
        <v>0</v>
      </c>
      <c r="I651" s="83">
        <f t="shared" si="1"/>
        <v>0</v>
      </c>
      <c r="J651" s="83">
        <f t="array" ref="J651">IFERROR(INDEX('Sản phẩm'!$G$4:$G$103,MATCH(B651,'Sản phẩm'!$D$4:$D$103,0)),0)</f>
        <v>0</v>
      </c>
      <c r="K651" s="83">
        <f t="array" ref="K651">IFERROR(J651*INDEX('Mẻ sữa'!$N$4:$N$203,MATCH(D651,'Mẻ sữa'!$C$4:$C$203,0)),0)</f>
        <v>0</v>
      </c>
      <c r="L651" s="83">
        <f t="array" ref="L651">IFERROR(INDEX('Sản phẩm'!$I$4:$I$103,MATCH(B651,'Sản phẩm'!$D$4:$D$103,0)),0)</f>
        <v>0</v>
      </c>
      <c r="M651" s="97" t="str">
        <f t="array" ref="M651">IFERROR(INDEX('Sản phẩm'!$J$4:$J$103,MATCH(B651,'Sản phẩm'!$D$4:$D$103,0)),0)</f>
        <v/>
      </c>
      <c r="N651" s="83">
        <f>IF(B651="",0,(K651+L651+M651)*'Thiết lập'!$B$8)</f>
        <v>0</v>
      </c>
      <c r="O651" s="83">
        <f t="shared" si="2"/>
        <v>0</v>
      </c>
      <c r="P651" s="83">
        <f t="shared" si="3"/>
        <v>0</v>
      </c>
      <c r="Q651" s="83">
        <f t="shared" si="4"/>
        <v>0</v>
      </c>
      <c r="R651" s="36" t="str">
        <f t="array" ref="R651">IF(B651="","",INDEX('Bán nhanh'!$C$4:$C$103,INT((ROW()-4)/10)+1))</f>
        <v/>
      </c>
      <c r="S651" s="36" t="str">
        <f t="array" ref="S651">IF(B651="","",INDEX('Bán nhanh'!$P$4:$P$103,INT((ROW()-4)/10)+1))</f>
        <v/>
      </c>
      <c r="T651" s="36"/>
      <c r="U651" s="36"/>
      <c r="V651" s="36"/>
      <c r="W651" s="36"/>
      <c r="X651" s="36"/>
      <c r="Y651" s="36"/>
      <c r="Z651" s="36"/>
    </row>
    <row r="652" ht="15.75" customHeight="1">
      <c r="A652" s="96" t="str">
        <f t="array" ref="A652">IF(B652="","",INDEX('Bán nhanh'!$A$4:$A$103,INT((ROW()-4)/10)+1))</f>
        <v/>
      </c>
      <c r="B652" s="36" t="str">
        <f t="array" ref="B652">IF(OR(INDEX('Bán nhanh'!$D$3:$M$3,1,MOD(ROW()-4,10)+1)="",INDEX('Bán nhanh'!$D$4:$M$103,INT((ROW()-4)/10)+1,MOD(ROW()-4,10)+1)&lt;=0),"",INDEX('Bán nhanh'!$D$3:$M$3,1,MOD(ROW()-4,10)+1))</f>
        <v/>
      </c>
      <c r="C652" s="36" t="str">
        <f t="array" ref="C652">IFERROR(INDEX('Sản phẩm'!$A$4:$A$103,MATCH(B652,'Sản phẩm'!$D$4:$D$103,0)),"")</f>
        <v/>
      </c>
      <c r="D652" s="36" t="str">
        <f t="array" ref="D652">IF(B652="","",INDEX('Bán nhanh'!$B$4:$B$103,INT((ROW()-4)/10)+1))</f>
        <v/>
      </c>
      <c r="E652" s="36" t="str">
        <f t="array" ref="E652">IFERROR(INDEX('Mẻ sữa'!$B$4:$B$203,MATCH(D652,'Mẻ sữa'!$C$4:$C$203,0)),"")</f>
        <v/>
      </c>
      <c r="F652" s="82">
        <f t="array" ref="F652">IF(B652="",0,INDEX('Bán nhanh'!$D$4:$M$103,INT((ROW()-4)/10)+1,MOD(ROW()-4,10)+1))</f>
        <v>0</v>
      </c>
      <c r="G652" s="83">
        <f t="array" ref="G652">IFERROR(INDEX('Sản phẩm'!$F$4:$F$103,MATCH(B652,'Sản phẩm'!$D$4:$D$103,0)),0)</f>
        <v>0</v>
      </c>
      <c r="H652" s="83">
        <f t="shared" si="5"/>
        <v>0</v>
      </c>
      <c r="I652" s="83">
        <f t="shared" si="1"/>
        <v>0</v>
      </c>
      <c r="J652" s="83">
        <f t="array" ref="J652">IFERROR(INDEX('Sản phẩm'!$G$4:$G$103,MATCH(B652,'Sản phẩm'!$D$4:$D$103,0)),0)</f>
        <v>0</v>
      </c>
      <c r="K652" s="83">
        <f t="array" ref="K652">IFERROR(J652*INDEX('Mẻ sữa'!$N$4:$N$203,MATCH(D652,'Mẻ sữa'!$C$4:$C$203,0)),0)</f>
        <v>0</v>
      </c>
      <c r="L652" s="83">
        <f t="array" ref="L652">IFERROR(INDEX('Sản phẩm'!$I$4:$I$103,MATCH(B652,'Sản phẩm'!$D$4:$D$103,0)),0)</f>
        <v>0</v>
      </c>
      <c r="M652" s="97" t="str">
        <f t="array" ref="M652">IFERROR(INDEX('Sản phẩm'!$J$4:$J$103,MATCH(B652,'Sản phẩm'!$D$4:$D$103,0)),0)</f>
        <v/>
      </c>
      <c r="N652" s="83">
        <f>IF(B652="",0,(K652+L652+M652)*'Thiết lập'!$B$8)</f>
        <v>0</v>
      </c>
      <c r="O652" s="83">
        <f t="shared" si="2"/>
        <v>0</v>
      </c>
      <c r="P652" s="83">
        <f t="shared" si="3"/>
        <v>0</v>
      </c>
      <c r="Q652" s="83">
        <f t="shared" si="4"/>
        <v>0</v>
      </c>
      <c r="R652" s="36" t="str">
        <f t="array" ref="R652">IF(B652="","",INDEX('Bán nhanh'!$C$4:$C$103,INT((ROW()-4)/10)+1))</f>
        <v/>
      </c>
      <c r="S652" s="36" t="str">
        <f t="array" ref="S652">IF(B652="","",INDEX('Bán nhanh'!$P$4:$P$103,INT((ROW()-4)/10)+1))</f>
        <v/>
      </c>
      <c r="T652" s="36"/>
      <c r="U652" s="36"/>
      <c r="V652" s="36"/>
      <c r="W652" s="36"/>
      <c r="X652" s="36"/>
      <c r="Y652" s="36"/>
      <c r="Z652" s="36"/>
    </row>
    <row r="653" ht="15.75" customHeight="1">
      <c r="A653" s="96" t="str">
        <f t="array" ref="A653">IF(B653="","",INDEX('Bán nhanh'!$A$4:$A$103,INT((ROW()-4)/10)+1))</f>
        <v/>
      </c>
      <c r="B653" s="36" t="str">
        <f t="array" ref="B653">IF(OR(INDEX('Bán nhanh'!$D$3:$M$3,1,MOD(ROW()-4,10)+1)="",INDEX('Bán nhanh'!$D$4:$M$103,INT((ROW()-4)/10)+1,MOD(ROW()-4,10)+1)&lt;=0),"",INDEX('Bán nhanh'!$D$3:$M$3,1,MOD(ROW()-4,10)+1))</f>
        <v/>
      </c>
      <c r="C653" s="36" t="str">
        <f t="array" ref="C653">IFERROR(INDEX('Sản phẩm'!$A$4:$A$103,MATCH(B653,'Sản phẩm'!$D$4:$D$103,0)),"")</f>
        <v/>
      </c>
      <c r="D653" s="36" t="str">
        <f t="array" ref="D653">IF(B653="","",INDEX('Bán nhanh'!$B$4:$B$103,INT((ROW()-4)/10)+1))</f>
        <v/>
      </c>
      <c r="E653" s="36" t="str">
        <f t="array" ref="E653">IFERROR(INDEX('Mẻ sữa'!$B$4:$B$203,MATCH(D653,'Mẻ sữa'!$C$4:$C$203,0)),"")</f>
        <v/>
      </c>
      <c r="F653" s="82">
        <f t="array" ref="F653">IF(B653="",0,INDEX('Bán nhanh'!$D$4:$M$103,INT((ROW()-4)/10)+1,MOD(ROW()-4,10)+1))</f>
        <v>0</v>
      </c>
      <c r="G653" s="83">
        <f t="array" ref="G653">IFERROR(INDEX('Sản phẩm'!$F$4:$F$103,MATCH(B653,'Sản phẩm'!$D$4:$D$103,0)),0)</f>
        <v>0</v>
      </c>
      <c r="H653" s="83">
        <f t="shared" si="5"/>
        <v>0</v>
      </c>
      <c r="I653" s="83">
        <f t="shared" si="1"/>
        <v>0</v>
      </c>
      <c r="J653" s="83">
        <f t="array" ref="J653">IFERROR(INDEX('Sản phẩm'!$G$4:$G$103,MATCH(B653,'Sản phẩm'!$D$4:$D$103,0)),0)</f>
        <v>0</v>
      </c>
      <c r="K653" s="83">
        <f t="array" ref="K653">IFERROR(J653*INDEX('Mẻ sữa'!$N$4:$N$203,MATCH(D653,'Mẻ sữa'!$C$4:$C$203,0)),0)</f>
        <v>0</v>
      </c>
      <c r="L653" s="83">
        <f t="array" ref="L653">IFERROR(INDEX('Sản phẩm'!$I$4:$I$103,MATCH(B653,'Sản phẩm'!$D$4:$D$103,0)),0)</f>
        <v>0</v>
      </c>
      <c r="M653" s="97" t="str">
        <f t="array" ref="M653">IFERROR(INDEX('Sản phẩm'!$J$4:$J$103,MATCH(B653,'Sản phẩm'!$D$4:$D$103,0)),0)</f>
        <v/>
      </c>
      <c r="N653" s="83">
        <f>IF(B653="",0,(K653+L653+M653)*'Thiết lập'!$B$8)</f>
        <v>0</v>
      </c>
      <c r="O653" s="83">
        <f t="shared" si="2"/>
        <v>0</v>
      </c>
      <c r="P653" s="83">
        <f t="shared" si="3"/>
        <v>0</v>
      </c>
      <c r="Q653" s="83">
        <f t="shared" si="4"/>
        <v>0</v>
      </c>
      <c r="R653" s="36" t="str">
        <f t="array" ref="R653">IF(B653="","",INDEX('Bán nhanh'!$C$4:$C$103,INT((ROW()-4)/10)+1))</f>
        <v/>
      </c>
      <c r="S653" s="36" t="str">
        <f t="array" ref="S653">IF(B653="","",INDEX('Bán nhanh'!$P$4:$P$103,INT((ROW()-4)/10)+1))</f>
        <v/>
      </c>
      <c r="T653" s="36"/>
      <c r="U653" s="36"/>
      <c r="V653" s="36"/>
      <c r="W653" s="36"/>
      <c r="X653" s="36"/>
      <c r="Y653" s="36"/>
      <c r="Z653" s="36"/>
    </row>
    <row r="654" ht="15.75" customHeight="1">
      <c r="A654" s="96" t="str">
        <f t="array" ref="A654">IF(B654="","",INDEX('Bán nhanh'!$A$4:$A$103,INT((ROW()-4)/10)+1))</f>
        <v/>
      </c>
      <c r="B654" s="36" t="str">
        <f t="array" ref="B654">IF(OR(INDEX('Bán nhanh'!$D$3:$M$3,1,MOD(ROW()-4,10)+1)="",INDEX('Bán nhanh'!$D$4:$M$103,INT((ROW()-4)/10)+1,MOD(ROW()-4,10)+1)&lt;=0),"",INDEX('Bán nhanh'!$D$3:$M$3,1,MOD(ROW()-4,10)+1))</f>
        <v/>
      </c>
      <c r="C654" s="36" t="str">
        <f t="array" ref="C654">IFERROR(INDEX('Sản phẩm'!$A$4:$A$103,MATCH(B654,'Sản phẩm'!$D$4:$D$103,0)),"")</f>
        <v/>
      </c>
      <c r="D654" s="36" t="str">
        <f t="array" ref="D654">IF(B654="","",INDEX('Bán nhanh'!$B$4:$B$103,INT((ROW()-4)/10)+1))</f>
        <v/>
      </c>
      <c r="E654" s="36" t="str">
        <f t="array" ref="E654">IFERROR(INDEX('Mẻ sữa'!$B$4:$B$203,MATCH(D654,'Mẻ sữa'!$C$4:$C$203,0)),"")</f>
        <v/>
      </c>
      <c r="F654" s="82">
        <f t="array" ref="F654">IF(B654="",0,INDEX('Bán nhanh'!$D$4:$M$103,INT((ROW()-4)/10)+1,MOD(ROW()-4,10)+1))</f>
        <v>0</v>
      </c>
      <c r="G654" s="83">
        <f t="array" ref="G654">IFERROR(INDEX('Sản phẩm'!$F$4:$F$103,MATCH(B654,'Sản phẩm'!$D$4:$D$103,0)),0)</f>
        <v>0</v>
      </c>
      <c r="H654" s="83">
        <f t="shared" si="5"/>
        <v>0</v>
      </c>
      <c r="I654" s="83">
        <f t="shared" si="1"/>
        <v>0</v>
      </c>
      <c r="J654" s="83">
        <f t="array" ref="J654">IFERROR(INDEX('Sản phẩm'!$G$4:$G$103,MATCH(B654,'Sản phẩm'!$D$4:$D$103,0)),0)</f>
        <v>0</v>
      </c>
      <c r="K654" s="83">
        <f t="array" ref="K654">IFERROR(J654*INDEX('Mẻ sữa'!$N$4:$N$203,MATCH(D654,'Mẻ sữa'!$C$4:$C$203,0)),0)</f>
        <v>0</v>
      </c>
      <c r="L654" s="83">
        <f t="array" ref="L654">IFERROR(INDEX('Sản phẩm'!$I$4:$I$103,MATCH(B654,'Sản phẩm'!$D$4:$D$103,0)),0)</f>
        <v>0</v>
      </c>
      <c r="M654" s="97" t="str">
        <f t="array" ref="M654">IFERROR(INDEX('Sản phẩm'!$J$4:$J$103,MATCH(B654,'Sản phẩm'!$D$4:$D$103,0)),0)</f>
        <v/>
      </c>
      <c r="N654" s="83">
        <f>IF(B654="",0,(K654+L654+M654)*'Thiết lập'!$B$8)</f>
        <v>0</v>
      </c>
      <c r="O654" s="83">
        <f t="shared" si="2"/>
        <v>0</v>
      </c>
      <c r="P654" s="83">
        <f t="shared" si="3"/>
        <v>0</v>
      </c>
      <c r="Q654" s="83">
        <f t="shared" si="4"/>
        <v>0</v>
      </c>
      <c r="R654" s="36" t="str">
        <f t="array" ref="R654">IF(B654="","",INDEX('Bán nhanh'!$C$4:$C$103,INT((ROW()-4)/10)+1))</f>
        <v/>
      </c>
      <c r="S654" s="36" t="str">
        <f t="array" ref="S654">IF(B654="","",INDEX('Bán nhanh'!$P$4:$P$103,INT((ROW()-4)/10)+1))</f>
        <v/>
      </c>
      <c r="T654" s="36"/>
      <c r="U654" s="36"/>
      <c r="V654" s="36"/>
      <c r="W654" s="36"/>
      <c r="X654" s="36"/>
      <c r="Y654" s="36"/>
      <c r="Z654" s="36"/>
    </row>
    <row r="655" ht="15.75" customHeight="1">
      <c r="A655" s="96" t="str">
        <f t="array" ref="A655">IF(B655="","",INDEX('Bán nhanh'!$A$4:$A$103,INT((ROW()-4)/10)+1))</f>
        <v/>
      </c>
      <c r="B655" s="36" t="str">
        <f t="array" ref="B655">IF(OR(INDEX('Bán nhanh'!$D$3:$M$3,1,MOD(ROW()-4,10)+1)="",INDEX('Bán nhanh'!$D$4:$M$103,INT((ROW()-4)/10)+1,MOD(ROW()-4,10)+1)&lt;=0),"",INDEX('Bán nhanh'!$D$3:$M$3,1,MOD(ROW()-4,10)+1))</f>
        <v/>
      </c>
      <c r="C655" s="36" t="str">
        <f t="array" ref="C655">IFERROR(INDEX('Sản phẩm'!$A$4:$A$103,MATCH(B655,'Sản phẩm'!$D$4:$D$103,0)),"")</f>
        <v/>
      </c>
      <c r="D655" s="36" t="str">
        <f t="array" ref="D655">IF(B655="","",INDEX('Bán nhanh'!$B$4:$B$103,INT((ROW()-4)/10)+1))</f>
        <v/>
      </c>
      <c r="E655" s="36" t="str">
        <f t="array" ref="E655">IFERROR(INDEX('Mẻ sữa'!$B$4:$B$203,MATCH(D655,'Mẻ sữa'!$C$4:$C$203,0)),"")</f>
        <v/>
      </c>
      <c r="F655" s="82">
        <f t="array" ref="F655">IF(B655="",0,INDEX('Bán nhanh'!$D$4:$M$103,INT((ROW()-4)/10)+1,MOD(ROW()-4,10)+1))</f>
        <v>0</v>
      </c>
      <c r="G655" s="83">
        <f t="array" ref="G655">IFERROR(INDEX('Sản phẩm'!$F$4:$F$103,MATCH(B655,'Sản phẩm'!$D$4:$D$103,0)),0)</f>
        <v>0</v>
      </c>
      <c r="H655" s="83">
        <f t="shared" si="5"/>
        <v>0</v>
      </c>
      <c r="I655" s="83">
        <f t="shared" si="1"/>
        <v>0</v>
      </c>
      <c r="J655" s="83">
        <f t="array" ref="J655">IFERROR(INDEX('Sản phẩm'!$G$4:$G$103,MATCH(B655,'Sản phẩm'!$D$4:$D$103,0)),0)</f>
        <v>0</v>
      </c>
      <c r="K655" s="83">
        <f t="array" ref="K655">IFERROR(J655*INDEX('Mẻ sữa'!$N$4:$N$203,MATCH(D655,'Mẻ sữa'!$C$4:$C$203,0)),0)</f>
        <v>0</v>
      </c>
      <c r="L655" s="83">
        <f t="array" ref="L655">IFERROR(INDEX('Sản phẩm'!$I$4:$I$103,MATCH(B655,'Sản phẩm'!$D$4:$D$103,0)),0)</f>
        <v>0</v>
      </c>
      <c r="M655" s="97" t="str">
        <f t="array" ref="M655">IFERROR(INDEX('Sản phẩm'!$J$4:$J$103,MATCH(B655,'Sản phẩm'!$D$4:$D$103,0)),0)</f>
        <v/>
      </c>
      <c r="N655" s="83">
        <f>IF(B655="",0,(K655+L655+M655)*'Thiết lập'!$B$8)</f>
        <v>0</v>
      </c>
      <c r="O655" s="83">
        <f t="shared" si="2"/>
        <v>0</v>
      </c>
      <c r="P655" s="83">
        <f t="shared" si="3"/>
        <v>0</v>
      </c>
      <c r="Q655" s="83">
        <f t="shared" si="4"/>
        <v>0</v>
      </c>
      <c r="R655" s="36" t="str">
        <f t="array" ref="R655">IF(B655="","",INDEX('Bán nhanh'!$C$4:$C$103,INT((ROW()-4)/10)+1))</f>
        <v/>
      </c>
      <c r="S655" s="36" t="str">
        <f t="array" ref="S655">IF(B655="","",INDEX('Bán nhanh'!$P$4:$P$103,INT((ROW()-4)/10)+1))</f>
        <v/>
      </c>
      <c r="T655" s="36"/>
      <c r="U655" s="36"/>
      <c r="V655" s="36"/>
      <c r="W655" s="36"/>
      <c r="X655" s="36"/>
      <c r="Y655" s="36"/>
      <c r="Z655" s="36"/>
    </row>
    <row r="656" ht="15.75" customHeight="1">
      <c r="A656" s="96" t="str">
        <f t="array" ref="A656">IF(B656="","",INDEX('Bán nhanh'!$A$4:$A$103,INT((ROW()-4)/10)+1))</f>
        <v/>
      </c>
      <c r="B656" s="36" t="str">
        <f t="array" ref="B656">IF(OR(INDEX('Bán nhanh'!$D$3:$M$3,1,MOD(ROW()-4,10)+1)="",INDEX('Bán nhanh'!$D$4:$M$103,INT((ROW()-4)/10)+1,MOD(ROW()-4,10)+1)&lt;=0),"",INDEX('Bán nhanh'!$D$3:$M$3,1,MOD(ROW()-4,10)+1))</f>
        <v/>
      </c>
      <c r="C656" s="36" t="str">
        <f t="array" ref="C656">IFERROR(INDEX('Sản phẩm'!$A$4:$A$103,MATCH(B656,'Sản phẩm'!$D$4:$D$103,0)),"")</f>
        <v/>
      </c>
      <c r="D656" s="36" t="str">
        <f t="array" ref="D656">IF(B656="","",INDEX('Bán nhanh'!$B$4:$B$103,INT((ROW()-4)/10)+1))</f>
        <v/>
      </c>
      <c r="E656" s="36" t="str">
        <f t="array" ref="E656">IFERROR(INDEX('Mẻ sữa'!$B$4:$B$203,MATCH(D656,'Mẻ sữa'!$C$4:$C$203,0)),"")</f>
        <v/>
      </c>
      <c r="F656" s="82">
        <f t="array" ref="F656">IF(B656="",0,INDEX('Bán nhanh'!$D$4:$M$103,INT((ROW()-4)/10)+1,MOD(ROW()-4,10)+1))</f>
        <v>0</v>
      </c>
      <c r="G656" s="83">
        <f t="array" ref="G656">IFERROR(INDEX('Sản phẩm'!$F$4:$F$103,MATCH(B656,'Sản phẩm'!$D$4:$D$103,0)),0)</f>
        <v>0</v>
      </c>
      <c r="H656" s="83">
        <f t="shared" si="5"/>
        <v>0</v>
      </c>
      <c r="I656" s="83">
        <f t="shared" si="1"/>
        <v>0</v>
      </c>
      <c r="J656" s="83">
        <f t="array" ref="J656">IFERROR(INDEX('Sản phẩm'!$G$4:$G$103,MATCH(B656,'Sản phẩm'!$D$4:$D$103,0)),0)</f>
        <v>0</v>
      </c>
      <c r="K656" s="83">
        <f t="array" ref="K656">IFERROR(J656*INDEX('Mẻ sữa'!$N$4:$N$203,MATCH(D656,'Mẻ sữa'!$C$4:$C$203,0)),0)</f>
        <v>0</v>
      </c>
      <c r="L656" s="83">
        <f t="array" ref="L656">IFERROR(INDEX('Sản phẩm'!$I$4:$I$103,MATCH(B656,'Sản phẩm'!$D$4:$D$103,0)),0)</f>
        <v>0</v>
      </c>
      <c r="M656" s="97" t="str">
        <f t="array" ref="M656">IFERROR(INDEX('Sản phẩm'!$J$4:$J$103,MATCH(B656,'Sản phẩm'!$D$4:$D$103,0)),0)</f>
        <v/>
      </c>
      <c r="N656" s="83">
        <f>IF(B656="",0,(K656+L656+M656)*'Thiết lập'!$B$8)</f>
        <v>0</v>
      </c>
      <c r="O656" s="83">
        <f t="shared" si="2"/>
        <v>0</v>
      </c>
      <c r="P656" s="83">
        <f t="shared" si="3"/>
        <v>0</v>
      </c>
      <c r="Q656" s="83">
        <f t="shared" si="4"/>
        <v>0</v>
      </c>
      <c r="R656" s="36" t="str">
        <f t="array" ref="R656">IF(B656="","",INDEX('Bán nhanh'!$C$4:$C$103,INT((ROW()-4)/10)+1))</f>
        <v/>
      </c>
      <c r="S656" s="36" t="str">
        <f t="array" ref="S656">IF(B656="","",INDEX('Bán nhanh'!$P$4:$P$103,INT((ROW()-4)/10)+1))</f>
        <v/>
      </c>
      <c r="T656" s="36"/>
      <c r="U656" s="36"/>
      <c r="V656" s="36"/>
      <c r="W656" s="36"/>
      <c r="X656" s="36"/>
      <c r="Y656" s="36"/>
      <c r="Z656" s="36"/>
    </row>
    <row r="657" ht="15.75" customHeight="1">
      <c r="A657" s="96" t="str">
        <f t="array" ref="A657">IF(B657="","",INDEX('Bán nhanh'!$A$4:$A$103,INT((ROW()-4)/10)+1))</f>
        <v/>
      </c>
      <c r="B657" s="36" t="str">
        <f t="array" ref="B657">IF(OR(INDEX('Bán nhanh'!$D$3:$M$3,1,MOD(ROW()-4,10)+1)="",INDEX('Bán nhanh'!$D$4:$M$103,INT((ROW()-4)/10)+1,MOD(ROW()-4,10)+1)&lt;=0),"",INDEX('Bán nhanh'!$D$3:$M$3,1,MOD(ROW()-4,10)+1))</f>
        <v/>
      </c>
      <c r="C657" s="36" t="str">
        <f t="array" ref="C657">IFERROR(INDEX('Sản phẩm'!$A$4:$A$103,MATCH(B657,'Sản phẩm'!$D$4:$D$103,0)),"")</f>
        <v/>
      </c>
      <c r="D657" s="36" t="str">
        <f t="array" ref="D657">IF(B657="","",INDEX('Bán nhanh'!$B$4:$B$103,INT((ROW()-4)/10)+1))</f>
        <v/>
      </c>
      <c r="E657" s="36" t="str">
        <f t="array" ref="E657">IFERROR(INDEX('Mẻ sữa'!$B$4:$B$203,MATCH(D657,'Mẻ sữa'!$C$4:$C$203,0)),"")</f>
        <v/>
      </c>
      <c r="F657" s="82">
        <f t="array" ref="F657">IF(B657="",0,INDEX('Bán nhanh'!$D$4:$M$103,INT((ROW()-4)/10)+1,MOD(ROW()-4,10)+1))</f>
        <v>0</v>
      </c>
      <c r="G657" s="83">
        <f t="array" ref="G657">IFERROR(INDEX('Sản phẩm'!$F$4:$F$103,MATCH(B657,'Sản phẩm'!$D$4:$D$103,0)),0)</f>
        <v>0</v>
      </c>
      <c r="H657" s="83">
        <f t="shared" si="5"/>
        <v>0</v>
      </c>
      <c r="I657" s="83">
        <f t="shared" si="1"/>
        <v>0</v>
      </c>
      <c r="J657" s="83">
        <f t="array" ref="J657">IFERROR(INDEX('Sản phẩm'!$G$4:$G$103,MATCH(B657,'Sản phẩm'!$D$4:$D$103,0)),0)</f>
        <v>0</v>
      </c>
      <c r="K657" s="83">
        <f t="array" ref="K657">IFERROR(J657*INDEX('Mẻ sữa'!$N$4:$N$203,MATCH(D657,'Mẻ sữa'!$C$4:$C$203,0)),0)</f>
        <v>0</v>
      </c>
      <c r="L657" s="83">
        <f t="array" ref="L657">IFERROR(INDEX('Sản phẩm'!$I$4:$I$103,MATCH(B657,'Sản phẩm'!$D$4:$D$103,0)),0)</f>
        <v>0</v>
      </c>
      <c r="M657" s="97" t="str">
        <f t="array" ref="M657">IFERROR(INDEX('Sản phẩm'!$J$4:$J$103,MATCH(B657,'Sản phẩm'!$D$4:$D$103,0)),0)</f>
        <v/>
      </c>
      <c r="N657" s="83">
        <f>IF(B657="",0,(K657+L657+M657)*'Thiết lập'!$B$8)</f>
        <v>0</v>
      </c>
      <c r="O657" s="83">
        <f t="shared" si="2"/>
        <v>0</v>
      </c>
      <c r="P657" s="83">
        <f t="shared" si="3"/>
        <v>0</v>
      </c>
      <c r="Q657" s="83">
        <f t="shared" si="4"/>
        <v>0</v>
      </c>
      <c r="R657" s="36" t="str">
        <f t="array" ref="R657">IF(B657="","",INDEX('Bán nhanh'!$C$4:$C$103,INT((ROW()-4)/10)+1))</f>
        <v/>
      </c>
      <c r="S657" s="36" t="str">
        <f t="array" ref="S657">IF(B657="","",INDEX('Bán nhanh'!$P$4:$P$103,INT((ROW()-4)/10)+1))</f>
        <v/>
      </c>
      <c r="T657" s="36"/>
      <c r="U657" s="36"/>
      <c r="V657" s="36"/>
      <c r="W657" s="36"/>
      <c r="X657" s="36"/>
      <c r="Y657" s="36"/>
      <c r="Z657" s="36"/>
    </row>
    <row r="658" ht="15.75" customHeight="1">
      <c r="A658" s="96" t="str">
        <f t="array" ref="A658">IF(B658="","",INDEX('Bán nhanh'!$A$4:$A$103,INT((ROW()-4)/10)+1))</f>
        <v/>
      </c>
      <c r="B658" s="36" t="str">
        <f t="array" ref="B658">IF(OR(INDEX('Bán nhanh'!$D$3:$M$3,1,MOD(ROW()-4,10)+1)="",INDEX('Bán nhanh'!$D$4:$M$103,INT((ROW()-4)/10)+1,MOD(ROW()-4,10)+1)&lt;=0),"",INDEX('Bán nhanh'!$D$3:$M$3,1,MOD(ROW()-4,10)+1))</f>
        <v/>
      </c>
      <c r="C658" s="36" t="str">
        <f t="array" ref="C658">IFERROR(INDEX('Sản phẩm'!$A$4:$A$103,MATCH(B658,'Sản phẩm'!$D$4:$D$103,0)),"")</f>
        <v/>
      </c>
      <c r="D658" s="36" t="str">
        <f t="array" ref="D658">IF(B658="","",INDEX('Bán nhanh'!$B$4:$B$103,INT((ROW()-4)/10)+1))</f>
        <v/>
      </c>
      <c r="E658" s="36" t="str">
        <f t="array" ref="E658">IFERROR(INDEX('Mẻ sữa'!$B$4:$B$203,MATCH(D658,'Mẻ sữa'!$C$4:$C$203,0)),"")</f>
        <v/>
      </c>
      <c r="F658" s="82">
        <f t="array" ref="F658">IF(B658="",0,INDEX('Bán nhanh'!$D$4:$M$103,INT((ROW()-4)/10)+1,MOD(ROW()-4,10)+1))</f>
        <v>0</v>
      </c>
      <c r="G658" s="83">
        <f t="array" ref="G658">IFERROR(INDEX('Sản phẩm'!$F$4:$F$103,MATCH(B658,'Sản phẩm'!$D$4:$D$103,0)),0)</f>
        <v>0</v>
      </c>
      <c r="H658" s="83">
        <f t="shared" si="5"/>
        <v>0</v>
      </c>
      <c r="I658" s="83">
        <f t="shared" si="1"/>
        <v>0</v>
      </c>
      <c r="J658" s="83">
        <f t="array" ref="J658">IFERROR(INDEX('Sản phẩm'!$G$4:$G$103,MATCH(B658,'Sản phẩm'!$D$4:$D$103,0)),0)</f>
        <v>0</v>
      </c>
      <c r="K658" s="83">
        <f t="array" ref="K658">IFERROR(J658*INDEX('Mẻ sữa'!$N$4:$N$203,MATCH(D658,'Mẻ sữa'!$C$4:$C$203,0)),0)</f>
        <v>0</v>
      </c>
      <c r="L658" s="83">
        <f t="array" ref="L658">IFERROR(INDEX('Sản phẩm'!$I$4:$I$103,MATCH(B658,'Sản phẩm'!$D$4:$D$103,0)),0)</f>
        <v>0</v>
      </c>
      <c r="M658" s="97" t="str">
        <f t="array" ref="M658">IFERROR(INDEX('Sản phẩm'!$J$4:$J$103,MATCH(B658,'Sản phẩm'!$D$4:$D$103,0)),0)</f>
        <v/>
      </c>
      <c r="N658" s="83">
        <f>IF(B658="",0,(K658+L658+M658)*'Thiết lập'!$B$8)</f>
        <v>0</v>
      </c>
      <c r="O658" s="83">
        <f t="shared" si="2"/>
        <v>0</v>
      </c>
      <c r="P658" s="83">
        <f t="shared" si="3"/>
        <v>0</v>
      </c>
      <c r="Q658" s="83">
        <f t="shared" si="4"/>
        <v>0</v>
      </c>
      <c r="R658" s="36" t="str">
        <f t="array" ref="R658">IF(B658="","",INDEX('Bán nhanh'!$C$4:$C$103,INT((ROW()-4)/10)+1))</f>
        <v/>
      </c>
      <c r="S658" s="36" t="str">
        <f t="array" ref="S658">IF(B658="","",INDEX('Bán nhanh'!$P$4:$P$103,INT((ROW()-4)/10)+1))</f>
        <v/>
      </c>
      <c r="T658" s="36"/>
      <c r="U658" s="36"/>
      <c r="V658" s="36"/>
      <c r="W658" s="36"/>
      <c r="X658" s="36"/>
      <c r="Y658" s="36"/>
      <c r="Z658" s="36"/>
    </row>
    <row r="659" ht="15.75" customHeight="1">
      <c r="A659" s="96" t="str">
        <f t="array" ref="A659">IF(B659="","",INDEX('Bán nhanh'!$A$4:$A$103,INT((ROW()-4)/10)+1))</f>
        <v/>
      </c>
      <c r="B659" s="36" t="str">
        <f t="array" ref="B659">IF(OR(INDEX('Bán nhanh'!$D$3:$M$3,1,MOD(ROW()-4,10)+1)="",INDEX('Bán nhanh'!$D$4:$M$103,INT((ROW()-4)/10)+1,MOD(ROW()-4,10)+1)&lt;=0),"",INDEX('Bán nhanh'!$D$3:$M$3,1,MOD(ROW()-4,10)+1))</f>
        <v/>
      </c>
      <c r="C659" s="36" t="str">
        <f t="array" ref="C659">IFERROR(INDEX('Sản phẩm'!$A$4:$A$103,MATCH(B659,'Sản phẩm'!$D$4:$D$103,0)),"")</f>
        <v/>
      </c>
      <c r="D659" s="36" t="str">
        <f t="array" ref="D659">IF(B659="","",INDEX('Bán nhanh'!$B$4:$B$103,INT((ROW()-4)/10)+1))</f>
        <v/>
      </c>
      <c r="E659" s="36" t="str">
        <f t="array" ref="E659">IFERROR(INDEX('Mẻ sữa'!$B$4:$B$203,MATCH(D659,'Mẻ sữa'!$C$4:$C$203,0)),"")</f>
        <v/>
      </c>
      <c r="F659" s="82">
        <f t="array" ref="F659">IF(B659="",0,INDEX('Bán nhanh'!$D$4:$M$103,INT((ROW()-4)/10)+1,MOD(ROW()-4,10)+1))</f>
        <v>0</v>
      </c>
      <c r="G659" s="83">
        <f t="array" ref="G659">IFERROR(INDEX('Sản phẩm'!$F$4:$F$103,MATCH(B659,'Sản phẩm'!$D$4:$D$103,0)),0)</f>
        <v>0</v>
      </c>
      <c r="H659" s="83">
        <f t="shared" si="5"/>
        <v>0</v>
      </c>
      <c r="I659" s="83">
        <f t="shared" si="1"/>
        <v>0</v>
      </c>
      <c r="J659" s="83">
        <f t="array" ref="J659">IFERROR(INDEX('Sản phẩm'!$G$4:$G$103,MATCH(B659,'Sản phẩm'!$D$4:$D$103,0)),0)</f>
        <v>0</v>
      </c>
      <c r="K659" s="83">
        <f t="array" ref="K659">IFERROR(J659*INDEX('Mẻ sữa'!$N$4:$N$203,MATCH(D659,'Mẻ sữa'!$C$4:$C$203,0)),0)</f>
        <v>0</v>
      </c>
      <c r="L659" s="83">
        <f t="array" ref="L659">IFERROR(INDEX('Sản phẩm'!$I$4:$I$103,MATCH(B659,'Sản phẩm'!$D$4:$D$103,0)),0)</f>
        <v>0</v>
      </c>
      <c r="M659" s="97" t="str">
        <f t="array" ref="M659">IFERROR(INDEX('Sản phẩm'!$J$4:$J$103,MATCH(B659,'Sản phẩm'!$D$4:$D$103,0)),0)</f>
        <v/>
      </c>
      <c r="N659" s="83">
        <f>IF(B659="",0,(K659+L659+M659)*'Thiết lập'!$B$8)</f>
        <v>0</v>
      </c>
      <c r="O659" s="83">
        <f t="shared" si="2"/>
        <v>0</v>
      </c>
      <c r="P659" s="83">
        <f t="shared" si="3"/>
        <v>0</v>
      </c>
      <c r="Q659" s="83">
        <f t="shared" si="4"/>
        <v>0</v>
      </c>
      <c r="R659" s="36" t="str">
        <f t="array" ref="R659">IF(B659="","",INDEX('Bán nhanh'!$C$4:$C$103,INT((ROW()-4)/10)+1))</f>
        <v/>
      </c>
      <c r="S659" s="36" t="str">
        <f t="array" ref="S659">IF(B659="","",INDEX('Bán nhanh'!$P$4:$P$103,INT((ROW()-4)/10)+1))</f>
        <v/>
      </c>
      <c r="T659" s="36"/>
      <c r="U659" s="36"/>
      <c r="V659" s="36"/>
      <c r="W659" s="36"/>
      <c r="X659" s="36"/>
      <c r="Y659" s="36"/>
      <c r="Z659" s="36"/>
    </row>
    <row r="660" ht="15.75" customHeight="1">
      <c r="A660" s="96" t="str">
        <f t="array" ref="A660">IF(B660="","",INDEX('Bán nhanh'!$A$4:$A$103,INT((ROW()-4)/10)+1))</f>
        <v/>
      </c>
      <c r="B660" s="36" t="str">
        <f t="array" ref="B660">IF(OR(INDEX('Bán nhanh'!$D$3:$M$3,1,MOD(ROW()-4,10)+1)="",INDEX('Bán nhanh'!$D$4:$M$103,INT((ROW()-4)/10)+1,MOD(ROW()-4,10)+1)&lt;=0),"",INDEX('Bán nhanh'!$D$3:$M$3,1,MOD(ROW()-4,10)+1))</f>
        <v/>
      </c>
      <c r="C660" s="36" t="str">
        <f t="array" ref="C660">IFERROR(INDEX('Sản phẩm'!$A$4:$A$103,MATCH(B660,'Sản phẩm'!$D$4:$D$103,0)),"")</f>
        <v/>
      </c>
      <c r="D660" s="36" t="str">
        <f t="array" ref="D660">IF(B660="","",INDEX('Bán nhanh'!$B$4:$B$103,INT((ROW()-4)/10)+1))</f>
        <v/>
      </c>
      <c r="E660" s="36" t="str">
        <f t="array" ref="E660">IFERROR(INDEX('Mẻ sữa'!$B$4:$B$203,MATCH(D660,'Mẻ sữa'!$C$4:$C$203,0)),"")</f>
        <v/>
      </c>
      <c r="F660" s="82">
        <f t="array" ref="F660">IF(B660="",0,INDEX('Bán nhanh'!$D$4:$M$103,INT((ROW()-4)/10)+1,MOD(ROW()-4,10)+1))</f>
        <v>0</v>
      </c>
      <c r="G660" s="83">
        <f t="array" ref="G660">IFERROR(INDEX('Sản phẩm'!$F$4:$F$103,MATCH(B660,'Sản phẩm'!$D$4:$D$103,0)),0)</f>
        <v>0</v>
      </c>
      <c r="H660" s="83">
        <f t="shared" si="5"/>
        <v>0</v>
      </c>
      <c r="I660" s="83">
        <f t="shared" si="1"/>
        <v>0</v>
      </c>
      <c r="J660" s="83">
        <f t="array" ref="J660">IFERROR(INDEX('Sản phẩm'!$G$4:$G$103,MATCH(B660,'Sản phẩm'!$D$4:$D$103,0)),0)</f>
        <v>0</v>
      </c>
      <c r="K660" s="83">
        <f t="array" ref="K660">IFERROR(J660*INDEX('Mẻ sữa'!$N$4:$N$203,MATCH(D660,'Mẻ sữa'!$C$4:$C$203,0)),0)</f>
        <v>0</v>
      </c>
      <c r="L660" s="83">
        <f t="array" ref="L660">IFERROR(INDEX('Sản phẩm'!$I$4:$I$103,MATCH(B660,'Sản phẩm'!$D$4:$D$103,0)),0)</f>
        <v>0</v>
      </c>
      <c r="M660" s="97" t="str">
        <f t="array" ref="M660">IFERROR(INDEX('Sản phẩm'!$J$4:$J$103,MATCH(B660,'Sản phẩm'!$D$4:$D$103,0)),0)</f>
        <v/>
      </c>
      <c r="N660" s="83">
        <f>IF(B660="",0,(K660+L660+M660)*'Thiết lập'!$B$8)</f>
        <v>0</v>
      </c>
      <c r="O660" s="83">
        <f t="shared" si="2"/>
        <v>0</v>
      </c>
      <c r="P660" s="83">
        <f t="shared" si="3"/>
        <v>0</v>
      </c>
      <c r="Q660" s="83">
        <f t="shared" si="4"/>
        <v>0</v>
      </c>
      <c r="R660" s="36" t="str">
        <f t="array" ref="R660">IF(B660="","",INDEX('Bán nhanh'!$C$4:$C$103,INT((ROW()-4)/10)+1))</f>
        <v/>
      </c>
      <c r="S660" s="36" t="str">
        <f t="array" ref="S660">IF(B660="","",INDEX('Bán nhanh'!$P$4:$P$103,INT((ROW()-4)/10)+1))</f>
        <v/>
      </c>
      <c r="T660" s="36"/>
      <c r="U660" s="36"/>
      <c r="V660" s="36"/>
      <c r="W660" s="36"/>
      <c r="X660" s="36"/>
      <c r="Y660" s="36"/>
      <c r="Z660" s="36"/>
    </row>
    <row r="661" ht="15.75" customHeight="1">
      <c r="A661" s="96" t="str">
        <f t="array" ref="A661">IF(B661="","",INDEX('Bán nhanh'!$A$4:$A$103,INT((ROW()-4)/10)+1))</f>
        <v/>
      </c>
      <c r="B661" s="36" t="str">
        <f t="array" ref="B661">IF(OR(INDEX('Bán nhanh'!$D$3:$M$3,1,MOD(ROW()-4,10)+1)="",INDEX('Bán nhanh'!$D$4:$M$103,INT((ROW()-4)/10)+1,MOD(ROW()-4,10)+1)&lt;=0),"",INDEX('Bán nhanh'!$D$3:$M$3,1,MOD(ROW()-4,10)+1))</f>
        <v/>
      </c>
      <c r="C661" s="36" t="str">
        <f t="array" ref="C661">IFERROR(INDEX('Sản phẩm'!$A$4:$A$103,MATCH(B661,'Sản phẩm'!$D$4:$D$103,0)),"")</f>
        <v/>
      </c>
      <c r="D661" s="36" t="str">
        <f t="array" ref="D661">IF(B661="","",INDEX('Bán nhanh'!$B$4:$B$103,INT((ROW()-4)/10)+1))</f>
        <v/>
      </c>
      <c r="E661" s="36" t="str">
        <f t="array" ref="E661">IFERROR(INDEX('Mẻ sữa'!$B$4:$B$203,MATCH(D661,'Mẻ sữa'!$C$4:$C$203,0)),"")</f>
        <v/>
      </c>
      <c r="F661" s="82">
        <f t="array" ref="F661">IF(B661="",0,INDEX('Bán nhanh'!$D$4:$M$103,INT((ROW()-4)/10)+1,MOD(ROW()-4,10)+1))</f>
        <v>0</v>
      </c>
      <c r="G661" s="83">
        <f t="array" ref="G661">IFERROR(INDEX('Sản phẩm'!$F$4:$F$103,MATCH(B661,'Sản phẩm'!$D$4:$D$103,0)),0)</f>
        <v>0</v>
      </c>
      <c r="H661" s="83">
        <f t="shared" si="5"/>
        <v>0</v>
      </c>
      <c r="I661" s="83">
        <f t="shared" si="1"/>
        <v>0</v>
      </c>
      <c r="J661" s="83">
        <f t="array" ref="J661">IFERROR(INDEX('Sản phẩm'!$G$4:$G$103,MATCH(B661,'Sản phẩm'!$D$4:$D$103,0)),0)</f>
        <v>0</v>
      </c>
      <c r="K661" s="83">
        <f t="array" ref="K661">IFERROR(J661*INDEX('Mẻ sữa'!$N$4:$N$203,MATCH(D661,'Mẻ sữa'!$C$4:$C$203,0)),0)</f>
        <v>0</v>
      </c>
      <c r="L661" s="83">
        <f t="array" ref="L661">IFERROR(INDEX('Sản phẩm'!$I$4:$I$103,MATCH(B661,'Sản phẩm'!$D$4:$D$103,0)),0)</f>
        <v>0</v>
      </c>
      <c r="M661" s="97" t="str">
        <f t="array" ref="M661">IFERROR(INDEX('Sản phẩm'!$J$4:$J$103,MATCH(B661,'Sản phẩm'!$D$4:$D$103,0)),0)</f>
        <v/>
      </c>
      <c r="N661" s="83">
        <f>IF(B661="",0,(K661+L661+M661)*'Thiết lập'!$B$8)</f>
        <v>0</v>
      </c>
      <c r="O661" s="83">
        <f t="shared" si="2"/>
        <v>0</v>
      </c>
      <c r="P661" s="83">
        <f t="shared" si="3"/>
        <v>0</v>
      </c>
      <c r="Q661" s="83">
        <f t="shared" si="4"/>
        <v>0</v>
      </c>
      <c r="R661" s="36" t="str">
        <f t="array" ref="R661">IF(B661="","",INDEX('Bán nhanh'!$C$4:$C$103,INT((ROW()-4)/10)+1))</f>
        <v/>
      </c>
      <c r="S661" s="36" t="str">
        <f t="array" ref="S661">IF(B661="","",INDEX('Bán nhanh'!$P$4:$P$103,INT((ROW()-4)/10)+1))</f>
        <v/>
      </c>
      <c r="T661" s="36"/>
      <c r="U661" s="36"/>
      <c r="V661" s="36"/>
      <c r="W661" s="36"/>
      <c r="X661" s="36"/>
      <c r="Y661" s="36"/>
      <c r="Z661" s="36"/>
    </row>
    <row r="662" ht="15.75" customHeight="1">
      <c r="A662" s="96" t="str">
        <f t="array" ref="A662">IF(B662="","",INDEX('Bán nhanh'!$A$4:$A$103,INT((ROW()-4)/10)+1))</f>
        <v/>
      </c>
      <c r="B662" s="36" t="str">
        <f t="array" ref="B662">IF(OR(INDEX('Bán nhanh'!$D$3:$M$3,1,MOD(ROW()-4,10)+1)="",INDEX('Bán nhanh'!$D$4:$M$103,INT((ROW()-4)/10)+1,MOD(ROW()-4,10)+1)&lt;=0),"",INDEX('Bán nhanh'!$D$3:$M$3,1,MOD(ROW()-4,10)+1))</f>
        <v/>
      </c>
      <c r="C662" s="36" t="str">
        <f t="array" ref="C662">IFERROR(INDEX('Sản phẩm'!$A$4:$A$103,MATCH(B662,'Sản phẩm'!$D$4:$D$103,0)),"")</f>
        <v/>
      </c>
      <c r="D662" s="36" t="str">
        <f t="array" ref="D662">IF(B662="","",INDEX('Bán nhanh'!$B$4:$B$103,INT((ROW()-4)/10)+1))</f>
        <v/>
      </c>
      <c r="E662" s="36" t="str">
        <f t="array" ref="E662">IFERROR(INDEX('Mẻ sữa'!$B$4:$B$203,MATCH(D662,'Mẻ sữa'!$C$4:$C$203,0)),"")</f>
        <v/>
      </c>
      <c r="F662" s="82">
        <f t="array" ref="F662">IF(B662="",0,INDEX('Bán nhanh'!$D$4:$M$103,INT((ROW()-4)/10)+1,MOD(ROW()-4,10)+1))</f>
        <v>0</v>
      </c>
      <c r="G662" s="83">
        <f t="array" ref="G662">IFERROR(INDEX('Sản phẩm'!$F$4:$F$103,MATCH(B662,'Sản phẩm'!$D$4:$D$103,0)),0)</f>
        <v>0</v>
      </c>
      <c r="H662" s="83">
        <f t="shared" si="5"/>
        <v>0</v>
      </c>
      <c r="I662" s="83">
        <f t="shared" si="1"/>
        <v>0</v>
      </c>
      <c r="J662" s="83">
        <f t="array" ref="J662">IFERROR(INDEX('Sản phẩm'!$G$4:$G$103,MATCH(B662,'Sản phẩm'!$D$4:$D$103,0)),0)</f>
        <v>0</v>
      </c>
      <c r="K662" s="83">
        <f t="array" ref="K662">IFERROR(J662*INDEX('Mẻ sữa'!$N$4:$N$203,MATCH(D662,'Mẻ sữa'!$C$4:$C$203,0)),0)</f>
        <v>0</v>
      </c>
      <c r="L662" s="83">
        <f t="array" ref="L662">IFERROR(INDEX('Sản phẩm'!$I$4:$I$103,MATCH(B662,'Sản phẩm'!$D$4:$D$103,0)),0)</f>
        <v>0</v>
      </c>
      <c r="M662" s="97" t="str">
        <f t="array" ref="M662">IFERROR(INDEX('Sản phẩm'!$J$4:$J$103,MATCH(B662,'Sản phẩm'!$D$4:$D$103,0)),0)</f>
        <v/>
      </c>
      <c r="N662" s="83">
        <f>IF(B662="",0,(K662+L662+M662)*'Thiết lập'!$B$8)</f>
        <v>0</v>
      </c>
      <c r="O662" s="83">
        <f t="shared" si="2"/>
        <v>0</v>
      </c>
      <c r="P662" s="83">
        <f t="shared" si="3"/>
        <v>0</v>
      </c>
      <c r="Q662" s="83">
        <f t="shared" si="4"/>
        <v>0</v>
      </c>
      <c r="R662" s="36" t="str">
        <f t="array" ref="R662">IF(B662="","",INDEX('Bán nhanh'!$C$4:$C$103,INT((ROW()-4)/10)+1))</f>
        <v/>
      </c>
      <c r="S662" s="36" t="str">
        <f t="array" ref="S662">IF(B662="","",INDEX('Bán nhanh'!$P$4:$P$103,INT((ROW()-4)/10)+1))</f>
        <v/>
      </c>
      <c r="T662" s="36"/>
      <c r="U662" s="36"/>
      <c r="V662" s="36"/>
      <c r="W662" s="36"/>
      <c r="X662" s="36"/>
      <c r="Y662" s="36"/>
      <c r="Z662" s="36"/>
    </row>
    <row r="663" ht="15.75" customHeight="1">
      <c r="A663" s="96" t="str">
        <f t="array" ref="A663">IF(B663="","",INDEX('Bán nhanh'!$A$4:$A$103,INT((ROW()-4)/10)+1))</f>
        <v/>
      </c>
      <c r="B663" s="36" t="str">
        <f t="array" ref="B663">IF(OR(INDEX('Bán nhanh'!$D$3:$M$3,1,MOD(ROW()-4,10)+1)="",INDEX('Bán nhanh'!$D$4:$M$103,INT((ROW()-4)/10)+1,MOD(ROW()-4,10)+1)&lt;=0),"",INDEX('Bán nhanh'!$D$3:$M$3,1,MOD(ROW()-4,10)+1))</f>
        <v/>
      </c>
      <c r="C663" s="36" t="str">
        <f t="array" ref="C663">IFERROR(INDEX('Sản phẩm'!$A$4:$A$103,MATCH(B663,'Sản phẩm'!$D$4:$D$103,0)),"")</f>
        <v/>
      </c>
      <c r="D663" s="36" t="str">
        <f t="array" ref="D663">IF(B663="","",INDEX('Bán nhanh'!$B$4:$B$103,INT((ROW()-4)/10)+1))</f>
        <v/>
      </c>
      <c r="E663" s="36" t="str">
        <f t="array" ref="E663">IFERROR(INDEX('Mẻ sữa'!$B$4:$B$203,MATCH(D663,'Mẻ sữa'!$C$4:$C$203,0)),"")</f>
        <v/>
      </c>
      <c r="F663" s="82">
        <f t="array" ref="F663">IF(B663="",0,INDEX('Bán nhanh'!$D$4:$M$103,INT((ROW()-4)/10)+1,MOD(ROW()-4,10)+1))</f>
        <v>0</v>
      </c>
      <c r="G663" s="83">
        <f t="array" ref="G663">IFERROR(INDEX('Sản phẩm'!$F$4:$F$103,MATCH(B663,'Sản phẩm'!$D$4:$D$103,0)),0)</f>
        <v>0</v>
      </c>
      <c r="H663" s="83">
        <f t="shared" si="5"/>
        <v>0</v>
      </c>
      <c r="I663" s="83">
        <f t="shared" si="1"/>
        <v>0</v>
      </c>
      <c r="J663" s="83">
        <f t="array" ref="J663">IFERROR(INDEX('Sản phẩm'!$G$4:$G$103,MATCH(B663,'Sản phẩm'!$D$4:$D$103,0)),0)</f>
        <v>0</v>
      </c>
      <c r="K663" s="83">
        <f t="array" ref="K663">IFERROR(J663*INDEX('Mẻ sữa'!$N$4:$N$203,MATCH(D663,'Mẻ sữa'!$C$4:$C$203,0)),0)</f>
        <v>0</v>
      </c>
      <c r="L663" s="83">
        <f t="array" ref="L663">IFERROR(INDEX('Sản phẩm'!$I$4:$I$103,MATCH(B663,'Sản phẩm'!$D$4:$D$103,0)),0)</f>
        <v>0</v>
      </c>
      <c r="M663" s="97" t="str">
        <f t="array" ref="M663">IFERROR(INDEX('Sản phẩm'!$J$4:$J$103,MATCH(B663,'Sản phẩm'!$D$4:$D$103,0)),0)</f>
        <v/>
      </c>
      <c r="N663" s="83">
        <f>IF(B663="",0,(K663+L663+M663)*'Thiết lập'!$B$8)</f>
        <v>0</v>
      </c>
      <c r="O663" s="83">
        <f t="shared" si="2"/>
        <v>0</v>
      </c>
      <c r="P663" s="83">
        <f t="shared" si="3"/>
        <v>0</v>
      </c>
      <c r="Q663" s="83">
        <f t="shared" si="4"/>
        <v>0</v>
      </c>
      <c r="R663" s="36" t="str">
        <f t="array" ref="R663">IF(B663="","",INDEX('Bán nhanh'!$C$4:$C$103,INT((ROW()-4)/10)+1))</f>
        <v/>
      </c>
      <c r="S663" s="36" t="str">
        <f t="array" ref="S663">IF(B663="","",INDEX('Bán nhanh'!$P$4:$P$103,INT((ROW()-4)/10)+1))</f>
        <v/>
      </c>
      <c r="T663" s="36"/>
      <c r="U663" s="36"/>
      <c r="V663" s="36"/>
      <c r="W663" s="36"/>
      <c r="X663" s="36"/>
      <c r="Y663" s="36"/>
      <c r="Z663" s="36"/>
    </row>
    <row r="664" ht="15.75" customHeight="1">
      <c r="A664" s="96" t="str">
        <f t="array" ref="A664">IF(B664="","",INDEX('Bán nhanh'!$A$4:$A$103,INT((ROW()-4)/10)+1))</f>
        <v/>
      </c>
      <c r="B664" s="36" t="str">
        <f t="array" ref="B664">IF(OR(INDEX('Bán nhanh'!$D$3:$M$3,1,MOD(ROW()-4,10)+1)="",INDEX('Bán nhanh'!$D$4:$M$103,INT((ROW()-4)/10)+1,MOD(ROW()-4,10)+1)&lt;=0),"",INDEX('Bán nhanh'!$D$3:$M$3,1,MOD(ROW()-4,10)+1))</f>
        <v/>
      </c>
      <c r="C664" s="36" t="str">
        <f t="array" ref="C664">IFERROR(INDEX('Sản phẩm'!$A$4:$A$103,MATCH(B664,'Sản phẩm'!$D$4:$D$103,0)),"")</f>
        <v/>
      </c>
      <c r="D664" s="36" t="str">
        <f t="array" ref="D664">IF(B664="","",INDEX('Bán nhanh'!$B$4:$B$103,INT((ROW()-4)/10)+1))</f>
        <v/>
      </c>
      <c r="E664" s="36" t="str">
        <f t="array" ref="E664">IFERROR(INDEX('Mẻ sữa'!$B$4:$B$203,MATCH(D664,'Mẻ sữa'!$C$4:$C$203,0)),"")</f>
        <v/>
      </c>
      <c r="F664" s="82">
        <f t="array" ref="F664">IF(B664="",0,INDEX('Bán nhanh'!$D$4:$M$103,INT((ROW()-4)/10)+1,MOD(ROW()-4,10)+1))</f>
        <v>0</v>
      </c>
      <c r="G664" s="83">
        <f t="array" ref="G664">IFERROR(INDEX('Sản phẩm'!$F$4:$F$103,MATCH(B664,'Sản phẩm'!$D$4:$D$103,0)),0)</f>
        <v>0</v>
      </c>
      <c r="H664" s="83">
        <f t="shared" si="5"/>
        <v>0</v>
      </c>
      <c r="I664" s="83">
        <f t="shared" si="1"/>
        <v>0</v>
      </c>
      <c r="J664" s="83">
        <f t="array" ref="J664">IFERROR(INDEX('Sản phẩm'!$G$4:$G$103,MATCH(B664,'Sản phẩm'!$D$4:$D$103,0)),0)</f>
        <v>0</v>
      </c>
      <c r="K664" s="83">
        <f t="array" ref="K664">IFERROR(J664*INDEX('Mẻ sữa'!$N$4:$N$203,MATCH(D664,'Mẻ sữa'!$C$4:$C$203,0)),0)</f>
        <v>0</v>
      </c>
      <c r="L664" s="83">
        <f t="array" ref="L664">IFERROR(INDEX('Sản phẩm'!$I$4:$I$103,MATCH(B664,'Sản phẩm'!$D$4:$D$103,0)),0)</f>
        <v>0</v>
      </c>
      <c r="M664" s="97" t="str">
        <f t="array" ref="M664">IFERROR(INDEX('Sản phẩm'!$J$4:$J$103,MATCH(B664,'Sản phẩm'!$D$4:$D$103,0)),0)</f>
        <v/>
      </c>
      <c r="N664" s="83">
        <f>IF(B664="",0,(K664+L664+M664)*'Thiết lập'!$B$8)</f>
        <v>0</v>
      </c>
      <c r="O664" s="83">
        <f t="shared" si="2"/>
        <v>0</v>
      </c>
      <c r="P664" s="83">
        <f t="shared" si="3"/>
        <v>0</v>
      </c>
      <c r="Q664" s="83">
        <f t="shared" si="4"/>
        <v>0</v>
      </c>
      <c r="R664" s="36" t="str">
        <f t="array" ref="R664">IF(B664="","",INDEX('Bán nhanh'!$C$4:$C$103,INT((ROW()-4)/10)+1))</f>
        <v/>
      </c>
      <c r="S664" s="36" t="str">
        <f t="array" ref="S664">IF(B664="","",INDEX('Bán nhanh'!$P$4:$P$103,INT((ROW()-4)/10)+1))</f>
        <v/>
      </c>
      <c r="T664" s="36"/>
      <c r="U664" s="36"/>
      <c r="V664" s="36"/>
      <c r="W664" s="36"/>
      <c r="X664" s="36"/>
      <c r="Y664" s="36"/>
      <c r="Z664" s="36"/>
    </row>
    <row r="665" ht="15.75" customHeight="1">
      <c r="A665" s="96" t="str">
        <f t="array" ref="A665">IF(B665="","",INDEX('Bán nhanh'!$A$4:$A$103,INT((ROW()-4)/10)+1))</f>
        <v/>
      </c>
      <c r="B665" s="36" t="str">
        <f t="array" ref="B665">IF(OR(INDEX('Bán nhanh'!$D$3:$M$3,1,MOD(ROW()-4,10)+1)="",INDEX('Bán nhanh'!$D$4:$M$103,INT((ROW()-4)/10)+1,MOD(ROW()-4,10)+1)&lt;=0),"",INDEX('Bán nhanh'!$D$3:$M$3,1,MOD(ROW()-4,10)+1))</f>
        <v/>
      </c>
      <c r="C665" s="36" t="str">
        <f t="array" ref="C665">IFERROR(INDEX('Sản phẩm'!$A$4:$A$103,MATCH(B665,'Sản phẩm'!$D$4:$D$103,0)),"")</f>
        <v/>
      </c>
      <c r="D665" s="36" t="str">
        <f t="array" ref="D665">IF(B665="","",INDEX('Bán nhanh'!$B$4:$B$103,INT((ROW()-4)/10)+1))</f>
        <v/>
      </c>
      <c r="E665" s="36" t="str">
        <f t="array" ref="E665">IFERROR(INDEX('Mẻ sữa'!$B$4:$B$203,MATCH(D665,'Mẻ sữa'!$C$4:$C$203,0)),"")</f>
        <v/>
      </c>
      <c r="F665" s="82">
        <f t="array" ref="F665">IF(B665="",0,INDEX('Bán nhanh'!$D$4:$M$103,INT((ROW()-4)/10)+1,MOD(ROW()-4,10)+1))</f>
        <v>0</v>
      </c>
      <c r="G665" s="83">
        <f t="array" ref="G665">IFERROR(INDEX('Sản phẩm'!$F$4:$F$103,MATCH(B665,'Sản phẩm'!$D$4:$D$103,0)),0)</f>
        <v>0</v>
      </c>
      <c r="H665" s="83">
        <f t="shared" si="5"/>
        <v>0</v>
      </c>
      <c r="I665" s="83">
        <f t="shared" si="1"/>
        <v>0</v>
      </c>
      <c r="J665" s="83">
        <f t="array" ref="J665">IFERROR(INDEX('Sản phẩm'!$G$4:$G$103,MATCH(B665,'Sản phẩm'!$D$4:$D$103,0)),0)</f>
        <v>0</v>
      </c>
      <c r="K665" s="83">
        <f t="array" ref="K665">IFERROR(J665*INDEX('Mẻ sữa'!$N$4:$N$203,MATCH(D665,'Mẻ sữa'!$C$4:$C$203,0)),0)</f>
        <v>0</v>
      </c>
      <c r="L665" s="83">
        <f t="array" ref="L665">IFERROR(INDEX('Sản phẩm'!$I$4:$I$103,MATCH(B665,'Sản phẩm'!$D$4:$D$103,0)),0)</f>
        <v>0</v>
      </c>
      <c r="M665" s="97" t="str">
        <f t="array" ref="M665">IFERROR(INDEX('Sản phẩm'!$J$4:$J$103,MATCH(B665,'Sản phẩm'!$D$4:$D$103,0)),0)</f>
        <v/>
      </c>
      <c r="N665" s="83">
        <f>IF(B665="",0,(K665+L665+M665)*'Thiết lập'!$B$8)</f>
        <v>0</v>
      </c>
      <c r="O665" s="83">
        <f t="shared" si="2"/>
        <v>0</v>
      </c>
      <c r="P665" s="83">
        <f t="shared" si="3"/>
        <v>0</v>
      </c>
      <c r="Q665" s="83">
        <f t="shared" si="4"/>
        <v>0</v>
      </c>
      <c r="R665" s="36" t="str">
        <f t="array" ref="R665">IF(B665="","",INDEX('Bán nhanh'!$C$4:$C$103,INT((ROW()-4)/10)+1))</f>
        <v/>
      </c>
      <c r="S665" s="36" t="str">
        <f t="array" ref="S665">IF(B665="","",INDEX('Bán nhanh'!$P$4:$P$103,INT((ROW()-4)/10)+1))</f>
        <v/>
      </c>
      <c r="T665" s="36"/>
      <c r="U665" s="36"/>
      <c r="V665" s="36"/>
      <c r="W665" s="36"/>
      <c r="X665" s="36"/>
      <c r="Y665" s="36"/>
      <c r="Z665" s="36"/>
    </row>
    <row r="666" ht="15.75" customHeight="1">
      <c r="A666" s="96" t="str">
        <f t="array" ref="A666">IF(B666="","",INDEX('Bán nhanh'!$A$4:$A$103,INT((ROW()-4)/10)+1))</f>
        <v/>
      </c>
      <c r="B666" s="36" t="str">
        <f t="array" ref="B666">IF(OR(INDEX('Bán nhanh'!$D$3:$M$3,1,MOD(ROW()-4,10)+1)="",INDEX('Bán nhanh'!$D$4:$M$103,INT((ROW()-4)/10)+1,MOD(ROW()-4,10)+1)&lt;=0),"",INDEX('Bán nhanh'!$D$3:$M$3,1,MOD(ROW()-4,10)+1))</f>
        <v/>
      </c>
      <c r="C666" s="36" t="str">
        <f t="array" ref="C666">IFERROR(INDEX('Sản phẩm'!$A$4:$A$103,MATCH(B666,'Sản phẩm'!$D$4:$D$103,0)),"")</f>
        <v/>
      </c>
      <c r="D666" s="36" t="str">
        <f t="array" ref="D666">IF(B666="","",INDEX('Bán nhanh'!$B$4:$B$103,INT((ROW()-4)/10)+1))</f>
        <v/>
      </c>
      <c r="E666" s="36" t="str">
        <f t="array" ref="E666">IFERROR(INDEX('Mẻ sữa'!$B$4:$B$203,MATCH(D666,'Mẻ sữa'!$C$4:$C$203,0)),"")</f>
        <v/>
      </c>
      <c r="F666" s="82">
        <f t="array" ref="F666">IF(B666="",0,INDEX('Bán nhanh'!$D$4:$M$103,INT((ROW()-4)/10)+1,MOD(ROW()-4,10)+1))</f>
        <v>0</v>
      </c>
      <c r="G666" s="83">
        <f t="array" ref="G666">IFERROR(INDEX('Sản phẩm'!$F$4:$F$103,MATCH(B666,'Sản phẩm'!$D$4:$D$103,0)),0)</f>
        <v>0</v>
      </c>
      <c r="H666" s="83">
        <f t="shared" si="5"/>
        <v>0</v>
      </c>
      <c r="I666" s="83">
        <f t="shared" si="1"/>
        <v>0</v>
      </c>
      <c r="J666" s="83">
        <f t="array" ref="J666">IFERROR(INDEX('Sản phẩm'!$G$4:$G$103,MATCH(B666,'Sản phẩm'!$D$4:$D$103,0)),0)</f>
        <v>0</v>
      </c>
      <c r="K666" s="83">
        <f t="array" ref="K666">IFERROR(J666*INDEX('Mẻ sữa'!$N$4:$N$203,MATCH(D666,'Mẻ sữa'!$C$4:$C$203,0)),0)</f>
        <v>0</v>
      </c>
      <c r="L666" s="83">
        <f t="array" ref="L666">IFERROR(INDEX('Sản phẩm'!$I$4:$I$103,MATCH(B666,'Sản phẩm'!$D$4:$D$103,0)),0)</f>
        <v>0</v>
      </c>
      <c r="M666" s="97" t="str">
        <f t="array" ref="M666">IFERROR(INDEX('Sản phẩm'!$J$4:$J$103,MATCH(B666,'Sản phẩm'!$D$4:$D$103,0)),0)</f>
        <v/>
      </c>
      <c r="N666" s="83">
        <f>IF(B666="",0,(K666+L666+M666)*'Thiết lập'!$B$8)</f>
        <v>0</v>
      </c>
      <c r="O666" s="83">
        <f t="shared" si="2"/>
        <v>0</v>
      </c>
      <c r="P666" s="83">
        <f t="shared" si="3"/>
        <v>0</v>
      </c>
      <c r="Q666" s="83">
        <f t="shared" si="4"/>
        <v>0</v>
      </c>
      <c r="R666" s="36" t="str">
        <f t="array" ref="R666">IF(B666="","",INDEX('Bán nhanh'!$C$4:$C$103,INT((ROW()-4)/10)+1))</f>
        <v/>
      </c>
      <c r="S666" s="36" t="str">
        <f t="array" ref="S666">IF(B666="","",INDEX('Bán nhanh'!$P$4:$P$103,INT((ROW()-4)/10)+1))</f>
        <v/>
      </c>
      <c r="T666" s="36"/>
      <c r="U666" s="36"/>
      <c r="V666" s="36"/>
      <c r="W666" s="36"/>
      <c r="X666" s="36"/>
      <c r="Y666" s="36"/>
      <c r="Z666" s="36"/>
    </row>
    <row r="667" ht="15.75" customHeight="1">
      <c r="A667" s="96" t="str">
        <f t="array" ref="A667">IF(B667="","",INDEX('Bán nhanh'!$A$4:$A$103,INT((ROW()-4)/10)+1))</f>
        <v/>
      </c>
      <c r="B667" s="36" t="str">
        <f t="array" ref="B667">IF(OR(INDEX('Bán nhanh'!$D$3:$M$3,1,MOD(ROW()-4,10)+1)="",INDEX('Bán nhanh'!$D$4:$M$103,INT((ROW()-4)/10)+1,MOD(ROW()-4,10)+1)&lt;=0),"",INDEX('Bán nhanh'!$D$3:$M$3,1,MOD(ROW()-4,10)+1))</f>
        <v/>
      </c>
      <c r="C667" s="36" t="str">
        <f t="array" ref="C667">IFERROR(INDEX('Sản phẩm'!$A$4:$A$103,MATCH(B667,'Sản phẩm'!$D$4:$D$103,0)),"")</f>
        <v/>
      </c>
      <c r="D667" s="36" t="str">
        <f t="array" ref="D667">IF(B667="","",INDEX('Bán nhanh'!$B$4:$B$103,INT((ROW()-4)/10)+1))</f>
        <v/>
      </c>
      <c r="E667" s="36" t="str">
        <f t="array" ref="E667">IFERROR(INDEX('Mẻ sữa'!$B$4:$B$203,MATCH(D667,'Mẻ sữa'!$C$4:$C$203,0)),"")</f>
        <v/>
      </c>
      <c r="F667" s="82">
        <f t="array" ref="F667">IF(B667="",0,INDEX('Bán nhanh'!$D$4:$M$103,INT((ROW()-4)/10)+1,MOD(ROW()-4,10)+1))</f>
        <v>0</v>
      </c>
      <c r="G667" s="83">
        <f t="array" ref="G667">IFERROR(INDEX('Sản phẩm'!$F$4:$F$103,MATCH(B667,'Sản phẩm'!$D$4:$D$103,0)),0)</f>
        <v>0</v>
      </c>
      <c r="H667" s="83">
        <f t="shared" si="5"/>
        <v>0</v>
      </c>
      <c r="I667" s="83">
        <f t="shared" si="1"/>
        <v>0</v>
      </c>
      <c r="J667" s="83">
        <f t="array" ref="J667">IFERROR(INDEX('Sản phẩm'!$G$4:$G$103,MATCH(B667,'Sản phẩm'!$D$4:$D$103,0)),0)</f>
        <v>0</v>
      </c>
      <c r="K667" s="83">
        <f t="array" ref="K667">IFERROR(J667*INDEX('Mẻ sữa'!$N$4:$N$203,MATCH(D667,'Mẻ sữa'!$C$4:$C$203,0)),0)</f>
        <v>0</v>
      </c>
      <c r="L667" s="83">
        <f t="array" ref="L667">IFERROR(INDEX('Sản phẩm'!$I$4:$I$103,MATCH(B667,'Sản phẩm'!$D$4:$D$103,0)),0)</f>
        <v>0</v>
      </c>
      <c r="M667" s="97" t="str">
        <f t="array" ref="M667">IFERROR(INDEX('Sản phẩm'!$J$4:$J$103,MATCH(B667,'Sản phẩm'!$D$4:$D$103,0)),0)</f>
        <v/>
      </c>
      <c r="N667" s="83">
        <f>IF(B667="",0,(K667+L667+M667)*'Thiết lập'!$B$8)</f>
        <v>0</v>
      </c>
      <c r="O667" s="83">
        <f t="shared" si="2"/>
        <v>0</v>
      </c>
      <c r="P667" s="83">
        <f t="shared" si="3"/>
        <v>0</v>
      </c>
      <c r="Q667" s="83">
        <f t="shared" si="4"/>
        <v>0</v>
      </c>
      <c r="R667" s="36" t="str">
        <f t="array" ref="R667">IF(B667="","",INDEX('Bán nhanh'!$C$4:$C$103,INT((ROW()-4)/10)+1))</f>
        <v/>
      </c>
      <c r="S667" s="36" t="str">
        <f t="array" ref="S667">IF(B667="","",INDEX('Bán nhanh'!$P$4:$P$103,INT((ROW()-4)/10)+1))</f>
        <v/>
      </c>
      <c r="T667" s="36"/>
      <c r="U667" s="36"/>
      <c r="V667" s="36"/>
      <c r="W667" s="36"/>
      <c r="X667" s="36"/>
      <c r="Y667" s="36"/>
      <c r="Z667" s="36"/>
    </row>
    <row r="668" ht="15.75" customHeight="1">
      <c r="A668" s="96" t="str">
        <f t="array" ref="A668">IF(B668="","",INDEX('Bán nhanh'!$A$4:$A$103,INT((ROW()-4)/10)+1))</f>
        <v/>
      </c>
      <c r="B668" s="36" t="str">
        <f t="array" ref="B668">IF(OR(INDEX('Bán nhanh'!$D$3:$M$3,1,MOD(ROW()-4,10)+1)="",INDEX('Bán nhanh'!$D$4:$M$103,INT((ROW()-4)/10)+1,MOD(ROW()-4,10)+1)&lt;=0),"",INDEX('Bán nhanh'!$D$3:$M$3,1,MOD(ROW()-4,10)+1))</f>
        <v/>
      </c>
      <c r="C668" s="36" t="str">
        <f t="array" ref="C668">IFERROR(INDEX('Sản phẩm'!$A$4:$A$103,MATCH(B668,'Sản phẩm'!$D$4:$D$103,0)),"")</f>
        <v/>
      </c>
      <c r="D668" s="36" t="str">
        <f t="array" ref="D668">IF(B668="","",INDEX('Bán nhanh'!$B$4:$B$103,INT((ROW()-4)/10)+1))</f>
        <v/>
      </c>
      <c r="E668" s="36" t="str">
        <f t="array" ref="E668">IFERROR(INDEX('Mẻ sữa'!$B$4:$B$203,MATCH(D668,'Mẻ sữa'!$C$4:$C$203,0)),"")</f>
        <v/>
      </c>
      <c r="F668" s="82">
        <f t="array" ref="F668">IF(B668="",0,INDEX('Bán nhanh'!$D$4:$M$103,INT((ROW()-4)/10)+1,MOD(ROW()-4,10)+1))</f>
        <v>0</v>
      </c>
      <c r="G668" s="83">
        <f t="array" ref="G668">IFERROR(INDEX('Sản phẩm'!$F$4:$F$103,MATCH(B668,'Sản phẩm'!$D$4:$D$103,0)),0)</f>
        <v>0</v>
      </c>
      <c r="H668" s="83">
        <f t="shared" si="5"/>
        <v>0</v>
      </c>
      <c r="I668" s="83">
        <f t="shared" si="1"/>
        <v>0</v>
      </c>
      <c r="J668" s="83">
        <f t="array" ref="J668">IFERROR(INDEX('Sản phẩm'!$G$4:$G$103,MATCH(B668,'Sản phẩm'!$D$4:$D$103,0)),0)</f>
        <v>0</v>
      </c>
      <c r="K668" s="83">
        <f t="array" ref="K668">IFERROR(J668*INDEX('Mẻ sữa'!$N$4:$N$203,MATCH(D668,'Mẻ sữa'!$C$4:$C$203,0)),0)</f>
        <v>0</v>
      </c>
      <c r="L668" s="83">
        <f t="array" ref="L668">IFERROR(INDEX('Sản phẩm'!$I$4:$I$103,MATCH(B668,'Sản phẩm'!$D$4:$D$103,0)),0)</f>
        <v>0</v>
      </c>
      <c r="M668" s="97" t="str">
        <f t="array" ref="M668">IFERROR(INDEX('Sản phẩm'!$J$4:$J$103,MATCH(B668,'Sản phẩm'!$D$4:$D$103,0)),0)</f>
        <v/>
      </c>
      <c r="N668" s="83">
        <f>IF(B668="",0,(K668+L668+M668)*'Thiết lập'!$B$8)</f>
        <v>0</v>
      </c>
      <c r="O668" s="83">
        <f t="shared" si="2"/>
        <v>0</v>
      </c>
      <c r="P668" s="83">
        <f t="shared" si="3"/>
        <v>0</v>
      </c>
      <c r="Q668" s="83">
        <f t="shared" si="4"/>
        <v>0</v>
      </c>
      <c r="R668" s="36" t="str">
        <f t="array" ref="R668">IF(B668="","",INDEX('Bán nhanh'!$C$4:$C$103,INT((ROW()-4)/10)+1))</f>
        <v/>
      </c>
      <c r="S668" s="36" t="str">
        <f t="array" ref="S668">IF(B668="","",INDEX('Bán nhanh'!$P$4:$P$103,INT((ROW()-4)/10)+1))</f>
        <v/>
      </c>
      <c r="T668" s="36"/>
      <c r="U668" s="36"/>
      <c r="V668" s="36"/>
      <c r="W668" s="36"/>
      <c r="X668" s="36"/>
      <c r="Y668" s="36"/>
      <c r="Z668" s="36"/>
    </row>
    <row r="669" ht="15.75" customHeight="1">
      <c r="A669" s="96" t="str">
        <f t="array" ref="A669">IF(B669="","",INDEX('Bán nhanh'!$A$4:$A$103,INT((ROW()-4)/10)+1))</f>
        <v/>
      </c>
      <c r="B669" s="36" t="str">
        <f t="array" ref="B669">IF(OR(INDEX('Bán nhanh'!$D$3:$M$3,1,MOD(ROW()-4,10)+1)="",INDEX('Bán nhanh'!$D$4:$M$103,INT((ROW()-4)/10)+1,MOD(ROW()-4,10)+1)&lt;=0),"",INDEX('Bán nhanh'!$D$3:$M$3,1,MOD(ROW()-4,10)+1))</f>
        <v/>
      </c>
      <c r="C669" s="36" t="str">
        <f t="array" ref="C669">IFERROR(INDEX('Sản phẩm'!$A$4:$A$103,MATCH(B669,'Sản phẩm'!$D$4:$D$103,0)),"")</f>
        <v/>
      </c>
      <c r="D669" s="36" t="str">
        <f t="array" ref="D669">IF(B669="","",INDEX('Bán nhanh'!$B$4:$B$103,INT((ROW()-4)/10)+1))</f>
        <v/>
      </c>
      <c r="E669" s="36" t="str">
        <f t="array" ref="E669">IFERROR(INDEX('Mẻ sữa'!$B$4:$B$203,MATCH(D669,'Mẻ sữa'!$C$4:$C$203,0)),"")</f>
        <v/>
      </c>
      <c r="F669" s="82">
        <f t="array" ref="F669">IF(B669="",0,INDEX('Bán nhanh'!$D$4:$M$103,INT((ROW()-4)/10)+1,MOD(ROW()-4,10)+1))</f>
        <v>0</v>
      </c>
      <c r="G669" s="83">
        <f t="array" ref="G669">IFERROR(INDEX('Sản phẩm'!$F$4:$F$103,MATCH(B669,'Sản phẩm'!$D$4:$D$103,0)),0)</f>
        <v>0</v>
      </c>
      <c r="H669" s="83">
        <f t="shared" si="5"/>
        <v>0</v>
      </c>
      <c r="I669" s="83">
        <f t="shared" si="1"/>
        <v>0</v>
      </c>
      <c r="J669" s="83">
        <f t="array" ref="J669">IFERROR(INDEX('Sản phẩm'!$G$4:$G$103,MATCH(B669,'Sản phẩm'!$D$4:$D$103,0)),0)</f>
        <v>0</v>
      </c>
      <c r="K669" s="83">
        <f t="array" ref="K669">IFERROR(J669*INDEX('Mẻ sữa'!$N$4:$N$203,MATCH(D669,'Mẻ sữa'!$C$4:$C$203,0)),0)</f>
        <v>0</v>
      </c>
      <c r="L669" s="83">
        <f t="array" ref="L669">IFERROR(INDEX('Sản phẩm'!$I$4:$I$103,MATCH(B669,'Sản phẩm'!$D$4:$D$103,0)),0)</f>
        <v>0</v>
      </c>
      <c r="M669" s="97" t="str">
        <f t="array" ref="M669">IFERROR(INDEX('Sản phẩm'!$J$4:$J$103,MATCH(B669,'Sản phẩm'!$D$4:$D$103,0)),0)</f>
        <v/>
      </c>
      <c r="N669" s="83">
        <f>IF(B669="",0,(K669+L669+M669)*'Thiết lập'!$B$8)</f>
        <v>0</v>
      </c>
      <c r="O669" s="83">
        <f t="shared" si="2"/>
        <v>0</v>
      </c>
      <c r="P669" s="83">
        <f t="shared" si="3"/>
        <v>0</v>
      </c>
      <c r="Q669" s="83">
        <f t="shared" si="4"/>
        <v>0</v>
      </c>
      <c r="R669" s="36" t="str">
        <f t="array" ref="R669">IF(B669="","",INDEX('Bán nhanh'!$C$4:$C$103,INT((ROW()-4)/10)+1))</f>
        <v/>
      </c>
      <c r="S669" s="36" t="str">
        <f t="array" ref="S669">IF(B669="","",INDEX('Bán nhanh'!$P$4:$P$103,INT((ROW()-4)/10)+1))</f>
        <v/>
      </c>
      <c r="T669" s="36"/>
      <c r="U669" s="36"/>
      <c r="V669" s="36"/>
      <c r="W669" s="36"/>
      <c r="X669" s="36"/>
      <c r="Y669" s="36"/>
      <c r="Z669" s="36"/>
    </row>
    <row r="670" ht="15.75" customHeight="1">
      <c r="A670" s="96" t="str">
        <f t="array" ref="A670">IF(B670="","",INDEX('Bán nhanh'!$A$4:$A$103,INT((ROW()-4)/10)+1))</f>
        <v/>
      </c>
      <c r="B670" s="36" t="str">
        <f t="array" ref="B670">IF(OR(INDEX('Bán nhanh'!$D$3:$M$3,1,MOD(ROW()-4,10)+1)="",INDEX('Bán nhanh'!$D$4:$M$103,INT((ROW()-4)/10)+1,MOD(ROW()-4,10)+1)&lt;=0),"",INDEX('Bán nhanh'!$D$3:$M$3,1,MOD(ROW()-4,10)+1))</f>
        <v/>
      </c>
      <c r="C670" s="36" t="str">
        <f t="array" ref="C670">IFERROR(INDEX('Sản phẩm'!$A$4:$A$103,MATCH(B670,'Sản phẩm'!$D$4:$D$103,0)),"")</f>
        <v/>
      </c>
      <c r="D670" s="36" t="str">
        <f t="array" ref="D670">IF(B670="","",INDEX('Bán nhanh'!$B$4:$B$103,INT((ROW()-4)/10)+1))</f>
        <v/>
      </c>
      <c r="E670" s="36" t="str">
        <f t="array" ref="E670">IFERROR(INDEX('Mẻ sữa'!$B$4:$B$203,MATCH(D670,'Mẻ sữa'!$C$4:$C$203,0)),"")</f>
        <v/>
      </c>
      <c r="F670" s="82">
        <f t="array" ref="F670">IF(B670="",0,INDEX('Bán nhanh'!$D$4:$M$103,INT((ROW()-4)/10)+1,MOD(ROW()-4,10)+1))</f>
        <v>0</v>
      </c>
      <c r="G670" s="83">
        <f t="array" ref="G670">IFERROR(INDEX('Sản phẩm'!$F$4:$F$103,MATCH(B670,'Sản phẩm'!$D$4:$D$103,0)),0)</f>
        <v>0</v>
      </c>
      <c r="H670" s="83">
        <f t="shared" si="5"/>
        <v>0</v>
      </c>
      <c r="I670" s="83">
        <f t="shared" si="1"/>
        <v>0</v>
      </c>
      <c r="J670" s="83">
        <f t="array" ref="J670">IFERROR(INDEX('Sản phẩm'!$G$4:$G$103,MATCH(B670,'Sản phẩm'!$D$4:$D$103,0)),0)</f>
        <v>0</v>
      </c>
      <c r="K670" s="83">
        <f t="array" ref="K670">IFERROR(J670*INDEX('Mẻ sữa'!$N$4:$N$203,MATCH(D670,'Mẻ sữa'!$C$4:$C$203,0)),0)</f>
        <v>0</v>
      </c>
      <c r="L670" s="83">
        <f t="array" ref="L670">IFERROR(INDEX('Sản phẩm'!$I$4:$I$103,MATCH(B670,'Sản phẩm'!$D$4:$D$103,0)),0)</f>
        <v>0</v>
      </c>
      <c r="M670" s="97" t="str">
        <f t="array" ref="M670">IFERROR(INDEX('Sản phẩm'!$J$4:$J$103,MATCH(B670,'Sản phẩm'!$D$4:$D$103,0)),0)</f>
        <v/>
      </c>
      <c r="N670" s="83">
        <f>IF(B670="",0,(K670+L670+M670)*'Thiết lập'!$B$8)</f>
        <v>0</v>
      </c>
      <c r="O670" s="83">
        <f t="shared" si="2"/>
        <v>0</v>
      </c>
      <c r="P670" s="83">
        <f t="shared" si="3"/>
        <v>0</v>
      </c>
      <c r="Q670" s="83">
        <f t="shared" si="4"/>
        <v>0</v>
      </c>
      <c r="R670" s="36" t="str">
        <f t="array" ref="R670">IF(B670="","",INDEX('Bán nhanh'!$C$4:$C$103,INT((ROW()-4)/10)+1))</f>
        <v/>
      </c>
      <c r="S670" s="36" t="str">
        <f t="array" ref="S670">IF(B670="","",INDEX('Bán nhanh'!$P$4:$P$103,INT((ROW()-4)/10)+1))</f>
        <v/>
      </c>
      <c r="T670" s="36"/>
      <c r="U670" s="36"/>
      <c r="V670" s="36"/>
      <c r="W670" s="36"/>
      <c r="X670" s="36"/>
      <c r="Y670" s="36"/>
      <c r="Z670" s="36"/>
    </row>
    <row r="671" ht="15.75" customHeight="1">
      <c r="A671" s="96" t="str">
        <f t="array" ref="A671">IF(B671="","",INDEX('Bán nhanh'!$A$4:$A$103,INT((ROW()-4)/10)+1))</f>
        <v/>
      </c>
      <c r="B671" s="36" t="str">
        <f t="array" ref="B671">IF(OR(INDEX('Bán nhanh'!$D$3:$M$3,1,MOD(ROW()-4,10)+1)="",INDEX('Bán nhanh'!$D$4:$M$103,INT((ROW()-4)/10)+1,MOD(ROW()-4,10)+1)&lt;=0),"",INDEX('Bán nhanh'!$D$3:$M$3,1,MOD(ROW()-4,10)+1))</f>
        <v/>
      </c>
      <c r="C671" s="36" t="str">
        <f t="array" ref="C671">IFERROR(INDEX('Sản phẩm'!$A$4:$A$103,MATCH(B671,'Sản phẩm'!$D$4:$D$103,0)),"")</f>
        <v/>
      </c>
      <c r="D671" s="36" t="str">
        <f t="array" ref="D671">IF(B671="","",INDEX('Bán nhanh'!$B$4:$B$103,INT((ROW()-4)/10)+1))</f>
        <v/>
      </c>
      <c r="E671" s="36" t="str">
        <f t="array" ref="E671">IFERROR(INDEX('Mẻ sữa'!$B$4:$B$203,MATCH(D671,'Mẻ sữa'!$C$4:$C$203,0)),"")</f>
        <v/>
      </c>
      <c r="F671" s="82">
        <f t="array" ref="F671">IF(B671="",0,INDEX('Bán nhanh'!$D$4:$M$103,INT((ROW()-4)/10)+1,MOD(ROW()-4,10)+1))</f>
        <v>0</v>
      </c>
      <c r="G671" s="83">
        <f t="array" ref="G671">IFERROR(INDEX('Sản phẩm'!$F$4:$F$103,MATCH(B671,'Sản phẩm'!$D$4:$D$103,0)),0)</f>
        <v>0</v>
      </c>
      <c r="H671" s="83">
        <f t="shared" si="5"/>
        <v>0</v>
      </c>
      <c r="I671" s="83">
        <f t="shared" si="1"/>
        <v>0</v>
      </c>
      <c r="J671" s="83">
        <f t="array" ref="J671">IFERROR(INDEX('Sản phẩm'!$G$4:$G$103,MATCH(B671,'Sản phẩm'!$D$4:$D$103,0)),0)</f>
        <v>0</v>
      </c>
      <c r="K671" s="83">
        <f t="array" ref="K671">IFERROR(J671*INDEX('Mẻ sữa'!$N$4:$N$203,MATCH(D671,'Mẻ sữa'!$C$4:$C$203,0)),0)</f>
        <v>0</v>
      </c>
      <c r="L671" s="83">
        <f t="array" ref="L671">IFERROR(INDEX('Sản phẩm'!$I$4:$I$103,MATCH(B671,'Sản phẩm'!$D$4:$D$103,0)),0)</f>
        <v>0</v>
      </c>
      <c r="M671" s="97" t="str">
        <f t="array" ref="M671">IFERROR(INDEX('Sản phẩm'!$J$4:$J$103,MATCH(B671,'Sản phẩm'!$D$4:$D$103,0)),0)</f>
        <v/>
      </c>
      <c r="N671" s="83">
        <f>IF(B671="",0,(K671+L671+M671)*'Thiết lập'!$B$8)</f>
        <v>0</v>
      </c>
      <c r="O671" s="83">
        <f t="shared" si="2"/>
        <v>0</v>
      </c>
      <c r="P671" s="83">
        <f t="shared" si="3"/>
        <v>0</v>
      </c>
      <c r="Q671" s="83">
        <f t="shared" si="4"/>
        <v>0</v>
      </c>
      <c r="R671" s="36" t="str">
        <f t="array" ref="R671">IF(B671="","",INDEX('Bán nhanh'!$C$4:$C$103,INT((ROW()-4)/10)+1))</f>
        <v/>
      </c>
      <c r="S671" s="36" t="str">
        <f t="array" ref="S671">IF(B671="","",INDEX('Bán nhanh'!$P$4:$P$103,INT((ROW()-4)/10)+1))</f>
        <v/>
      </c>
      <c r="T671" s="36"/>
      <c r="U671" s="36"/>
      <c r="V671" s="36"/>
      <c r="W671" s="36"/>
      <c r="X671" s="36"/>
      <c r="Y671" s="36"/>
      <c r="Z671" s="36"/>
    </row>
    <row r="672" ht="15.75" customHeight="1">
      <c r="A672" s="96" t="str">
        <f t="array" ref="A672">IF(B672="","",INDEX('Bán nhanh'!$A$4:$A$103,INT((ROW()-4)/10)+1))</f>
        <v/>
      </c>
      <c r="B672" s="36" t="str">
        <f t="array" ref="B672">IF(OR(INDEX('Bán nhanh'!$D$3:$M$3,1,MOD(ROW()-4,10)+1)="",INDEX('Bán nhanh'!$D$4:$M$103,INT((ROW()-4)/10)+1,MOD(ROW()-4,10)+1)&lt;=0),"",INDEX('Bán nhanh'!$D$3:$M$3,1,MOD(ROW()-4,10)+1))</f>
        <v/>
      </c>
      <c r="C672" s="36" t="str">
        <f t="array" ref="C672">IFERROR(INDEX('Sản phẩm'!$A$4:$A$103,MATCH(B672,'Sản phẩm'!$D$4:$D$103,0)),"")</f>
        <v/>
      </c>
      <c r="D672" s="36" t="str">
        <f t="array" ref="D672">IF(B672="","",INDEX('Bán nhanh'!$B$4:$B$103,INT((ROW()-4)/10)+1))</f>
        <v/>
      </c>
      <c r="E672" s="36" t="str">
        <f t="array" ref="E672">IFERROR(INDEX('Mẻ sữa'!$B$4:$B$203,MATCH(D672,'Mẻ sữa'!$C$4:$C$203,0)),"")</f>
        <v/>
      </c>
      <c r="F672" s="82">
        <f t="array" ref="F672">IF(B672="",0,INDEX('Bán nhanh'!$D$4:$M$103,INT((ROW()-4)/10)+1,MOD(ROW()-4,10)+1))</f>
        <v>0</v>
      </c>
      <c r="G672" s="83">
        <f t="array" ref="G672">IFERROR(INDEX('Sản phẩm'!$F$4:$F$103,MATCH(B672,'Sản phẩm'!$D$4:$D$103,0)),0)</f>
        <v>0</v>
      </c>
      <c r="H672" s="83">
        <f t="shared" si="5"/>
        <v>0</v>
      </c>
      <c r="I672" s="83">
        <f t="shared" si="1"/>
        <v>0</v>
      </c>
      <c r="J672" s="83">
        <f t="array" ref="J672">IFERROR(INDEX('Sản phẩm'!$G$4:$G$103,MATCH(B672,'Sản phẩm'!$D$4:$D$103,0)),0)</f>
        <v>0</v>
      </c>
      <c r="K672" s="83">
        <f t="array" ref="K672">IFERROR(J672*INDEX('Mẻ sữa'!$N$4:$N$203,MATCH(D672,'Mẻ sữa'!$C$4:$C$203,0)),0)</f>
        <v>0</v>
      </c>
      <c r="L672" s="83">
        <f t="array" ref="L672">IFERROR(INDEX('Sản phẩm'!$I$4:$I$103,MATCH(B672,'Sản phẩm'!$D$4:$D$103,0)),0)</f>
        <v>0</v>
      </c>
      <c r="M672" s="97" t="str">
        <f t="array" ref="M672">IFERROR(INDEX('Sản phẩm'!$J$4:$J$103,MATCH(B672,'Sản phẩm'!$D$4:$D$103,0)),0)</f>
        <v/>
      </c>
      <c r="N672" s="83">
        <f>IF(B672="",0,(K672+L672+M672)*'Thiết lập'!$B$8)</f>
        <v>0</v>
      </c>
      <c r="O672" s="83">
        <f t="shared" si="2"/>
        <v>0</v>
      </c>
      <c r="P672" s="83">
        <f t="shared" si="3"/>
        <v>0</v>
      </c>
      <c r="Q672" s="83">
        <f t="shared" si="4"/>
        <v>0</v>
      </c>
      <c r="R672" s="36" t="str">
        <f t="array" ref="R672">IF(B672="","",INDEX('Bán nhanh'!$C$4:$C$103,INT((ROW()-4)/10)+1))</f>
        <v/>
      </c>
      <c r="S672" s="36" t="str">
        <f t="array" ref="S672">IF(B672="","",INDEX('Bán nhanh'!$P$4:$P$103,INT((ROW()-4)/10)+1))</f>
        <v/>
      </c>
      <c r="T672" s="36"/>
      <c r="U672" s="36"/>
      <c r="V672" s="36"/>
      <c r="W672" s="36"/>
      <c r="X672" s="36"/>
      <c r="Y672" s="36"/>
      <c r="Z672" s="36"/>
    </row>
    <row r="673" ht="15.75" customHeight="1">
      <c r="A673" s="96" t="str">
        <f t="array" ref="A673">IF(B673="","",INDEX('Bán nhanh'!$A$4:$A$103,INT((ROW()-4)/10)+1))</f>
        <v/>
      </c>
      <c r="B673" s="36" t="str">
        <f t="array" ref="B673">IF(OR(INDEX('Bán nhanh'!$D$3:$M$3,1,MOD(ROW()-4,10)+1)="",INDEX('Bán nhanh'!$D$4:$M$103,INT((ROW()-4)/10)+1,MOD(ROW()-4,10)+1)&lt;=0),"",INDEX('Bán nhanh'!$D$3:$M$3,1,MOD(ROW()-4,10)+1))</f>
        <v/>
      </c>
      <c r="C673" s="36" t="str">
        <f t="array" ref="C673">IFERROR(INDEX('Sản phẩm'!$A$4:$A$103,MATCH(B673,'Sản phẩm'!$D$4:$D$103,0)),"")</f>
        <v/>
      </c>
      <c r="D673" s="36" t="str">
        <f t="array" ref="D673">IF(B673="","",INDEX('Bán nhanh'!$B$4:$B$103,INT((ROW()-4)/10)+1))</f>
        <v/>
      </c>
      <c r="E673" s="36" t="str">
        <f t="array" ref="E673">IFERROR(INDEX('Mẻ sữa'!$B$4:$B$203,MATCH(D673,'Mẻ sữa'!$C$4:$C$203,0)),"")</f>
        <v/>
      </c>
      <c r="F673" s="82">
        <f t="array" ref="F673">IF(B673="",0,INDEX('Bán nhanh'!$D$4:$M$103,INT((ROW()-4)/10)+1,MOD(ROW()-4,10)+1))</f>
        <v>0</v>
      </c>
      <c r="G673" s="83">
        <f t="array" ref="G673">IFERROR(INDEX('Sản phẩm'!$F$4:$F$103,MATCH(B673,'Sản phẩm'!$D$4:$D$103,0)),0)</f>
        <v>0</v>
      </c>
      <c r="H673" s="83">
        <f t="shared" si="5"/>
        <v>0</v>
      </c>
      <c r="I673" s="83">
        <f t="shared" si="1"/>
        <v>0</v>
      </c>
      <c r="J673" s="83">
        <f t="array" ref="J673">IFERROR(INDEX('Sản phẩm'!$G$4:$G$103,MATCH(B673,'Sản phẩm'!$D$4:$D$103,0)),0)</f>
        <v>0</v>
      </c>
      <c r="K673" s="83">
        <f t="array" ref="K673">IFERROR(J673*INDEX('Mẻ sữa'!$N$4:$N$203,MATCH(D673,'Mẻ sữa'!$C$4:$C$203,0)),0)</f>
        <v>0</v>
      </c>
      <c r="L673" s="83">
        <f t="array" ref="L673">IFERROR(INDEX('Sản phẩm'!$I$4:$I$103,MATCH(B673,'Sản phẩm'!$D$4:$D$103,0)),0)</f>
        <v>0</v>
      </c>
      <c r="M673" s="97" t="str">
        <f t="array" ref="M673">IFERROR(INDEX('Sản phẩm'!$J$4:$J$103,MATCH(B673,'Sản phẩm'!$D$4:$D$103,0)),0)</f>
        <v/>
      </c>
      <c r="N673" s="83">
        <f>IF(B673="",0,(K673+L673+M673)*'Thiết lập'!$B$8)</f>
        <v>0</v>
      </c>
      <c r="O673" s="83">
        <f t="shared" si="2"/>
        <v>0</v>
      </c>
      <c r="P673" s="83">
        <f t="shared" si="3"/>
        <v>0</v>
      </c>
      <c r="Q673" s="83">
        <f t="shared" si="4"/>
        <v>0</v>
      </c>
      <c r="R673" s="36" t="str">
        <f t="array" ref="R673">IF(B673="","",INDEX('Bán nhanh'!$C$4:$C$103,INT((ROW()-4)/10)+1))</f>
        <v/>
      </c>
      <c r="S673" s="36" t="str">
        <f t="array" ref="S673">IF(B673="","",INDEX('Bán nhanh'!$P$4:$P$103,INT((ROW()-4)/10)+1))</f>
        <v/>
      </c>
      <c r="T673" s="36"/>
      <c r="U673" s="36"/>
      <c r="V673" s="36"/>
      <c r="W673" s="36"/>
      <c r="X673" s="36"/>
      <c r="Y673" s="36"/>
      <c r="Z673" s="36"/>
    </row>
    <row r="674" ht="15.75" customHeight="1">
      <c r="A674" s="96" t="str">
        <f t="array" ref="A674">IF(B674="","",INDEX('Bán nhanh'!$A$4:$A$103,INT((ROW()-4)/10)+1))</f>
        <v/>
      </c>
      <c r="B674" s="36" t="str">
        <f t="array" ref="B674">IF(OR(INDEX('Bán nhanh'!$D$3:$M$3,1,MOD(ROW()-4,10)+1)="",INDEX('Bán nhanh'!$D$4:$M$103,INT((ROW()-4)/10)+1,MOD(ROW()-4,10)+1)&lt;=0),"",INDEX('Bán nhanh'!$D$3:$M$3,1,MOD(ROW()-4,10)+1))</f>
        <v/>
      </c>
      <c r="C674" s="36" t="str">
        <f t="array" ref="C674">IFERROR(INDEX('Sản phẩm'!$A$4:$A$103,MATCH(B674,'Sản phẩm'!$D$4:$D$103,0)),"")</f>
        <v/>
      </c>
      <c r="D674" s="36" t="str">
        <f t="array" ref="D674">IF(B674="","",INDEX('Bán nhanh'!$B$4:$B$103,INT((ROW()-4)/10)+1))</f>
        <v/>
      </c>
      <c r="E674" s="36" t="str">
        <f t="array" ref="E674">IFERROR(INDEX('Mẻ sữa'!$B$4:$B$203,MATCH(D674,'Mẻ sữa'!$C$4:$C$203,0)),"")</f>
        <v/>
      </c>
      <c r="F674" s="82">
        <f t="array" ref="F674">IF(B674="",0,INDEX('Bán nhanh'!$D$4:$M$103,INT((ROW()-4)/10)+1,MOD(ROW()-4,10)+1))</f>
        <v>0</v>
      </c>
      <c r="G674" s="83">
        <f t="array" ref="G674">IFERROR(INDEX('Sản phẩm'!$F$4:$F$103,MATCH(B674,'Sản phẩm'!$D$4:$D$103,0)),0)</f>
        <v>0</v>
      </c>
      <c r="H674" s="83">
        <f t="shared" si="5"/>
        <v>0</v>
      </c>
      <c r="I674" s="83">
        <f t="shared" si="1"/>
        <v>0</v>
      </c>
      <c r="J674" s="83">
        <f t="array" ref="J674">IFERROR(INDEX('Sản phẩm'!$G$4:$G$103,MATCH(B674,'Sản phẩm'!$D$4:$D$103,0)),0)</f>
        <v>0</v>
      </c>
      <c r="K674" s="83">
        <f t="array" ref="K674">IFERROR(J674*INDEX('Mẻ sữa'!$N$4:$N$203,MATCH(D674,'Mẻ sữa'!$C$4:$C$203,0)),0)</f>
        <v>0</v>
      </c>
      <c r="L674" s="83">
        <f t="array" ref="L674">IFERROR(INDEX('Sản phẩm'!$I$4:$I$103,MATCH(B674,'Sản phẩm'!$D$4:$D$103,0)),0)</f>
        <v>0</v>
      </c>
      <c r="M674" s="97" t="str">
        <f t="array" ref="M674">IFERROR(INDEX('Sản phẩm'!$J$4:$J$103,MATCH(B674,'Sản phẩm'!$D$4:$D$103,0)),0)</f>
        <v/>
      </c>
      <c r="N674" s="83">
        <f>IF(B674="",0,(K674+L674+M674)*'Thiết lập'!$B$8)</f>
        <v>0</v>
      </c>
      <c r="O674" s="83">
        <f t="shared" si="2"/>
        <v>0</v>
      </c>
      <c r="P674" s="83">
        <f t="shared" si="3"/>
        <v>0</v>
      </c>
      <c r="Q674" s="83">
        <f t="shared" si="4"/>
        <v>0</v>
      </c>
      <c r="R674" s="36" t="str">
        <f t="array" ref="R674">IF(B674="","",INDEX('Bán nhanh'!$C$4:$C$103,INT((ROW()-4)/10)+1))</f>
        <v/>
      </c>
      <c r="S674" s="36" t="str">
        <f t="array" ref="S674">IF(B674="","",INDEX('Bán nhanh'!$P$4:$P$103,INT((ROW()-4)/10)+1))</f>
        <v/>
      </c>
      <c r="T674" s="36"/>
      <c r="U674" s="36"/>
      <c r="V674" s="36"/>
      <c r="W674" s="36"/>
      <c r="X674" s="36"/>
      <c r="Y674" s="36"/>
      <c r="Z674" s="36"/>
    </row>
    <row r="675" ht="15.75" customHeight="1">
      <c r="A675" s="96" t="str">
        <f t="array" ref="A675">IF(B675="","",INDEX('Bán nhanh'!$A$4:$A$103,INT((ROW()-4)/10)+1))</f>
        <v/>
      </c>
      <c r="B675" s="36" t="str">
        <f t="array" ref="B675">IF(OR(INDEX('Bán nhanh'!$D$3:$M$3,1,MOD(ROW()-4,10)+1)="",INDEX('Bán nhanh'!$D$4:$M$103,INT((ROW()-4)/10)+1,MOD(ROW()-4,10)+1)&lt;=0),"",INDEX('Bán nhanh'!$D$3:$M$3,1,MOD(ROW()-4,10)+1))</f>
        <v/>
      </c>
      <c r="C675" s="36" t="str">
        <f t="array" ref="C675">IFERROR(INDEX('Sản phẩm'!$A$4:$A$103,MATCH(B675,'Sản phẩm'!$D$4:$D$103,0)),"")</f>
        <v/>
      </c>
      <c r="D675" s="36" t="str">
        <f t="array" ref="D675">IF(B675="","",INDEX('Bán nhanh'!$B$4:$B$103,INT((ROW()-4)/10)+1))</f>
        <v/>
      </c>
      <c r="E675" s="36" t="str">
        <f t="array" ref="E675">IFERROR(INDEX('Mẻ sữa'!$B$4:$B$203,MATCH(D675,'Mẻ sữa'!$C$4:$C$203,0)),"")</f>
        <v/>
      </c>
      <c r="F675" s="82">
        <f t="array" ref="F675">IF(B675="",0,INDEX('Bán nhanh'!$D$4:$M$103,INT((ROW()-4)/10)+1,MOD(ROW()-4,10)+1))</f>
        <v>0</v>
      </c>
      <c r="G675" s="83">
        <f t="array" ref="G675">IFERROR(INDEX('Sản phẩm'!$F$4:$F$103,MATCH(B675,'Sản phẩm'!$D$4:$D$103,0)),0)</f>
        <v>0</v>
      </c>
      <c r="H675" s="83">
        <f t="shared" si="5"/>
        <v>0</v>
      </c>
      <c r="I675" s="83">
        <f t="shared" si="1"/>
        <v>0</v>
      </c>
      <c r="J675" s="83">
        <f t="array" ref="J675">IFERROR(INDEX('Sản phẩm'!$G$4:$G$103,MATCH(B675,'Sản phẩm'!$D$4:$D$103,0)),0)</f>
        <v>0</v>
      </c>
      <c r="K675" s="83">
        <f t="array" ref="K675">IFERROR(J675*INDEX('Mẻ sữa'!$N$4:$N$203,MATCH(D675,'Mẻ sữa'!$C$4:$C$203,0)),0)</f>
        <v>0</v>
      </c>
      <c r="L675" s="83">
        <f t="array" ref="L675">IFERROR(INDEX('Sản phẩm'!$I$4:$I$103,MATCH(B675,'Sản phẩm'!$D$4:$D$103,0)),0)</f>
        <v>0</v>
      </c>
      <c r="M675" s="97" t="str">
        <f t="array" ref="M675">IFERROR(INDEX('Sản phẩm'!$J$4:$J$103,MATCH(B675,'Sản phẩm'!$D$4:$D$103,0)),0)</f>
        <v/>
      </c>
      <c r="N675" s="83">
        <f>IF(B675="",0,(K675+L675+M675)*'Thiết lập'!$B$8)</f>
        <v>0</v>
      </c>
      <c r="O675" s="83">
        <f t="shared" si="2"/>
        <v>0</v>
      </c>
      <c r="P675" s="83">
        <f t="shared" si="3"/>
        <v>0</v>
      </c>
      <c r="Q675" s="83">
        <f t="shared" si="4"/>
        <v>0</v>
      </c>
      <c r="R675" s="36" t="str">
        <f t="array" ref="R675">IF(B675="","",INDEX('Bán nhanh'!$C$4:$C$103,INT((ROW()-4)/10)+1))</f>
        <v/>
      </c>
      <c r="S675" s="36" t="str">
        <f t="array" ref="S675">IF(B675="","",INDEX('Bán nhanh'!$P$4:$P$103,INT((ROW()-4)/10)+1))</f>
        <v/>
      </c>
      <c r="T675" s="36"/>
      <c r="U675" s="36"/>
      <c r="V675" s="36"/>
      <c r="W675" s="36"/>
      <c r="X675" s="36"/>
      <c r="Y675" s="36"/>
      <c r="Z675" s="36"/>
    </row>
    <row r="676" ht="15.75" customHeight="1">
      <c r="A676" s="96" t="str">
        <f t="array" ref="A676">IF(B676="","",INDEX('Bán nhanh'!$A$4:$A$103,INT((ROW()-4)/10)+1))</f>
        <v/>
      </c>
      <c r="B676" s="36" t="str">
        <f t="array" ref="B676">IF(OR(INDEX('Bán nhanh'!$D$3:$M$3,1,MOD(ROW()-4,10)+1)="",INDEX('Bán nhanh'!$D$4:$M$103,INT((ROW()-4)/10)+1,MOD(ROW()-4,10)+1)&lt;=0),"",INDEX('Bán nhanh'!$D$3:$M$3,1,MOD(ROW()-4,10)+1))</f>
        <v/>
      </c>
      <c r="C676" s="36" t="str">
        <f t="array" ref="C676">IFERROR(INDEX('Sản phẩm'!$A$4:$A$103,MATCH(B676,'Sản phẩm'!$D$4:$D$103,0)),"")</f>
        <v/>
      </c>
      <c r="D676" s="36" t="str">
        <f t="array" ref="D676">IF(B676="","",INDEX('Bán nhanh'!$B$4:$B$103,INT((ROW()-4)/10)+1))</f>
        <v/>
      </c>
      <c r="E676" s="36" t="str">
        <f t="array" ref="E676">IFERROR(INDEX('Mẻ sữa'!$B$4:$B$203,MATCH(D676,'Mẻ sữa'!$C$4:$C$203,0)),"")</f>
        <v/>
      </c>
      <c r="F676" s="82">
        <f t="array" ref="F676">IF(B676="",0,INDEX('Bán nhanh'!$D$4:$M$103,INT((ROW()-4)/10)+1,MOD(ROW()-4,10)+1))</f>
        <v>0</v>
      </c>
      <c r="G676" s="83">
        <f t="array" ref="G676">IFERROR(INDEX('Sản phẩm'!$F$4:$F$103,MATCH(B676,'Sản phẩm'!$D$4:$D$103,0)),0)</f>
        <v>0</v>
      </c>
      <c r="H676" s="83">
        <f t="shared" si="5"/>
        <v>0</v>
      </c>
      <c r="I676" s="83">
        <f t="shared" si="1"/>
        <v>0</v>
      </c>
      <c r="J676" s="83">
        <f t="array" ref="J676">IFERROR(INDEX('Sản phẩm'!$G$4:$G$103,MATCH(B676,'Sản phẩm'!$D$4:$D$103,0)),0)</f>
        <v>0</v>
      </c>
      <c r="K676" s="83">
        <f t="array" ref="K676">IFERROR(J676*INDEX('Mẻ sữa'!$N$4:$N$203,MATCH(D676,'Mẻ sữa'!$C$4:$C$203,0)),0)</f>
        <v>0</v>
      </c>
      <c r="L676" s="83">
        <f t="array" ref="L676">IFERROR(INDEX('Sản phẩm'!$I$4:$I$103,MATCH(B676,'Sản phẩm'!$D$4:$D$103,0)),0)</f>
        <v>0</v>
      </c>
      <c r="M676" s="97" t="str">
        <f t="array" ref="M676">IFERROR(INDEX('Sản phẩm'!$J$4:$J$103,MATCH(B676,'Sản phẩm'!$D$4:$D$103,0)),0)</f>
        <v/>
      </c>
      <c r="N676" s="83">
        <f>IF(B676="",0,(K676+L676+M676)*'Thiết lập'!$B$8)</f>
        <v>0</v>
      </c>
      <c r="O676" s="83">
        <f t="shared" si="2"/>
        <v>0</v>
      </c>
      <c r="P676" s="83">
        <f t="shared" si="3"/>
        <v>0</v>
      </c>
      <c r="Q676" s="83">
        <f t="shared" si="4"/>
        <v>0</v>
      </c>
      <c r="R676" s="36" t="str">
        <f t="array" ref="R676">IF(B676="","",INDEX('Bán nhanh'!$C$4:$C$103,INT((ROW()-4)/10)+1))</f>
        <v/>
      </c>
      <c r="S676" s="36" t="str">
        <f t="array" ref="S676">IF(B676="","",INDEX('Bán nhanh'!$P$4:$P$103,INT((ROW()-4)/10)+1))</f>
        <v/>
      </c>
      <c r="T676" s="36"/>
      <c r="U676" s="36"/>
      <c r="V676" s="36"/>
      <c r="W676" s="36"/>
      <c r="X676" s="36"/>
      <c r="Y676" s="36"/>
      <c r="Z676" s="36"/>
    </row>
    <row r="677" ht="15.75" customHeight="1">
      <c r="A677" s="96" t="str">
        <f t="array" ref="A677">IF(B677="","",INDEX('Bán nhanh'!$A$4:$A$103,INT((ROW()-4)/10)+1))</f>
        <v/>
      </c>
      <c r="B677" s="36" t="str">
        <f t="array" ref="B677">IF(OR(INDEX('Bán nhanh'!$D$3:$M$3,1,MOD(ROW()-4,10)+1)="",INDEX('Bán nhanh'!$D$4:$M$103,INT((ROW()-4)/10)+1,MOD(ROW()-4,10)+1)&lt;=0),"",INDEX('Bán nhanh'!$D$3:$M$3,1,MOD(ROW()-4,10)+1))</f>
        <v/>
      </c>
      <c r="C677" s="36" t="str">
        <f t="array" ref="C677">IFERROR(INDEX('Sản phẩm'!$A$4:$A$103,MATCH(B677,'Sản phẩm'!$D$4:$D$103,0)),"")</f>
        <v/>
      </c>
      <c r="D677" s="36" t="str">
        <f t="array" ref="D677">IF(B677="","",INDEX('Bán nhanh'!$B$4:$B$103,INT((ROW()-4)/10)+1))</f>
        <v/>
      </c>
      <c r="E677" s="36" t="str">
        <f t="array" ref="E677">IFERROR(INDEX('Mẻ sữa'!$B$4:$B$203,MATCH(D677,'Mẻ sữa'!$C$4:$C$203,0)),"")</f>
        <v/>
      </c>
      <c r="F677" s="82">
        <f t="array" ref="F677">IF(B677="",0,INDEX('Bán nhanh'!$D$4:$M$103,INT((ROW()-4)/10)+1,MOD(ROW()-4,10)+1))</f>
        <v>0</v>
      </c>
      <c r="G677" s="83">
        <f t="array" ref="G677">IFERROR(INDEX('Sản phẩm'!$F$4:$F$103,MATCH(B677,'Sản phẩm'!$D$4:$D$103,0)),0)</f>
        <v>0</v>
      </c>
      <c r="H677" s="83">
        <f t="shared" si="5"/>
        <v>0</v>
      </c>
      <c r="I677" s="83">
        <f t="shared" si="1"/>
        <v>0</v>
      </c>
      <c r="J677" s="83">
        <f t="array" ref="J677">IFERROR(INDEX('Sản phẩm'!$G$4:$G$103,MATCH(B677,'Sản phẩm'!$D$4:$D$103,0)),0)</f>
        <v>0</v>
      </c>
      <c r="K677" s="83">
        <f t="array" ref="K677">IFERROR(J677*INDEX('Mẻ sữa'!$N$4:$N$203,MATCH(D677,'Mẻ sữa'!$C$4:$C$203,0)),0)</f>
        <v>0</v>
      </c>
      <c r="L677" s="83">
        <f t="array" ref="L677">IFERROR(INDEX('Sản phẩm'!$I$4:$I$103,MATCH(B677,'Sản phẩm'!$D$4:$D$103,0)),0)</f>
        <v>0</v>
      </c>
      <c r="M677" s="97" t="str">
        <f t="array" ref="M677">IFERROR(INDEX('Sản phẩm'!$J$4:$J$103,MATCH(B677,'Sản phẩm'!$D$4:$D$103,0)),0)</f>
        <v/>
      </c>
      <c r="N677" s="83">
        <f>IF(B677="",0,(K677+L677+M677)*'Thiết lập'!$B$8)</f>
        <v>0</v>
      </c>
      <c r="O677" s="83">
        <f t="shared" si="2"/>
        <v>0</v>
      </c>
      <c r="P677" s="83">
        <f t="shared" si="3"/>
        <v>0</v>
      </c>
      <c r="Q677" s="83">
        <f t="shared" si="4"/>
        <v>0</v>
      </c>
      <c r="R677" s="36" t="str">
        <f t="array" ref="R677">IF(B677="","",INDEX('Bán nhanh'!$C$4:$C$103,INT((ROW()-4)/10)+1))</f>
        <v/>
      </c>
      <c r="S677" s="36" t="str">
        <f t="array" ref="S677">IF(B677="","",INDEX('Bán nhanh'!$P$4:$P$103,INT((ROW()-4)/10)+1))</f>
        <v/>
      </c>
      <c r="T677" s="36"/>
      <c r="U677" s="36"/>
      <c r="V677" s="36"/>
      <c r="W677" s="36"/>
      <c r="X677" s="36"/>
      <c r="Y677" s="36"/>
      <c r="Z677" s="36"/>
    </row>
    <row r="678" ht="15.75" customHeight="1">
      <c r="A678" s="96" t="str">
        <f t="array" ref="A678">IF(B678="","",INDEX('Bán nhanh'!$A$4:$A$103,INT((ROW()-4)/10)+1))</f>
        <v/>
      </c>
      <c r="B678" s="36" t="str">
        <f t="array" ref="B678">IF(OR(INDEX('Bán nhanh'!$D$3:$M$3,1,MOD(ROW()-4,10)+1)="",INDEX('Bán nhanh'!$D$4:$M$103,INT((ROW()-4)/10)+1,MOD(ROW()-4,10)+1)&lt;=0),"",INDEX('Bán nhanh'!$D$3:$M$3,1,MOD(ROW()-4,10)+1))</f>
        <v/>
      </c>
      <c r="C678" s="36" t="str">
        <f t="array" ref="C678">IFERROR(INDEX('Sản phẩm'!$A$4:$A$103,MATCH(B678,'Sản phẩm'!$D$4:$D$103,0)),"")</f>
        <v/>
      </c>
      <c r="D678" s="36" t="str">
        <f t="array" ref="D678">IF(B678="","",INDEX('Bán nhanh'!$B$4:$B$103,INT((ROW()-4)/10)+1))</f>
        <v/>
      </c>
      <c r="E678" s="36" t="str">
        <f t="array" ref="E678">IFERROR(INDEX('Mẻ sữa'!$B$4:$B$203,MATCH(D678,'Mẻ sữa'!$C$4:$C$203,0)),"")</f>
        <v/>
      </c>
      <c r="F678" s="82">
        <f t="array" ref="F678">IF(B678="",0,INDEX('Bán nhanh'!$D$4:$M$103,INT((ROW()-4)/10)+1,MOD(ROW()-4,10)+1))</f>
        <v>0</v>
      </c>
      <c r="G678" s="83">
        <f t="array" ref="G678">IFERROR(INDEX('Sản phẩm'!$F$4:$F$103,MATCH(B678,'Sản phẩm'!$D$4:$D$103,0)),0)</f>
        <v>0</v>
      </c>
      <c r="H678" s="83">
        <f t="shared" si="5"/>
        <v>0</v>
      </c>
      <c r="I678" s="83">
        <f t="shared" si="1"/>
        <v>0</v>
      </c>
      <c r="J678" s="83">
        <f t="array" ref="J678">IFERROR(INDEX('Sản phẩm'!$G$4:$G$103,MATCH(B678,'Sản phẩm'!$D$4:$D$103,0)),0)</f>
        <v>0</v>
      </c>
      <c r="K678" s="83">
        <f t="array" ref="K678">IFERROR(J678*INDEX('Mẻ sữa'!$N$4:$N$203,MATCH(D678,'Mẻ sữa'!$C$4:$C$203,0)),0)</f>
        <v>0</v>
      </c>
      <c r="L678" s="83">
        <f t="array" ref="L678">IFERROR(INDEX('Sản phẩm'!$I$4:$I$103,MATCH(B678,'Sản phẩm'!$D$4:$D$103,0)),0)</f>
        <v>0</v>
      </c>
      <c r="M678" s="97" t="str">
        <f t="array" ref="M678">IFERROR(INDEX('Sản phẩm'!$J$4:$J$103,MATCH(B678,'Sản phẩm'!$D$4:$D$103,0)),0)</f>
        <v/>
      </c>
      <c r="N678" s="83">
        <f>IF(B678="",0,(K678+L678+M678)*'Thiết lập'!$B$8)</f>
        <v>0</v>
      </c>
      <c r="O678" s="83">
        <f t="shared" si="2"/>
        <v>0</v>
      </c>
      <c r="P678" s="83">
        <f t="shared" si="3"/>
        <v>0</v>
      </c>
      <c r="Q678" s="83">
        <f t="shared" si="4"/>
        <v>0</v>
      </c>
      <c r="R678" s="36" t="str">
        <f t="array" ref="R678">IF(B678="","",INDEX('Bán nhanh'!$C$4:$C$103,INT((ROW()-4)/10)+1))</f>
        <v/>
      </c>
      <c r="S678" s="36" t="str">
        <f t="array" ref="S678">IF(B678="","",INDEX('Bán nhanh'!$P$4:$P$103,INT((ROW()-4)/10)+1))</f>
        <v/>
      </c>
      <c r="T678" s="36"/>
      <c r="U678" s="36"/>
      <c r="V678" s="36"/>
      <c r="W678" s="36"/>
      <c r="X678" s="36"/>
      <c r="Y678" s="36"/>
      <c r="Z678" s="36"/>
    </row>
    <row r="679" ht="15.75" customHeight="1">
      <c r="A679" s="96" t="str">
        <f t="array" ref="A679">IF(B679="","",INDEX('Bán nhanh'!$A$4:$A$103,INT((ROW()-4)/10)+1))</f>
        <v/>
      </c>
      <c r="B679" s="36" t="str">
        <f t="array" ref="B679">IF(OR(INDEX('Bán nhanh'!$D$3:$M$3,1,MOD(ROW()-4,10)+1)="",INDEX('Bán nhanh'!$D$4:$M$103,INT((ROW()-4)/10)+1,MOD(ROW()-4,10)+1)&lt;=0),"",INDEX('Bán nhanh'!$D$3:$M$3,1,MOD(ROW()-4,10)+1))</f>
        <v/>
      </c>
      <c r="C679" s="36" t="str">
        <f t="array" ref="C679">IFERROR(INDEX('Sản phẩm'!$A$4:$A$103,MATCH(B679,'Sản phẩm'!$D$4:$D$103,0)),"")</f>
        <v/>
      </c>
      <c r="D679" s="36" t="str">
        <f t="array" ref="D679">IF(B679="","",INDEX('Bán nhanh'!$B$4:$B$103,INT((ROW()-4)/10)+1))</f>
        <v/>
      </c>
      <c r="E679" s="36" t="str">
        <f t="array" ref="E679">IFERROR(INDEX('Mẻ sữa'!$B$4:$B$203,MATCH(D679,'Mẻ sữa'!$C$4:$C$203,0)),"")</f>
        <v/>
      </c>
      <c r="F679" s="82">
        <f t="array" ref="F679">IF(B679="",0,INDEX('Bán nhanh'!$D$4:$M$103,INT((ROW()-4)/10)+1,MOD(ROW()-4,10)+1))</f>
        <v>0</v>
      </c>
      <c r="G679" s="83">
        <f t="array" ref="G679">IFERROR(INDEX('Sản phẩm'!$F$4:$F$103,MATCH(B679,'Sản phẩm'!$D$4:$D$103,0)),0)</f>
        <v>0</v>
      </c>
      <c r="H679" s="83">
        <f t="shared" si="5"/>
        <v>0</v>
      </c>
      <c r="I679" s="83">
        <f t="shared" si="1"/>
        <v>0</v>
      </c>
      <c r="J679" s="83">
        <f t="array" ref="J679">IFERROR(INDEX('Sản phẩm'!$G$4:$G$103,MATCH(B679,'Sản phẩm'!$D$4:$D$103,0)),0)</f>
        <v>0</v>
      </c>
      <c r="K679" s="83">
        <f t="array" ref="K679">IFERROR(J679*INDEX('Mẻ sữa'!$N$4:$N$203,MATCH(D679,'Mẻ sữa'!$C$4:$C$203,0)),0)</f>
        <v>0</v>
      </c>
      <c r="L679" s="83">
        <f t="array" ref="L679">IFERROR(INDEX('Sản phẩm'!$I$4:$I$103,MATCH(B679,'Sản phẩm'!$D$4:$D$103,0)),0)</f>
        <v>0</v>
      </c>
      <c r="M679" s="97" t="str">
        <f t="array" ref="M679">IFERROR(INDEX('Sản phẩm'!$J$4:$J$103,MATCH(B679,'Sản phẩm'!$D$4:$D$103,0)),0)</f>
        <v/>
      </c>
      <c r="N679" s="83">
        <f>IF(B679="",0,(K679+L679+M679)*'Thiết lập'!$B$8)</f>
        <v>0</v>
      </c>
      <c r="O679" s="83">
        <f t="shared" si="2"/>
        <v>0</v>
      </c>
      <c r="P679" s="83">
        <f t="shared" si="3"/>
        <v>0</v>
      </c>
      <c r="Q679" s="83">
        <f t="shared" si="4"/>
        <v>0</v>
      </c>
      <c r="R679" s="36" t="str">
        <f t="array" ref="R679">IF(B679="","",INDEX('Bán nhanh'!$C$4:$C$103,INT((ROW()-4)/10)+1))</f>
        <v/>
      </c>
      <c r="S679" s="36" t="str">
        <f t="array" ref="S679">IF(B679="","",INDEX('Bán nhanh'!$P$4:$P$103,INT((ROW()-4)/10)+1))</f>
        <v/>
      </c>
      <c r="T679" s="36"/>
      <c r="U679" s="36"/>
      <c r="V679" s="36"/>
      <c r="W679" s="36"/>
      <c r="X679" s="36"/>
      <c r="Y679" s="36"/>
      <c r="Z679" s="36"/>
    </row>
    <row r="680" ht="15.75" customHeight="1">
      <c r="A680" s="96" t="str">
        <f t="array" ref="A680">IF(B680="","",INDEX('Bán nhanh'!$A$4:$A$103,INT((ROW()-4)/10)+1))</f>
        <v/>
      </c>
      <c r="B680" s="36" t="str">
        <f t="array" ref="B680">IF(OR(INDEX('Bán nhanh'!$D$3:$M$3,1,MOD(ROW()-4,10)+1)="",INDEX('Bán nhanh'!$D$4:$M$103,INT((ROW()-4)/10)+1,MOD(ROW()-4,10)+1)&lt;=0),"",INDEX('Bán nhanh'!$D$3:$M$3,1,MOD(ROW()-4,10)+1))</f>
        <v/>
      </c>
      <c r="C680" s="36" t="str">
        <f t="array" ref="C680">IFERROR(INDEX('Sản phẩm'!$A$4:$A$103,MATCH(B680,'Sản phẩm'!$D$4:$D$103,0)),"")</f>
        <v/>
      </c>
      <c r="D680" s="36" t="str">
        <f t="array" ref="D680">IF(B680="","",INDEX('Bán nhanh'!$B$4:$B$103,INT((ROW()-4)/10)+1))</f>
        <v/>
      </c>
      <c r="E680" s="36" t="str">
        <f t="array" ref="E680">IFERROR(INDEX('Mẻ sữa'!$B$4:$B$203,MATCH(D680,'Mẻ sữa'!$C$4:$C$203,0)),"")</f>
        <v/>
      </c>
      <c r="F680" s="82">
        <f t="array" ref="F680">IF(B680="",0,INDEX('Bán nhanh'!$D$4:$M$103,INT((ROW()-4)/10)+1,MOD(ROW()-4,10)+1))</f>
        <v>0</v>
      </c>
      <c r="G680" s="83">
        <f t="array" ref="G680">IFERROR(INDEX('Sản phẩm'!$F$4:$F$103,MATCH(B680,'Sản phẩm'!$D$4:$D$103,0)),0)</f>
        <v>0</v>
      </c>
      <c r="H680" s="83">
        <f t="shared" si="5"/>
        <v>0</v>
      </c>
      <c r="I680" s="83">
        <f t="shared" si="1"/>
        <v>0</v>
      </c>
      <c r="J680" s="83">
        <f t="array" ref="J680">IFERROR(INDEX('Sản phẩm'!$G$4:$G$103,MATCH(B680,'Sản phẩm'!$D$4:$D$103,0)),0)</f>
        <v>0</v>
      </c>
      <c r="K680" s="83">
        <f t="array" ref="K680">IFERROR(J680*INDEX('Mẻ sữa'!$N$4:$N$203,MATCH(D680,'Mẻ sữa'!$C$4:$C$203,0)),0)</f>
        <v>0</v>
      </c>
      <c r="L680" s="83">
        <f t="array" ref="L680">IFERROR(INDEX('Sản phẩm'!$I$4:$I$103,MATCH(B680,'Sản phẩm'!$D$4:$D$103,0)),0)</f>
        <v>0</v>
      </c>
      <c r="M680" s="97" t="str">
        <f t="array" ref="M680">IFERROR(INDEX('Sản phẩm'!$J$4:$J$103,MATCH(B680,'Sản phẩm'!$D$4:$D$103,0)),0)</f>
        <v/>
      </c>
      <c r="N680" s="83">
        <f>IF(B680="",0,(K680+L680+M680)*'Thiết lập'!$B$8)</f>
        <v>0</v>
      </c>
      <c r="O680" s="83">
        <f t="shared" si="2"/>
        <v>0</v>
      </c>
      <c r="P680" s="83">
        <f t="shared" si="3"/>
        <v>0</v>
      </c>
      <c r="Q680" s="83">
        <f t="shared" si="4"/>
        <v>0</v>
      </c>
      <c r="R680" s="36" t="str">
        <f t="array" ref="R680">IF(B680="","",INDEX('Bán nhanh'!$C$4:$C$103,INT((ROW()-4)/10)+1))</f>
        <v/>
      </c>
      <c r="S680" s="36" t="str">
        <f t="array" ref="S680">IF(B680="","",INDEX('Bán nhanh'!$P$4:$P$103,INT((ROW()-4)/10)+1))</f>
        <v/>
      </c>
      <c r="T680" s="36"/>
      <c r="U680" s="36"/>
      <c r="V680" s="36"/>
      <c r="W680" s="36"/>
      <c r="X680" s="36"/>
      <c r="Y680" s="36"/>
      <c r="Z680" s="36"/>
    </row>
    <row r="681" ht="15.75" customHeight="1">
      <c r="A681" s="96" t="str">
        <f t="array" ref="A681">IF(B681="","",INDEX('Bán nhanh'!$A$4:$A$103,INT((ROW()-4)/10)+1))</f>
        <v/>
      </c>
      <c r="B681" s="36" t="str">
        <f t="array" ref="B681">IF(OR(INDEX('Bán nhanh'!$D$3:$M$3,1,MOD(ROW()-4,10)+1)="",INDEX('Bán nhanh'!$D$4:$M$103,INT((ROW()-4)/10)+1,MOD(ROW()-4,10)+1)&lt;=0),"",INDEX('Bán nhanh'!$D$3:$M$3,1,MOD(ROW()-4,10)+1))</f>
        <v/>
      </c>
      <c r="C681" s="36" t="str">
        <f t="array" ref="C681">IFERROR(INDEX('Sản phẩm'!$A$4:$A$103,MATCH(B681,'Sản phẩm'!$D$4:$D$103,0)),"")</f>
        <v/>
      </c>
      <c r="D681" s="36" t="str">
        <f t="array" ref="D681">IF(B681="","",INDEX('Bán nhanh'!$B$4:$B$103,INT((ROW()-4)/10)+1))</f>
        <v/>
      </c>
      <c r="E681" s="36" t="str">
        <f t="array" ref="E681">IFERROR(INDEX('Mẻ sữa'!$B$4:$B$203,MATCH(D681,'Mẻ sữa'!$C$4:$C$203,0)),"")</f>
        <v/>
      </c>
      <c r="F681" s="82">
        <f t="array" ref="F681">IF(B681="",0,INDEX('Bán nhanh'!$D$4:$M$103,INT((ROW()-4)/10)+1,MOD(ROW()-4,10)+1))</f>
        <v>0</v>
      </c>
      <c r="G681" s="83">
        <f t="array" ref="G681">IFERROR(INDEX('Sản phẩm'!$F$4:$F$103,MATCH(B681,'Sản phẩm'!$D$4:$D$103,0)),0)</f>
        <v>0</v>
      </c>
      <c r="H681" s="83">
        <f t="shared" si="5"/>
        <v>0</v>
      </c>
      <c r="I681" s="83">
        <f t="shared" si="1"/>
        <v>0</v>
      </c>
      <c r="J681" s="83">
        <f t="array" ref="J681">IFERROR(INDEX('Sản phẩm'!$G$4:$G$103,MATCH(B681,'Sản phẩm'!$D$4:$D$103,0)),0)</f>
        <v>0</v>
      </c>
      <c r="K681" s="83">
        <f t="array" ref="K681">IFERROR(J681*INDEX('Mẻ sữa'!$N$4:$N$203,MATCH(D681,'Mẻ sữa'!$C$4:$C$203,0)),0)</f>
        <v>0</v>
      </c>
      <c r="L681" s="83">
        <f t="array" ref="L681">IFERROR(INDEX('Sản phẩm'!$I$4:$I$103,MATCH(B681,'Sản phẩm'!$D$4:$D$103,0)),0)</f>
        <v>0</v>
      </c>
      <c r="M681" s="97" t="str">
        <f t="array" ref="M681">IFERROR(INDEX('Sản phẩm'!$J$4:$J$103,MATCH(B681,'Sản phẩm'!$D$4:$D$103,0)),0)</f>
        <v/>
      </c>
      <c r="N681" s="83">
        <f>IF(B681="",0,(K681+L681+M681)*'Thiết lập'!$B$8)</f>
        <v>0</v>
      </c>
      <c r="O681" s="83">
        <f t="shared" si="2"/>
        <v>0</v>
      </c>
      <c r="P681" s="83">
        <f t="shared" si="3"/>
        <v>0</v>
      </c>
      <c r="Q681" s="83">
        <f t="shared" si="4"/>
        <v>0</v>
      </c>
      <c r="R681" s="36" t="str">
        <f t="array" ref="R681">IF(B681="","",INDEX('Bán nhanh'!$C$4:$C$103,INT((ROW()-4)/10)+1))</f>
        <v/>
      </c>
      <c r="S681" s="36" t="str">
        <f t="array" ref="S681">IF(B681="","",INDEX('Bán nhanh'!$P$4:$P$103,INT((ROW()-4)/10)+1))</f>
        <v/>
      </c>
      <c r="T681" s="36"/>
      <c r="U681" s="36"/>
      <c r="V681" s="36"/>
      <c r="W681" s="36"/>
      <c r="X681" s="36"/>
      <c r="Y681" s="36"/>
      <c r="Z681" s="36"/>
    </row>
    <row r="682" ht="15.75" customHeight="1">
      <c r="A682" s="96" t="str">
        <f t="array" ref="A682">IF(B682="","",INDEX('Bán nhanh'!$A$4:$A$103,INT((ROW()-4)/10)+1))</f>
        <v/>
      </c>
      <c r="B682" s="36" t="str">
        <f t="array" ref="B682">IF(OR(INDEX('Bán nhanh'!$D$3:$M$3,1,MOD(ROW()-4,10)+1)="",INDEX('Bán nhanh'!$D$4:$M$103,INT((ROW()-4)/10)+1,MOD(ROW()-4,10)+1)&lt;=0),"",INDEX('Bán nhanh'!$D$3:$M$3,1,MOD(ROW()-4,10)+1))</f>
        <v/>
      </c>
      <c r="C682" s="36" t="str">
        <f t="array" ref="C682">IFERROR(INDEX('Sản phẩm'!$A$4:$A$103,MATCH(B682,'Sản phẩm'!$D$4:$D$103,0)),"")</f>
        <v/>
      </c>
      <c r="D682" s="36" t="str">
        <f t="array" ref="D682">IF(B682="","",INDEX('Bán nhanh'!$B$4:$B$103,INT((ROW()-4)/10)+1))</f>
        <v/>
      </c>
      <c r="E682" s="36" t="str">
        <f t="array" ref="E682">IFERROR(INDEX('Mẻ sữa'!$B$4:$B$203,MATCH(D682,'Mẻ sữa'!$C$4:$C$203,0)),"")</f>
        <v/>
      </c>
      <c r="F682" s="82">
        <f t="array" ref="F682">IF(B682="",0,INDEX('Bán nhanh'!$D$4:$M$103,INT((ROW()-4)/10)+1,MOD(ROW()-4,10)+1))</f>
        <v>0</v>
      </c>
      <c r="G682" s="83">
        <f t="array" ref="G682">IFERROR(INDEX('Sản phẩm'!$F$4:$F$103,MATCH(B682,'Sản phẩm'!$D$4:$D$103,0)),0)</f>
        <v>0</v>
      </c>
      <c r="H682" s="83">
        <f t="shared" si="5"/>
        <v>0</v>
      </c>
      <c r="I682" s="83">
        <f t="shared" si="1"/>
        <v>0</v>
      </c>
      <c r="J682" s="83">
        <f t="array" ref="J682">IFERROR(INDEX('Sản phẩm'!$G$4:$G$103,MATCH(B682,'Sản phẩm'!$D$4:$D$103,0)),0)</f>
        <v>0</v>
      </c>
      <c r="K682" s="83">
        <f t="array" ref="K682">IFERROR(J682*INDEX('Mẻ sữa'!$N$4:$N$203,MATCH(D682,'Mẻ sữa'!$C$4:$C$203,0)),0)</f>
        <v>0</v>
      </c>
      <c r="L682" s="83">
        <f t="array" ref="L682">IFERROR(INDEX('Sản phẩm'!$I$4:$I$103,MATCH(B682,'Sản phẩm'!$D$4:$D$103,0)),0)</f>
        <v>0</v>
      </c>
      <c r="M682" s="97" t="str">
        <f t="array" ref="M682">IFERROR(INDEX('Sản phẩm'!$J$4:$J$103,MATCH(B682,'Sản phẩm'!$D$4:$D$103,0)),0)</f>
        <v/>
      </c>
      <c r="N682" s="83">
        <f>IF(B682="",0,(K682+L682+M682)*'Thiết lập'!$B$8)</f>
        <v>0</v>
      </c>
      <c r="O682" s="83">
        <f t="shared" si="2"/>
        <v>0</v>
      </c>
      <c r="P682" s="83">
        <f t="shared" si="3"/>
        <v>0</v>
      </c>
      <c r="Q682" s="83">
        <f t="shared" si="4"/>
        <v>0</v>
      </c>
      <c r="R682" s="36" t="str">
        <f t="array" ref="R682">IF(B682="","",INDEX('Bán nhanh'!$C$4:$C$103,INT((ROW()-4)/10)+1))</f>
        <v/>
      </c>
      <c r="S682" s="36" t="str">
        <f t="array" ref="S682">IF(B682="","",INDEX('Bán nhanh'!$P$4:$P$103,INT((ROW()-4)/10)+1))</f>
        <v/>
      </c>
      <c r="T682" s="36"/>
      <c r="U682" s="36"/>
      <c r="V682" s="36"/>
      <c r="W682" s="36"/>
      <c r="X682" s="36"/>
      <c r="Y682" s="36"/>
      <c r="Z682" s="36"/>
    </row>
    <row r="683" ht="15.75" customHeight="1">
      <c r="A683" s="96" t="str">
        <f t="array" ref="A683">IF(B683="","",INDEX('Bán nhanh'!$A$4:$A$103,INT((ROW()-4)/10)+1))</f>
        <v/>
      </c>
      <c r="B683" s="36" t="str">
        <f t="array" ref="B683">IF(OR(INDEX('Bán nhanh'!$D$3:$M$3,1,MOD(ROW()-4,10)+1)="",INDEX('Bán nhanh'!$D$4:$M$103,INT((ROW()-4)/10)+1,MOD(ROW()-4,10)+1)&lt;=0),"",INDEX('Bán nhanh'!$D$3:$M$3,1,MOD(ROW()-4,10)+1))</f>
        <v/>
      </c>
      <c r="C683" s="36" t="str">
        <f t="array" ref="C683">IFERROR(INDEX('Sản phẩm'!$A$4:$A$103,MATCH(B683,'Sản phẩm'!$D$4:$D$103,0)),"")</f>
        <v/>
      </c>
      <c r="D683" s="36" t="str">
        <f t="array" ref="D683">IF(B683="","",INDEX('Bán nhanh'!$B$4:$B$103,INT((ROW()-4)/10)+1))</f>
        <v/>
      </c>
      <c r="E683" s="36" t="str">
        <f t="array" ref="E683">IFERROR(INDEX('Mẻ sữa'!$B$4:$B$203,MATCH(D683,'Mẻ sữa'!$C$4:$C$203,0)),"")</f>
        <v/>
      </c>
      <c r="F683" s="82">
        <f t="array" ref="F683">IF(B683="",0,INDEX('Bán nhanh'!$D$4:$M$103,INT((ROW()-4)/10)+1,MOD(ROW()-4,10)+1))</f>
        <v>0</v>
      </c>
      <c r="G683" s="83">
        <f t="array" ref="G683">IFERROR(INDEX('Sản phẩm'!$F$4:$F$103,MATCH(B683,'Sản phẩm'!$D$4:$D$103,0)),0)</f>
        <v>0</v>
      </c>
      <c r="H683" s="83">
        <f t="shared" si="5"/>
        <v>0</v>
      </c>
      <c r="I683" s="83">
        <f t="shared" si="1"/>
        <v>0</v>
      </c>
      <c r="J683" s="83">
        <f t="array" ref="J683">IFERROR(INDEX('Sản phẩm'!$G$4:$G$103,MATCH(B683,'Sản phẩm'!$D$4:$D$103,0)),0)</f>
        <v>0</v>
      </c>
      <c r="K683" s="83">
        <f t="array" ref="K683">IFERROR(J683*INDEX('Mẻ sữa'!$N$4:$N$203,MATCH(D683,'Mẻ sữa'!$C$4:$C$203,0)),0)</f>
        <v>0</v>
      </c>
      <c r="L683" s="83">
        <f t="array" ref="L683">IFERROR(INDEX('Sản phẩm'!$I$4:$I$103,MATCH(B683,'Sản phẩm'!$D$4:$D$103,0)),0)</f>
        <v>0</v>
      </c>
      <c r="M683" s="97" t="str">
        <f t="array" ref="M683">IFERROR(INDEX('Sản phẩm'!$J$4:$J$103,MATCH(B683,'Sản phẩm'!$D$4:$D$103,0)),0)</f>
        <v/>
      </c>
      <c r="N683" s="83">
        <f>IF(B683="",0,(K683+L683+M683)*'Thiết lập'!$B$8)</f>
        <v>0</v>
      </c>
      <c r="O683" s="83">
        <f t="shared" si="2"/>
        <v>0</v>
      </c>
      <c r="P683" s="83">
        <f t="shared" si="3"/>
        <v>0</v>
      </c>
      <c r="Q683" s="83">
        <f t="shared" si="4"/>
        <v>0</v>
      </c>
      <c r="R683" s="36" t="str">
        <f t="array" ref="R683">IF(B683="","",INDEX('Bán nhanh'!$C$4:$C$103,INT((ROW()-4)/10)+1))</f>
        <v/>
      </c>
      <c r="S683" s="36" t="str">
        <f t="array" ref="S683">IF(B683="","",INDEX('Bán nhanh'!$P$4:$P$103,INT((ROW()-4)/10)+1))</f>
        <v/>
      </c>
      <c r="T683" s="36"/>
      <c r="U683" s="36"/>
      <c r="V683" s="36"/>
      <c r="W683" s="36"/>
      <c r="X683" s="36"/>
      <c r="Y683" s="36"/>
      <c r="Z683" s="36"/>
    </row>
    <row r="684" ht="15.75" customHeight="1">
      <c r="A684" s="96" t="str">
        <f t="array" ref="A684">IF(B684="","",INDEX('Bán nhanh'!$A$4:$A$103,INT((ROW()-4)/10)+1))</f>
        <v/>
      </c>
      <c r="B684" s="36" t="str">
        <f t="array" ref="B684">IF(OR(INDEX('Bán nhanh'!$D$3:$M$3,1,MOD(ROW()-4,10)+1)="",INDEX('Bán nhanh'!$D$4:$M$103,INT((ROW()-4)/10)+1,MOD(ROW()-4,10)+1)&lt;=0),"",INDEX('Bán nhanh'!$D$3:$M$3,1,MOD(ROW()-4,10)+1))</f>
        <v/>
      </c>
      <c r="C684" s="36" t="str">
        <f t="array" ref="C684">IFERROR(INDEX('Sản phẩm'!$A$4:$A$103,MATCH(B684,'Sản phẩm'!$D$4:$D$103,0)),"")</f>
        <v/>
      </c>
      <c r="D684" s="36" t="str">
        <f t="array" ref="D684">IF(B684="","",INDEX('Bán nhanh'!$B$4:$B$103,INT((ROW()-4)/10)+1))</f>
        <v/>
      </c>
      <c r="E684" s="36" t="str">
        <f t="array" ref="E684">IFERROR(INDEX('Mẻ sữa'!$B$4:$B$203,MATCH(D684,'Mẻ sữa'!$C$4:$C$203,0)),"")</f>
        <v/>
      </c>
      <c r="F684" s="82">
        <f t="array" ref="F684">IF(B684="",0,INDEX('Bán nhanh'!$D$4:$M$103,INT((ROW()-4)/10)+1,MOD(ROW()-4,10)+1))</f>
        <v>0</v>
      </c>
      <c r="G684" s="83">
        <f t="array" ref="G684">IFERROR(INDEX('Sản phẩm'!$F$4:$F$103,MATCH(B684,'Sản phẩm'!$D$4:$D$103,0)),0)</f>
        <v>0</v>
      </c>
      <c r="H684" s="83">
        <f t="shared" si="5"/>
        <v>0</v>
      </c>
      <c r="I684" s="83">
        <f t="shared" si="1"/>
        <v>0</v>
      </c>
      <c r="J684" s="83">
        <f t="array" ref="J684">IFERROR(INDEX('Sản phẩm'!$G$4:$G$103,MATCH(B684,'Sản phẩm'!$D$4:$D$103,0)),0)</f>
        <v>0</v>
      </c>
      <c r="K684" s="83">
        <f t="array" ref="K684">IFERROR(J684*INDEX('Mẻ sữa'!$N$4:$N$203,MATCH(D684,'Mẻ sữa'!$C$4:$C$203,0)),0)</f>
        <v>0</v>
      </c>
      <c r="L684" s="83">
        <f t="array" ref="L684">IFERROR(INDEX('Sản phẩm'!$I$4:$I$103,MATCH(B684,'Sản phẩm'!$D$4:$D$103,0)),0)</f>
        <v>0</v>
      </c>
      <c r="M684" s="97" t="str">
        <f t="array" ref="M684">IFERROR(INDEX('Sản phẩm'!$J$4:$J$103,MATCH(B684,'Sản phẩm'!$D$4:$D$103,0)),0)</f>
        <v/>
      </c>
      <c r="N684" s="83">
        <f>IF(B684="",0,(K684+L684+M684)*'Thiết lập'!$B$8)</f>
        <v>0</v>
      </c>
      <c r="O684" s="83">
        <f t="shared" si="2"/>
        <v>0</v>
      </c>
      <c r="P684" s="83">
        <f t="shared" si="3"/>
        <v>0</v>
      </c>
      <c r="Q684" s="83">
        <f t="shared" si="4"/>
        <v>0</v>
      </c>
      <c r="R684" s="36" t="str">
        <f t="array" ref="R684">IF(B684="","",INDEX('Bán nhanh'!$C$4:$C$103,INT((ROW()-4)/10)+1))</f>
        <v/>
      </c>
      <c r="S684" s="36" t="str">
        <f t="array" ref="S684">IF(B684="","",INDEX('Bán nhanh'!$P$4:$P$103,INT((ROW()-4)/10)+1))</f>
        <v/>
      </c>
      <c r="T684" s="36"/>
      <c r="U684" s="36"/>
      <c r="V684" s="36"/>
      <c r="W684" s="36"/>
      <c r="X684" s="36"/>
      <c r="Y684" s="36"/>
      <c r="Z684" s="36"/>
    </row>
    <row r="685" ht="15.75" customHeight="1">
      <c r="A685" s="96" t="str">
        <f t="array" ref="A685">IF(B685="","",INDEX('Bán nhanh'!$A$4:$A$103,INT((ROW()-4)/10)+1))</f>
        <v/>
      </c>
      <c r="B685" s="36" t="str">
        <f t="array" ref="B685">IF(OR(INDEX('Bán nhanh'!$D$3:$M$3,1,MOD(ROW()-4,10)+1)="",INDEX('Bán nhanh'!$D$4:$M$103,INT((ROW()-4)/10)+1,MOD(ROW()-4,10)+1)&lt;=0),"",INDEX('Bán nhanh'!$D$3:$M$3,1,MOD(ROW()-4,10)+1))</f>
        <v/>
      </c>
      <c r="C685" s="36" t="str">
        <f t="array" ref="C685">IFERROR(INDEX('Sản phẩm'!$A$4:$A$103,MATCH(B685,'Sản phẩm'!$D$4:$D$103,0)),"")</f>
        <v/>
      </c>
      <c r="D685" s="36" t="str">
        <f t="array" ref="D685">IF(B685="","",INDEX('Bán nhanh'!$B$4:$B$103,INT((ROW()-4)/10)+1))</f>
        <v/>
      </c>
      <c r="E685" s="36" t="str">
        <f t="array" ref="E685">IFERROR(INDEX('Mẻ sữa'!$B$4:$B$203,MATCH(D685,'Mẻ sữa'!$C$4:$C$203,0)),"")</f>
        <v/>
      </c>
      <c r="F685" s="82">
        <f t="array" ref="F685">IF(B685="",0,INDEX('Bán nhanh'!$D$4:$M$103,INT((ROW()-4)/10)+1,MOD(ROW()-4,10)+1))</f>
        <v>0</v>
      </c>
      <c r="G685" s="83">
        <f t="array" ref="G685">IFERROR(INDEX('Sản phẩm'!$F$4:$F$103,MATCH(B685,'Sản phẩm'!$D$4:$D$103,0)),0)</f>
        <v>0</v>
      </c>
      <c r="H685" s="83">
        <f t="shared" si="5"/>
        <v>0</v>
      </c>
      <c r="I685" s="83">
        <f t="shared" si="1"/>
        <v>0</v>
      </c>
      <c r="J685" s="83">
        <f t="array" ref="J685">IFERROR(INDEX('Sản phẩm'!$G$4:$G$103,MATCH(B685,'Sản phẩm'!$D$4:$D$103,0)),0)</f>
        <v>0</v>
      </c>
      <c r="K685" s="83">
        <f t="array" ref="K685">IFERROR(J685*INDEX('Mẻ sữa'!$N$4:$N$203,MATCH(D685,'Mẻ sữa'!$C$4:$C$203,0)),0)</f>
        <v>0</v>
      </c>
      <c r="L685" s="83">
        <f t="array" ref="L685">IFERROR(INDEX('Sản phẩm'!$I$4:$I$103,MATCH(B685,'Sản phẩm'!$D$4:$D$103,0)),0)</f>
        <v>0</v>
      </c>
      <c r="M685" s="97" t="str">
        <f t="array" ref="M685">IFERROR(INDEX('Sản phẩm'!$J$4:$J$103,MATCH(B685,'Sản phẩm'!$D$4:$D$103,0)),0)</f>
        <v/>
      </c>
      <c r="N685" s="83">
        <f>IF(B685="",0,(K685+L685+M685)*'Thiết lập'!$B$8)</f>
        <v>0</v>
      </c>
      <c r="O685" s="83">
        <f t="shared" si="2"/>
        <v>0</v>
      </c>
      <c r="P685" s="83">
        <f t="shared" si="3"/>
        <v>0</v>
      </c>
      <c r="Q685" s="83">
        <f t="shared" si="4"/>
        <v>0</v>
      </c>
      <c r="R685" s="36" t="str">
        <f t="array" ref="R685">IF(B685="","",INDEX('Bán nhanh'!$C$4:$C$103,INT((ROW()-4)/10)+1))</f>
        <v/>
      </c>
      <c r="S685" s="36" t="str">
        <f t="array" ref="S685">IF(B685="","",INDEX('Bán nhanh'!$P$4:$P$103,INT((ROW()-4)/10)+1))</f>
        <v/>
      </c>
      <c r="T685" s="36"/>
      <c r="U685" s="36"/>
      <c r="V685" s="36"/>
      <c r="W685" s="36"/>
      <c r="X685" s="36"/>
      <c r="Y685" s="36"/>
      <c r="Z685" s="36"/>
    </row>
    <row r="686" ht="15.75" customHeight="1">
      <c r="A686" s="96" t="str">
        <f t="array" ref="A686">IF(B686="","",INDEX('Bán nhanh'!$A$4:$A$103,INT((ROW()-4)/10)+1))</f>
        <v/>
      </c>
      <c r="B686" s="36" t="str">
        <f t="array" ref="B686">IF(OR(INDEX('Bán nhanh'!$D$3:$M$3,1,MOD(ROW()-4,10)+1)="",INDEX('Bán nhanh'!$D$4:$M$103,INT((ROW()-4)/10)+1,MOD(ROW()-4,10)+1)&lt;=0),"",INDEX('Bán nhanh'!$D$3:$M$3,1,MOD(ROW()-4,10)+1))</f>
        <v/>
      </c>
      <c r="C686" s="36" t="str">
        <f t="array" ref="C686">IFERROR(INDEX('Sản phẩm'!$A$4:$A$103,MATCH(B686,'Sản phẩm'!$D$4:$D$103,0)),"")</f>
        <v/>
      </c>
      <c r="D686" s="36" t="str">
        <f t="array" ref="D686">IF(B686="","",INDEX('Bán nhanh'!$B$4:$B$103,INT((ROW()-4)/10)+1))</f>
        <v/>
      </c>
      <c r="E686" s="36" t="str">
        <f t="array" ref="E686">IFERROR(INDEX('Mẻ sữa'!$B$4:$B$203,MATCH(D686,'Mẻ sữa'!$C$4:$C$203,0)),"")</f>
        <v/>
      </c>
      <c r="F686" s="82">
        <f t="array" ref="F686">IF(B686="",0,INDEX('Bán nhanh'!$D$4:$M$103,INT((ROW()-4)/10)+1,MOD(ROW()-4,10)+1))</f>
        <v>0</v>
      </c>
      <c r="G686" s="83">
        <f t="array" ref="G686">IFERROR(INDEX('Sản phẩm'!$F$4:$F$103,MATCH(B686,'Sản phẩm'!$D$4:$D$103,0)),0)</f>
        <v>0</v>
      </c>
      <c r="H686" s="83">
        <f t="shared" si="5"/>
        <v>0</v>
      </c>
      <c r="I686" s="83">
        <f t="shared" si="1"/>
        <v>0</v>
      </c>
      <c r="J686" s="83">
        <f t="array" ref="J686">IFERROR(INDEX('Sản phẩm'!$G$4:$G$103,MATCH(B686,'Sản phẩm'!$D$4:$D$103,0)),0)</f>
        <v>0</v>
      </c>
      <c r="K686" s="83">
        <f t="array" ref="K686">IFERROR(J686*INDEX('Mẻ sữa'!$N$4:$N$203,MATCH(D686,'Mẻ sữa'!$C$4:$C$203,0)),0)</f>
        <v>0</v>
      </c>
      <c r="L686" s="83">
        <f t="array" ref="L686">IFERROR(INDEX('Sản phẩm'!$I$4:$I$103,MATCH(B686,'Sản phẩm'!$D$4:$D$103,0)),0)</f>
        <v>0</v>
      </c>
      <c r="M686" s="97" t="str">
        <f t="array" ref="M686">IFERROR(INDEX('Sản phẩm'!$J$4:$J$103,MATCH(B686,'Sản phẩm'!$D$4:$D$103,0)),0)</f>
        <v/>
      </c>
      <c r="N686" s="83">
        <f>IF(B686="",0,(K686+L686+M686)*'Thiết lập'!$B$8)</f>
        <v>0</v>
      </c>
      <c r="O686" s="83">
        <f t="shared" si="2"/>
        <v>0</v>
      </c>
      <c r="P686" s="83">
        <f t="shared" si="3"/>
        <v>0</v>
      </c>
      <c r="Q686" s="83">
        <f t="shared" si="4"/>
        <v>0</v>
      </c>
      <c r="R686" s="36" t="str">
        <f t="array" ref="R686">IF(B686="","",INDEX('Bán nhanh'!$C$4:$C$103,INT((ROW()-4)/10)+1))</f>
        <v/>
      </c>
      <c r="S686" s="36" t="str">
        <f t="array" ref="S686">IF(B686="","",INDEX('Bán nhanh'!$P$4:$P$103,INT((ROW()-4)/10)+1))</f>
        <v/>
      </c>
      <c r="T686" s="36"/>
      <c r="U686" s="36"/>
      <c r="V686" s="36"/>
      <c r="W686" s="36"/>
      <c r="X686" s="36"/>
      <c r="Y686" s="36"/>
      <c r="Z686" s="36"/>
    </row>
    <row r="687" ht="15.75" customHeight="1">
      <c r="A687" s="96" t="str">
        <f t="array" ref="A687">IF(B687="","",INDEX('Bán nhanh'!$A$4:$A$103,INT((ROW()-4)/10)+1))</f>
        <v/>
      </c>
      <c r="B687" s="36" t="str">
        <f t="array" ref="B687">IF(OR(INDEX('Bán nhanh'!$D$3:$M$3,1,MOD(ROW()-4,10)+1)="",INDEX('Bán nhanh'!$D$4:$M$103,INT((ROW()-4)/10)+1,MOD(ROW()-4,10)+1)&lt;=0),"",INDEX('Bán nhanh'!$D$3:$M$3,1,MOD(ROW()-4,10)+1))</f>
        <v/>
      </c>
      <c r="C687" s="36" t="str">
        <f t="array" ref="C687">IFERROR(INDEX('Sản phẩm'!$A$4:$A$103,MATCH(B687,'Sản phẩm'!$D$4:$D$103,0)),"")</f>
        <v/>
      </c>
      <c r="D687" s="36" t="str">
        <f t="array" ref="D687">IF(B687="","",INDEX('Bán nhanh'!$B$4:$B$103,INT((ROW()-4)/10)+1))</f>
        <v/>
      </c>
      <c r="E687" s="36" t="str">
        <f t="array" ref="E687">IFERROR(INDEX('Mẻ sữa'!$B$4:$B$203,MATCH(D687,'Mẻ sữa'!$C$4:$C$203,0)),"")</f>
        <v/>
      </c>
      <c r="F687" s="82">
        <f t="array" ref="F687">IF(B687="",0,INDEX('Bán nhanh'!$D$4:$M$103,INT((ROW()-4)/10)+1,MOD(ROW()-4,10)+1))</f>
        <v>0</v>
      </c>
      <c r="G687" s="83">
        <f t="array" ref="G687">IFERROR(INDEX('Sản phẩm'!$F$4:$F$103,MATCH(B687,'Sản phẩm'!$D$4:$D$103,0)),0)</f>
        <v>0</v>
      </c>
      <c r="H687" s="83">
        <f t="shared" si="5"/>
        <v>0</v>
      </c>
      <c r="I687" s="83">
        <f t="shared" si="1"/>
        <v>0</v>
      </c>
      <c r="J687" s="83">
        <f t="array" ref="J687">IFERROR(INDEX('Sản phẩm'!$G$4:$G$103,MATCH(B687,'Sản phẩm'!$D$4:$D$103,0)),0)</f>
        <v>0</v>
      </c>
      <c r="K687" s="83">
        <f t="array" ref="K687">IFERROR(J687*INDEX('Mẻ sữa'!$N$4:$N$203,MATCH(D687,'Mẻ sữa'!$C$4:$C$203,0)),0)</f>
        <v>0</v>
      </c>
      <c r="L687" s="83">
        <f t="array" ref="L687">IFERROR(INDEX('Sản phẩm'!$I$4:$I$103,MATCH(B687,'Sản phẩm'!$D$4:$D$103,0)),0)</f>
        <v>0</v>
      </c>
      <c r="M687" s="97" t="str">
        <f t="array" ref="M687">IFERROR(INDEX('Sản phẩm'!$J$4:$J$103,MATCH(B687,'Sản phẩm'!$D$4:$D$103,0)),0)</f>
        <v/>
      </c>
      <c r="N687" s="83">
        <f>IF(B687="",0,(K687+L687+M687)*'Thiết lập'!$B$8)</f>
        <v>0</v>
      </c>
      <c r="O687" s="83">
        <f t="shared" si="2"/>
        <v>0</v>
      </c>
      <c r="P687" s="83">
        <f t="shared" si="3"/>
        <v>0</v>
      </c>
      <c r="Q687" s="83">
        <f t="shared" si="4"/>
        <v>0</v>
      </c>
      <c r="R687" s="36" t="str">
        <f t="array" ref="R687">IF(B687="","",INDEX('Bán nhanh'!$C$4:$C$103,INT((ROW()-4)/10)+1))</f>
        <v/>
      </c>
      <c r="S687" s="36" t="str">
        <f t="array" ref="S687">IF(B687="","",INDEX('Bán nhanh'!$P$4:$P$103,INT((ROW()-4)/10)+1))</f>
        <v/>
      </c>
      <c r="T687" s="36"/>
      <c r="U687" s="36"/>
      <c r="V687" s="36"/>
      <c r="W687" s="36"/>
      <c r="X687" s="36"/>
      <c r="Y687" s="36"/>
      <c r="Z687" s="36"/>
    </row>
    <row r="688" ht="15.75" customHeight="1">
      <c r="A688" s="96" t="str">
        <f t="array" ref="A688">IF(B688="","",INDEX('Bán nhanh'!$A$4:$A$103,INT((ROW()-4)/10)+1))</f>
        <v/>
      </c>
      <c r="B688" s="36" t="str">
        <f t="array" ref="B688">IF(OR(INDEX('Bán nhanh'!$D$3:$M$3,1,MOD(ROW()-4,10)+1)="",INDEX('Bán nhanh'!$D$4:$M$103,INT((ROW()-4)/10)+1,MOD(ROW()-4,10)+1)&lt;=0),"",INDEX('Bán nhanh'!$D$3:$M$3,1,MOD(ROW()-4,10)+1))</f>
        <v/>
      </c>
      <c r="C688" s="36" t="str">
        <f t="array" ref="C688">IFERROR(INDEX('Sản phẩm'!$A$4:$A$103,MATCH(B688,'Sản phẩm'!$D$4:$D$103,0)),"")</f>
        <v/>
      </c>
      <c r="D688" s="36" t="str">
        <f t="array" ref="D688">IF(B688="","",INDEX('Bán nhanh'!$B$4:$B$103,INT((ROW()-4)/10)+1))</f>
        <v/>
      </c>
      <c r="E688" s="36" t="str">
        <f t="array" ref="E688">IFERROR(INDEX('Mẻ sữa'!$B$4:$B$203,MATCH(D688,'Mẻ sữa'!$C$4:$C$203,0)),"")</f>
        <v/>
      </c>
      <c r="F688" s="82">
        <f t="array" ref="F688">IF(B688="",0,INDEX('Bán nhanh'!$D$4:$M$103,INT((ROW()-4)/10)+1,MOD(ROW()-4,10)+1))</f>
        <v>0</v>
      </c>
      <c r="G688" s="83">
        <f t="array" ref="G688">IFERROR(INDEX('Sản phẩm'!$F$4:$F$103,MATCH(B688,'Sản phẩm'!$D$4:$D$103,0)),0)</f>
        <v>0</v>
      </c>
      <c r="H688" s="83">
        <f t="shared" si="5"/>
        <v>0</v>
      </c>
      <c r="I688" s="83">
        <f t="shared" si="1"/>
        <v>0</v>
      </c>
      <c r="J688" s="83">
        <f t="array" ref="J688">IFERROR(INDEX('Sản phẩm'!$G$4:$G$103,MATCH(B688,'Sản phẩm'!$D$4:$D$103,0)),0)</f>
        <v>0</v>
      </c>
      <c r="K688" s="83">
        <f t="array" ref="K688">IFERROR(J688*INDEX('Mẻ sữa'!$N$4:$N$203,MATCH(D688,'Mẻ sữa'!$C$4:$C$203,0)),0)</f>
        <v>0</v>
      </c>
      <c r="L688" s="83">
        <f t="array" ref="L688">IFERROR(INDEX('Sản phẩm'!$I$4:$I$103,MATCH(B688,'Sản phẩm'!$D$4:$D$103,0)),0)</f>
        <v>0</v>
      </c>
      <c r="M688" s="97" t="str">
        <f t="array" ref="M688">IFERROR(INDEX('Sản phẩm'!$J$4:$J$103,MATCH(B688,'Sản phẩm'!$D$4:$D$103,0)),0)</f>
        <v/>
      </c>
      <c r="N688" s="83">
        <f>IF(B688="",0,(K688+L688+M688)*'Thiết lập'!$B$8)</f>
        <v>0</v>
      </c>
      <c r="O688" s="83">
        <f t="shared" si="2"/>
        <v>0</v>
      </c>
      <c r="P688" s="83">
        <f t="shared" si="3"/>
        <v>0</v>
      </c>
      <c r="Q688" s="83">
        <f t="shared" si="4"/>
        <v>0</v>
      </c>
      <c r="R688" s="36" t="str">
        <f t="array" ref="R688">IF(B688="","",INDEX('Bán nhanh'!$C$4:$C$103,INT((ROW()-4)/10)+1))</f>
        <v/>
      </c>
      <c r="S688" s="36" t="str">
        <f t="array" ref="S688">IF(B688="","",INDEX('Bán nhanh'!$P$4:$P$103,INT((ROW()-4)/10)+1))</f>
        <v/>
      </c>
      <c r="T688" s="36"/>
      <c r="U688" s="36"/>
      <c r="V688" s="36"/>
      <c r="W688" s="36"/>
      <c r="X688" s="36"/>
      <c r="Y688" s="36"/>
      <c r="Z688" s="36"/>
    </row>
    <row r="689" ht="15.75" customHeight="1">
      <c r="A689" s="96" t="str">
        <f t="array" ref="A689">IF(B689="","",INDEX('Bán nhanh'!$A$4:$A$103,INT((ROW()-4)/10)+1))</f>
        <v/>
      </c>
      <c r="B689" s="36" t="str">
        <f t="array" ref="B689">IF(OR(INDEX('Bán nhanh'!$D$3:$M$3,1,MOD(ROW()-4,10)+1)="",INDEX('Bán nhanh'!$D$4:$M$103,INT((ROW()-4)/10)+1,MOD(ROW()-4,10)+1)&lt;=0),"",INDEX('Bán nhanh'!$D$3:$M$3,1,MOD(ROW()-4,10)+1))</f>
        <v/>
      </c>
      <c r="C689" s="36" t="str">
        <f t="array" ref="C689">IFERROR(INDEX('Sản phẩm'!$A$4:$A$103,MATCH(B689,'Sản phẩm'!$D$4:$D$103,0)),"")</f>
        <v/>
      </c>
      <c r="D689" s="36" t="str">
        <f t="array" ref="D689">IF(B689="","",INDEX('Bán nhanh'!$B$4:$B$103,INT((ROW()-4)/10)+1))</f>
        <v/>
      </c>
      <c r="E689" s="36" t="str">
        <f t="array" ref="E689">IFERROR(INDEX('Mẻ sữa'!$B$4:$B$203,MATCH(D689,'Mẻ sữa'!$C$4:$C$203,0)),"")</f>
        <v/>
      </c>
      <c r="F689" s="82">
        <f t="array" ref="F689">IF(B689="",0,INDEX('Bán nhanh'!$D$4:$M$103,INT((ROW()-4)/10)+1,MOD(ROW()-4,10)+1))</f>
        <v>0</v>
      </c>
      <c r="G689" s="83">
        <f t="array" ref="G689">IFERROR(INDEX('Sản phẩm'!$F$4:$F$103,MATCH(B689,'Sản phẩm'!$D$4:$D$103,0)),0)</f>
        <v>0</v>
      </c>
      <c r="H689" s="83">
        <f t="shared" si="5"/>
        <v>0</v>
      </c>
      <c r="I689" s="83">
        <f t="shared" si="1"/>
        <v>0</v>
      </c>
      <c r="J689" s="83">
        <f t="array" ref="J689">IFERROR(INDEX('Sản phẩm'!$G$4:$G$103,MATCH(B689,'Sản phẩm'!$D$4:$D$103,0)),0)</f>
        <v>0</v>
      </c>
      <c r="K689" s="83">
        <f t="array" ref="K689">IFERROR(J689*INDEX('Mẻ sữa'!$N$4:$N$203,MATCH(D689,'Mẻ sữa'!$C$4:$C$203,0)),0)</f>
        <v>0</v>
      </c>
      <c r="L689" s="83">
        <f t="array" ref="L689">IFERROR(INDEX('Sản phẩm'!$I$4:$I$103,MATCH(B689,'Sản phẩm'!$D$4:$D$103,0)),0)</f>
        <v>0</v>
      </c>
      <c r="M689" s="97" t="str">
        <f t="array" ref="M689">IFERROR(INDEX('Sản phẩm'!$J$4:$J$103,MATCH(B689,'Sản phẩm'!$D$4:$D$103,0)),0)</f>
        <v/>
      </c>
      <c r="N689" s="83">
        <f>IF(B689="",0,(K689+L689+M689)*'Thiết lập'!$B$8)</f>
        <v>0</v>
      </c>
      <c r="O689" s="83">
        <f t="shared" si="2"/>
        <v>0</v>
      </c>
      <c r="P689" s="83">
        <f t="shared" si="3"/>
        <v>0</v>
      </c>
      <c r="Q689" s="83">
        <f t="shared" si="4"/>
        <v>0</v>
      </c>
      <c r="R689" s="36" t="str">
        <f t="array" ref="R689">IF(B689="","",INDEX('Bán nhanh'!$C$4:$C$103,INT((ROW()-4)/10)+1))</f>
        <v/>
      </c>
      <c r="S689" s="36" t="str">
        <f t="array" ref="S689">IF(B689="","",INDEX('Bán nhanh'!$P$4:$P$103,INT((ROW()-4)/10)+1))</f>
        <v/>
      </c>
      <c r="T689" s="36"/>
      <c r="U689" s="36"/>
      <c r="V689" s="36"/>
      <c r="W689" s="36"/>
      <c r="X689" s="36"/>
      <c r="Y689" s="36"/>
      <c r="Z689" s="36"/>
    </row>
    <row r="690" ht="15.75" customHeight="1">
      <c r="A690" s="96" t="str">
        <f t="array" ref="A690">IF(B690="","",INDEX('Bán nhanh'!$A$4:$A$103,INT((ROW()-4)/10)+1))</f>
        <v/>
      </c>
      <c r="B690" s="36" t="str">
        <f t="array" ref="B690">IF(OR(INDEX('Bán nhanh'!$D$3:$M$3,1,MOD(ROW()-4,10)+1)="",INDEX('Bán nhanh'!$D$4:$M$103,INT((ROW()-4)/10)+1,MOD(ROW()-4,10)+1)&lt;=0),"",INDEX('Bán nhanh'!$D$3:$M$3,1,MOD(ROW()-4,10)+1))</f>
        <v/>
      </c>
      <c r="C690" s="36" t="str">
        <f t="array" ref="C690">IFERROR(INDEX('Sản phẩm'!$A$4:$A$103,MATCH(B690,'Sản phẩm'!$D$4:$D$103,0)),"")</f>
        <v/>
      </c>
      <c r="D690" s="36" t="str">
        <f t="array" ref="D690">IF(B690="","",INDEX('Bán nhanh'!$B$4:$B$103,INT((ROW()-4)/10)+1))</f>
        <v/>
      </c>
      <c r="E690" s="36" t="str">
        <f t="array" ref="E690">IFERROR(INDEX('Mẻ sữa'!$B$4:$B$203,MATCH(D690,'Mẻ sữa'!$C$4:$C$203,0)),"")</f>
        <v/>
      </c>
      <c r="F690" s="82">
        <f t="array" ref="F690">IF(B690="",0,INDEX('Bán nhanh'!$D$4:$M$103,INT((ROW()-4)/10)+1,MOD(ROW()-4,10)+1))</f>
        <v>0</v>
      </c>
      <c r="G690" s="83">
        <f t="array" ref="G690">IFERROR(INDEX('Sản phẩm'!$F$4:$F$103,MATCH(B690,'Sản phẩm'!$D$4:$D$103,0)),0)</f>
        <v>0</v>
      </c>
      <c r="H690" s="83">
        <f t="shared" si="5"/>
        <v>0</v>
      </c>
      <c r="I690" s="83">
        <f t="shared" si="1"/>
        <v>0</v>
      </c>
      <c r="J690" s="83">
        <f t="array" ref="J690">IFERROR(INDEX('Sản phẩm'!$G$4:$G$103,MATCH(B690,'Sản phẩm'!$D$4:$D$103,0)),0)</f>
        <v>0</v>
      </c>
      <c r="K690" s="83">
        <f t="array" ref="K690">IFERROR(J690*INDEX('Mẻ sữa'!$N$4:$N$203,MATCH(D690,'Mẻ sữa'!$C$4:$C$203,0)),0)</f>
        <v>0</v>
      </c>
      <c r="L690" s="83">
        <f t="array" ref="L690">IFERROR(INDEX('Sản phẩm'!$I$4:$I$103,MATCH(B690,'Sản phẩm'!$D$4:$D$103,0)),0)</f>
        <v>0</v>
      </c>
      <c r="M690" s="97" t="str">
        <f t="array" ref="M690">IFERROR(INDEX('Sản phẩm'!$J$4:$J$103,MATCH(B690,'Sản phẩm'!$D$4:$D$103,0)),0)</f>
        <v/>
      </c>
      <c r="N690" s="83">
        <f>IF(B690="",0,(K690+L690+M690)*'Thiết lập'!$B$8)</f>
        <v>0</v>
      </c>
      <c r="O690" s="83">
        <f t="shared" si="2"/>
        <v>0</v>
      </c>
      <c r="P690" s="83">
        <f t="shared" si="3"/>
        <v>0</v>
      </c>
      <c r="Q690" s="83">
        <f t="shared" si="4"/>
        <v>0</v>
      </c>
      <c r="R690" s="36" t="str">
        <f t="array" ref="R690">IF(B690="","",INDEX('Bán nhanh'!$C$4:$C$103,INT((ROW()-4)/10)+1))</f>
        <v/>
      </c>
      <c r="S690" s="36" t="str">
        <f t="array" ref="S690">IF(B690="","",INDEX('Bán nhanh'!$P$4:$P$103,INT((ROW()-4)/10)+1))</f>
        <v/>
      </c>
      <c r="T690" s="36"/>
      <c r="U690" s="36"/>
      <c r="V690" s="36"/>
      <c r="W690" s="36"/>
      <c r="X690" s="36"/>
      <c r="Y690" s="36"/>
      <c r="Z690" s="36"/>
    </row>
    <row r="691" ht="15.75" customHeight="1">
      <c r="A691" s="96" t="str">
        <f t="array" ref="A691">IF(B691="","",INDEX('Bán nhanh'!$A$4:$A$103,INT((ROW()-4)/10)+1))</f>
        <v/>
      </c>
      <c r="B691" s="36" t="str">
        <f t="array" ref="B691">IF(OR(INDEX('Bán nhanh'!$D$3:$M$3,1,MOD(ROW()-4,10)+1)="",INDEX('Bán nhanh'!$D$4:$M$103,INT((ROW()-4)/10)+1,MOD(ROW()-4,10)+1)&lt;=0),"",INDEX('Bán nhanh'!$D$3:$M$3,1,MOD(ROW()-4,10)+1))</f>
        <v/>
      </c>
      <c r="C691" s="36" t="str">
        <f t="array" ref="C691">IFERROR(INDEX('Sản phẩm'!$A$4:$A$103,MATCH(B691,'Sản phẩm'!$D$4:$D$103,0)),"")</f>
        <v/>
      </c>
      <c r="D691" s="36" t="str">
        <f t="array" ref="D691">IF(B691="","",INDEX('Bán nhanh'!$B$4:$B$103,INT((ROW()-4)/10)+1))</f>
        <v/>
      </c>
      <c r="E691" s="36" t="str">
        <f t="array" ref="E691">IFERROR(INDEX('Mẻ sữa'!$B$4:$B$203,MATCH(D691,'Mẻ sữa'!$C$4:$C$203,0)),"")</f>
        <v/>
      </c>
      <c r="F691" s="82">
        <f t="array" ref="F691">IF(B691="",0,INDEX('Bán nhanh'!$D$4:$M$103,INT((ROW()-4)/10)+1,MOD(ROW()-4,10)+1))</f>
        <v>0</v>
      </c>
      <c r="G691" s="83">
        <f t="array" ref="G691">IFERROR(INDEX('Sản phẩm'!$F$4:$F$103,MATCH(B691,'Sản phẩm'!$D$4:$D$103,0)),0)</f>
        <v>0</v>
      </c>
      <c r="H691" s="83">
        <f t="shared" si="5"/>
        <v>0</v>
      </c>
      <c r="I691" s="83">
        <f t="shared" si="1"/>
        <v>0</v>
      </c>
      <c r="J691" s="83">
        <f t="array" ref="J691">IFERROR(INDEX('Sản phẩm'!$G$4:$G$103,MATCH(B691,'Sản phẩm'!$D$4:$D$103,0)),0)</f>
        <v>0</v>
      </c>
      <c r="K691" s="83">
        <f t="array" ref="K691">IFERROR(J691*INDEX('Mẻ sữa'!$N$4:$N$203,MATCH(D691,'Mẻ sữa'!$C$4:$C$203,0)),0)</f>
        <v>0</v>
      </c>
      <c r="L691" s="83">
        <f t="array" ref="L691">IFERROR(INDEX('Sản phẩm'!$I$4:$I$103,MATCH(B691,'Sản phẩm'!$D$4:$D$103,0)),0)</f>
        <v>0</v>
      </c>
      <c r="M691" s="97" t="str">
        <f t="array" ref="M691">IFERROR(INDEX('Sản phẩm'!$J$4:$J$103,MATCH(B691,'Sản phẩm'!$D$4:$D$103,0)),0)</f>
        <v/>
      </c>
      <c r="N691" s="83">
        <f>IF(B691="",0,(K691+L691+M691)*'Thiết lập'!$B$8)</f>
        <v>0</v>
      </c>
      <c r="O691" s="83">
        <f t="shared" si="2"/>
        <v>0</v>
      </c>
      <c r="P691" s="83">
        <f t="shared" si="3"/>
        <v>0</v>
      </c>
      <c r="Q691" s="83">
        <f t="shared" si="4"/>
        <v>0</v>
      </c>
      <c r="R691" s="36" t="str">
        <f t="array" ref="R691">IF(B691="","",INDEX('Bán nhanh'!$C$4:$C$103,INT((ROW()-4)/10)+1))</f>
        <v/>
      </c>
      <c r="S691" s="36" t="str">
        <f t="array" ref="S691">IF(B691="","",INDEX('Bán nhanh'!$P$4:$P$103,INT((ROW()-4)/10)+1))</f>
        <v/>
      </c>
      <c r="T691" s="36"/>
      <c r="U691" s="36"/>
      <c r="V691" s="36"/>
      <c r="W691" s="36"/>
      <c r="X691" s="36"/>
      <c r="Y691" s="36"/>
      <c r="Z691" s="36"/>
    </row>
    <row r="692" ht="15.75" customHeight="1">
      <c r="A692" s="96" t="str">
        <f t="array" ref="A692">IF(B692="","",INDEX('Bán nhanh'!$A$4:$A$103,INT((ROW()-4)/10)+1))</f>
        <v/>
      </c>
      <c r="B692" s="36" t="str">
        <f t="array" ref="B692">IF(OR(INDEX('Bán nhanh'!$D$3:$M$3,1,MOD(ROW()-4,10)+1)="",INDEX('Bán nhanh'!$D$4:$M$103,INT((ROW()-4)/10)+1,MOD(ROW()-4,10)+1)&lt;=0),"",INDEX('Bán nhanh'!$D$3:$M$3,1,MOD(ROW()-4,10)+1))</f>
        <v/>
      </c>
      <c r="C692" s="36" t="str">
        <f t="array" ref="C692">IFERROR(INDEX('Sản phẩm'!$A$4:$A$103,MATCH(B692,'Sản phẩm'!$D$4:$D$103,0)),"")</f>
        <v/>
      </c>
      <c r="D692" s="36" t="str">
        <f t="array" ref="D692">IF(B692="","",INDEX('Bán nhanh'!$B$4:$B$103,INT((ROW()-4)/10)+1))</f>
        <v/>
      </c>
      <c r="E692" s="36" t="str">
        <f t="array" ref="E692">IFERROR(INDEX('Mẻ sữa'!$B$4:$B$203,MATCH(D692,'Mẻ sữa'!$C$4:$C$203,0)),"")</f>
        <v/>
      </c>
      <c r="F692" s="82">
        <f t="array" ref="F692">IF(B692="",0,INDEX('Bán nhanh'!$D$4:$M$103,INT((ROW()-4)/10)+1,MOD(ROW()-4,10)+1))</f>
        <v>0</v>
      </c>
      <c r="G692" s="83">
        <f t="array" ref="G692">IFERROR(INDEX('Sản phẩm'!$F$4:$F$103,MATCH(B692,'Sản phẩm'!$D$4:$D$103,0)),0)</f>
        <v>0</v>
      </c>
      <c r="H692" s="83">
        <f t="shared" si="5"/>
        <v>0</v>
      </c>
      <c r="I692" s="83">
        <f t="shared" si="1"/>
        <v>0</v>
      </c>
      <c r="J692" s="83">
        <f t="array" ref="J692">IFERROR(INDEX('Sản phẩm'!$G$4:$G$103,MATCH(B692,'Sản phẩm'!$D$4:$D$103,0)),0)</f>
        <v>0</v>
      </c>
      <c r="K692" s="83">
        <f t="array" ref="K692">IFERROR(J692*INDEX('Mẻ sữa'!$N$4:$N$203,MATCH(D692,'Mẻ sữa'!$C$4:$C$203,0)),0)</f>
        <v>0</v>
      </c>
      <c r="L692" s="83">
        <f t="array" ref="L692">IFERROR(INDEX('Sản phẩm'!$I$4:$I$103,MATCH(B692,'Sản phẩm'!$D$4:$D$103,0)),0)</f>
        <v>0</v>
      </c>
      <c r="M692" s="97" t="str">
        <f t="array" ref="M692">IFERROR(INDEX('Sản phẩm'!$J$4:$J$103,MATCH(B692,'Sản phẩm'!$D$4:$D$103,0)),0)</f>
        <v/>
      </c>
      <c r="N692" s="83">
        <f>IF(B692="",0,(K692+L692+M692)*'Thiết lập'!$B$8)</f>
        <v>0</v>
      </c>
      <c r="O692" s="83">
        <f t="shared" si="2"/>
        <v>0</v>
      </c>
      <c r="P692" s="83">
        <f t="shared" si="3"/>
        <v>0</v>
      </c>
      <c r="Q692" s="83">
        <f t="shared" si="4"/>
        <v>0</v>
      </c>
      <c r="R692" s="36" t="str">
        <f t="array" ref="R692">IF(B692="","",INDEX('Bán nhanh'!$C$4:$C$103,INT((ROW()-4)/10)+1))</f>
        <v/>
      </c>
      <c r="S692" s="36" t="str">
        <f t="array" ref="S692">IF(B692="","",INDEX('Bán nhanh'!$P$4:$P$103,INT((ROW()-4)/10)+1))</f>
        <v/>
      </c>
      <c r="T692" s="36"/>
      <c r="U692" s="36"/>
      <c r="V692" s="36"/>
      <c r="W692" s="36"/>
      <c r="X692" s="36"/>
      <c r="Y692" s="36"/>
      <c r="Z692" s="36"/>
    </row>
    <row r="693" ht="15.75" customHeight="1">
      <c r="A693" s="96" t="str">
        <f t="array" ref="A693">IF(B693="","",INDEX('Bán nhanh'!$A$4:$A$103,INT((ROW()-4)/10)+1))</f>
        <v/>
      </c>
      <c r="B693" s="36" t="str">
        <f t="array" ref="B693">IF(OR(INDEX('Bán nhanh'!$D$3:$M$3,1,MOD(ROW()-4,10)+1)="",INDEX('Bán nhanh'!$D$4:$M$103,INT((ROW()-4)/10)+1,MOD(ROW()-4,10)+1)&lt;=0),"",INDEX('Bán nhanh'!$D$3:$M$3,1,MOD(ROW()-4,10)+1))</f>
        <v/>
      </c>
      <c r="C693" s="36" t="str">
        <f t="array" ref="C693">IFERROR(INDEX('Sản phẩm'!$A$4:$A$103,MATCH(B693,'Sản phẩm'!$D$4:$D$103,0)),"")</f>
        <v/>
      </c>
      <c r="D693" s="36" t="str">
        <f t="array" ref="D693">IF(B693="","",INDEX('Bán nhanh'!$B$4:$B$103,INT((ROW()-4)/10)+1))</f>
        <v/>
      </c>
      <c r="E693" s="36" t="str">
        <f t="array" ref="E693">IFERROR(INDEX('Mẻ sữa'!$B$4:$B$203,MATCH(D693,'Mẻ sữa'!$C$4:$C$203,0)),"")</f>
        <v/>
      </c>
      <c r="F693" s="82">
        <f t="array" ref="F693">IF(B693="",0,INDEX('Bán nhanh'!$D$4:$M$103,INT((ROW()-4)/10)+1,MOD(ROW()-4,10)+1))</f>
        <v>0</v>
      </c>
      <c r="G693" s="83">
        <f t="array" ref="G693">IFERROR(INDEX('Sản phẩm'!$F$4:$F$103,MATCH(B693,'Sản phẩm'!$D$4:$D$103,0)),0)</f>
        <v>0</v>
      </c>
      <c r="H693" s="83">
        <f t="shared" si="5"/>
        <v>0</v>
      </c>
      <c r="I693" s="83">
        <f t="shared" si="1"/>
        <v>0</v>
      </c>
      <c r="J693" s="83">
        <f t="array" ref="J693">IFERROR(INDEX('Sản phẩm'!$G$4:$G$103,MATCH(B693,'Sản phẩm'!$D$4:$D$103,0)),0)</f>
        <v>0</v>
      </c>
      <c r="K693" s="83">
        <f t="array" ref="K693">IFERROR(J693*INDEX('Mẻ sữa'!$N$4:$N$203,MATCH(D693,'Mẻ sữa'!$C$4:$C$203,0)),0)</f>
        <v>0</v>
      </c>
      <c r="L693" s="83">
        <f t="array" ref="L693">IFERROR(INDEX('Sản phẩm'!$I$4:$I$103,MATCH(B693,'Sản phẩm'!$D$4:$D$103,0)),0)</f>
        <v>0</v>
      </c>
      <c r="M693" s="97" t="str">
        <f t="array" ref="M693">IFERROR(INDEX('Sản phẩm'!$J$4:$J$103,MATCH(B693,'Sản phẩm'!$D$4:$D$103,0)),0)</f>
        <v/>
      </c>
      <c r="N693" s="83">
        <f>IF(B693="",0,(K693+L693+M693)*'Thiết lập'!$B$8)</f>
        <v>0</v>
      </c>
      <c r="O693" s="83">
        <f t="shared" si="2"/>
        <v>0</v>
      </c>
      <c r="P693" s="83">
        <f t="shared" si="3"/>
        <v>0</v>
      </c>
      <c r="Q693" s="83">
        <f t="shared" si="4"/>
        <v>0</v>
      </c>
      <c r="R693" s="36" t="str">
        <f t="array" ref="R693">IF(B693="","",INDEX('Bán nhanh'!$C$4:$C$103,INT((ROW()-4)/10)+1))</f>
        <v/>
      </c>
      <c r="S693" s="36" t="str">
        <f t="array" ref="S693">IF(B693="","",INDEX('Bán nhanh'!$P$4:$P$103,INT((ROW()-4)/10)+1))</f>
        <v/>
      </c>
      <c r="T693" s="36"/>
      <c r="U693" s="36"/>
      <c r="V693" s="36"/>
      <c r="W693" s="36"/>
      <c r="X693" s="36"/>
      <c r="Y693" s="36"/>
      <c r="Z693" s="36"/>
    </row>
    <row r="694" ht="15.75" customHeight="1">
      <c r="A694" s="96" t="str">
        <f t="array" ref="A694">IF(B694="","",INDEX('Bán nhanh'!$A$4:$A$103,INT((ROW()-4)/10)+1))</f>
        <v/>
      </c>
      <c r="B694" s="36" t="str">
        <f t="array" ref="B694">IF(OR(INDEX('Bán nhanh'!$D$3:$M$3,1,MOD(ROW()-4,10)+1)="",INDEX('Bán nhanh'!$D$4:$M$103,INT((ROW()-4)/10)+1,MOD(ROW()-4,10)+1)&lt;=0),"",INDEX('Bán nhanh'!$D$3:$M$3,1,MOD(ROW()-4,10)+1))</f>
        <v/>
      </c>
      <c r="C694" s="36" t="str">
        <f t="array" ref="C694">IFERROR(INDEX('Sản phẩm'!$A$4:$A$103,MATCH(B694,'Sản phẩm'!$D$4:$D$103,0)),"")</f>
        <v/>
      </c>
      <c r="D694" s="36" t="str">
        <f t="array" ref="D694">IF(B694="","",INDEX('Bán nhanh'!$B$4:$B$103,INT((ROW()-4)/10)+1))</f>
        <v/>
      </c>
      <c r="E694" s="36" t="str">
        <f t="array" ref="E694">IFERROR(INDEX('Mẻ sữa'!$B$4:$B$203,MATCH(D694,'Mẻ sữa'!$C$4:$C$203,0)),"")</f>
        <v/>
      </c>
      <c r="F694" s="82">
        <f t="array" ref="F694">IF(B694="",0,INDEX('Bán nhanh'!$D$4:$M$103,INT((ROW()-4)/10)+1,MOD(ROW()-4,10)+1))</f>
        <v>0</v>
      </c>
      <c r="G694" s="83">
        <f t="array" ref="G694">IFERROR(INDEX('Sản phẩm'!$F$4:$F$103,MATCH(B694,'Sản phẩm'!$D$4:$D$103,0)),0)</f>
        <v>0</v>
      </c>
      <c r="H694" s="83">
        <f t="shared" si="5"/>
        <v>0</v>
      </c>
      <c r="I694" s="83">
        <f t="shared" si="1"/>
        <v>0</v>
      </c>
      <c r="J694" s="83">
        <f t="array" ref="J694">IFERROR(INDEX('Sản phẩm'!$G$4:$G$103,MATCH(B694,'Sản phẩm'!$D$4:$D$103,0)),0)</f>
        <v>0</v>
      </c>
      <c r="K694" s="83">
        <f t="array" ref="K694">IFERROR(J694*INDEX('Mẻ sữa'!$N$4:$N$203,MATCH(D694,'Mẻ sữa'!$C$4:$C$203,0)),0)</f>
        <v>0</v>
      </c>
      <c r="L694" s="83">
        <f t="array" ref="L694">IFERROR(INDEX('Sản phẩm'!$I$4:$I$103,MATCH(B694,'Sản phẩm'!$D$4:$D$103,0)),0)</f>
        <v>0</v>
      </c>
      <c r="M694" s="97" t="str">
        <f t="array" ref="M694">IFERROR(INDEX('Sản phẩm'!$J$4:$J$103,MATCH(B694,'Sản phẩm'!$D$4:$D$103,0)),0)</f>
        <v/>
      </c>
      <c r="N694" s="83">
        <f>IF(B694="",0,(K694+L694+M694)*'Thiết lập'!$B$8)</f>
        <v>0</v>
      </c>
      <c r="O694" s="83">
        <f t="shared" si="2"/>
        <v>0</v>
      </c>
      <c r="P694" s="83">
        <f t="shared" si="3"/>
        <v>0</v>
      </c>
      <c r="Q694" s="83">
        <f t="shared" si="4"/>
        <v>0</v>
      </c>
      <c r="R694" s="36" t="str">
        <f t="array" ref="R694">IF(B694="","",INDEX('Bán nhanh'!$C$4:$C$103,INT((ROW()-4)/10)+1))</f>
        <v/>
      </c>
      <c r="S694" s="36" t="str">
        <f t="array" ref="S694">IF(B694="","",INDEX('Bán nhanh'!$P$4:$P$103,INT((ROW()-4)/10)+1))</f>
        <v/>
      </c>
      <c r="T694" s="36"/>
      <c r="U694" s="36"/>
      <c r="V694" s="36"/>
      <c r="W694" s="36"/>
      <c r="X694" s="36"/>
      <c r="Y694" s="36"/>
      <c r="Z694" s="36"/>
    </row>
    <row r="695" ht="15.75" customHeight="1">
      <c r="A695" s="96" t="str">
        <f t="array" ref="A695">IF(B695="","",INDEX('Bán nhanh'!$A$4:$A$103,INT((ROW()-4)/10)+1))</f>
        <v/>
      </c>
      <c r="B695" s="36" t="str">
        <f t="array" ref="B695">IF(OR(INDEX('Bán nhanh'!$D$3:$M$3,1,MOD(ROW()-4,10)+1)="",INDEX('Bán nhanh'!$D$4:$M$103,INT((ROW()-4)/10)+1,MOD(ROW()-4,10)+1)&lt;=0),"",INDEX('Bán nhanh'!$D$3:$M$3,1,MOD(ROW()-4,10)+1))</f>
        <v/>
      </c>
      <c r="C695" s="36" t="str">
        <f t="array" ref="C695">IFERROR(INDEX('Sản phẩm'!$A$4:$A$103,MATCH(B695,'Sản phẩm'!$D$4:$D$103,0)),"")</f>
        <v/>
      </c>
      <c r="D695" s="36" t="str">
        <f t="array" ref="D695">IF(B695="","",INDEX('Bán nhanh'!$B$4:$B$103,INT((ROW()-4)/10)+1))</f>
        <v/>
      </c>
      <c r="E695" s="36" t="str">
        <f t="array" ref="E695">IFERROR(INDEX('Mẻ sữa'!$B$4:$B$203,MATCH(D695,'Mẻ sữa'!$C$4:$C$203,0)),"")</f>
        <v/>
      </c>
      <c r="F695" s="82">
        <f t="array" ref="F695">IF(B695="",0,INDEX('Bán nhanh'!$D$4:$M$103,INT((ROW()-4)/10)+1,MOD(ROW()-4,10)+1))</f>
        <v>0</v>
      </c>
      <c r="G695" s="83">
        <f t="array" ref="G695">IFERROR(INDEX('Sản phẩm'!$F$4:$F$103,MATCH(B695,'Sản phẩm'!$D$4:$D$103,0)),0)</f>
        <v>0</v>
      </c>
      <c r="H695" s="83">
        <f t="shared" si="5"/>
        <v>0</v>
      </c>
      <c r="I695" s="83">
        <f t="shared" si="1"/>
        <v>0</v>
      </c>
      <c r="J695" s="83">
        <f t="array" ref="J695">IFERROR(INDEX('Sản phẩm'!$G$4:$G$103,MATCH(B695,'Sản phẩm'!$D$4:$D$103,0)),0)</f>
        <v>0</v>
      </c>
      <c r="K695" s="83">
        <f t="array" ref="K695">IFERROR(J695*INDEX('Mẻ sữa'!$N$4:$N$203,MATCH(D695,'Mẻ sữa'!$C$4:$C$203,0)),0)</f>
        <v>0</v>
      </c>
      <c r="L695" s="83">
        <f t="array" ref="L695">IFERROR(INDEX('Sản phẩm'!$I$4:$I$103,MATCH(B695,'Sản phẩm'!$D$4:$D$103,0)),0)</f>
        <v>0</v>
      </c>
      <c r="M695" s="97" t="str">
        <f t="array" ref="M695">IFERROR(INDEX('Sản phẩm'!$J$4:$J$103,MATCH(B695,'Sản phẩm'!$D$4:$D$103,0)),0)</f>
        <v/>
      </c>
      <c r="N695" s="83">
        <f>IF(B695="",0,(K695+L695+M695)*'Thiết lập'!$B$8)</f>
        <v>0</v>
      </c>
      <c r="O695" s="83">
        <f t="shared" si="2"/>
        <v>0</v>
      </c>
      <c r="P695" s="83">
        <f t="shared" si="3"/>
        <v>0</v>
      </c>
      <c r="Q695" s="83">
        <f t="shared" si="4"/>
        <v>0</v>
      </c>
      <c r="R695" s="36" t="str">
        <f t="array" ref="R695">IF(B695="","",INDEX('Bán nhanh'!$C$4:$C$103,INT((ROW()-4)/10)+1))</f>
        <v/>
      </c>
      <c r="S695" s="36" t="str">
        <f t="array" ref="S695">IF(B695="","",INDEX('Bán nhanh'!$P$4:$P$103,INT((ROW()-4)/10)+1))</f>
        <v/>
      </c>
      <c r="T695" s="36"/>
      <c r="U695" s="36"/>
      <c r="V695" s="36"/>
      <c r="W695" s="36"/>
      <c r="X695" s="36"/>
      <c r="Y695" s="36"/>
      <c r="Z695" s="36"/>
    </row>
    <row r="696" ht="15.75" customHeight="1">
      <c r="A696" s="96" t="str">
        <f t="array" ref="A696">IF(B696="","",INDEX('Bán nhanh'!$A$4:$A$103,INT((ROW()-4)/10)+1))</f>
        <v/>
      </c>
      <c r="B696" s="36" t="str">
        <f t="array" ref="B696">IF(OR(INDEX('Bán nhanh'!$D$3:$M$3,1,MOD(ROW()-4,10)+1)="",INDEX('Bán nhanh'!$D$4:$M$103,INT((ROW()-4)/10)+1,MOD(ROW()-4,10)+1)&lt;=0),"",INDEX('Bán nhanh'!$D$3:$M$3,1,MOD(ROW()-4,10)+1))</f>
        <v/>
      </c>
      <c r="C696" s="36" t="str">
        <f t="array" ref="C696">IFERROR(INDEX('Sản phẩm'!$A$4:$A$103,MATCH(B696,'Sản phẩm'!$D$4:$D$103,0)),"")</f>
        <v/>
      </c>
      <c r="D696" s="36" t="str">
        <f t="array" ref="D696">IF(B696="","",INDEX('Bán nhanh'!$B$4:$B$103,INT((ROW()-4)/10)+1))</f>
        <v/>
      </c>
      <c r="E696" s="36" t="str">
        <f t="array" ref="E696">IFERROR(INDEX('Mẻ sữa'!$B$4:$B$203,MATCH(D696,'Mẻ sữa'!$C$4:$C$203,0)),"")</f>
        <v/>
      </c>
      <c r="F696" s="82">
        <f t="array" ref="F696">IF(B696="",0,INDEX('Bán nhanh'!$D$4:$M$103,INT((ROW()-4)/10)+1,MOD(ROW()-4,10)+1))</f>
        <v>0</v>
      </c>
      <c r="G696" s="83">
        <f t="array" ref="G696">IFERROR(INDEX('Sản phẩm'!$F$4:$F$103,MATCH(B696,'Sản phẩm'!$D$4:$D$103,0)),0)</f>
        <v>0</v>
      </c>
      <c r="H696" s="83">
        <f t="shared" si="5"/>
        <v>0</v>
      </c>
      <c r="I696" s="83">
        <f t="shared" si="1"/>
        <v>0</v>
      </c>
      <c r="J696" s="83">
        <f t="array" ref="J696">IFERROR(INDEX('Sản phẩm'!$G$4:$G$103,MATCH(B696,'Sản phẩm'!$D$4:$D$103,0)),0)</f>
        <v>0</v>
      </c>
      <c r="K696" s="83">
        <f t="array" ref="K696">IFERROR(J696*INDEX('Mẻ sữa'!$N$4:$N$203,MATCH(D696,'Mẻ sữa'!$C$4:$C$203,0)),0)</f>
        <v>0</v>
      </c>
      <c r="L696" s="83">
        <f t="array" ref="L696">IFERROR(INDEX('Sản phẩm'!$I$4:$I$103,MATCH(B696,'Sản phẩm'!$D$4:$D$103,0)),0)</f>
        <v>0</v>
      </c>
      <c r="M696" s="97" t="str">
        <f t="array" ref="M696">IFERROR(INDEX('Sản phẩm'!$J$4:$J$103,MATCH(B696,'Sản phẩm'!$D$4:$D$103,0)),0)</f>
        <v/>
      </c>
      <c r="N696" s="83">
        <f>IF(B696="",0,(K696+L696+M696)*'Thiết lập'!$B$8)</f>
        <v>0</v>
      </c>
      <c r="O696" s="83">
        <f t="shared" si="2"/>
        <v>0</v>
      </c>
      <c r="P696" s="83">
        <f t="shared" si="3"/>
        <v>0</v>
      </c>
      <c r="Q696" s="83">
        <f t="shared" si="4"/>
        <v>0</v>
      </c>
      <c r="R696" s="36" t="str">
        <f t="array" ref="R696">IF(B696="","",INDEX('Bán nhanh'!$C$4:$C$103,INT((ROW()-4)/10)+1))</f>
        <v/>
      </c>
      <c r="S696" s="36" t="str">
        <f t="array" ref="S696">IF(B696="","",INDEX('Bán nhanh'!$P$4:$P$103,INT((ROW()-4)/10)+1))</f>
        <v/>
      </c>
      <c r="T696" s="36"/>
      <c r="U696" s="36"/>
      <c r="V696" s="36"/>
      <c r="W696" s="36"/>
      <c r="X696" s="36"/>
      <c r="Y696" s="36"/>
      <c r="Z696" s="36"/>
    </row>
    <row r="697" ht="15.75" customHeight="1">
      <c r="A697" s="96" t="str">
        <f t="array" ref="A697">IF(B697="","",INDEX('Bán nhanh'!$A$4:$A$103,INT((ROW()-4)/10)+1))</f>
        <v/>
      </c>
      <c r="B697" s="36" t="str">
        <f t="array" ref="B697">IF(OR(INDEX('Bán nhanh'!$D$3:$M$3,1,MOD(ROW()-4,10)+1)="",INDEX('Bán nhanh'!$D$4:$M$103,INT((ROW()-4)/10)+1,MOD(ROW()-4,10)+1)&lt;=0),"",INDEX('Bán nhanh'!$D$3:$M$3,1,MOD(ROW()-4,10)+1))</f>
        <v/>
      </c>
      <c r="C697" s="36" t="str">
        <f t="array" ref="C697">IFERROR(INDEX('Sản phẩm'!$A$4:$A$103,MATCH(B697,'Sản phẩm'!$D$4:$D$103,0)),"")</f>
        <v/>
      </c>
      <c r="D697" s="36" t="str">
        <f t="array" ref="D697">IF(B697="","",INDEX('Bán nhanh'!$B$4:$B$103,INT((ROW()-4)/10)+1))</f>
        <v/>
      </c>
      <c r="E697" s="36" t="str">
        <f t="array" ref="E697">IFERROR(INDEX('Mẻ sữa'!$B$4:$B$203,MATCH(D697,'Mẻ sữa'!$C$4:$C$203,0)),"")</f>
        <v/>
      </c>
      <c r="F697" s="82">
        <f t="array" ref="F697">IF(B697="",0,INDEX('Bán nhanh'!$D$4:$M$103,INT((ROW()-4)/10)+1,MOD(ROW()-4,10)+1))</f>
        <v>0</v>
      </c>
      <c r="G697" s="83">
        <f t="array" ref="G697">IFERROR(INDEX('Sản phẩm'!$F$4:$F$103,MATCH(B697,'Sản phẩm'!$D$4:$D$103,0)),0)</f>
        <v>0</v>
      </c>
      <c r="H697" s="83">
        <f t="shared" si="5"/>
        <v>0</v>
      </c>
      <c r="I697" s="83">
        <f t="shared" si="1"/>
        <v>0</v>
      </c>
      <c r="J697" s="83">
        <f t="array" ref="J697">IFERROR(INDEX('Sản phẩm'!$G$4:$G$103,MATCH(B697,'Sản phẩm'!$D$4:$D$103,0)),0)</f>
        <v>0</v>
      </c>
      <c r="K697" s="83">
        <f t="array" ref="K697">IFERROR(J697*INDEX('Mẻ sữa'!$N$4:$N$203,MATCH(D697,'Mẻ sữa'!$C$4:$C$203,0)),0)</f>
        <v>0</v>
      </c>
      <c r="L697" s="83">
        <f t="array" ref="L697">IFERROR(INDEX('Sản phẩm'!$I$4:$I$103,MATCH(B697,'Sản phẩm'!$D$4:$D$103,0)),0)</f>
        <v>0</v>
      </c>
      <c r="M697" s="97" t="str">
        <f t="array" ref="M697">IFERROR(INDEX('Sản phẩm'!$J$4:$J$103,MATCH(B697,'Sản phẩm'!$D$4:$D$103,0)),0)</f>
        <v/>
      </c>
      <c r="N697" s="83">
        <f>IF(B697="",0,(K697+L697+M697)*'Thiết lập'!$B$8)</f>
        <v>0</v>
      </c>
      <c r="O697" s="83">
        <f t="shared" si="2"/>
        <v>0</v>
      </c>
      <c r="P697" s="83">
        <f t="shared" si="3"/>
        <v>0</v>
      </c>
      <c r="Q697" s="83">
        <f t="shared" si="4"/>
        <v>0</v>
      </c>
      <c r="R697" s="36" t="str">
        <f t="array" ref="R697">IF(B697="","",INDEX('Bán nhanh'!$C$4:$C$103,INT((ROW()-4)/10)+1))</f>
        <v/>
      </c>
      <c r="S697" s="36" t="str">
        <f t="array" ref="S697">IF(B697="","",INDEX('Bán nhanh'!$P$4:$P$103,INT((ROW()-4)/10)+1))</f>
        <v/>
      </c>
      <c r="T697" s="36"/>
      <c r="U697" s="36"/>
      <c r="V697" s="36"/>
      <c r="W697" s="36"/>
      <c r="X697" s="36"/>
      <c r="Y697" s="36"/>
      <c r="Z697" s="36"/>
    </row>
    <row r="698" ht="15.75" customHeight="1">
      <c r="A698" s="96" t="str">
        <f t="array" ref="A698">IF(B698="","",INDEX('Bán nhanh'!$A$4:$A$103,INT((ROW()-4)/10)+1))</f>
        <v/>
      </c>
      <c r="B698" s="36" t="str">
        <f t="array" ref="B698">IF(OR(INDEX('Bán nhanh'!$D$3:$M$3,1,MOD(ROW()-4,10)+1)="",INDEX('Bán nhanh'!$D$4:$M$103,INT((ROW()-4)/10)+1,MOD(ROW()-4,10)+1)&lt;=0),"",INDEX('Bán nhanh'!$D$3:$M$3,1,MOD(ROW()-4,10)+1))</f>
        <v/>
      </c>
      <c r="C698" s="36" t="str">
        <f t="array" ref="C698">IFERROR(INDEX('Sản phẩm'!$A$4:$A$103,MATCH(B698,'Sản phẩm'!$D$4:$D$103,0)),"")</f>
        <v/>
      </c>
      <c r="D698" s="36" t="str">
        <f t="array" ref="D698">IF(B698="","",INDEX('Bán nhanh'!$B$4:$B$103,INT((ROW()-4)/10)+1))</f>
        <v/>
      </c>
      <c r="E698" s="36" t="str">
        <f t="array" ref="E698">IFERROR(INDEX('Mẻ sữa'!$B$4:$B$203,MATCH(D698,'Mẻ sữa'!$C$4:$C$203,0)),"")</f>
        <v/>
      </c>
      <c r="F698" s="82">
        <f t="array" ref="F698">IF(B698="",0,INDEX('Bán nhanh'!$D$4:$M$103,INT((ROW()-4)/10)+1,MOD(ROW()-4,10)+1))</f>
        <v>0</v>
      </c>
      <c r="G698" s="83">
        <f t="array" ref="G698">IFERROR(INDEX('Sản phẩm'!$F$4:$F$103,MATCH(B698,'Sản phẩm'!$D$4:$D$103,0)),0)</f>
        <v>0</v>
      </c>
      <c r="H698" s="83">
        <f t="shared" si="5"/>
        <v>0</v>
      </c>
      <c r="I698" s="83">
        <f t="shared" si="1"/>
        <v>0</v>
      </c>
      <c r="J698" s="83">
        <f t="array" ref="J698">IFERROR(INDEX('Sản phẩm'!$G$4:$G$103,MATCH(B698,'Sản phẩm'!$D$4:$D$103,0)),0)</f>
        <v>0</v>
      </c>
      <c r="K698" s="83">
        <f t="array" ref="K698">IFERROR(J698*INDEX('Mẻ sữa'!$N$4:$N$203,MATCH(D698,'Mẻ sữa'!$C$4:$C$203,0)),0)</f>
        <v>0</v>
      </c>
      <c r="L698" s="83">
        <f t="array" ref="L698">IFERROR(INDEX('Sản phẩm'!$I$4:$I$103,MATCH(B698,'Sản phẩm'!$D$4:$D$103,0)),0)</f>
        <v>0</v>
      </c>
      <c r="M698" s="97" t="str">
        <f t="array" ref="M698">IFERROR(INDEX('Sản phẩm'!$J$4:$J$103,MATCH(B698,'Sản phẩm'!$D$4:$D$103,0)),0)</f>
        <v/>
      </c>
      <c r="N698" s="83">
        <f>IF(B698="",0,(K698+L698+M698)*'Thiết lập'!$B$8)</f>
        <v>0</v>
      </c>
      <c r="O698" s="83">
        <f t="shared" si="2"/>
        <v>0</v>
      </c>
      <c r="P698" s="83">
        <f t="shared" si="3"/>
        <v>0</v>
      </c>
      <c r="Q698" s="83">
        <f t="shared" si="4"/>
        <v>0</v>
      </c>
      <c r="R698" s="36" t="str">
        <f t="array" ref="R698">IF(B698="","",INDEX('Bán nhanh'!$C$4:$C$103,INT((ROW()-4)/10)+1))</f>
        <v/>
      </c>
      <c r="S698" s="36" t="str">
        <f t="array" ref="S698">IF(B698="","",INDEX('Bán nhanh'!$P$4:$P$103,INT((ROW()-4)/10)+1))</f>
        <v/>
      </c>
      <c r="T698" s="36"/>
      <c r="U698" s="36"/>
      <c r="V698" s="36"/>
      <c r="W698" s="36"/>
      <c r="X698" s="36"/>
      <c r="Y698" s="36"/>
      <c r="Z698" s="36"/>
    </row>
    <row r="699" ht="15.75" customHeight="1">
      <c r="A699" s="96" t="str">
        <f t="array" ref="A699">IF(B699="","",INDEX('Bán nhanh'!$A$4:$A$103,INT((ROW()-4)/10)+1))</f>
        <v/>
      </c>
      <c r="B699" s="36" t="str">
        <f t="array" ref="B699">IF(OR(INDEX('Bán nhanh'!$D$3:$M$3,1,MOD(ROW()-4,10)+1)="",INDEX('Bán nhanh'!$D$4:$M$103,INT((ROW()-4)/10)+1,MOD(ROW()-4,10)+1)&lt;=0),"",INDEX('Bán nhanh'!$D$3:$M$3,1,MOD(ROW()-4,10)+1))</f>
        <v/>
      </c>
      <c r="C699" s="36" t="str">
        <f t="array" ref="C699">IFERROR(INDEX('Sản phẩm'!$A$4:$A$103,MATCH(B699,'Sản phẩm'!$D$4:$D$103,0)),"")</f>
        <v/>
      </c>
      <c r="D699" s="36" t="str">
        <f t="array" ref="D699">IF(B699="","",INDEX('Bán nhanh'!$B$4:$B$103,INT((ROW()-4)/10)+1))</f>
        <v/>
      </c>
      <c r="E699" s="36" t="str">
        <f t="array" ref="E699">IFERROR(INDEX('Mẻ sữa'!$B$4:$B$203,MATCH(D699,'Mẻ sữa'!$C$4:$C$203,0)),"")</f>
        <v/>
      </c>
      <c r="F699" s="82">
        <f t="array" ref="F699">IF(B699="",0,INDEX('Bán nhanh'!$D$4:$M$103,INT((ROW()-4)/10)+1,MOD(ROW()-4,10)+1))</f>
        <v>0</v>
      </c>
      <c r="G699" s="83">
        <f t="array" ref="G699">IFERROR(INDEX('Sản phẩm'!$F$4:$F$103,MATCH(B699,'Sản phẩm'!$D$4:$D$103,0)),0)</f>
        <v>0</v>
      </c>
      <c r="H699" s="83">
        <f t="shared" si="5"/>
        <v>0</v>
      </c>
      <c r="I699" s="83">
        <f t="shared" si="1"/>
        <v>0</v>
      </c>
      <c r="J699" s="83">
        <f t="array" ref="J699">IFERROR(INDEX('Sản phẩm'!$G$4:$G$103,MATCH(B699,'Sản phẩm'!$D$4:$D$103,0)),0)</f>
        <v>0</v>
      </c>
      <c r="K699" s="83">
        <f t="array" ref="K699">IFERROR(J699*INDEX('Mẻ sữa'!$N$4:$N$203,MATCH(D699,'Mẻ sữa'!$C$4:$C$203,0)),0)</f>
        <v>0</v>
      </c>
      <c r="L699" s="83">
        <f t="array" ref="L699">IFERROR(INDEX('Sản phẩm'!$I$4:$I$103,MATCH(B699,'Sản phẩm'!$D$4:$D$103,0)),0)</f>
        <v>0</v>
      </c>
      <c r="M699" s="97" t="str">
        <f t="array" ref="M699">IFERROR(INDEX('Sản phẩm'!$J$4:$J$103,MATCH(B699,'Sản phẩm'!$D$4:$D$103,0)),0)</f>
        <v/>
      </c>
      <c r="N699" s="83">
        <f>IF(B699="",0,(K699+L699+M699)*'Thiết lập'!$B$8)</f>
        <v>0</v>
      </c>
      <c r="O699" s="83">
        <f t="shared" si="2"/>
        <v>0</v>
      </c>
      <c r="P699" s="83">
        <f t="shared" si="3"/>
        <v>0</v>
      </c>
      <c r="Q699" s="83">
        <f t="shared" si="4"/>
        <v>0</v>
      </c>
      <c r="R699" s="36" t="str">
        <f t="array" ref="R699">IF(B699="","",INDEX('Bán nhanh'!$C$4:$C$103,INT((ROW()-4)/10)+1))</f>
        <v/>
      </c>
      <c r="S699" s="36" t="str">
        <f t="array" ref="S699">IF(B699="","",INDEX('Bán nhanh'!$P$4:$P$103,INT((ROW()-4)/10)+1))</f>
        <v/>
      </c>
      <c r="T699" s="36"/>
      <c r="U699" s="36"/>
      <c r="V699" s="36"/>
      <c r="W699" s="36"/>
      <c r="X699" s="36"/>
      <c r="Y699" s="36"/>
      <c r="Z699" s="36"/>
    </row>
    <row r="700" ht="15.75" customHeight="1">
      <c r="A700" s="96" t="str">
        <f t="array" ref="A700">IF(B700="","",INDEX('Bán nhanh'!$A$4:$A$103,INT((ROW()-4)/10)+1))</f>
        <v/>
      </c>
      <c r="B700" s="36" t="str">
        <f t="array" ref="B700">IF(OR(INDEX('Bán nhanh'!$D$3:$M$3,1,MOD(ROW()-4,10)+1)="",INDEX('Bán nhanh'!$D$4:$M$103,INT((ROW()-4)/10)+1,MOD(ROW()-4,10)+1)&lt;=0),"",INDEX('Bán nhanh'!$D$3:$M$3,1,MOD(ROW()-4,10)+1))</f>
        <v/>
      </c>
      <c r="C700" s="36" t="str">
        <f t="array" ref="C700">IFERROR(INDEX('Sản phẩm'!$A$4:$A$103,MATCH(B700,'Sản phẩm'!$D$4:$D$103,0)),"")</f>
        <v/>
      </c>
      <c r="D700" s="36" t="str">
        <f t="array" ref="D700">IF(B700="","",INDEX('Bán nhanh'!$B$4:$B$103,INT((ROW()-4)/10)+1))</f>
        <v/>
      </c>
      <c r="E700" s="36" t="str">
        <f t="array" ref="E700">IFERROR(INDEX('Mẻ sữa'!$B$4:$B$203,MATCH(D700,'Mẻ sữa'!$C$4:$C$203,0)),"")</f>
        <v/>
      </c>
      <c r="F700" s="82">
        <f t="array" ref="F700">IF(B700="",0,INDEX('Bán nhanh'!$D$4:$M$103,INT((ROW()-4)/10)+1,MOD(ROW()-4,10)+1))</f>
        <v>0</v>
      </c>
      <c r="G700" s="83">
        <f t="array" ref="G700">IFERROR(INDEX('Sản phẩm'!$F$4:$F$103,MATCH(B700,'Sản phẩm'!$D$4:$D$103,0)),0)</f>
        <v>0</v>
      </c>
      <c r="H700" s="83">
        <f t="shared" si="5"/>
        <v>0</v>
      </c>
      <c r="I700" s="83">
        <f t="shared" si="1"/>
        <v>0</v>
      </c>
      <c r="J700" s="83">
        <f t="array" ref="J700">IFERROR(INDEX('Sản phẩm'!$G$4:$G$103,MATCH(B700,'Sản phẩm'!$D$4:$D$103,0)),0)</f>
        <v>0</v>
      </c>
      <c r="K700" s="83">
        <f t="array" ref="K700">IFERROR(J700*INDEX('Mẻ sữa'!$N$4:$N$203,MATCH(D700,'Mẻ sữa'!$C$4:$C$203,0)),0)</f>
        <v>0</v>
      </c>
      <c r="L700" s="83">
        <f t="array" ref="L700">IFERROR(INDEX('Sản phẩm'!$I$4:$I$103,MATCH(B700,'Sản phẩm'!$D$4:$D$103,0)),0)</f>
        <v>0</v>
      </c>
      <c r="M700" s="97" t="str">
        <f t="array" ref="M700">IFERROR(INDEX('Sản phẩm'!$J$4:$J$103,MATCH(B700,'Sản phẩm'!$D$4:$D$103,0)),0)</f>
        <v/>
      </c>
      <c r="N700" s="83">
        <f>IF(B700="",0,(K700+L700+M700)*'Thiết lập'!$B$8)</f>
        <v>0</v>
      </c>
      <c r="O700" s="83">
        <f t="shared" si="2"/>
        <v>0</v>
      </c>
      <c r="P700" s="83">
        <f t="shared" si="3"/>
        <v>0</v>
      </c>
      <c r="Q700" s="83">
        <f t="shared" si="4"/>
        <v>0</v>
      </c>
      <c r="R700" s="36" t="str">
        <f t="array" ref="R700">IF(B700="","",INDEX('Bán nhanh'!$C$4:$C$103,INT((ROW()-4)/10)+1))</f>
        <v/>
      </c>
      <c r="S700" s="36" t="str">
        <f t="array" ref="S700">IF(B700="","",INDEX('Bán nhanh'!$P$4:$P$103,INT((ROW()-4)/10)+1))</f>
        <v/>
      </c>
      <c r="T700" s="36"/>
      <c r="U700" s="36"/>
      <c r="V700" s="36"/>
      <c r="W700" s="36"/>
      <c r="X700" s="36"/>
      <c r="Y700" s="36"/>
      <c r="Z700" s="36"/>
    </row>
    <row r="701" ht="15.75" customHeight="1">
      <c r="A701" s="96" t="str">
        <f t="array" ref="A701">IF(B701="","",INDEX('Bán nhanh'!$A$4:$A$103,INT((ROW()-4)/10)+1))</f>
        <v/>
      </c>
      <c r="B701" s="36" t="str">
        <f t="array" ref="B701">IF(OR(INDEX('Bán nhanh'!$D$3:$M$3,1,MOD(ROW()-4,10)+1)="",INDEX('Bán nhanh'!$D$4:$M$103,INT((ROW()-4)/10)+1,MOD(ROW()-4,10)+1)&lt;=0),"",INDEX('Bán nhanh'!$D$3:$M$3,1,MOD(ROW()-4,10)+1))</f>
        <v/>
      </c>
      <c r="C701" s="36" t="str">
        <f t="array" ref="C701">IFERROR(INDEX('Sản phẩm'!$A$4:$A$103,MATCH(B701,'Sản phẩm'!$D$4:$D$103,0)),"")</f>
        <v/>
      </c>
      <c r="D701" s="36" t="str">
        <f t="array" ref="D701">IF(B701="","",INDEX('Bán nhanh'!$B$4:$B$103,INT((ROW()-4)/10)+1))</f>
        <v/>
      </c>
      <c r="E701" s="36" t="str">
        <f t="array" ref="E701">IFERROR(INDEX('Mẻ sữa'!$B$4:$B$203,MATCH(D701,'Mẻ sữa'!$C$4:$C$203,0)),"")</f>
        <v/>
      </c>
      <c r="F701" s="82">
        <f t="array" ref="F701">IF(B701="",0,INDEX('Bán nhanh'!$D$4:$M$103,INT((ROW()-4)/10)+1,MOD(ROW()-4,10)+1))</f>
        <v>0</v>
      </c>
      <c r="G701" s="83">
        <f t="array" ref="G701">IFERROR(INDEX('Sản phẩm'!$F$4:$F$103,MATCH(B701,'Sản phẩm'!$D$4:$D$103,0)),0)</f>
        <v>0</v>
      </c>
      <c r="H701" s="83">
        <f t="shared" si="5"/>
        <v>0</v>
      </c>
      <c r="I701" s="83">
        <f t="shared" si="1"/>
        <v>0</v>
      </c>
      <c r="J701" s="83">
        <f t="array" ref="J701">IFERROR(INDEX('Sản phẩm'!$G$4:$G$103,MATCH(B701,'Sản phẩm'!$D$4:$D$103,0)),0)</f>
        <v>0</v>
      </c>
      <c r="K701" s="83">
        <f t="array" ref="K701">IFERROR(J701*INDEX('Mẻ sữa'!$N$4:$N$203,MATCH(D701,'Mẻ sữa'!$C$4:$C$203,0)),0)</f>
        <v>0</v>
      </c>
      <c r="L701" s="83">
        <f t="array" ref="L701">IFERROR(INDEX('Sản phẩm'!$I$4:$I$103,MATCH(B701,'Sản phẩm'!$D$4:$D$103,0)),0)</f>
        <v>0</v>
      </c>
      <c r="M701" s="97" t="str">
        <f t="array" ref="M701">IFERROR(INDEX('Sản phẩm'!$J$4:$J$103,MATCH(B701,'Sản phẩm'!$D$4:$D$103,0)),0)</f>
        <v/>
      </c>
      <c r="N701" s="83">
        <f>IF(B701="",0,(K701+L701+M701)*'Thiết lập'!$B$8)</f>
        <v>0</v>
      </c>
      <c r="O701" s="83">
        <f t="shared" si="2"/>
        <v>0</v>
      </c>
      <c r="P701" s="83">
        <f t="shared" si="3"/>
        <v>0</v>
      </c>
      <c r="Q701" s="83">
        <f t="shared" si="4"/>
        <v>0</v>
      </c>
      <c r="R701" s="36" t="str">
        <f t="array" ref="R701">IF(B701="","",INDEX('Bán nhanh'!$C$4:$C$103,INT((ROW()-4)/10)+1))</f>
        <v/>
      </c>
      <c r="S701" s="36" t="str">
        <f t="array" ref="S701">IF(B701="","",INDEX('Bán nhanh'!$P$4:$P$103,INT((ROW()-4)/10)+1))</f>
        <v/>
      </c>
      <c r="T701" s="36"/>
      <c r="U701" s="36"/>
      <c r="V701" s="36"/>
      <c r="W701" s="36"/>
      <c r="X701" s="36"/>
      <c r="Y701" s="36"/>
      <c r="Z701" s="36"/>
    </row>
    <row r="702" ht="15.75" customHeight="1">
      <c r="A702" s="96" t="str">
        <f t="array" ref="A702">IF(B702="","",INDEX('Bán nhanh'!$A$4:$A$103,INT((ROW()-4)/10)+1))</f>
        <v/>
      </c>
      <c r="B702" s="36" t="str">
        <f t="array" ref="B702">IF(OR(INDEX('Bán nhanh'!$D$3:$M$3,1,MOD(ROW()-4,10)+1)="",INDEX('Bán nhanh'!$D$4:$M$103,INT((ROW()-4)/10)+1,MOD(ROW()-4,10)+1)&lt;=0),"",INDEX('Bán nhanh'!$D$3:$M$3,1,MOD(ROW()-4,10)+1))</f>
        <v/>
      </c>
      <c r="C702" s="36" t="str">
        <f t="array" ref="C702">IFERROR(INDEX('Sản phẩm'!$A$4:$A$103,MATCH(B702,'Sản phẩm'!$D$4:$D$103,0)),"")</f>
        <v/>
      </c>
      <c r="D702" s="36" t="str">
        <f t="array" ref="D702">IF(B702="","",INDEX('Bán nhanh'!$B$4:$B$103,INT((ROW()-4)/10)+1))</f>
        <v/>
      </c>
      <c r="E702" s="36" t="str">
        <f t="array" ref="E702">IFERROR(INDEX('Mẻ sữa'!$B$4:$B$203,MATCH(D702,'Mẻ sữa'!$C$4:$C$203,0)),"")</f>
        <v/>
      </c>
      <c r="F702" s="82">
        <f t="array" ref="F702">IF(B702="",0,INDEX('Bán nhanh'!$D$4:$M$103,INT((ROW()-4)/10)+1,MOD(ROW()-4,10)+1))</f>
        <v>0</v>
      </c>
      <c r="G702" s="83">
        <f t="array" ref="G702">IFERROR(INDEX('Sản phẩm'!$F$4:$F$103,MATCH(B702,'Sản phẩm'!$D$4:$D$103,0)),0)</f>
        <v>0</v>
      </c>
      <c r="H702" s="83">
        <f t="shared" si="5"/>
        <v>0</v>
      </c>
      <c r="I702" s="83">
        <f t="shared" si="1"/>
        <v>0</v>
      </c>
      <c r="J702" s="83">
        <f t="array" ref="J702">IFERROR(INDEX('Sản phẩm'!$G$4:$G$103,MATCH(B702,'Sản phẩm'!$D$4:$D$103,0)),0)</f>
        <v>0</v>
      </c>
      <c r="K702" s="83">
        <f t="array" ref="K702">IFERROR(J702*INDEX('Mẻ sữa'!$N$4:$N$203,MATCH(D702,'Mẻ sữa'!$C$4:$C$203,0)),0)</f>
        <v>0</v>
      </c>
      <c r="L702" s="83">
        <f t="array" ref="L702">IFERROR(INDEX('Sản phẩm'!$I$4:$I$103,MATCH(B702,'Sản phẩm'!$D$4:$D$103,0)),0)</f>
        <v>0</v>
      </c>
      <c r="M702" s="97" t="str">
        <f t="array" ref="M702">IFERROR(INDEX('Sản phẩm'!$J$4:$J$103,MATCH(B702,'Sản phẩm'!$D$4:$D$103,0)),0)</f>
        <v/>
      </c>
      <c r="N702" s="83">
        <f>IF(B702="",0,(K702+L702+M702)*'Thiết lập'!$B$8)</f>
        <v>0</v>
      </c>
      <c r="O702" s="83">
        <f t="shared" si="2"/>
        <v>0</v>
      </c>
      <c r="P702" s="83">
        <f t="shared" si="3"/>
        <v>0</v>
      </c>
      <c r="Q702" s="83">
        <f t="shared" si="4"/>
        <v>0</v>
      </c>
      <c r="R702" s="36" t="str">
        <f t="array" ref="R702">IF(B702="","",INDEX('Bán nhanh'!$C$4:$C$103,INT((ROW()-4)/10)+1))</f>
        <v/>
      </c>
      <c r="S702" s="36" t="str">
        <f t="array" ref="S702">IF(B702="","",INDEX('Bán nhanh'!$P$4:$P$103,INT((ROW()-4)/10)+1))</f>
        <v/>
      </c>
      <c r="T702" s="36"/>
      <c r="U702" s="36"/>
      <c r="V702" s="36"/>
      <c r="W702" s="36"/>
      <c r="X702" s="36"/>
      <c r="Y702" s="36"/>
      <c r="Z702" s="36"/>
    </row>
    <row r="703" ht="15.75" customHeight="1">
      <c r="A703" s="96" t="str">
        <f t="array" ref="A703">IF(B703="","",INDEX('Bán nhanh'!$A$4:$A$103,INT((ROW()-4)/10)+1))</f>
        <v/>
      </c>
      <c r="B703" s="36" t="str">
        <f t="array" ref="B703">IF(OR(INDEX('Bán nhanh'!$D$3:$M$3,1,MOD(ROW()-4,10)+1)="",INDEX('Bán nhanh'!$D$4:$M$103,INT((ROW()-4)/10)+1,MOD(ROW()-4,10)+1)&lt;=0),"",INDEX('Bán nhanh'!$D$3:$M$3,1,MOD(ROW()-4,10)+1))</f>
        <v/>
      </c>
      <c r="C703" s="36" t="str">
        <f t="array" ref="C703">IFERROR(INDEX('Sản phẩm'!$A$4:$A$103,MATCH(B703,'Sản phẩm'!$D$4:$D$103,0)),"")</f>
        <v/>
      </c>
      <c r="D703" s="36" t="str">
        <f t="array" ref="D703">IF(B703="","",INDEX('Bán nhanh'!$B$4:$B$103,INT((ROW()-4)/10)+1))</f>
        <v/>
      </c>
      <c r="E703" s="36" t="str">
        <f t="array" ref="E703">IFERROR(INDEX('Mẻ sữa'!$B$4:$B$203,MATCH(D703,'Mẻ sữa'!$C$4:$C$203,0)),"")</f>
        <v/>
      </c>
      <c r="F703" s="82">
        <f t="array" ref="F703">IF(B703="",0,INDEX('Bán nhanh'!$D$4:$M$103,INT((ROW()-4)/10)+1,MOD(ROW()-4,10)+1))</f>
        <v>0</v>
      </c>
      <c r="G703" s="83">
        <f t="array" ref="G703">IFERROR(INDEX('Sản phẩm'!$F$4:$F$103,MATCH(B703,'Sản phẩm'!$D$4:$D$103,0)),0)</f>
        <v>0</v>
      </c>
      <c r="H703" s="83">
        <f t="shared" si="5"/>
        <v>0</v>
      </c>
      <c r="I703" s="83">
        <f t="shared" si="1"/>
        <v>0</v>
      </c>
      <c r="J703" s="83">
        <f t="array" ref="J703">IFERROR(INDEX('Sản phẩm'!$G$4:$G$103,MATCH(B703,'Sản phẩm'!$D$4:$D$103,0)),0)</f>
        <v>0</v>
      </c>
      <c r="K703" s="83">
        <f t="array" ref="K703">IFERROR(J703*INDEX('Mẻ sữa'!$N$4:$N$203,MATCH(D703,'Mẻ sữa'!$C$4:$C$203,0)),0)</f>
        <v>0</v>
      </c>
      <c r="L703" s="83">
        <f t="array" ref="L703">IFERROR(INDEX('Sản phẩm'!$I$4:$I$103,MATCH(B703,'Sản phẩm'!$D$4:$D$103,0)),0)</f>
        <v>0</v>
      </c>
      <c r="M703" s="97" t="str">
        <f t="array" ref="M703">IFERROR(INDEX('Sản phẩm'!$J$4:$J$103,MATCH(B703,'Sản phẩm'!$D$4:$D$103,0)),0)</f>
        <v/>
      </c>
      <c r="N703" s="83">
        <f>IF(B703="",0,(K703+L703+M703)*'Thiết lập'!$B$8)</f>
        <v>0</v>
      </c>
      <c r="O703" s="83">
        <f t="shared" si="2"/>
        <v>0</v>
      </c>
      <c r="P703" s="83">
        <f t="shared" si="3"/>
        <v>0</v>
      </c>
      <c r="Q703" s="83">
        <f t="shared" si="4"/>
        <v>0</v>
      </c>
      <c r="R703" s="36" t="str">
        <f t="array" ref="R703">IF(B703="","",INDEX('Bán nhanh'!$C$4:$C$103,INT((ROW()-4)/10)+1))</f>
        <v/>
      </c>
      <c r="S703" s="36" t="str">
        <f t="array" ref="S703">IF(B703="","",INDEX('Bán nhanh'!$P$4:$P$103,INT((ROW()-4)/10)+1))</f>
        <v/>
      </c>
      <c r="T703" s="36"/>
      <c r="U703" s="36"/>
      <c r="V703" s="36"/>
      <c r="W703" s="36"/>
      <c r="X703" s="36"/>
      <c r="Y703" s="36"/>
      <c r="Z703" s="36"/>
    </row>
    <row r="704" ht="15.75" customHeight="1">
      <c r="A704" s="96" t="str">
        <f t="array" ref="A704">IF(B704="","",INDEX('Bán nhanh'!$A$4:$A$103,INT((ROW()-4)/10)+1))</f>
        <v/>
      </c>
      <c r="B704" s="36" t="str">
        <f t="array" ref="B704">IF(OR(INDEX('Bán nhanh'!$D$3:$M$3,1,MOD(ROW()-4,10)+1)="",INDEX('Bán nhanh'!$D$4:$M$103,INT((ROW()-4)/10)+1,MOD(ROW()-4,10)+1)&lt;=0),"",INDEX('Bán nhanh'!$D$3:$M$3,1,MOD(ROW()-4,10)+1))</f>
        <v/>
      </c>
      <c r="C704" s="36" t="str">
        <f t="array" ref="C704">IFERROR(INDEX('Sản phẩm'!$A$4:$A$103,MATCH(B704,'Sản phẩm'!$D$4:$D$103,0)),"")</f>
        <v/>
      </c>
      <c r="D704" s="36" t="str">
        <f t="array" ref="D704">IF(B704="","",INDEX('Bán nhanh'!$B$4:$B$103,INT((ROW()-4)/10)+1))</f>
        <v/>
      </c>
      <c r="E704" s="36" t="str">
        <f t="array" ref="E704">IFERROR(INDEX('Mẻ sữa'!$B$4:$B$203,MATCH(D704,'Mẻ sữa'!$C$4:$C$203,0)),"")</f>
        <v/>
      </c>
      <c r="F704" s="82">
        <f t="array" ref="F704">IF(B704="",0,INDEX('Bán nhanh'!$D$4:$M$103,INT((ROW()-4)/10)+1,MOD(ROW()-4,10)+1))</f>
        <v>0</v>
      </c>
      <c r="G704" s="83">
        <f t="array" ref="G704">IFERROR(INDEX('Sản phẩm'!$F$4:$F$103,MATCH(B704,'Sản phẩm'!$D$4:$D$103,0)),0)</f>
        <v>0</v>
      </c>
      <c r="H704" s="83">
        <f t="shared" si="5"/>
        <v>0</v>
      </c>
      <c r="I704" s="83">
        <f t="shared" si="1"/>
        <v>0</v>
      </c>
      <c r="J704" s="83">
        <f t="array" ref="J704">IFERROR(INDEX('Sản phẩm'!$G$4:$G$103,MATCH(B704,'Sản phẩm'!$D$4:$D$103,0)),0)</f>
        <v>0</v>
      </c>
      <c r="K704" s="83">
        <f t="array" ref="K704">IFERROR(J704*INDEX('Mẻ sữa'!$N$4:$N$203,MATCH(D704,'Mẻ sữa'!$C$4:$C$203,0)),0)</f>
        <v>0</v>
      </c>
      <c r="L704" s="83">
        <f t="array" ref="L704">IFERROR(INDEX('Sản phẩm'!$I$4:$I$103,MATCH(B704,'Sản phẩm'!$D$4:$D$103,0)),0)</f>
        <v>0</v>
      </c>
      <c r="M704" s="97" t="str">
        <f t="array" ref="M704">IFERROR(INDEX('Sản phẩm'!$J$4:$J$103,MATCH(B704,'Sản phẩm'!$D$4:$D$103,0)),0)</f>
        <v/>
      </c>
      <c r="N704" s="83">
        <f>IF(B704="",0,(K704+L704+M704)*'Thiết lập'!$B$8)</f>
        <v>0</v>
      </c>
      <c r="O704" s="83">
        <f t="shared" si="2"/>
        <v>0</v>
      </c>
      <c r="P704" s="83">
        <f t="shared" si="3"/>
        <v>0</v>
      </c>
      <c r="Q704" s="83">
        <f t="shared" si="4"/>
        <v>0</v>
      </c>
      <c r="R704" s="36" t="str">
        <f t="array" ref="R704">IF(B704="","",INDEX('Bán nhanh'!$C$4:$C$103,INT((ROW()-4)/10)+1))</f>
        <v/>
      </c>
      <c r="S704" s="36" t="str">
        <f t="array" ref="S704">IF(B704="","",INDEX('Bán nhanh'!$P$4:$P$103,INT((ROW()-4)/10)+1))</f>
        <v/>
      </c>
      <c r="T704" s="36"/>
      <c r="U704" s="36"/>
      <c r="V704" s="36"/>
      <c r="W704" s="36"/>
      <c r="X704" s="36"/>
      <c r="Y704" s="36"/>
      <c r="Z704" s="36"/>
    </row>
    <row r="705" ht="15.75" customHeight="1">
      <c r="A705" s="96" t="str">
        <f t="array" ref="A705">IF(B705="","",INDEX('Bán nhanh'!$A$4:$A$103,INT((ROW()-4)/10)+1))</f>
        <v/>
      </c>
      <c r="B705" s="36" t="str">
        <f t="array" ref="B705">IF(OR(INDEX('Bán nhanh'!$D$3:$M$3,1,MOD(ROW()-4,10)+1)="",INDEX('Bán nhanh'!$D$4:$M$103,INT((ROW()-4)/10)+1,MOD(ROW()-4,10)+1)&lt;=0),"",INDEX('Bán nhanh'!$D$3:$M$3,1,MOD(ROW()-4,10)+1))</f>
        <v/>
      </c>
      <c r="C705" s="36" t="str">
        <f t="array" ref="C705">IFERROR(INDEX('Sản phẩm'!$A$4:$A$103,MATCH(B705,'Sản phẩm'!$D$4:$D$103,0)),"")</f>
        <v/>
      </c>
      <c r="D705" s="36" t="str">
        <f t="array" ref="D705">IF(B705="","",INDEX('Bán nhanh'!$B$4:$B$103,INT((ROW()-4)/10)+1))</f>
        <v/>
      </c>
      <c r="E705" s="36" t="str">
        <f t="array" ref="E705">IFERROR(INDEX('Mẻ sữa'!$B$4:$B$203,MATCH(D705,'Mẻ sữa'!$C$4:$C$203,0)),"")</f>
        <v/>
      </c>
      <c r="F705" s="82">
        <f t="array" ref="F705">IF(B705="",0,INDEX('Bán nhanh'!$D$4:$M$103,INT((ROW()-4)/10)+1,MOD(ROW()-4,10)+1))</f>
        <v>0</v>
      </c>
      <c r="G705" s="83">
        <f t="array" ref="G705">IFERROR(INDEX('Sản phẩm'!$F$4:$F$103,MATCH(B705,'Sản phẩm'!$D$4:$D$103,0)),0)</f>
        <v>0</v>
      </c>
      <c r="H705" s="83">
        <f t="shared" si="5"/>
        <v>0</v>
      </c>
      <c r="I705" s="83">
        <f t="shared" si="1"/>
        <v>0</v>
      </c>
      <c r="J705" s="83">
        <f t="array" ref="J705">IFERROR(INDEX('Sản phẩm'!$G$4:$G$103,MATCH(B705,'Sản phẩm'!$D$4:$D$103,0)),0)</f>
        <v>0</v>
      </c>
      <c r="K705" s="83">
        <f t="array" ref="K705">IFERROR(J705*INDEX('Mẻ sữa'!$N$4:$N$203,MATCH(D705,'Mẻ sữa'!$C$4:$C$203,0)),0)</f>
        <v>0</v>
      </c>
      <c r="L705" s="83">
        <f t="array" ref="L705">IFERROR(INDEX('Sản phẩm'!$I$4:$I$103,MATCH(B705,'Sản phẩm'!$D$4:$D$103,0)),0)</f>
        <v>0</v>
      </c>
      <c r="M705" s="97" t="str">
        <f t="array" ref="M705">IFERROR(INDEX('Sản phẩm'!$J$4:$J$103,MATCH(B705,'Sản phẩm'!$D$4:$D$103,0)),0)</f>
        <v/>
      </c>
      <c r="N705" s="83">
        <f>IF(B705="",0,(K705+L705+M705)*'Thiết lập'!$B$8)</f>
        <v>0</v>
      </c>
      <c r="O705" s="83">
        <f t="shared" si="2"/>
        <v>0</v>
      </c>
      <c r="P705" s="83">
        <f t="shared" si="3"/>
        <v>0</v>
      </c>
      <c r="Q705" s="83">
        <f t="shared" si="4"/>
        <v>0</v>
      </c>
      <c r="R705" s="36" t="str">
        <f t="array" ref="R705">IF(B705="","",INDEX('Bán nhanh'!$C$4:$C$103,INT((ROW()-4)/10)+1))</f>
        <v/>
      </c>
      <c r="S705" s="36" t="str">
        <f t="array" ref="S705">IF(B705="","",INDEX('Bán nhanh'!$P$4:$P$103,INT((ROW()-4)/10)+1))</f>
        <v/>
      </c>
      <c r="T705" s="36"/>
      <c r="U705" s="36"/>
      <c r="V705" s="36"/>
      <c r="W705" s="36"/>
      <c r="X705" s="36"/>
      <c r="Y705" s="36"/>
      <c r="Z705" s="36"/>
    </row>
    <row r="706" ht="15.75" customHeight="1">
      <c r="A706" s="96" t="str">
        <f t="array" ref="A706">IF(B706="","",INDEX('Bán nhanh'!$A$4:$A$103,INT((ROW()-4)/10)+1))</f>
        <v/>
      </c>
      <c r="B706" s="36" t="str">
        <f t="array" ref="B706">IF(OR(INDEX('Bán nhanh'!$D$3:$M$3,1,MOD(ROW()-4,10)+1)="",INDEX('Bán nhanh'!$D$4:$M$103,INT((ROW()-4)/10)+1,MOD(ROW()-4,10)+1)&lt;=0),"",INDEX('Bán nhanh'!$D$3:$M$3,1,MOD(ROW()-4,10)+1))</f>
        <v/>
      </c>
      <c r="C706" s="36" t="str">
        <f t="array" ref="C706">IFERROR(INDEX('Sản phẩm'!$A$4:$A$103,MATCH(B706,'Sản phẩm'!$D$4:$D$103,0)),"")</f>
        <v/>
      </c>
      <c r="D706" s="36" t="str">
        <f t="array" ref="D706">IF(B706="","",INDEX('Bán nhanh'!$B$4:$B$103,INT((ROW()-4)/10)+1))</f>
        <v/>
      </c>
      <c r="E706" s="36" t="str">
        <f t="array" ref="E706">IFERROR(INDEX('Mẻ sữa'!$B$4:$B$203,MATCH(D706,'Mẻ sữa'!$C$4:$C$203,0)),"")</f>
        <v/>
      </c>
      <c r="F706" s="82">
        <f t="array" ref="F706">IF(B706="",0,INDEX('Bán nhanh'!$D$4:$M$103,INT((ROW()-4)/10)+1,MOD(ROW()-4,10)+1))</f>
        <v>0</v>
      </c>
      <c r="G706" s="83">
        <f t="array" ref="G706">IFERROR(INDEX('Sản phẩm'!$F$4:$F$103,MATCH(B706,'Sản phẩm'!$D$4:$D$103,0)),0)</f>
        <v>0</v>
      </c>
      <c r="H706" s="83">
        <f t="shared" si="5"/>
        <v>0</v>
      </c>
      <c r="I706" s="83">
        <f t="shared" si="1"/>
        <v>0</v>
      </c>
      <c r="J706" s="83">
        <f t="array" ref="J706">IFERROR(INDEX('Sản phẩm'!$G$4:$G$103,MATCH(B706,'Sản phẩm'!$D$4:$D$103,0)),0)</f>
        <v>0</v>
      </c>
      <c r="K706" s="83">
        <f t="array" ref="K706">IFERROR(J706*INDEX('Mẻ sữa'!$N$4:$N$203,MATCH(D706,'Mẻ sữa'!$C$4:$C$203,0)),0)</f>
        <v>0</v>
      </c>
      <c r="L706" s="83">
        <f t="array" ref="L706">IFERROR(INDEX('Sản phẩm'!$I$4:$I$103,MATCH(B706,'Sản phẩm'!$D$4:$D$103,0)),0)</f>
        <v>0</v>
      </c>
      <c r="M706" s="97" t="str">
        <f t="array" ref="M706">IFERROR(INDEX('Sản phẩm'!$J$4:$J$103,MATCH(B706,'Sản phẩm'!$D$4:$D$103,0)),0)</f>
        <v/>
      </c>
      <c r="N706" s="83">
        <f>IF(B706="",0,(K706+L706+M706)*'Thiết lập'!$B$8)</f>
        <v>0</v>
      </c>
      <c r="O706" s="83">
        <f t="shared" si="2"/>
        <v>0</v>
      </c>
      <c r="P706" s="83">
        <f t="shared" si="3"/>
        <v>0</v>
      </c>
      <c r="Q706" s="83">
        <f t="shared" si="4"/>
        <v>0</v>
      </c>
      <c r="R706" s="36" t="str">
        <f t="array" ref="R706">IF(B706="","",INDEX('Bán nhanh'!$C$4:$C$103,INT((ROW()-4)/10)+1))</f>
        <v/>
      </c>
      <c r="S706" s="36" t="str">
        <f t="array" ref="S706">IF(B706="","",INDEX('Bán nhanh'!$P$4:$P$103,INT((ROW()-4)/10)+1))</f>
        <v/>
      </c>
      <c r="T706" s="36"/>
      <c r="U706" s="36"/>
      <c r="V706" s="36"/>
      <c r="W706" s="36"/>
      <c r="X706" s="36"/>
      <c r="Y706" s="36"/>
      <c r="Z706" s="36"/>
    </row>
    <row r="707" ht="15.75" customHeight="1">
      <c r="A707" s="96" t="str">
        <f t="array" ref="A707">IF(B707="","",INDEX('Bán nhanh'!$A$4:$A$103,INT((ROW()-4)/10)+1))</f>
        <v/>
      </c>
      <c r="B707" s="36" t="str">
        <f t="array" ref="B707">IF(OR(INDEX('Bán nhanh'!$D$3:$M$3,1,MOD(ROW()-4,10)+1)="",INDEX('Bán nhanh'!$D$4:$M$103,INT((ROW()-4)/10)+1,MOD(ROW()-4,10)+1)&lt;=0),"",INDEX('Bán nhanh'!$D$3:$M$3,1,MOD(ROW()-4,10)+1))</f>
        <v/>
      </c>
      <c r="C707" s="36" t="str">
        <f t="array" ref="C707">IFERROR(INDEX('Sản phẩm'!$A$4:$A$103,MATCH(B707,'Sản phẩm'!$D$4:$D$103,0)),"")</f>
        <v/>
      </c>
      <c r="D707" s="36" t="str">
        <f t="array" ref="D707">IF(B707="","",INDEX('Bán nhanh'!$B$4:$B$103,INT((ROW()-4)/10)+1))</f>
        <v/>
      </c>
      <c r="E707" s="36" t="str">
        <f t="array" ref="E707">IFERROR(INDEX('Mẻ sữa'!$B$4:$B$203,MATCH(D707,'Mẻ sữa'!$C$4:$C$203,0)),"")</f>
        <v/>
      </c>
      <c r="F707" s="82">
        <f t="array" ref="F707">IF(B707="",0,INDEX('Bán nhanh'!$D$4:$M$103,INT((ROW()-4)/10)+1,MOD(ROW()-4,10)+1))</f>
        <v>0</v>
      </c>
      <c r="G707" s="83">
        <f t="array" ref="G707">IFERROR(INDEX('Sản phẩm'!$F$4:$F$103,MATCH(B707,'Sản phẩm'!$D$4:$D$103,0)),0)</f>
        <v>0</v>
      </c>
      <c r="H707" s="83">
        <f t="shared" si="5"/>
        <v>0</v>
      </c>
      <c r="I707" s="83">
        <f t="shared" si="1"/>
        <v>0</v>
      </c>
      <c r="J707" s="83">
        <f t="array" ref="J707">IFERROR(INDEX('Sản phẩm'!$G$4:$G$103,MATCH(B707,'Sản phẩm'!$D$4:$D$103,0)),0)</f>
        <v>0</v>
      </c>
      <c r="K707" s="83">
        <f t="array" ref="K707">IFERROR(J707*INDEX('Mẻ sữa'!$N$4:$N$203,MATCH(D707,'Mẻ sữa'!$C$4:$C$203,0)),0)</f>
        <v>0</v>
      </c>
      <c r="L707" s="83">
        <f t="array" ref="L707">IFERROR(INDEX('Sản phẩm'!$I$4:$I$103,MATCH(B707,'Sản phẩm'!$D$4:$D$103,0)),0)</f>
        <v>0</v>
      </c>
      <c r="M707" s="97" t="str">
        <f t="array" ref="M707">IFERROR(INDEX('Sản phẩm'!$J$4:$J$103,MATCH(B707,'Sản phẩm'!$D$4:$D$103,0)),0)</f>
        <v/>
      </c>
      <c r="N707" s="83">
        <f>IF(B707="",0,(K707+L707+M707)*'Thiết lập'!$B$8)</f>
        <v>0</v>
      </c>
      <c r="O707" s="83">
        <f t="shared" si="2"/>
        <v>0</v>
      </c>
      <c r="P707" s="83">
        <f t="shared" si="3"/>
        <v>0</v>
      </c>
      <c r="Q707" s="83">
        <f t="shared" si="4"/>
        <v>0</v>
      </c>
      <c r="R707" s="36" t="str">
        <f t="array" ref="R707">IF(B707="","",INDEX('Bán nhanh'!$C$4:$C$103,INT((ROW()-4)/10)+1))</f>
        <v/>
      </c>
      <c r="S707" s="36" t="str">
        <f t="array" ref="S707">IF(B707="","",INDEX('Bán nhanh'!$P$4:$P$103,INT((ROW()-4)/10)+1))</f>
        <v/>
      </c>
      <c r="T707" s="36"/>
      <c r="U707" s="36"/>
      <c r="V707" s="36"/>
      <c r="W707" s="36"/>
      <c r="X707" s="36"/>
      <c r="Y707" s="36"/>
      <c r="Z707" s="36"/>
    </row>
    <row r="708" ht="15.75" customHeight="1">
      <c r="A708" s="96" t="str">
        <f t="array" ref="A708">IF(B708="","",INDEX('Bán nhanh'!$A$4:$A$103,INT((ROW()-4)/10)+1))</f>
        <v/>
      </c>
      <c r="B708" s="36" t="str">
        <f t="array" ref="B708">IF(OR(INDEX('Bán nhanh'!$D$3:$M$3,1,MOD(ROW()-4,10)+1)="",INDEX('Bán nhanh'!$D$4:$M$103,INT((ROW()-4)/10)+1,MOD(ROW()-4,10)+1)&lt;=0),"",INDEX('Bán nhanh'!$D$3:$M$3,1,MOD(ROW()-4,10)+1))</f>
        <v/>
      </c>
      <c r="C708" s="36" t="str">
        <f t="array" ref="C708">IFERROR(INDEX('Sản phẩm'!$A$4:$A$103,MATCH(B708,'Sản phẩm'!$D$4:$D$103,0)),"")</f>
        <v/>
      </c>
      <c r="D708" s="36" t="str">
        <f t="array" ref="D708">IF(B708="","",INDEX('Bán nhanh'!$B$4:$B$103,INT((ROW()-4)/10)+1))</f>
        <v/>
      </c>
      <c r="E708" s="36" t="str">
        <f t="array" ref="E708">IFERROR(INDEX('Mẻ sữa'!$B$4:$B$203,MATCH(D708,'Mẻ sữa'!$C$4:$C$203,0)),"")</f>
        <v/>
      </c>
      <c r="F708" s="82">
        <f t="array" ref="F708">IF(B708="",0,INDEX('Bán nhanh'!$D$4:$M$103,INT((ROW()-4)/10)+1,MOD(ROW()-4,10)+1))</f>
        <v>0</v>
      </c>
      <c r="G708" s="83">
        <f t="array" ref="G708">IFERROR(INDEX('Sản phẩm'!$F$4:$F$103,MATCH(B708,'Sản phẩm'!$D$4:$D$103,0)),0)</f>
        <v>0</v>
      </c>
      <c r="H708" s="83">
        <f t="shared" si="5"/>
        <v>0</v>
      </c>
      <c r="I708" s="83">
        <f t="shared" si="1"/>
        <v>0</v>
      </c>
      <c r="J708" s="83">
        <f t="array" ref="J708">IFERROR(INDEX('Sản phẩm'!$G$4:$G$103,MATCH(B708,'Sản phẩm'!$D$4:$D$103,0)),0)</f>
        <v>0</v>
      </c>
      <c r="K708" s="83">
        <f t="array" ref="K708">IFERROR(J708*INDEX('Mẻ sữa'!$N$4:$N$203,MATCH(D708,'Mẻ sữa'!$C$4:$C$203,0)),0)</f>
        <v>0</v>
      </c>
      <c r="L708" s="83">
        <f t="array" ref="L708">IFERROR(INDEX('Sản phẩm'!$I$4:$I$103,MATCH(B708,'Sản phẩm'!$D$4:$D$103,0)),0)</f>
        <v>0</v>
      </c>
      <c r="M708" s="97" t="str">
        <f t="array" ref="M708">IFERROR(INDEX('Sản phẩm'!$J$4:$J$103,MATCH(B708,'Sản phẩm'!$D$4:$D$103,0)),0)</f>
        <v/>
      </c>
      <c r="N708" s="83">
        <f>IF(B708="",0,(K708+L708+M708)*'Thiết lập'!$B$8)</f>
        <v>0</v>
      </c>
      <c r="O708" s="83">
        <f t="shared" si="2"/>
        <v>0</v>
      </c>
      <c r="P708" s="83">
        <f t="shared" si="3"/>
        <v>0</v>
      </c>
      <c r="Q708" s="83">
        <f t="shared" si="4"/>
        <v>0</v>
      </c>
      <c r="R708" s="36" t="str">
        <f t="array" ref="R708">IF(B708="","",INDEX('Bán nhanh'!$C$4:$C$103,INT((ROW()-4)/10)+1))</f>
        <v/>
      </c>
      <c r="S708" s="36" t="str">
        <f t="array" ref="S708">IF(B708="","",INDEX('Bán nhanh'!$P$4:$P$103,INT((ROW()-4)/10)+1))</f>
        <v/>
      </c>
      <c r="T708" s="36"/>
      <c r="U708" s="36"/>
      <c r="V708" s="36"/>
      <c r="W708" s="36"/>
      <c r="X708" s="36"/>
      <c r="Y708" s="36"/>
      <c r="Z708" s="36"/>
    </row>
    <row r="709" ht="15.75" customHeight="1">
      <c r="A709" s="96" t="str">
        <f t="array" ref="A709">IF(B709="","",INDEX('Bán nhanh'!$A$4:$A$103,INT((ROW()-4)/10)+1))</f>
        <v/>
      </c>
      <c r="B709" s="36" t="str">
        <f t="array" ref="B709">IF(OR(INDEX('Bán nhanh'!$D$3:$M$3,1,MOD(ROW()-4,10)+1)="",INDEX('Bán nhanh'!$D$4:$M$103,INT((ROW()-4)/10)+1,MOD(ROW()-4,10)+1)&lt;=0),"",INDEX('Bán nhanh'!$D$3:$M$3,1,MOD(ROW()-4,10)+1))</f>
        <v/>
      </c>
      <c r="C709" s="36" t="str">
        <f t="array" ref="C709">IFERROR(INDEX('Sản phẩm'!$A$4:$A$103,MATCH(B709,'Sản phẩm'!$D$4:$D$103,0)),"")</f>
        <v/>
      </c>
      <c r="D709" s="36" t="str">
        <f t="array" ref="D709">IF(B709="","",INDEX('Bán nhanh'!$B$4:$B$103,INT((ROW()-4)/10)+1))</f>
        <v/>
      </c>
      <c r="E709" s="36" t="str">
        <f t="array" ref="E709">IFERROR(INDEX('Mẻ sữa'!$B$4:$B$203,MATCH(D709,'Mẻ sữa'!$C$4:$C$203,0)),"")</f>
        <v/>
      </c>
      <c r="F709" s="82">
        <f t="array" ref="F709">IF(B709="",0,INDEX('Bán nhanh'!$D$4:$M$103,INT((ROW()-4)/10)+1,MOD(ROW()-4,10)+1))</f>
        <v>0</v>
      </c>
      <c r="G709" s="83">
        <f t="array" ref="G709">IFERROR(INDEX('Sản phẩm'!$F$4:$F$103,MATCH(B709,'Sản phẩm'!$D$4:$D$103,0)),0)</f>
        <v>0</v>
      </c>
      <c r="H709" s="83">
        <f t="shared" si="5"/>
        <v>0</v>
      </c>
      <c r="I709" s="83">
        <f t="shared" si="1"/>
        <v>0</v>
      </c>
      <c r="J709" s="83">
        <f t="array" ref="J709">IFERROR(INDEX('Sản phẩm'!$G$4:$G$103,MATCH(B709,'Sản phẩm'!$D$4:$D$103,0)),0)</f>
        <v>0</v>
      </c>
      <c r="K709" s="83">
        <f t="array" ref="K709">IFERROR(J709*INDEX('Mẻ sữa'!$N$4:$N$203,MATCH(D709,'Mẻ sữa'!$C$4:$C$203,0)),0)</f>
        <v>0</v>
      </c>
      <c r="L709" s="83">
        <f t="array" ref="L709">IFERROR(INDEX('Sản phẩm'!$I$4:$I$103,MATCH(B709,'Sản phẩm'!$D$4:$D$103,0)),0)</f>
        <v>0</v>
      </c>
      <c r="M709" s="97" t="str">
        <f t="array" ref="M709">IFERROR(INDEX('Sản phẩm'!$J$4:$J$103,MATCH(B709,'Sản phẩm'!$D$4:$D$103,0)),0)</f>
        <v/>
      </c>
      <c r="N709" s="83">
        <f>IF(B709="",0,(K709+L709+M709)*'Thiết lập'!$B$8)</f>
        <v>0</v>
      </c>
      <c r="O709" s="83">
        <f t="shared" si="2"/>
        <v>0</v>
      </c>
      <c r="P709" s="83">
        <f t="shared" si="3"/>
        <v>0</v>
      </c>
      <c r="Q709" s="83">
        <f t="shared" si="4"/>
        <v>0</v>
      </c>
      <c r="R709" s="36" t="str">
        <f t="array" ref="R709">IF(B709="","",INDEX('Bán nhanh'!$C$4:$C$103,INT((ROW()-4)/10)+1))</f>
        <v/>
      </c>
      <c r="S709" s="36" t="str">
        <f t="array" ref="S709">IF(B709="","",INDEX('Bán nhanh'!$P$4:$P$103,INT((ROW()-4)/10)+1))</f>
        <v/>
      </c>
      <c r="T709" s="36"/>
      <c r="U709" s="36"/>
      <c r="V709" s="36"/>
      <c r="W709" s="36"/>
      <c r="X709" s="36"/>
      <c r="Y709" s="36"/>
      <c r="Z709" s="36"/>
    </row>
    <row r="710" ht="15.75" customHeight="1">
      <c r="A710" s="96" t="str">
        <f t="array" ref="A710">IF(B710="","",INDEX('Bán nhanh'!$A$4:$A$103,INT((ROW()-4)/10)+1))</f>
        <v/>
      </c>
      <c r="B710" s="36" t="str">
        <f t="array" ref="B710">IF(OR(INDEX('Bán nhanh'!$D$3:$M$3,1,MOD(ROW()-4,10)+1)="",INDEX('Bán nhanh'!$D$4:$M$103,INT((ROW()-4)/10)+1,MOD(ROW()-4,10)+1)&lt;=0),"",INDEX('Bán nhanh'!$D$3:$M$3,1,MOD(ROW()-4,10)+1))</f>
        <v/>
      </c>
      <c r="C710" s="36" t="str">
        <f t="array" ref="C710">IFERROR(INDEX('Sản phẩm'!$A$4:$A$103,MATCH(B710,'Sản phẩm'!$D$4:$D$103,0)),"")</f>
        <v/>
      </c>
      <c r="D710" s="36" t="str">
        <f t="array" ref="D710">IF(B710="","",INDEX('Bán nhanh'!$B$4:$B$103,INT((ROW()-4)/10)+1))</f>
        <v/>
      </c>
      <c r="E710" s="36" t="str">
        <f t="array" ref="E710">IFERROR(INDEX('Mẻ sữa'!$B$4:$B$203,MATCH(D710,'Mẻ sữa'!$C$4:$C$203,0)),"")</f>
        <v/>
      </c>
      <c r="F710" s="82">
        <f t="array" ref="F710">IF(B710="",0,INDEX('Bán nhanh'!$D$4:$M$103,INT((ROW()-4)/10)+1,MOD(ROW()-4,10)+1))</f>
        <v>0</v>
      </c>
      <c r="G710" s="83">
        <f t="array" ref="G710">IFERROR(INDEX('Sản phẩm'!$F$4:$F$103,MATCH(B710,'Sản phẩm'!$D$4:$D$103,0)),0)</f>
        <v>0</v>
      </c>
      <c r="H710" s="83">
        <f t="shared" si="5"/>
        <v>0</v>
      </c>
      <c r="I710" s="83">
        <f t="shared" si="1"/>
        <v>0</v>
      </c>
      <c r="J710" s="83">
        <f t="array" ref="J710">IFERROR(INDEX('Sản phẩm'!$G$4:$G$103,MATCH(B710,'Sản phẩm'!$D$4:$D$103,0)),0)</f>
        <v>0</v>
      </c>
      <c r="K710" s="83">
        <f t="array" ref="K710">IFERROR(J710*INDEX('Mẻ sữa'!$N$4:$N$203,MATCH(D710,'Mẻ sữa'!$C$4:$C$203,0)),0)</f>
        <v>0</v>
      </c>
      <c r="L710" s="83">
        <f t="array" ref="L710">IFERROR(INDEX('Sản phẩm'!$I$4:$I$103,MATCH(B710,'Sản phẩm'!$D$4:$D$103,0)),0)</f>
        <v>0</v>
      </c>
      <c r="M710" s="97" t="str">
        <f t="array" ref="M710">IFERROR(INDEX('Sản phẩm'!$J$4:$J$103,MATCH(B710,'Sản phẩm'!$D$4:$D$103,0)),0)</f>
        <v/>
      </c>
      <c r="N710" s="83">
        <f>IF(B710="",0,(K710+L710+M710)*'Thiết lập'!$B$8)</f>
        <v>0</v>
      </c>
      <c r="O710" s="83">
        <f t="shared" si="2"/>
        <v>0</v>
      </c>
      <c r="P710" s="83">
        <f t="shared" si="3"/>
        <v>0</v>
      </c>
      <c r="Q710" s="83">
        <f t="shared" si="4"/>
        <v>0</v>
      </c>
      <c r="R710" s="36" t="str">
        <f t="array" ref="R710">IF(B710="","",INDEX('Bán nhanh'!$C$4:$C$103,INT((ROW()-4)/10)+1))</f>
        <v/>
      </c>
      <c r="S710" s="36" t="str">
        <f t="array" ref="S710">IF(B710="","",INDEX('Bán nhanh'!$P$4:$P$103,INT((ROW()-4)/10)+1))</f>
        <v/>
      </c>
      <c r="T710" s="36"/>
      <c r="U710" s="36"/>
      <c r="V710" s="36"/>
      <c r="W710" s="36"/>
      <c r="X710" s="36"/>
      <c r="Y710" s="36"/>
      <c r="Z710" s="36"/>
    </row>
    <row r="711" ht="15.75" customHeight="1">
      <c r="A711" s="96" t="str">
        <f t="array" ref="A711">IF(B711="","",INDEX('Bán nhanh'!$A$4:$A$103,INT((ROW()-4)/10)+1))</f>
        <v/>
      </c>
      <c r="B711" s="36" t="str">
        <f t="array" ref="B711">IF(OR(INDEX('Bán nhanh'!$D$3:$M$3,1,MOD(ROW()-4,10)+1)="",INDEX('Bán nhanh'!$D$4:$M$103,INT((ROW()-4)/10)+1,MOD(ROW()-4,10)+1)&lt;=0),"",INDEX('Bán nhanh'!$D$3:$M$3,1,MOD(ROW()-4,10)+1))</f>
        <v/>
      </c>
      <c r="C711" s="36" t="str">
        <f t="array" ref="C711">IFERROR(INDEX('Sản phẩm'!$A$4:$A$103,MATCH(B711,'Sản phẩm'!$D$4:$D$103,0)),"")</f>
        <v/>
      </c>
      <c r="D711" s="36" t="str">
        <f t="array" ref="D711">IF(B711="","",INDEX('Bán nhanh'!$B$4:$B$103,INT((ROW()-4)/10)+1))</f>
        <v/>
      </c>
      <c r="E711" s="36" t="str">
        <f t="array" ref="E711">IFERROR(INDEX('Mẻ sữa'!$B$4:$B$203,MATCH(D711,'Mẻ sữa'!$C$4:$C$203,0)),"")</f>
        <v/>
      </c>
      <c r="F711" s="82">
        <f t="array" ref="F711">IF(B711="",0,INDEX('Bán nhanh'!$D$4:$M$103,INT((ROW()-4)/10)+1,MOD(ROW()-4,10)+1))</f>
        <v>0</v>
      </c>
      <c r="G711" s="83">
        <f t="array" ref="G711">IFERROR(INDEX('Sản phẩm'!$F$4:$F$103,MATCH(B711,'Sản phẩm'!$D$4:$D$103,0)),0)</f>
        <v>0</v>
      </c>
      <c r="H711" s="83">
        <f t="shared" si="5"/>
        <v>0</v>
      </c>
      <c r="I711" s="83">
        <f t="shared" si="1"/>
        <v>0</v>
      </c>
      <c r="J711" s="83">
        <f t="array" ref="J711">IFERROR(INDEX('Sản phẩm'!$G$4:$G$103,MATCH(B711,'Sản phẩm'!$D$4:$D$103,0)),0)</f>
        <v>0</v>
      </c>
      <c r="K711" s="83">
        <f t="array" ref="K711">IFERROR(J711*INDEX('Mẻ sữa'!$N$4:$N$203,MATCH(D711,'Mẻ sữa'!$C$4:$C$203,0)),0)</f>
        <v>0</v>
      </c>
      <c r="L711" s="83">
        <f t="array" ref="L711">IFERROR(INDEX('Sản phẩm'!$I$4:$I$103,MATCH(B711,'Sản phẩm'!$D$4:$D$103,0)),0)</f>
        <v>0</v>
      </c>
      <c r="M711" s="97" t="str">
        <f t="array" ref="M711">IFERROR(INDEX('Sản phẩm'!$J$4:$J$103,MATCH(B711,'Sản phẩm'!$D$4:$D$103,0)),0)</f>
        <v/>
      </c>
      <c r="N711" s="83">
        <f>IF(B711="",0,(K711+L711+M711)*'Thiết lập'!$B$8)</f>
        <v>0</v>
      </c>
      <c r="O711" s="83">
        <f t="shared" si="2"/>
        <v>0</v>
      </c>
      <c r="P711" s="83">
        <f t="shared" si="3"/>
        <v>0</v>
      </c>
      <c r="Q711" s="83">
        <f t="shared" si="4"/>
        <v>0</v>
      </c>
      <c r="R711" s="36" t="str">
        <f t="array" ref="R711">IF(B711="","",INDEX('Bán nhanh'!$C$4:$C$103,INT((ROW()-4)/10)+1))</f>
        <v/>
      </c>
      <c r="S711" s="36" t="str">
        <f t="array" ref="S711">IF(B711="","",INDEX('Bán nhanh'!$P$4:$P$103,INT((ROW()-4)/10)+1))</f>
        <v/>
      </c>
      <c r="T711" s="36"/>
      <c r="U711" s="36"/>
      <c r="V711" s="36"/>
      <c r="W711" s="36"/>
      <c r="X711" s="36"/>
      <c r="Y711" s="36"/>
      <c r="Z711" s="36"/>
    </row>
    <row r="712" ht="15.75" customHeight="1">
      <c r="A712" s="96" t="str">
        <f t="array" ref="A712">IF(B712="","",INDEX('Bán nhanh'!$A$4:$A$103,INT((ROW()-4)/10)+1))</f>
        <v/>
      </c>
      <c r="B712" s="36" t="str">
        <f t="array" ref="B712">IF(OR(INDEX('Bán nhanh'!$D$3:$M$3,1,MOD(ROW()-4,10)+1)="",INDEX('Bán nhanh'!$D$4:$M$103,INT((ROW()-4)/10)+1,MOD(ROW()-4,10)+1)&lt;=0),"",INDEX('Bán nhanh'!$D$3:$M$3,1,MOD(ROW()-4,10)+1))</f>
        <v/>
      </c>
      <c r="C712" s="36" t="str">
        <f t="array" ref="C712">IFERROR(INDEX('Sản phẩm'!$A$4:$A$103,MATCH(B712,'Sản phẩm'!$D$4:$D$103,0)),"")</f>
        <v/>
      </c>
      <c r="D712" s="36" t="str">
        <f t="array" ref="D712">IF(B712="","",INDEX('Bán nhanh'!$B$4:$B$103,INT((ROW()-4)/10)+1))</f>
        <v/>
      </c>
      <c r="E712" s="36" t="str">
        <f t="array" ref="E712">IFERROR(INDEX('Mẻ sữa'!$B$4:$B$203,MATCH(D712,'Mẻ sữa'!$C$4:$C$203,0)),"")</f>
        <v/>
      </c>
      <c r="F712" s="82">
        <f t="array" ref="F712">IF(B712="",0,INDEX('Bán nhanh'!$D$4:$M$103,INT((ROW()-4)/10)+1,MOD(ROW()-4,10)+1))</f>
        <v>0</v>
      </c>
      <c r="G712" s="83">
        <f t="array" ref="G712">IFERROR(INDEX('Sản phẩm'!$F$4:$F$103,MATCH(B712,'Sản phẩm'!$D$4:$D$103,0)),0)</f>
        <v>0</v>
      </c>
      <c r="H712" s="83">
        <f t="shared" si="5"/>
        <v>0</v>
      </c>
      <c r="I712" s="83">
        <f t="shared" si="1"/>
        <v>0</v>
      </c>
      <c r="J712" s="83">
        <f t="array" ref="J712">IFERROR(INDEX('Sản phẩm'!$G$4:$G$103,MATCH(B712,'Sản phẩm'!$D$4:$D$103,0)),0)</f>
        <v>0</v>
      </c>
      <c r="K712" s="83">
        <f t="array" ref="K712">IFERROR(J712*INDEX('Mẻ sữa'!$N$4:$N$203,MATCH(D712,'Mẻ sữa'!$C$4:$C$203,0)),0)</f>
        <v>0</v>
      </c>
      <c r="L712" s="83">
        <f t="array" ref="L712">IFERROR(INDEX('Sản phẩm'!$I$4:$I$103,MATCH(B712,'Sản phẩm'!$D$4:$D$103,0)),0)</f>
        <v>0</v>
      </c>
      <c r="M712" s="97" t="str">
        <f t="array" ref="M712">IFERROR(INDEX('Sản phẩm'!$J$4:$J$103,MATCH(B712,'Sản phẩm'!$D$4:$D$103,0)),0)</f>
        <v/>
      </c>
      <c r="N712" s="83">
        <f>IF(B712="",0,(K712+L712+M712)*'Thiết lập'!$B$8)</f>
        <v>0</v>
      </c>
      <c r="O712" s="83">
        <f t="shared" si="2"/>
        <v>0</v>
      </c>
      <c r="P712" s="83">
        <f t="shared" si="3"/>
        <v>0</v>
      </c>
      <c r="Q712" s="83">
        <f t="shared" si="4"/>
        <v>0</v>
      </c>
      <c r="R712" s="36" t="str">
        <f t="array" ref="R712">IF(B712="","",INDEX('Bán nhanh'!$C$4:$C$103,INT((ROW()-4)/10)+1))</f>
        <v/>
      </c>
      <c r="S712" s="36" t="str">
        <f t="array" ref="S712">IF(B712="","",INDEX('Bán nhanh'!$P$4:$P$103,INT((ROW()-4)/10)+1))</f>
        <v/>
      </c>
      <c r="T712" s="36"/>
      <c r="U712" s="36"/>
      <c r="V712" s="36"/>
      <c r="W712" s="36"/>
      <c r="X712" s="36"/>
      <c r="Y712" s="36"/>
      <c r="Z712" s="36"/>
    </row>
    <row r="713" ht="15.75" customHeight="1">
      <c r="A713" s="96" t="str">
        <f t="array" ref="A713">IF(B713="","",INDEX('Bán nhanh'!$A$4:$A$103,INT((ROW()-4)/10)+1))</f>
        <v/>
      </c>
      <c r="B713" s="36" t="str">
        <f t="array" ref="B713">IF(OR(INDEX('Bán nhanh'!$D$3:$M$3,1,MOD(ROW()-4,10)+1)="",INDEX('Bán nhanh'!$D$4:$M$103,INT((ROW()-4)/10)+1,MOD(ROW()-4,10)+1)&lt;=0),"",INDEX('Bán nhanh'!$D$3:$M$3,1,MOD(ROW()-4,10)+1))</f>
        <v/>
      </c>
      <c r="C713" s="36" t="str">
        <f t="array" ref="C713">IFERROR(INDEX('Sản phẩm'!$A$4:$A$103,MATCH(B713,'Sản phẩm'!$D$4:$D$103,0)),"")</f>
        <v/>
      </c>
      <c r="D713" s="36" t="str">
        <f t="array" ref="D713">IF(B713="","",INDEX('Bán nhanh'!$B$4:$B$103,INT((ROW()-4)/10)+1))</f>
        <v/>
      </c>
      <c r="E713" s="36" t="str">
        <f t="array" ref="E713">IFERROR(INDEX('Mẻ sữa'!$B$4:$B$203,MATCH(D713,'Mẻ sữa'!$C$4:$C$203,0)),"")</f>
        <v/>
      </c>
      <c r="F713" s="82">
        <f t="array" ref="F713">IF(B713="",0,INDEX('Bán nhanh'!$D$4:$M$103,INT((ROW()-4)/10)+1,MOD(ROW()-4,10)+1))</f>
        <v>0</v>
      </c>
      <c r="G713" s="83">
        <f t="array" ref="G713">IFERROR(INDEX('Sản phẩm'!$F$4:$F$103,MATCH(B713,'Sản phẩm'!$D$4:$D$103,0)),0)</f>
        <v>0</v>
      </c>
      <c r="H713" s="83">
        <f t="shared" si="5"/>
        <v>0</v>
      </c>
      <c r="I713" s="83">
        <f t="shared" si="1"/>
        <v>0</v>
      </c>
      <c r="J713" s="83">
        <f t="array" ref="J713">IFERROR(INDEX('Sản phẩm'!$G$4:$G$103,MATCH(B713,'Sản phẩm'!$D$4:$D$103,0)),0)</f>
        <v>0</v>
      </c>
      <c r="K713" s="83">
        <f t="array" ref="K713">IFERROR(J713*INDEX('Mẻ sữa'!$N$4:$N$203,MATCH(D713,'Mẻ sữa'!$C$4:$C$203,0)),0)</f>
        <v>0</v>
      </c>
      <c r="L713" s="83">
        <f t="array" ref="L713">IFERROR(INDEX('Sản phẩm'!$I$4:$I$103,MATCH(B713,'Sản phẩm'!$D$4:$D$103,0)),0)</f>
        <v>0</v>
      </c>
      <c r="M713" s="97" t="str">
        <f t="array" ref="M713">IFERROR(INDEX('Sản phẩm'!$J$4:$J$103,MATCH(B713,'Sản phẩm'!$D$4:$D$103,0)),0)</f>
        <v/>
      </c>
      <c r="N713" s="83">
        <f>IF(B713="",0,(K713+L713+M713)*'Thiết lập'!$B$8)</f>
        <v>0</v>
      </c>
      <c r="O713" s="83">
        <f t="shared" si="2"/>
        <v>0</v>
      </c>
      <c r="P713" s="83">
        <f t="shared" si="3"/>
        <v>0</v>
      </c>
      <c r="Q713" s="83">
        <f t="shared" si="4"/>
        <v>0</v>
      </c>
      <c r="R713" s="36" t="str">
        <f t="array" ref="R713">IF(B713="","",INDEX('Bán nhanh'!$C$4:$C$103,INT((ROW()-4)/10)+1))</f>
        <v/>
      </c>
      <c r="S713" s="36" t="str">
        <f t="array" ref="S713">IF(B713="","",INDEX('Bán nhanh'!$P$4:$P$103,INT((ROW()-4)/10)+1))</f>
        <v/>
      </c>
      <c r="T713" s="36"/>
      <c r="U713" s="36"/>
      <c r="V713" s="36"/>
      <c r="W713" s="36"/>
      <c r="X713" s="36"/>
      <c r="Y713" s="36"/>
      <c r="Z713" s="36"/>
    </row>
    <row r="714" ht="15.75" customHeight="1">
      <c r="A714" s="96" t="str">
        <f t="array" ref="A714">IF(B714="","",INDEX('Bán nhanh'!$A$4:$A$103,INT((ROW()-4)/10)+1))</f>
        <v/>
      </c>
      <c r="B714" s="36" t="str">
        <f t="array" ref="B714">IF(OR(INDEX('Bán nhanh'!$D$3:$M$3,1,MOD(ROW()-4,10)+1)="",INDEX('Bán nhanh'!$D$4:$M$103,INT((ROW()-4)/10)+1,MOD(ROW()-4,10)+1)&lt;=0),"",INDEX('Bán nhanh'!$D$3:$M$3,1,MOD(ROW()-4,10)+1))</f>
        <v/>
      </c>
      <c r="C714" s="36" t="str">
        <f t="array" ref="C714">IFERROR(INDEX('Sản phẩm'!$A$4:$A$103,MATCH(B714,'Sản phẩm'!$D$4:$D$103,0)),"")</f>
        <v/>
      </c>
      <c r="D714" s="36" t="str">
        <f t="array" ref="D714">IF(B714="","",INDEX('Bán nhanh'!$B$4:$B$103,INT((ROW()-4)/10)+1))</f>
        <v/>
      </c>
      <c r="E714" s="36" t="str">
        <f t="array" ref="E714">IFERROR(INDEX('Mẻ sữa'!$B$4:$B$203,MATCH(D714,'Mẻ sữa'!$C$4:$C$203,0)),"")</f>
        <v/>
      </c>
      <c r="F714" s="82">
        <f t="array" ref="F714">IF(B714="",0,INDEX('Bán nhanh'!$D$4:$M$103,INT((ROW()-4)/10)+1,MOD(ROW()-4,10)+1))</f>
        <v>0</v>
      </c>
      <c r="G714" s="83">
        <f t="array" ref="G714">IFERROR(INDEX('Sản phẩm'!$F$4:$F$103,MATCH(B714,'Sản phẩm'!$D$4:$D$103,0)),0)</f>
        <v>0</v>
      </c>
      <c r="H714" s="83">
        <f t="shared" si="5"/>
        <v>0</v>
      </c>
      <c r="I714" s="83">
        <f t="shared" si="1"/>
        <v>0</v>
      </c>
      <c r="J714" s="83">
        <f t="array" ref="J714">IFERROR(INDEX('Sản phẩm'!$G$4:$G$103,MATCH(B714,'Sản phẩm'!$D$4:$D$103,0)),0)</f>
        <v>0</v>
      </c>
      <c r="K714" s="83">
        <f t="array" ref="K714">IFERROR(J714*INDEX('Mẻ sữa'!$N$4:$N$203,MATCH(D714,'Mẻ sữa'!$C$4:$C$203,0)),0)</f>
        <v>0</v>
      </c>
      <c r="L714" s="83">
        <f t="array" ref="L714">IFERROR(INDEX('Sản phẩm'!$I$4:$I$103,MATCH(B714,'Sản phẩm'!$D$4:$D$103,0)),0)</f>
        <v>0</v>
      </c>
      <c r="M714" s="97" t="str">
        <f t="array" ref="M714">IFERROR(INDEX('Sản phẩm'!$J$4:$J$103,MATCH(B714,'Sản phẩm'!$D$4:$D$103,0)),0)</f>
        <v/>
      </c>
      <c r="N714" s="83">
        <f>IF(B714="",0,(K714+L714+M714)*'Thiết lập'!$B$8)</f>
        <v>0</v>
      </c>
      <c r="O714" s="83">
        <f t="shared" si="2"/>
        <v>0</v>
      </c>
      <c r="P714" s="83">
        <f t="shared" si="3"/>
        <v>0</v>
      </c>
      <c r="Q714" s="83">
        <f t="shared" si="4"/>
        <v>0</v>
      </c>
      <c r="R714" s="36" t="str">
        <f t="array" ref="R714">IF(B714="","",INDEX('Bán nhanh'!$C$4:$C$103,INT((ROW()-4)/10)+1))</f>
        <v/>
      </c>
      <c r="S714" s="36" t="str">
        <f t="array" ref="S714">IF(B714="","",INDEX('Bán nhanh'!$P$4:$P$103,INT((ROW()-4)/10)+1))</f>
        <v/>
      </c>
      <c r="T714" s="36"/>
      <c r="U714" s="36"/>
      <c r="V714" s="36"/>
      <c r="W714" s="36"/>
      <c r="X714" s="36"/>
      <c r="Y714" s="36"/>
      <c r="Z714" s="36"/>
    </row>
    <row r="715" ht="15.75" customHeight="1">
      <c r="A715" s="96" t="str">
        <f t="array" ref="A715">IF(B715="","",INDEX('Bán nhanh'!$A$4:$A$103,INT((ROW()-4)/10)+1))</f>
        <v/>
      </c>
      <c r="B715" s="36" t="str">
        <f t="array" ref="B715">IF(OR(INDEX('Bán nhanh'!$D$3:$M$3,1,MOD(ROW()-4,10)+1)="",INDEX('Bán nhanh'!$D$4:$M$103,INT((ROW()-4)/10)+1,MOD(ROW()-4,10)+1)&lt;=0),"",INDEX('Bán nhanh'!$D$3:$M$3,1,MOD(ROW()-4,10)+1))</f>
        <v/>
      </c>
      <c r="C715" s="36" t="str">
        <f t="array" ref="C715">IFERROR(INDEX('Sản phẩm'!$A$4:$A$103,MATCH(B715,'Sản phẩm'!$D$4:$D$103,0)),"")</f>
        <v/>
      </c>
      <c r="D715" s="36" t="str">
        <f t="array" ref="D715">IF(B715="","",INDEX('Bán nhanh'!$B$4:$B$103,INT((ROW()-4)/10)+1))</f>
        <v/>
      </c>
      <c r="E715" s="36" t="str">
        <f t="array" ref="E715">IFERROR(INDEX('Mẻ sữa'!$B$4:$B$203,MATCH(D715,'Mẻ sữa'!$C$4:$C$203,0)),"")</f>
        <v/>
      </c>
      <c r="F715" s="82">
        <f t="array" ref="F715">IF(B715="",0,INDEX('Bán nhanh'!$D$4:$M$103,INT((ROW()-4)/10)+1,MOD(ROW()-4,10)+1))</f>
        <v>0</v>
      </c>
      <c r="G715" s="83">
        <f t="array" ref="G715">IFERROR(INDEX('Sản phẩm'!$F$4:$F$103,MATCH(B715,'Sản phẩm'!$D$4:$D$103,0)),0)</f>
        <v>0</v>
      </c>
      <c r="H715" s="83">
        <f t="shared" si="5"/>
        <v>0</v>
      </c>
      <c r="I715" s="83">
        <f t="shared" si="1"/>
        <v>0</v>
      </c>
      <c r="J715" s="83">
        <f t="array" ref="J715">IFERROR(INDEX('Sản phẩm'!$G$4:$G$103,MATCH(B715,'Sản phẩm'!$D$4:$D$103,0)),0)</f>
        <v>0</v>
      </c>
      <c r="K715" s="83">
        <f t="array" ref="K715">IFERROR(J715*INDEX('Mẻ sữa'!$N$4:$N$203,MATCH(D715,'Mẻ sữa'!$C$4:$C$203,0)),0)</f>
        <v>0</v>
      </c>
      <c r="L715" s="83">
        <f t="array" ref="L715">IFERROR(INDEX('Sản phẩm'!$I$4:$I$103,MATCH(B715,'Sản phẩm'!$D$4:$D$103,0)),0)</f>
        <v>0</v>
      </c>
      <c r="M715" s="97" t="str">
        <f t="array" ref="M715">IFERROR(INDEX('Sản phẩm'!$J$4:$J$103,MATCH(B715,'Sản phẩm'!$D$4:$D$103,0)),0)</f>
        <v/>
      </c>
      <c r="N715" s="83">
        <f>IF(B715="",0,(K715+L715+M715)*'Thiết lập'!$B$8)</f>
        <v>0</v>
      </c>
      <c r="O715" s="83">
        <f t="shared" si="2"/>
        <v>0</v>
      </c>
      <c r="P715" s="83">
        <f t="shared" si="3"/>
        <v>0</v>
      </c>
      <c r="Q715" s="83">
        <f t="shared" si="4"/>
        <v>0</v>
      </c>
      <c r="R715" s="36" t="str">
        <f t="array" ref="R715">IF(B715="","",INDEX('Bán nhanh'!$C$4:$C$103,INT((ROW()-4)/10)+1))</f>
        <v/>
      </c>
      <c r="S715" s="36" t="str">
        <f t="array" ref="S715">IF(B715="","",INDEX('Bán nhanh'!$P$4:$P$103,INT((ROW()-4)/10)+1))</f>
        <v/>
      </c>
      <c r="T715" s="36"/>
      <c r="U715" s="36"/>
      <c r="V715" s="36"/>
      <c r="W715" s="36"/>
      <c r="X715" s="36"/>
      <c r="Y715" s="36"/>
      <c r="Z715" s="36"/>
    </row>
    <row r="716" ht="15.75" customHeight="1">
      <c r="A716" s="96" t="str">
        <f t="array" ref="A716">IF(B716="","",INDEX('Bán nhanh'!$A$4:$A$103,INT((ROW()-4)/10)+1))</f>
        <v/>
      </c>
      <c r="B716" s="36" t="str">
        <f t="array" ref="B716">IF(OR(INDEX('Bán nhanh'!$D$3:$M$3,1,MOD(ROW()-4,10)+1)="",INDEX('Bán nhanh'!$D$4:$M$103,INT((ROW()-4)/10)+1,MOD(ROW()-4,10)+1)&lt;=0),"",INDEX('Bán nhanh'!$D$3:$M$3,1,MOD(ROW()-4,10)+1))</f>
        <v/>
      </c>
      <c r="C716" s="36" t="str">
        <f t="array" ref="C716">IFERROR(INDEX('Sản phẩm'!$A$4:$A$103,MATCH(B716,'Sản phẩm'!$D$4:$D$103,0)),"")</f>
        <v/>
      </c>
      <c r="D716" s="36" t="str">
        <f t="array" ref="D716">IF(B716="","",INDEX('Bán nhanh'!$B$4:$B$103,INT((ROW()-4)/10)+1))</f>
        <v/>
      </c>
      <c r="E716" s="36" t="str">
        <f t="array" ref="E716">IFERROR(INDEX('Mẻ sữa'!$B$4:$B$203,MATCH(D716,'Mẻ sữa'!$C$4:$C$203,0)),"")</f>
        <v/>
      </c>
      <c r="F716" s="82">
        <f t="array" ref="F716">IF(B716="",0,INDEX('Bán nhanh'!$D$4:$M$103,INT((ROW()-4)/10)+1,MOD(ROW()-4,10)+1))</f>
        <v>0</v>
      </c>
      <c r="G716" s="83">
        <f t="array" ref="G716">IFERROR(INDEX('Sản phẩm'!$F$4:$F$103,MATCH(B716,'Sản phẩm'!$D$4:$D$103,0)),0)</f>
        <v>0</v>
      </c>
      <c r="H716" s="83">
        <f t="shared" si="5"/>
        <v>0</v>
      </c>
      <c r="I716" s="83">
        <f t="shared" si="1"/>
        <v>0</v>
      </c>
      <c r="J716" s="83">
        <f t="array" ref="J716">IFERROR(INDEX('Sản phẩm'!$G$4:$G$103,MATCH(B716,'Sản phẩm'!$D$4:$D$103,0)),0)</f>
        <v>0</v>
      </c>
      <c r="K716" s="83">
        <f t="array" ref="K716">IFERROR(J716*INDEX('Mẻ sữa'!$N$4:$N$203,MATCH(D716,'Mẻ sữa'!$C$4:$C$203,0)),0)</f>
        <v>0</v>
      </c>
      <c r="L716" s="83">
        <f t="array" ref="L716">IFERROR(INDEX('Sản phẩm'!$I$4:$I$103,MATCH(B716,'Sản phẩm'!$D$4:$D$103,0)),0)</f>
        <v>0</v>
      </c>
      <c r="M716" s="97" t="str">
        <f t="array" ref="M716">IFERROR(INDEX('Sản phẩm'!$J$4:$J$103,MATCH(B716,'Sản phẩm'!$D$4:$D$103,0)),0)</f>
        <v/>
      </c>
      <c r="N716" s="83">
        <f>IF(B716="",0,(K716+L716+M716)*'Thiết lập'!$B$8)</f>
        <v>0</v>
      </c>
      <c r="O716" s="83">
        <f t="shared" si="2"/>
        <v>0</v>
      </c>
      <c r="P716" s="83">
        <f t="shared" si="3"/>
        <v>0</v>
      </c>
      <c r="Q716" s="83">
        <f t="shared" si="4"/>
        <v>0</v>
      </c>
      <c r="R716" s="36" t="str">
        <f t="array" ref="R716">IF(B716="","",INDEX('Bán nhanh'!$C$4:$C$103,INT((ROW()-4)/10)+1))</f>
        <v/>
      </c>
      <c r="S716" s="36" t="str">
        <f t="array" ref="S716">IF(B716="","",INDEX('Bán nhanh'!$P$4:$P$103,INT((ROW()-4)/10)+1))</f>
        <v/>
      </c>
      <c r="T716" s="36"/>
      <c r="U716" s="36"/>
      <c r="V716" s="36"/>
      <c r="W716" s="36"/>
      <c r="X716" s="36"/>
      <c r="Y716" s="36"/>
      <c r="Z716" s="36"/>
    </row>
    <row r="717" ht="15.75" customHeight="1">
      <c r="A717" s="96" t="str">
        <f t="array" ref="A717">IF(B717="","",INDEX('Bán nhanh'!$A$4:$A$103,INT((ROW()-4)/10)+1))</f>
        <v/>
      </c>
      <c r="B717" s="36" t="str">
        <f t="array" ref="B717">IF(OR(INDEX('Bán nhanh'!$D$3:$M$3,1,MOD(ROW()-4,10)+1)="",INDEX('Bán nhanh'!$D$4:$M$103,INT((ROW()-4)/10)+1,MOD(ROW()-4,10)+1)&lt;=0),"",INDEX('Bán nhanh'!$D$3:$M$3,1,MOD(ROW()-4,10)+1))</f>
        <v/>
      </c>
      <c r="C717" s="36" t="str">
        <f t="array" ref="C717">IFERROR(INDEX('Sản phẩm'!$A$4:$A$103,MATCH(B717,'Sản phẩm'!$D$4:$D$103,0)),"")</f>
        <v/>
      </c>
      <c r="D717" s="36" t="str">
        <f t="array" ref="D717">IF(B717="","",INDEX('Bán nhanh'!$B$4:$B$103,INT((ROW()-4)/10)+1))</f>
        <v/>
      </c>
      <c r="E717" s="36" t="str">
        <f t="array" ref="E717">IFERROR(INDEX('Mẻ sữa'!$B$4:$B$203,MATCH(D717,'Mẻ sữa'!$C$4:$C$203,0)),"")</f>
        <v/>
      </c>
      <c r="F717" s="82">
        <f t="array" ref="F717">IF(B717="",0,INDEX('Bán nhanh'!$D$4:$M$103,INT((ROW()-4)/10)+1,MOD(ROW()-4,10)+1))</f>
        <v>0</v>
      </c>
      <c r="G717" s="83">
        <f t="array" ref="G717">IFERROR(INDEX('Sản phẩm'!$F$4:$F$103,MATCH(B717,'Sản phẩm'!$D$4:$D$103,0)),0)</f>
        <v>0</v>
      </c>
      <c r="H717" s="83">
        <f t="shared" si="5"/>
        <v>0</v>
      </c>
      <c r="I717" s="83">
        <f t="shared" si="1"/>
        <v>0</v>
      </c>
      <c r="J717" s="83">
        <f t="array" ref="J717">IFERROR(INDEX('Sản phẩm'!$G$4:$G$103,MATCH(B717,'Sản phẩm'!$D$4:$D$103,0)),0)</f>
        <v>0</v>
      </c>
      <c r="K717" s="83">
        <f t="array" ref="K717">IFERROR(J717*INDEX('Mẻ sữa'!$N$4:$N$203,MATCH(D717,'Mẻ sữa'!$C$4:$C$203,0)),0)</f>
        <v>0</v>
      </c>
      <c r="L717" s="83">
        <f t="array" ref="L717">IFERROR(INDEX('Sản phẩm'!$I$4:$I$103,MATCH(B717,'Sản phẩm'!$D$4:$D$103,0)),0)</f>
        <v>0</v>
      </c>
      <c r="M717" s="97" t="str">
        <f t="array" ref="M717">IFERROR(INDEX('Sản phẩm'!$J$4:$J$103,MATCH(B717,'Sản phẩm'!$D$4:$D$103,0)),0)</f>
        <v/>
      </c>
      <c r="N717" s="83">
        <f>IF(B717="",0,(K717+L717+M717)*'Thiết lập'!$B$8)</f>
        <v>0</v>
      </c>
      <c r="O717" s="83">
        <f t="shared" si="2"/>
        <v>0</v>
      </c>
      <c r="P717" s="83">
        <f t="shared" si="3"/>
        <v>0</v>
      </c>
      <c r="Q717" s="83">
        <f t="shared" si="4"/>
        <v>0</v>
      </c>
      <c r="R717" s="36" t="str">
        <f t="array" ref="R717">IF(B717="","",INDEX('Bán nhanh'!$C$4:$C$103,INT((ROW()-4)/10)+1))</f>
        <v/>
      </c>
      <c r="S717" s="36" t="str">
        <f t="array" ref="S717">IF(B717="","",INDEX('Bán nhanh'!$P$4:$P$103,INT((ROW()-4)/10)+1))</f>
        <v/>
      </c>
      <c r="T717" s="36"/>
      <c r="U717" s="36"/>
      <c r="V717" s="36"/>
      <c r="W717" s="36"/>
      <c r="X717" s="36"/>
      <c r="Y717" s="36"/>
      <c r="Z717" s="36"/>
    </row>
    <row r="718" ht="15.75" customHeight="1">
      <c r="A718" s="96" t="str">
        <f t="array" ref="A718">IF(B718="","",INDEX('Bán nhanh'!$A$4:$A$103,INT((ROW()-4)/10)+1))</f>
        <v/>
      </c>
      <c r="B718" s="36" t="str">
        <f t="array" ref="B718">IF(OR(INDEX('Bán nhanh'!$D$3:$M$3,1,MOD(ROW()-4,10)+1)="",INDEX('Bán nhanh'!$D$4:$M$103,INT((ROW()-4)/10)+1,MOD(ROW()-4,10)+1)&lt;=0),"",INDEX('Bán nhanh'!$D$3:$M$3,1,MOD(ROW()-4,10)+1))</f>
        <v/>
      </c>
      <c r="C718" s="36" t="str">
        <f t="array" ref="C718">IFERROR(INDEX('Sản phẩm'!$A$4:$A$103,MATCH(B718,'Sản phẩm'!$D$4:$D$103,0)),"")</f>
        <v/>
      </c>
      <c r="D718" s="36" t="str">
        <f t="array" ref="D718">IF(B718="","",INDEX('Bán nhanh'!$B$4:$B$103,INT((ROW()-4)/10)+1))</f>
        <v/>
      </c>
      <c r="E718" s="36" t="str">
        <f t="array" ref="E718">IFERROR(INDEX('Mẻ sữa'!$B$4:$B$203,MATCH(D718,'Mẻ sữa'!$C$4:$C$203,0)),"")</f>
        <v/>
      </c>
      <c r="F718" s="82">
        <f t="array" ref="F718">IF(B718="",0,INDEX('Bán nhanh'!$D$4:$M$103,INT((ROW()-4)/10)+1,MOD(ROW()-4,10)+1))</f>
        <v>0</v>
      </c>
      <c r="G718" s="83">
        <f t="array" ref="G718">IFERROR(INDEX('Sản phẩm'!$F$4:$F$103,MATCH(B718,'Sản phẩm'!$D$4:$D$103,0)),0)</f>
        <v>0</v>
      </c>
      <c r="H718" s="83">
        <f t="shared" si="5"/>
        <v>0</v>
      </c>
      <c r="I718" s="83">
        <f t="shared" si="1"/>
        <v>0</v>
      </c>
      <c r="J718" s="83">
        <f t="array" ref="J718">IFERROR(INDEX('Sản phẩm'!$G$4:$G$103,MATCH(B718,'Sản phẩm'!$D$4:$D$103,0)),0)</f>
        <v>0</v>
      </c>
      <c r="K718" s="83">
        <f t="array" ref="K718">IFERROR(J718*INDEX('Mẻ sữa'!$N$4:$N$203,MATCH(D718,'Mẻ sữa'!$C$4:$C$203,0)),0)</f>
        <v>0</v>
      </c>
      <c r="L718" s="83">
        <f t="array" ref="L718">IFERROR(INDEX('Sản phẩm'!$I$4:$I$103,MATCH(B718,'Sản phẩm'!$D$4:$D$103,0)),0)</f>
        <v>0</v>
      </c>
      <c r="M718" s="97" t="str">
        <f t="array" ref="M718">IFERROR(INDEX('Sản phẩm'!$J$4:$J$103,MATCH(B718,'Sản phẩm'!$D$4:$D$103,0)),0)</f>
        <v/>
      </c>
      <c r="N718" s="83">
        <f>IF(B718="",0,(K718+L718+M718)*'Thiết lập'!$B$8)</f>
        <v>0</v>
      </c>
      <c r="O718" s="83">
        <f t="shared" si="2"/>
        <v>0</v>
      </c>
      <c r="P718" s="83">
        <f t="shared" si="3"/>
        <v>0</v>
      </c>
      <c r="Q718" s="83">
        <f t="shared" si="4"/>
        <v>0</v>
      </c>
      <c r="R718" s="36" t="str">
        <f t="array" ref="R718">IF(B718="","",INDEX('Bán nhanh'!$C$4:$C$103,INT((ROW()-4)/10)+1))</f>
        <v/>
      </c>
      <c r="S718" s="36" t="str">
        <f t="array" ref="S718">IF(B718="","",INDEX('Bán nhanh'!$P$4:$P$103,INT((ROW()-4)/10)+1))</f>
        <v/>
      </c>
      <c r="T718" s="36"/>
      <c r="U718" s="36"/>
      <c r="V718" s="36"/>
      <c r="W718" s="36"/>
      <c r="X718" s="36"/>
      <c r="Y718" s="36"/>
      <c r="Z718" s="36"/>
    </row>
    <row r="719" ht="15.75" customHeight="1">
      <c r="A719" s="96" t="str">
        <f t="array" ref="A719">IF(B719="","",INDEX('Bán nhanh'!$A$4:$A$103,INT((ROW()-4)/10)+1))</f>
        <v/>
      </c>
      <c r="B719" s="36" t="str">
        <f t="array" ref="B719">IF(OR(INDEX('Bán nhanh'!$D$3:$M$3,1,MOD(ROW()-4,10)+1)="",INDEX('Bán nhanh'!$D$4:$M$103,INT((ROW()-4)/10)+1,MOD(ROW()-4,10)+1)&lt;=0),"",INDEX('Bán nhanh'!$D$3:$M$3,1,MOD(ROW()-4,10)+1))</f>
        <v/>
      </c>
      <c r="C719" s="36" t="str">
        <f t="array" ref="C719">IFERROR(INDEX('Sản phẩm'!$A$4:$A$103,MATCH(B719,'Sản phẩm'!$D$4:$D$103,0)),"")</f>
        <v/>
      </c>
      <c r="D719" s="36" t="str">
        <f t="array" ref="D719">IF(B719="","",INDEX('Bán nhanh'!$B$4:$B$103,INT((ROW()-4)/10)+1))</f>
        <v/>
      </c>
      <c r="E719" s="36" t="str">
        <f t="array" ref="E719">IFERROR(INDEX('Mẻ sữa'!$B$4:$B$203,MATCH(D719,'Mẻ sữa'!$C$4:$C$203,0)),"")</f>
        <v/>
      </c>
      <c r="F719" s="82">
        <f t="array" ref="F719">IF(B719="",0,INDEX('Bán nhanh'!$D$4:$M$103,INT((ROW()-4)/10)+1,MOD(ROW()-4,10)+1))</f>
        <v>0</v>
      </c>
      <c r="G719" s="83">
        <f t="array" ref="G719">IFERROR(INDEX('Sản phẩm'!$F$4:$F$103,MATCH(B719,'Sản phẩm'!$D$4:$D$103,0)),0)</f>
        <v>0</v>
      </c>
      <c r="H719" s="83">
        <f t="shared" si="5"/>
        <v>0</v>
      </c>
      <c r="I719" s="83">
        <f t="shared" si="1"/>
        <v>0</v>
      </c>
      <c r="J719" s="83">
        <f t="array" ref="J719">IFERROR(INDEX('Sản phẩm'!$G$4:$G$103,MATCH(B719,'Sản phẩm'!$D$4:$D$103,0)),0)</f>
        <v>0</v>
      </c>
      <c r="K719" s="83">
        <f t="array" ref="K719">IFERROR(J719*INDEX('Mẻ sữa'!$N$4:$N$203,MATCH(D719,'Mẻ sữa'!$C$4:$C$203,0)),0)</f>
        <v>0</v>
      </c>
      <c r="L719" s="83">
        <f t="array" ref="L719">IFERROR(INDEX('Sản phẩm'!$I$4:$I$103,MATCH(B719,'Sản phẩm'!$D$4:$D$103,0)),0)</f>
        <v>0</v>
      </c>
      <c r="M719" s="97" t="str">
        <f t="array" ref="M719">IFERROR(INDEX('Sản phẩm'!$J$4:$J$103,MATCH(B719,'Sản phẩm'!$D$4:$D$103,0)),0)</f>
        <v/>
      </c>
      <c r="N719" s="83">
        <f>IF(B719="",0,(K719+L719+M719)*'Thiết lập'!$B$8)</f>
        <v>0</v>
      </c>
      <c r="O719" s="83">
        <f t="shared" si="2"/>
        <v>0</v>
      </c>
      <c r="P719" s="83">
        <f t="shared" si="3"/>
        <v>0</v>
      </c>
      <c r="Q719" s="83">
        <f t="shared" si="4"/>
        <v>0</v>
      </c>
      <c r="R719" s="36" t="str">
        <f t="array" ref="R719">IF(B719="","",INDEX('Bán nhanh'!$C$4:$C$103,INT((ROW()-4)/10)+1))</f>
        <v/>
      </c>
      <c r="S719" s="36" t="str">
        <f t="array" ref="S719">IF(B719="","",INDEX('Bán nhanh'!$P$4:$P$103,INT((ROW()-4)/10)+1))</f>
        <v/>
      </c>
      <c r="T719" s="36"/>
      <c r="U719" s="36"/>
      <c r="V719" s="36"/>
      <c r="W719" s="36"/>
      <c r="X719" s="36"/>
      <c r="Y719" s="36"/>
      <c r="Z719" s="36"/>
    </row>
    <row r="720" ht="15.75" customHeight="1">
      <c r="A720" s="96" t="str">
        <f t="array" ref="A720">IF(B720="","",INDEX('Bán nhanh'!$A$4:$A$103,INT((ROW()-4)/10)+1))</f>
        <v/>
      </c>
      <c r="B720" s="36" t="str">
        <f t="array" ref="B720">IF(OR(INDEX('Bán nhanh'!$D$3:$M$3,1,MOD(ROW()-4,10)+1)="",INDEX('Bán nhanh'!$D$4:$M$103,INT((ROW()-4)/10)+1,MOD(ROW()-4,10)+1)&lt;=0),"",INDEX('Bán nhanh'!$D$3:$M$3,1,MOD(ROW()-4,10)+1))</f>
        <v/>
      </c>
      <c r="C720" s="36" t="str">
        <f t="array" ref="C720">IFERROR(INDEX('Sản phẩm'!$A$4:$A$103,MATCH(B720,'Sản phẩm'!$D$4:$D$103,0)),"")</f>
        <v/>
      </c>
      <c r="D720" s="36" t="str">
        <f t="array" ref="D720">IF(B720="","",INDEX('Bán nhanh'!$B$4:$B$103,INT((ROW()-4)/10)+1))</f>
        <v/>
      </c>
      <c r="E720" s="36" t="str">
        <f t="array" ref="E720">IFERROR(INDEX('Mẻ sữa'!$B$4:$B$203,MATCH(D720,'Mẻ sữa'!$C$4:$C$203,0)),"")</f>
        <v/>
      </c>
      <c r="F720" s="82">
        <f t="array" ref="F720">IF(B720="",0,INDEX('Bán nhanh'!$D$4:$M$103,INT((ROW()-4)/10)+1,MOD(ROW()-4,10)+1))</f>
        <v>0</v>
      </c>
      <c r="G720" s="83">
        <f t="array" ref="G720">IFERROR(INDEX('Sản phẩm'!$F$4:$F$103,MATCH(B720,'Sản phẩm'!$D$4:$D$103,0)),0)</f>
        <v>0</v>
      </c>
      <c r="H720" s="83">
        <f t="shared" si="5"/>
        <v>0</v>
      </c>
      <c r="I720" s="83">
        <f t="shared" si="1"/>
        <v>0</v>
      </c>
      <c r="J720" s="83">
        <f t="array" ref="J720">IFERROR(INDEX('Sản phẩm'!$G$4:$G$103,MATCH(B720,'Sản phẩm'!$D$4:$D$103,0)),0)</f>
        <v>0</v>
      </c>
      <c r="K720" s="83">
        <f t="array" ref="K720">IFERROR(J720*INDEX('Mẻ sữa'!$N$4:$N$203,MATCH(D720,'Mẻ sữa'!$C$4:$C$203,0)),0)</f>
        <v>0</v>
      </c>
      <c r="L720" s="83">
        <f t="array" ref="L720">IFERROR(INDEX('Sản phẩm'!$I$4:$I$103,MATCH(B720,'Sản phẩm'!$D$4:$D$103,0)),0)</f>
        <v>0</v>
      </c>
      <c r="M720" s="97" t="str">
        <f t="array" ref="M720">IFERROR(INDEX('Sản phẩm'!$J$4:$J$103,MATCH(B720,'Sản phẩm'!$D$4:$D$103,0)),0)</f>
        <v/>
      </c>
      <c r="N720" s="83">
        <f>IF(B720="",0,(K720+L720+M720)*'Thiết lập'!$B$8)</f>
        <v>0</v>
      </c>
      <c r="O720" s="83">
        <f t="shared" si="2"/>
        <v>0</v>
      </c>
      <c r="P720" s="83">
        <f t="shared" si="3"/>
        <v>0</v>
      </c>
      <c r="Q720" s="83">
        <f t="shared" si="4"/>
        <v>0</v>
      </c>
      <c r="R720" s="36" t="str">
        <f t="array" ref="R720">IF(B720="","",INDEX('Bán nhanh'!$C$4:$C$103,INT((ROW()-4)/10)+1))</f>
        <v/>
      </c>
      <c r="S720" s="36" t="str">
        <f t="array" ref="S720">IF(B720="","",INDEX('Bán nhanh'!$P$4:$P$103,INT((ROW()-4)/10)+1))</f>
        <v/>
      </c>
      <c r="T720" s="36"/>
      <c r="U720" s="36"/>
      <c r="V720" s="36"/>
      <c r="W720" s="36"/>
      <c r="X720" s="36"/>
      <c r="Y720" s="36"/>
      <c r="Z720" s="36"/>
    </row>
    <row r="721" ht="15.75" customHeight="1">
      <c r="A721" s="96" t="str">
        <f t="array" ref="A721">IF(B721="","",INDEX('Bán nhanh'!$A$4:$A$103,INT((ROW()-4)/10)+1))</f>
        <v/>
      </c>
      <c r="B721" s="36" t="str">
        <f t="array" ref="B721">IF(OR(INDEX('Bán nhanh'!$D$3:$M$3,1,MOD(ROW()-4,10)+1)="",INDEX('Bán nhanh'!$D$4:$M$103,INT((ROW()-4)/10)+1,MOD(ROW()-4,10)+1)&lt;=0),"",INDEX('Bán nhanh'!$D$3:$M$3,1,MOD(ROW()-4,10)+1))</f>
        <v/>
      </c>
      <c r="C721" s="36" t="str">
        <f t="array" ref="C721">IFERROR(INDEX('Sản phẩm'!$A$4:$A$103,MATCH(B721,'Sản phẩm'!$D$4:$D$103,0)),"")</f>
        <v/>
      </c>
      <c r="D721" s="36" t="str">
        <f t="array" ref="D721">IF(B721="","",INDEX('Bán nhanh'!$B$4:$B$103,INT((ROW()-4)/10)+1))</f>
        <v/>
      </c>
      <c r="E721" s="36" t="str">
        <f t="array" ref="E721">IFERROR(INDEX('Mẻ sữa'!$B$4:$B$203,MATCH(D721,'Mẻ sữa'!$C$4:$C$203,0)),"")</f>
        <v/>
      </c>
      <c r="F721" s="82">
        <f t="array" ref="F721">IF(B721="",0,INDEX('Bán nhanh'!$D$4:$M$103,INT((ROW()-4)/10)+1,MOD(ROW()-4,10)+1))</f>
        <v>0</v>
      </c>
      <c r="G721" s="83">
        <f t="array" ref="G721">IFERROR(INDEX('Sản phẩm'!$F$4:$F$103,MATCH(B721,'Sản phẩm'!$D$4:$D$103,0)),0)</f>
        <v>0</v>
      </c>
      <c r="H721" s="83">
        <f t="shared" si="5"/>
        <v>0</v>
      </c>
      <c r="I721" s="83">
        <f t="shared" si="1"/>
        <v>0</v>
      </c>
      <c r="J721" s="83">
        <f t="array" ref="J721">IFERROR(INDEX('Sản phẩm'!$G$4:$G$103,MATCH(B721,'Sản phẩm'!$D$4:$D$103,0)),0)</f>
        <v>0</v>
      </c>
      <c r="K721" s="83">
        <f t="array" ref="K721">IFERROR(J721*INDEX('Mẻ sữa'!$N$4:$N$203,MATCH(D721,'Mẻ sữa'!$C$4:$C$203,0)),0)</f>
        <v>0</v>
      </c>
      <c r="L721" s="83">
        <f t="array" ref="L721">IFERROR(INDEX('Sản phẩm'!$I$4:$I$103,MATCH(B721,'Sản phẩm'!$D$4:$D$103,0)),0)</f>
        <v>0</v>
      </c>
      <c r="M721" s="97" t="str">
        <f t="array" ref="M721">IFERROR(INDEX('Sản phẩm'!$J$4:$J$103,MATCH(B721,'Sản phẩm'!$D$4:$D$103,0)),0)</f>
        <v/>
      </c>
      <c r="N721" s="83">
        <f>IF(B721="",0,(K721+L721+M721)*'Thiết lập'!$B$8)</f>
        <v>0</v>
      </c>
      <c r="O721" s="83">
        <f t="shared" si="2"/>
        <v>0</v>
      </c>
      <c r="P721" s="83">
        <f t="shared" si="3"/>
        <v>0</v>
      </c>
      <c r="Q721" s="83">
        <f t="shared" si="4"/>
        <v>0</v>
      </c>
      <c r="R721" s="36" t="str">
        <f t="array" ref="R721">IF(B721="","",INDEX('Bán nhanh'!$C$4:$C$103,INT((ROW()-4)/10)+1))</f>
        <v/>
      </c>
      <c r="S721" s="36" t="str">
        <f t="array" ref="S721">IF(B721="","",INDEX('Bán nhanh'!$P$4:$P$103,INT((ROW()-4)/10)+1))</f>
        <v/>
      </c>
      <c r="T721" s="36"/>
      <c r="U721" s="36"/>
      <c r="V721" s="36"/>
      <c r="W721" s="36"/>
      <c r="X721" s="36"/>
      <c r="Y721" s="36"/>
      <c r="Z721" s="36"/>
    </row>
    <row r="722" ht="15.75" customHeight="1">
      <c r="A722" s="96" t="str">
        <f t="array" ref="A722">IF(B722="","",INDEX('Bán nhanh'!$A$4:$A$103,INT((ROW()-4)/10)+1))</f>
        <v/>
      </c>
      <c r="B722" s="36" t="str">
        <f t="array" ref="B722">IF(OR(INDEX('Bán nhanh'!$D$3:$M$3,1,MOD(ROW()-4,10)+1)="",INDEX('Bán nhanh'!$D$4:$M$103,INT((ROW()-4)/10)+1,MOD(ROW()-4,10)+1)&lt;=0),"",INDEX('Bán nhanh'!$D$3:$M$3,1,MOD(ROW()-4,10)+1))</f>
        <v/>
      </c>
      <c r="C722" s="36" t="str">
        <f t="array" ref="C722">IFERROR(INDEX('Sản phẩm'!$A$4:$A$103,MATCH(B722,'Sản phẩm'!$D$4:$D$103,0)),"")</f>
        <v/>
      </c>
      <c r="D722" s="36" t="str">
        <f t="array" ref="D722">IF(B722="","",INDEX('Bán nhanh'!$B$4:$B$103,INT((ROW()-4)/10)+1))</f>
        <v/>
      </c>
      <c r="E722" s="36" t="str">
        <f t="array" ref="E722">IFERROR(INDEX('Mẻ sữa'!$B$4:$B$203,MATCH(D722,'Mẻ sữa'!$C$4:$C$203,0)),"")</f>
        <v/>
      </c>
      <c r="F722" s="82">
        <f t="array" ref="F722">IF(B722="",0,INDEX('Bán nhanh'!$D$4:$M$103,INT((ROW()-4)/10)+1,MOD(ROW()-4,10)+1))</f>
        <v>0</v>
      </c>
      <c r="G722" s="83">
        <f t="array" ref="G722">IFERROR(INDEX('Sản phẩm'!$F$4:$F$103,MATCH(B722,'Sản phẩm'!$D$4:$D$103,0)),0)</f>
        <v>0</v>
      </c>
      <c r="H722" s="83">
        <f t="shared" si="5"/>
        <v>0</v>
      </c>
      <c r="I722" s="83">
        <f t="shared" si="1"/>
        <v>0</v>
      </c>
      <c r="J722" s="83">
        <f t="array" ref="J722">IFERROR(INDEX('Sản phẩm'!$G$4:$G$103,MATCH(B722,'Sản phẩm'!$D$4:$D$103,0)),0)</f>
        <v>0</v>
      </c>
      <c r="K722" s="83">
        <f t="array" ref="K722">IFERROR(J722*INDEX('Mẻ sữa'!$N$4:$N$203,MATCH(D722,'Mẻ sữa'!$C$4:$C$203,0)),0)</f>
        <v>0</v>
      </c>
      <c r="L722" s="83">
        <f t="array" ref="L722">IFERROR(INDEX('Sản phẩm'!$I$4:$I$103,MATCH(B722,'Sản phẩm'!$D$4:$D$103,0)),0)</f>
        <v>0</v>
      </c>
      <c r="M722" s="97" t="str">
        <f t="array" ref="M722">IFERROR(INDEX('Sản phẩm'!$J$4:$J$103,MATCH(B722,'Sản phẩm'!$D$4:$D$103,0)),0)</f>
        <v/>
      </c>
      <c r="N722" s="83">
        <f>IF(B722="",0,(K722+L722+M722)*'Thiết lập'!$B$8)</f>
        <v>0</v>
      </c>
      <c r="O722" s="83">
        <f t="shared" si="2"/>
        <v>0</v>
      </c>
      <c r="P722" s="83">
        <f t="shared" si="3"/>
        <v>0</v>
      </c>
      <c r="Q722" s="83">
        <f t="shared" si="4"/>
        <v>0</v>
      </c>
      <c r="R722" s="36" t="str">
        <f t="array" ref="R722">IF(B722="","",INDEX('Bán nhanh'!$C$4:$C$103,INT((ROW()-4)/10)+1))</f>
        <v/>
      </c>
      <c r="S722" s="36" t="str">
        <f t="array" ref="S722">IF(B722="","",INDEX('Bán nhanh'!$P$4:$P$103,INT((ROW()-4)/10)+1))</f>
        <v/>
      </c>
      <c r="T722" s="36"/>
      <c r="U722" s="36"/>
      <c r="V722" s="36"/>
      <c r="W722" s="36"/>
      <c r="X722" s="36"/>
      <c r="Y722" s="36"/>
      <c r="Z722" s="36"/>
    </row>
    <row r="723" ht="15.75" customHeight="1">
      <c r="A723" s="96" t="str">
        <f t="array" ref="A723">IF(B723="","",INDEX('Bán nhanh'!$A$4:$A$103,INT((ROW()-4)/10)+1))</f>
        <v/>
      </c>
      <c r="B723" s="36" t="str">
        <f t="array" ref="B723">IF(OR(INDEX('Bán nhanh'!$D$3:$M$3,1,MOD(ROW()-4,10)+1)="",INDEX('Bán nhanh'!$D$4:$M$103,INT((ROW()-4)/10)+1,MOD(ROW()-4,10)+1)&lt;=0),"",INDEX('Bán nhanh'!$D$3:$M$3,1,MOD(ROW()-4,10)+1))</f>
        <v/>
      </c>
      <c r="C723" s="36" t="str">
        <f t="array" ref="C723">IFERROR(INDEX('Sản phẩm'!$A$4:$A$103,MATCH(B723,'Sản phẩm'!$D$4:$D$103,0)),"")</f>
        <v/>
      </c>
      <c r="D723" s="36" t="str">
        <f t="array" ref="D723">IF(B723="","",INDEX('Bán nhanh'!$B$4:$B$103,INT((ROW()-4)/10)+1))</f>
        <v/>
      </c>
      <c r="E723" s="36" t="str">
        <f t="array" ref="E723">IFERROR(INDEX('Mẻ sữa'!$B$4:$B$203,MATCH(D723,'Mẻ sữa'!$C$4:$C$203,0)),"")</f>
        <v/>
      </c>
      <c r="F723" s="82">
        <f t="array" ref="F723">IF(B723="",0,INDEX('Bán nhanh'!$D$4:$M$103,INT((ROW()-4)/10)+1,MOD(ROW()-4,10)+1))</f>
        <v>0</v>
      </c>
      <c r="G723" s="83">
        <f t="array" ref="G723">IFERROR(INDEX('Sản phẩm'!$F$4:$F$103,MATCH(B723,'Sản phẩm'!$D$4:$D$103,0)),0)</f>
        <v>0</v>
      </c>
      <c r="H723" s="83">
        <f t="shared" si="5"/>
        <v>0</v>
      </c>
      <c r="I723" s="83">
        <f t="shared" si="1"/>
        <v>0</v>
      </c>
      <c r="J723" s="83">
        <f t="array" ref="J723">IFERROR(INDEX('Sản phẩm'!$G$4:$G$103,MATCH(B723,'Sản phẩm'!$D$4:$D$103,0)),0)</f>
        <v>0</v>
      </c>
      <c r="K723" s="83">
        <f t="array" ref="K723">IFERROR(J723*INDEX('Mẻ sữa'!$N$4:$N$203,MATCH(D723,'Mẻ sữa'!$C$4:$C$203,0)),0)</f>
        <v>0</v>
      </c>
      <c r="L723" s="83">
        <f t="array" ref="L723">IFERROR(INDEX('Sản phẩm'!$I$4:$I$103,MATCH(B723,'Sản phẩm'!$D$4:$D$103,0)),0)</f>
        <v>0</v>
      </c>
      <c r="M723" s="97" t="str">
        <f t="array" ref="M723">IFERROR(INDEX('Sản phẩm'!$J$4:$J$103,MATCH(B723,'Sản phẩm'!$D$4:$D$103,0)),0)</f>
        <v/>
      </c>
      <c r="N723" s="83">
        <f>IF(B723="",0,(K723+L723+M723)*'Thiết lập'!$B$8)</f>
        <v>0</v>
      </c>
      <c r="O723" s="83">
        <f t="shared" si="2"/>
        <v>0</v>
      </c>
      <c r="P723" s="83">
        <f t="shared" si="3"/>
        <v>0</v>
      </c>
      <c r="Q723" s="83">
        <f t="shared" si="4"/>
        <v>0</v>
      </c>
      <c r="R723" s="36" t="str">
        <f t="array" ref="R723">IF(B723="","",INDEX('Bán nhanh'!$C$4:$C$103,INT((ROW()-4)/10)+1))</f>
        <v/>
      </c>
      <c r="S723" s="36" t="str">
        <f t="array" ref="S723">IF(B723="","",INDEX('Bán nhanh'!$P$4:$P$103,INT((ROW()-4)/10)+1))</f>
        <v/>
      </c>
      <c r="T723" s="36"/>
      <c r="U723" s="36"/>
      <c r="V723" s="36"/>
      <c r="W723" s="36"/>
      <c r="X723" s="36"/>
      <c r="Y723" s="36"/>
      <c r="Z723" s="36"/>
    </row>
    <row r="724" ht="15.75" customHeight="1">
      <c r="A724" s="96" t="str">
        <f t="array" ref="A724">IF(B724="","",INDEX('Bán nhanh'!$A$4:$A$103,INT((ROW()-4)/10)+1))</f>
        <v/>
      </c>
      <c r="B724" s="36" t="str">
        <f t="array" ref="B724">IF(OR(INDEX('Bán nhanh'!$D$3:$M$3,1,MOD(ROW()-4,10)+1)="",INDEX('Bán nhanh'!$D$4:$M$103,INT((ROW()-4)/10)+1,MOD(ROW()-4,10)+1)&lt;=0),"",INDEX('Bán nhanh'!$D$3:$M$3,1,MOD(ROW()-4,10)+1))</f>
        <v/>
      </c>
      <c r="C724" s="36" t="str">
        <f t="array" ref="C724">IFERROR(INDEX('Sản phẩm'!$A$4:$A$103,MATCH(B724,'Sản phẩm'!$D$4:$D$103,0)),"")</f>
        <v/>
      </c>
      <c r="D724" s="36" t="str">
        <f t="array" ref="D724">IF(B724="","",INDEX('Bán nhanh'!$B$4:$B$103,INT((ROW()-4)/10)+1))</f>
        <v/>
      </c>
      <c r="E724" s="36" t="str">
        <f t="array" ref="E724">IFERROR(INDEX('Mẻ sữa'!$B$4:$B$203,MATCH(D724,'Mẻ sữa'!$C$4:$C$203,0)),"")</f>
        <v/>
      </c>
      <c r="F724" s="82">
        <f t="array" ref="F724">IF(B724="",0,INDEX('Bán nhanh'!$D$4:$M$103,INT((ROW()-4)/10)+1,MOD(ROW()-4,10)+1))</f>
        <v>0</v>
      </c>
      <c r="G724" s="83">
        <f t="array" ref="G724">IFERROR(INDEX('Sản phẩm'!$F$4:$F$103,MATCH(B724,'Sản phẩm'!$D$4:$D$103,0)),0)</f>
        <v>0</v>
      </c>
      <c r="H724" s="83">
        <f t="shared" si="5"/>
        <v>0</v>
      </c>
      <c r="I724" s="83">
        <f t="shared" si="1"/>
        <v>0</v>
      </c>
      <c r="J724" s="83">
        <f t="array" ref="J724">IFERROR(INDEX('Sản phẩm'!$G$4:$G$103,MATCH(B724,'Sản phẩm'!$D$4:$D$103,0)),0)</f>
        <v>0</v>
      </c>
      <c r="K724" s="83">
        <f t="array" ref="K724">IFERROR(J724*INDEX('Mẻ sữa'!$N$4:$N$203,MATCH(D724,'Mẻ sữa'!$C$4:$C$203,0)),0)</f>
        <v>0</v>
      </c>
      <c r="L724" s="83">
        <f t="array" ref="L724">IFERROR(INDEX('Sản phẩm'!$I$4:$I$103,MATCH(B724,'Sản phẩm'!$D$4:$D$103,0)),0)</f>
        <v>0</v>
      </c>
      <c r="M724" s="97" t="str">
        <f t="array" ref="M724">IFERROR(INDEX('Sản phẩm'!$J$4:$J$103,MATCH(B724,'Sản phẩm'!$D$4:$D$103,0)),0)</f>
        <v/>
      </c>
      <c r="N724" s="83">
        <f>IF(B724="",0,(K724+L724+M724)*'Thiết lập'!$B$8)</f>
        <v>0</v>
      </c>
      <c r="O724" s="83">
        <f t="shared" si="2"/>
        <v>0</v>
      </c>
      <c r="P724" s="83">
        <f t="shared" si="3"/>
        <v>0</v>
      </c>
      <c r="Q724" s="83">
        <f t="shared" si="4"/>
        <v>0</v>
      </c>
      <c r="R724" s="36" t="str">
        <f t="array" ref="R724">IF(B724="","",INDEX('Bán nhanh'!$C$4:$C$103,INT((ROW()-4)/10)+1))</f>
        <v/>
      </c>
      <c r="S724" s="36" t="str">
        <f t="array" ref="S724">IF(B724="","",INDEX('Bán nhanh'!$P$4:$P$103,INT((ROW()-4)/10)+1))</f>
        <v/>
      </c>
      <c r="T724" s="36"/>
      <c r="U724" s="36"/>
      <c r="V724" s="36"/>
      <c r="W724" s="36"/>
      <c r="X724" s="36"/>
      <c r="Y724" s="36"/>
      <c r="Z724" s="36"/>
    </row>
    <row r="725" ht="15.75" customHeight="1">
      <c r="A725" s="96" t="str">
        <f t="array" ref="A725">IF(B725="","",INDEX('Bán nhanh'!$A$4:$A$103,INT((ROW()-4)/10)+1))</f>
        <v/>
      </c>
      <c r="B725" s="36" t="str">
        <f t="array" ref="B725">IF(OR(INDEX('Bán nhanh'!$D$3:$M$3,1,MOD(ROW()-4,10)+1)="",INDEX('Bán nhanh'!$D$4:$M$103,INT((ROW()-4)/10)+1,MOD(ROW()-4,10)+1)&lt;=0),"",INDEX('Bán nhanh'!$D$3:$M$3,1,MOD(ROW()-4,10)+1))</f>
        <v/>
      </c>
      <c r="C725" s="36" t="str">
        <f t="array" ref="C725">IFERROR(INDEX('Sản phẩm'!$A$4:$A$103,MATCH(B725,'Sản phẩm'!$D$4:$D$103,0)),"")</f>
        <v/>
      </c>
      <c r="D725" s="36" t="str">
        <f t="array" ref="D725">IF(B725="","",INDEX('Bán nhanh'!$B$4:$B$103,INT((ROW()-4)/10)+1))</f>
        <v/>
      </c>
      <c r="E725" s="36" t="str">
        <f t="array" ref="E725">IFERROR(INDEX('Mẻ sữa'!$B$4:$B$203,MATCH(D725,'Mẻ sữa'!$C$4:$C$203,0)),"")</f>
        <v/>
      </c>
      <c r="F725" s="82">
        <f t="array" ref="F725">IF(B725="",0,INDEX('Bán nhanh'!$D$4:$M$103,INT((ROW()-4)/10)+1,MOD(ROW()-4,10)+1))</f>
        <v>0</v>
      </c>
      <c r="G725" s="83">
        <f t="array" ref="G725">IFERROR(INDEX('Sản phẩm'!$F$4:$F$103,MATCH(B725,'Sản phẩm'!$D$4:$D$103,0)),0)</f>
        <v>0</v>
      </c>
      <c r="H725" s="83">
        <f t="shared" si="5"/>
        <v>0</v>
      </c>
      <c r="I725" s="83">
        <f t="shared" si="1"/>
        <v>0</v>
      </c>
      <c r="J725" s="83">
        <f t="array" ref="J725">IFERROR(INDEX('Sản phẩm'!$G$4:$G$103,MATCH(B725,'Sản phẩm'!$D$4:$D$103,0)),0)</f>
        <v>0</v>
      </c>
      <c r="K725" s="83">
        <f t="array" ref="K725">IFERROR(J725*INDEX('Mẻ sữa'!$N$4:$N$203,MATCH(D725,'Mẻ sữa'!$C$4:$C$203,0)),0)</f>
        <v>0</v>
      </c>
      <c r="L725" s="83">
        <f t="array" ref="L725">IFERROR(INDEX('Sản phẩm'!$I$4:$I$103,MATCH(B725,'Sản phẩm'!$D$4:$D$103,0)),0)</f>
        <v>0</v>
      </c>
      <c r="M725" s="97" t="str">
        <f t="array" ref="M725">IFERROR(INDEX('Sản phẩm'!$J$4:$J$103,MATCH(B725,'Sản phẩm'!$D$4:$D$103,0)),0)</f>
        <v/>
      </c>
      <c r="N725" s="83">
        <f>IF(B725="",0,(K725+L725+M725)*'Thiết lập'!$B$8)</f>
        <v>0</v>
      </c>
      <c r="O725" s="83">
        <f t="shared" si="2"/>
        <v>0</v>
      </c>
      <c r="P725" s="83">
        <f t="shared" si="3"/>
        <v>0</v>
      </c>
      <c r="Q725" s="83">
        <f t="shared" si="4"/>
        <v>0</v>
      </c>
      <c r="R725" s="36" t="str">
        <f t="array" ref="R725">IF(B725="","",INDEX('Bán nhanh'!$C$4:$C$103,INT((ROW()-4)/10)+1))</f>
        <v/>
      </c>
      <c r="S725" s="36" t="str">
        <f t="array" ref="S725">IF(B725="","",INDEX('Bán nhanh'!$P$4:$P$103,INT((ROW()-4)/10)+1))</f>
        <v/>
      </c>
      <c r="T725" s="36"/>
      <c r="U725" s="36"/>
      <c r="V725" s="36"/>
      <c r="W725" s="36"/>
      <c r="X725" s="36"/>
      <c r="Y725" s="36"/>
      <c r="Z725" s="36"/>
    </row>
    <row r="726" ht="15.75" customHeight="1">
      <c r="A726" s="96" t="str">
        <f t="array" ref="A726">IF(B726="","",INDEX('Bán nhanh'!$A$4:$A$103,INT((ROW()-4)/10)+1))</f>
        <v/>
      </c>
      <c r="B726" s="36" t="str">
        <f t="array" ref="B726">IF(OR(INDEX('Bán nhanh'!$D$3:$M$3,1,MOD(ROW()-4,10)+1)="",INDEX('Bán nhanh'!$D$4:$M$103,INT((ROW()-4)/10)+1,MOD(ROW()-4,10)+1)&lt;=0),"",INDEX('Bán nhanh'!$D$3:$M$3,1,MOD(ROW()-4,10)+1))</f>
        <v/>
      </c>
      <c r="C726" s="36" t="str">
        <f t="array" ref="C726">IFERROR(INDEX('Sản phẩm'!$A$4:$A$103,MATCH(B726,'Sản phẩm'!$D$4:$D$103,0)),"")</f>
        <v/>
      </c>
      <c r="D726" s="36" t="str">
        <f t="array" ref="D726">IF(B726="","",INDEX('Bán nhanh'!$B$4:$B$103,INT((ROW()-4)/10)+1))</f>
        <v/>
      </c>
      <c r="E726" s="36" t="str">
        <f t="array" ref="E726">IFERROR(INDEX('Mẻ sữa'!$B$4:$B$203,MATCH(D726,'Mẻ sữa'!$C$4:$C$203,0)),"")</f>
        <v/>
      </c>
      <c r="F726" s="82">
        <f t="array" ref="F726">IF(B726="",0,INDEX('Bán nhanh'!$D$4:$M$103,INT((ROW()-4)/10)+1,MOD(ROW()-4,10)+1))</f>
        <v>0</v>
      </c>
      <c r="G726" s="83">
        <f t="array" ref="G726">IFERROR(INDEX('Sản phẩm'!$F$4:$F$103,MATCH(B726,'Sản phẩm'!$D$4:$D$103,0)),0)</f>
        <v>0</v>
      </c>
      <c r="H726" s="83">
        <f t="shared" si="5"/>
        <v>0</v>
      </c>
      <c r="I726" s="83">
        <f t="shared" si="1"/>
        <v>0</v>
      </c>
      <c r="J726" s="83">
        <f t="array" ref="J726">IFERROR(INDEX('Sản phẩm'!$G$4:$G$103,MATCH(B726,'Sản phẩm'!$D$4:$D$103,0)),0)</f>
        <v>0</v>
      </c>
      <c r="K726" s="83">
        <f t="array" ref="K726">IFERROR(J726*INDEX('Mẻ sữa'!$N$4:$N$203,MATCH(D726,'Mẻ sữa'!$C$4:$C$203,0)),0)</f>
        <v>0</v>
      </c>
      <c r="L726" s="83">
        <f t="array" ref="L726">IFERROR(INDEX('Sản phẩm'!$I$4:$I$103,MATCH(B726,'Sản phẩm'!$D$4:$D$103,0)),0)</f>
        <v>0</v>
      </c>
      <c r="M726" s="97" t="str">
        <f t="array" ref="M726">IFERROR(INDEX('Sản phẩm'!$J$4:$J$103,MATCH(B726,'Sản phẩm'!$D$4:$D$103,0)),0)</f>
        <v/>
      </c>
      <c r="N726" s="83">
        <f>IF(B726="",0,(K726+L726+M726)*'Thiết lập'!$B$8)</f>
        <v>0</v>
      </c>
      <c r="O726" s="83">
        <f t="shared" si="2"/>
        <v>0</v>
      </c>
      <c r="P726" s="83">
        <f t="shared" si="3"/>
        <v>0</v>
      </c>
      <c r="Q726" s="83">
        <f t="shared" si="4"/>
        <v>0</v>
      </c>
      <c r="R726" s="36" t="str">
        <f t="array" ref="R726">IF(B726="","",INDEX('Bán nhanh'!$C$4:$C$103,INT((ROW()-4)/10)+1))</f>
        <v/>
      </c>
      <c r="S726" s="36" t="str">
        <f t="array" ref="S726">IF(B726="","",INDEX('Bán nhanh'!$P$4:$P$103,INT((ROW()-4)/10)+1))</f>
        <v/>
      </c>
      <c r="T726" s="36"/>
      <c r="U726" s="36"/>
      <c r="V726" s="36"/>
      <c r="W726" s="36"/>
      <c r="X726" s="36"/>
      <c r="Y726" s="36"/>
      <c r="Z726" s="36"/>
    </row>
    <row r="727" ht="15.75" customHeight="1">
      <c r="A727" s="96" t="str">
        <f t="array" ref="A727">IF(B727="","",INDEX('Bán nhanh'!$A$4:$A$103,INT((ROW()-4)/10)+1))</f>
        <v/>
      </c>
      <c r="B727" s="36" t="str">
        <f t="array" ref="B727">IF(OR(INDEX('Bán nhanh'!$D$3:$M$3,1,MOD(ROW()-4,10)+1)="",INDEX('Bán nhanh'!$D$4:$M$103,INT((ROW()-4)/10)+1,MOD(ROW()-4,10)+1)&lt;=0),"",INDEX('Bán nhanh'!$D$3:$M$3,1,MOD(ROW()-4,10)+1))</f>
        <v/>
      </c>
      <c r="C727" s="36" t="str">
        <f t="array" ref="C727">IFERROR(INDEX('Sản phẩm'!$A$4:$A$103,MATCH(B727,'Sản phẩm'!$D$4:$D$103,0)),"")</f>
        <v/>
      </c>
      <c r="D727" s="36" t="str">
        <f t="array" ref="D727">IF(B727="","",INDEX('Bán nhanh'!$B$4:$B$103,INT((ROW()-4)/10)+1))</f>
        <v/>
      </c>
      <c r="E727" s="36" t="str">
        <f t="array" ref="E727">IFERROR(INDEX('Mẻ sữa'!$B$4:$B$203,MATCH(D727,'Mẻ sữa'!$C$4:$C$203,0)),"")</f>
        <v/>
      </c>
      <c r="F727" s="82">
        <f t="array" ref="F727">IF(B727="",0,INDEX('Bán nhanh'!$D$4:$M$103,INT((ROW()-4)/10)+1,MOD(ROW()-4,10)+1))</f>
        <v>0</v>
      </c>
      <c r="G727" s="83">
        <f t="array" ref="G727">IFERROR(INDEX('Sản phẩm'!$F$4:$F$103,MATCH(B727,'Sản phẩm'!$D$4:$D$103,0)),0)</f>
        <v>0</v>
      </c>
      <c r="H727" s="83">
        <f t="shared" si="5"/>
        <v>0</v>
      </c>
      <c r="I727" s="83">
        <f t="shared" si="1"/>
        <v>0</v>
      </c>
      <c r="J727" s="83">
        <f t="array" ref="J727">IFERROR(INDEX('Sản phẩm'!$G$4:$G$103,MATCH(B727,'Sản phẩm'!$D$4:$D$103,0)),0)</f>
        <v>0</v>
      </c>
      <c r="K727" s="83">
        <f t="array" ref="K727">IFERROR(J727*INDEX('Mẻ sữa'!$N$4:$N$203,MATCH(D727,'Mẻ sữa'!$C$4:$C$203,0)),0)</f>
        <v>0</v>
      </c>
      <c r="L727" s="83">
        <f t="array" ref="L727">IFERROR(INDEX('Sản phẩm'!$I$4:$I$103,MATCH(B727,'Sản phẩm'!$D$4:$D$103,0)),0)</f>
        <v>0</v>
      </c>
      <c r="M727" s="97" t="str">
        <f t="array" ref="M727">IFERROR(INDEX('Sản phẩm'!$J$4:$J$103,MATCH(B727,'Sản phẩm'!$D$4:$D$103,0)),0)</f>
        <v/>
      </c>
      <c r="N727" s="83">
        <f>IF(B727="",0,(K727+L727+M727)*'Thiết lập'!$B$8)</f>
        <v>0</v>
      </c>
      <c r="O727" s="83">
        <f t="shared" si="2"/>
        <v>0</v>
      </c>
      <c r="P727" s="83">
        <f t="shared" si="3"/>
        <v>0</v>
      </c>
      <c r="Q727" s="83">
        <f t="shared" si="4"/>
        <v>0</v>
      </c>
      <c r="R727" s="36" t="str">
        <f t="array" ref="R727">IF(B727="","",INDEX('Bán nhanh'!$C$4:$C$103,INT((ROW()-4)/10)+1))</f>
        <v/>
      </c>
      <c r="S727" s="36" t="str">
        <f t="array" ref="S727">IF(B727="","",INDEX('Bán nhanh'!$P$4:$P$103,INT((ROW()-4)/10)+1))</f>
        <v/>
      </c>
      <c r="T727" s="36"/>
      <c r="U727" s="36"/>
      <c r="V727" s="36"/>
      <c r="W727" s="36"/>
      <c r="X727" s="36"/>
      <c r="Y727" s="36"/>
      <c r="Z727" s="36"/>
    </row>
    <row r="728" ht="15.75" customHeight="1">
      <c r="A728" s="96" t="str">
        <f t="array" ref="A728">IF(B728="","",INDEX('Bán nhanh'!$A$4:$A$103,INT((ROW()-4)/10)+1))</f>
        <v/>
      </c>
      <c r="B728" s="36" t="str">
        <f t="array" ref="B728">IF(OR(INDEX('Bán nhanh'!$D$3:$M$3,1,MOD(ROW()-4,10)+1)="",INDEX('Bán nhanh'!$D$4:$M$103,INT((ROW()-4)/10)+1,MOD(ROW()-4,10)+1)&lt;=0),"",INDEX('Bán nhanh'!$D$3:$M$3,1,MOD(ROW()-4,10)+1))</f>
        <v/>
      </c>
      <c r="C728" s="36" t="str">
        <f t="array" ref="C728">IFERROR(INDEX('Sản phẩm'!$A$4:$A$103,MATCH(B728,'Sản phẩm'!$D$4:$D$103,0)),"")</f>
        <v/>
      </c>
      <c r="D728" s="36" t="str">
        <f t="array" ref="D728">IF(B728="","",INDEX('Bán nhanh'!$B$4:$B$103,INT((ROW()-4)/10)+1))</f>
        <v/>
      </c>
      <c r="E728" s="36" t="str">
        <f t="array" ref="E728">IFERROR(INDEX('Mẻ sữa'!$B$4:$B$203,MATCH(D728,'Mẻ sữa'!$C$4:$C$203,0)),"")</f>
        <v/>
      </c>
      <c r="F728" s="82">
        <f t="array" ref="F728">IF(B728="",0,INDEX('Bán nhanh'!$D$4:$M$103,INT((ROW()-4)/10)+1,MOD(ROW()-4,10)+1))</f>
        <v>0</v>
      </c>
      <c r="G728" s="83">
        <f t="array" ref="G728">IFERROR(INDEX('Sản phẩm'!$F$4:$F$103,MATCH(B728,'Sản phẩm'!$D$4:$D$103,0)),0)</f>
        <v>0</v>
      </c>
      <c r="H728" s="83">
        <f t="shared" si="5"/>
        <v>0</v>
      </c>
      <c r="I728" s="83">
        <f t="shared" si="1"/>
        <v>0</v>
      </c>
      <c r="J728" s="83">
        <f t="array" ref="J728">IFERROR(INDEX('Sản phẩm'!$G$4:$G$103,MATCH(B728,'Sản phẩm'!$D$4:$D$103,0)),0)</f>
        <v>0</v>
      </c>
      <c r="K728" s="83">
        <f t="array" ref="K728">IFERROR(J728*INDEX('Mẻ sữa'!$N$4:$N$203,MATCH(D728,'Mẻ sữa'!$C$4:$C$203,0)),0)</f>
        <v>0</v>
      </c>
      <c r="L728" s="83">
        <f t="array" ref="L728">IFERROR(INDEX('Sản phẩm'!$I$4:$I$103,MATCH(B728,'Sản phẩm'!$D$4:$D$103,0)),0)</f>
        <v>0</v>
      </c>
      <c r="M728" s="97" t="str">
        <f t="array" ref="M728">IFERROR(INDEX('Sản phẩm'!$J$4:$J$103,MATCH(B728,'Sản phẩm'!$D$4:$D$103,0)),0)</f>
        <v/>
      </c>
      <c r="N728" s="83">
        <f>IF(B728="",0,(K728+L728+M728)*'Thiết lập'!$B$8)</f>
        <v>0</v>
      </c>
      <c r="O728" s="83">
        <f t="shared" si="2"/>
        <v>0</v>
      </c>
      <c r="P728" s="83">
        <f t="shared" si="3"/>
        <v>0</v>
      </c>
      <c r="Q728" s="83">
        <f t="shared" si="4"/>
        <v>0</v>
      </c>
      <c r="R728" s="36" t="str">
        <f t="array" ref="R728">IF(B728="","",INDEX('Bán nhanh'!$C$4:$C$103,INT((ROW()-4)/10)+1))</f>
        <v/>
      </c>
      <c r="S728" s="36" t="str">
        <f t="array" ref="S728">IF(B728="","",INDEX('Bán nhanh'!$P$4:$P$103,INT((ROW()-4)/10)+1))</f>
        <v/>
      </c>
      <c r="T728" s="36"/>
      <c r="U728" s="36"/>
      <c r="V728" s="36"/>
      <c r="W728" s="36"/>
      <c r="X728" s="36"/>
      <c r="Y728" s="36"/>
      <c r="Z728" s="36"/>
    </row>
    <row r="729" ht="15.75" customHeight="1">
      <c r="A729" s="96" t="str">
        <f t="array" ref="A729">IF(B729="","",INDEX('Bán nhanh'!$A$4:$A$103,INT((ROW()-4)/10)+1))</f>
        <v/>
      </c>
      <c r="B729" s="36" t="str">
        <f t="array" ref="B729">IF(OR(INDEX('Bán nhanh'!$D$3:$M$3,1,MOD(ROW()-4,10)+1)="",INDEX('Bán nhanh'!$D$4:$M$103,INT((ROW()-4)/10)+1,MOD(ROW()-4,10)+1)&lt;=0),"",INDEX('Bán nhanh'!$D$3:$M$3,1,MOD(ROW()-4,10)+1))</f>
        <v/>
      </c>
      <c r="C729" s="36" t="str">
        <f t="array" ref="C729">IFERROR(INDEX('Sản phẩm'!$A$4:$A$103,MATCH(B729,'Sản phẩm'!$D$4:$D$103,0)),"")</f>
        <v/>
      </c>
      <c r="D729" s="36" t="str">
        <f t="array" ref="D729">IF(B729="","",INDEX('Bán nhanh'!$B$4:$B$103,INT((ROW()-4)/10)+1))</f>
        <v/>
      </c>
      <c r="E729" s="36" t="str">
        <f t="array" ref="E729">IFERROR(INDEX('Mẻ sữa'!$B$4:$B$203,MATCH(D729,'Mẻ sữa'!$C$4:$C$203,0)),"")</f>
        <v/>
      </c>
      <c r="F729" s="82">
        <f t="array" ref="F729">IF(B729="",0,INDEX('Bán nhanh'!$D$4:$M$103,INT((ROW()-4)/10)+1,MOD(ROW()-4,10)+1))</f>
        <v>0</v>
      </c>
      <c r="G729" s="83">
        <f t="array" ref="G729">IFERROR(INDEX('Sản phẩm'!$F$4:$F$103,MATCH(B729,'Sản phẩm'!$D$4:$D$103,0)),0)</f>
        <v>0</v>
      </c>
      <c r="H729" s="83">
        <f t="shared" si="5"/>
        <v>0</v>
      </c>
      <c r="I729" s="83">
        <f t="shared" si="1"/>
        <v>0</v>
      </c>
      <c r="J729" s="83">
        <f t="array" ref="J729">IFERROR(INDEX('Sản phẩm'!$G$4:$G$103,MATCH(B729,'Sản phẩm'!$D$4:$D$103,0)),0)</f>
        <v>0</v>
      </c>
      <c r="K729" s="83">
        <f t="array" ref="K729">IFERROR(J729*INDEX('Mẻ sữa'!$N$4:$N$203,MATCH(D729,'Mẻ sữa'!$C$4:$C$203,0)),0)</f>
        <v>0</v>
      </c>
      <c r="L729" s="83">
        <f t="array" ref="L729">IFERROR(INDEX('Sản phẩm'!$I$4:$I$103,MATCH(B729,'Sản phẩm'!$D$4:$D$103,0)),0)</f>
        <v>0</v>
      </c>
      <c r="M729" s="97" t="str">
        <f t="array" ref="M729">IFERROR(INDEX('Sản phẩm'!$J$4:$J$103,MATCH(B729,'Sản phẩm'!$D$4:$D$103,0)),0)</f>
        <v/>
      </c>
      <c r="N729" s="83">
        <f>IF(B729="",0,(K729+L729+M729)*'Thiết lập'!$B$8)</f>
        <v>0</v>
      </c>
      <c r="O729" s="83">
        <f t="shared" si="2"/>
        <v>0</v>
      </c>
      <c r="P729" s="83">
        <f t="shared" si="3"/>
        <v>0</v>
      </c>
      <c r="Q729" s="83">
        <f t="shared" si="4"/>
        <v>0</v>
      </c>
      <c r="R729" s="36" t="str">
        <f t="array" ref="R729">IF(B729="","",INDEX('Bán nhanh'!$C$4:$C$103,INT((ROW()-4)/10)+1))</f>
        <v/>
      </c>
      <c r="S729" s="36" t="str">
        <f t="array" ref="S729">IF(B729="","",INDEX('Bán nhanh'!$P$4:$P$103,INT((ROW()-4)/10)+1))</f>
        <v/>
      </c>
      <c r="T729" s="36"/>
      <c r="U729" s="36"/>
      <c r="V729" s="36"/>
      <c r="W729" s="36"/>
      <c r="X729" s="36"/>
      <c r="Y729" s="36"/>
      <c r="Z729" s="36"/>
    </row>
    <row r="730" ht="15.75" customHeight="1">
      <c r="A730" s="96" t="str">
        <f t="array" ref="A730">IF(B730="","",INDEX('Bán nhanh'!$A$4:$A$103,INT((ROW()-4)/10)+1))</f>
        <v/>
      </c>
      <c r="B730" s="36" t="str">
        <f t="array" ref="B730">IF(OR(INDEX('Bán nhanh'!$D$3:$M$3,1,MOD(ROW()-4,10)+1)="",INDEX('Bán nhanh'!$D$4:$M$103,INT((ROW()-4)/10)+1,MOD(ROW()-4,10)+1)&lt;=0),"",INDEX('Bán nhanh'!$D$3:$M$3,1,MOD(ROW()-4,10)+1))</f>
        <v/>
      </c>
      <c r="C730" s="36" t="str">
        <f t="array" ref="C730">IFERROR(INDEX('Sản phẩm'!$A$4:$A$103,MATCH(B730,'Sản phẩm'!$D$4:$D$103,0)),"")</f>
        <v/>
      </c>
      <c r="D730" s="36" t="str">
        <f t="array" ref="D730">IF(B730="","",INDEX('Bán nhanh'!$B$4:$B$103,INT((ROW()-4)/10)+1))</f>
        <v/>
      </c>
      <c r="E730" s="36" t="str">
        <f t="array" ref="E730">IFERROR(INDEX('Mẻ sữa'!$B$4:$B$203,MATCH(D730,'Mẻ sữa'!$C$4:$C$203,0)),"")</f>
        <v/>
      </c>
      <c r="F730" s="82">
        <f t="array" ref="F730">IF(B730="",0,INDEX('Bán nhanh'!$D$4:$M$103,INT((ROW()-4)/10)+1,MOD(ROW()-4,10)+1))</f>
        <v>0</v>
      </c>
      <c r="G730" s="83">
        <f t="array" ref="G730">IFERROR(INDEX('Sản phẩm'!$F$4:$F$103,MATCH(B730,'Sản phẩm'!$D$4:$D$103,0)),0)</f>
        <v>0</v>
      </c>
      <c r="H730" s="83">
        <f t="shared" si="5"/>
        <v>0</v>
      </c>
      <c r="I730" s="83">
        <f t="shared" si="1"/>
        <v>0</v>
      </c>
      <c r="J730" s="83">
        <f t="array" ref="J730">IFERROR(INDEX('Sản phẩm'!$G$4:$G$103,MATCH(B730,'Sản phẩm'!$D$4:$D$103,0)),0)</f>
        <v>0</v>
      </c>
      <c r="K730" s="83">
        <f t="array" ref="K730">IFERROR(J730*INDEX('Mẻ sữa'!$N$4:$N$203,MATCH(D730,'Mẻ sữa'!$C$4:$C$203,0)),0)</f>
        <v>0</v>
      </c>
      <c r="L730" s="83">
        <f t="array" ref="L730">IFERROR(INDEX('Sản phẩm'!$I$4:$I$103,MATCH(B730,'Sản phẩm'!$D$4:$D$103,0)),0)</f>
        <v>0</v>
      </c>
      <c r="M730" s="97" t="str">
        <f t="array" ref="M730">IFERROR(INDEX('Sản phẩm'!$J$4:$J$103,MATCH(B730,'Sản phẩm'!$D$4:$D$103,0)),0)</f>
        <v/>
      </c>
      <c r="N730" s="83">
        <f>IF(B730="",0,(K730+L730+M730)*'Thiết lập'!$B$8)</f>
        <v>0</v>
      </c>
      <c r="O730" s="83">
        <f t="shared" si="2"/>
        <v>0</v>
      </c>
      <c r="P730" s="83">
        <f t="shared" si="3"/>
        <v>0</v>
      </c>
      <c r="Q730" s="83">
        <f t="shared" si="4"/>
        <v>0</v>
      </c>
      <c r="R730" s="36" t="str">
        <f t="array" ref="R730">IF(B730="","",INDEX('Bán nhanh'!$C$4:$C$103,INT((ROW()-4)/10)+1))</f>
        <v/>
      </c>
      <c r="S730" s="36" t="str">
        <f t="array" ref="S730">IF(B730="","",INDEX('Bán nhanh'!$P$4:$P$103,INT((ROW()-4)/10)+1))</f>
        <v/>
      </c>
      <c r="T730" s="36"/>
      <c r="U730" s="36"/>
      <c r="V730" s="36"/>
      <c r="W730" s="36"/>
      <c r="X730" s="36"/>
      <c r="Y730" s="36"/>
      <c r="Z730" s="36"/>
    </row>
    <row r="731" ht="15.75" customHeight="1">
      <c r="A731" s="96" t="str">
        <f t="array" ref="A731">IF(B731="","",INDEX('Bán nhanh'!$A$4:$A$103,INT((ROW()-4)/10)+1))</f>
        <v/>
      </c>
      <c r="B731" s="36" t="str">
        <f t="array" ref="B731">IF(OR(INDEX('Bán nhanh'!$D$3:$M$3,1,MOD(ROW()-4,10)+1)="",INDEX('Bán nhanh'!$D$4:$M$103,INT((ROW()-4)/10)+1,MOD(ROW()-4,10)+1)&lt;=0),"",INDEX('Bán nhanh'!$D$3:$M$3,1,MOD(ROW()-4,10)+1))</f>
        <v/>
      </c>
      <c r="C731" s="36" t="str">
        <f t="array" ref="C731">IFERROR(INDEX('Sản phẩm'!$A$4:$A$103,MATCH(B731,'Sản phẩm'!$D$4:$D$103,0)),"")</f>
        <v/>
      </c>
      <c r="D731" s="36" t="str">
        <f t="array" ref="D731">IF(B731="","",INDEX('Bán nhanh'!$B$4:$B$103,INT((ROW()-4)/10)+1))</f>
        <v/>
      </c>
      <c r="E731" s="36" t="str">
        <f t="array" ref="E731">IFERROR(INDEX('Mẻ sữa'!$B$4:$B$203,MATCH(D731,'Mẻ sữa'!$C$4:$C$203,0)),"")</f>
        <v/>
      </c>
      <c r="F731" s="82">
        <f t="array" ref="F731">IF(B731="",0,INDEX('Bán nhanh'!$D$4:$M$103,INT((ROW()-4)/10)+1,MOD(ROW()-4,10)+1))</f>
        <v>0</v>
      </c>
      <c r="G731" s="83">
        <f t="array" ref="G731">IFERROR(INDEX('Sản phẩm'!$F$4:$F$103,MATCH(B731,'Sản phẩm'!$D$4:$D$103,0)),0)</f>
        <v>0</v>
      </c>
      <c r="H731" s="83">
        <f t="shared" si="5"/>
        <v>0</v>
      </c>
      <c r="I731" s="83">
        <f t="shared" si="1"/>
        <v>0</v>
      </c>
      <c r="J731" s="83">
        <f t="array" ref="J731">IFERROR(INDEX('Sản phẩm'!$G$4:$G$103,MATCH(B731,'Sản phẩm'!$D$4:$D$103,0)),0)</f>
        <v>0</v>
      </c>
      <c r="K731" s="83">
        <f t="array" ref="K731">IFERROR(J731*INDEX('Mẻ sữa'!$N$4:$N$203,MATCH(D731,'Mẻ sữa'!$C$4:$C$203,0)),0)</f>
        <v>0</v>
      </c>
      <c r="L731" s="83">
        <f t="array" ref="L731">IFERROR(INDEX('Sản phẩm'!$I$4:$I$103,MATCH(B731,'Sản phẩm'!$D$4:$D$103,0)),0)</f>
        <v>0</v>
      </c>
      <c r="M731" s="97" t="str">
        <f t="array" ref="M731">IFERROR(INDEX('Sản phẩm'!$J$4:$J$103,MATCH(B731,'Sản phẩm'!$D$4:$D$103,0)),0)</f>
        <v/>
      </c>
      <c r="N731" s="83">
        <f>IF(B731="",0,(K731+L731+M731)*'Thiết lập'!$B$8)</f>
        <v>0</v>
      </c>
      <c r="O731" s="83">
        <f t="shared" si="2"/>
        <v>0</v>
      </c>
      <c r="P731" s="83">
        <f t="shared" si="3"/>
        <v>0</v>
      </c>
      <c r="Q731" s="83">
        <f t="shared" si="4"/>
        <v>0</v>
      </c>
      <c r="R731" s="36" t="str">
        <f t="array" ref="R731">IF(B731="","",INDEX('Bán nhanh'!$C$4:$C$103,INT((ROW()-4)/10)+1))</f>
        <v/>
      </c>
      <c r="S731" s="36" t="str">
        <f t="array" ref="S731">IF(B731="","",INDEX('Bán nhanh'!$P$4:$P$103,INT((ROW()-4)/10)+1))</f>
        <v/>
      </c>
      <c r="T731" s="36"/>
      <c r="U731" s="36"/>
      <c r="V731" s="36"/>
      <c r="W731" s="36"/>
      <c r="X731" s="36"/>
      <c r="Y731" s="36"/>
      <c r="Z731" s="36"/>
    </row>
    <row r="732" ht="15.75" customHeight="1">
      <c r="A732" s="96" t="str">
        <f t="array" ref="A732">IF(B732="","",INDEX('Bán nhanh'!$A$4:$A$103,INT((ROW()-4)/10)+1))</f>
        <v/>
      </c>
      <c r="B732" s="36" t="str">
        <f t="array" ref="B732">IF(OR(INDEX('Bán nhanh'!$D$3:$M$3,1,MOD(ROW()-4,10)+1)="",INDEX('Bán nhanh'!$D$4:$M$103,INT((ROW()-4)/10)+1,MOD(ROW()-4,10)+1)&lt;=0),"",INDEX('Bán nhanh'!$D$3:$M$3,1,MOD(ROW()-4,10)+1))</f>
        <v/>
      </c>
      <c r="C732" s="36" t="str">
        <f t="array" ref="C732">IFERROR(INDEX('Sản phẩm'!$A$4:$A$103,MATCH(B732,'Sản phẩm'!$D$4:$D$103,0)),"")</f>
        <v/>
      </c>
      <c r="D732" s="36" t="str">
        <f t="array" ref="D732">IF(B732="","",INDEX('Bán nhanh'!$B$4:$B$103,INT((ROW()-4)/10)+1))</f>
        <v/>
      </c>
      <c r="E732" s="36" t="str">
        <f t="array" ref="E732">IFERROR(INDEX('Mẻ sữa'!$B$4:$B$203,MATCH(D732,'Mẻ sữa'!$C$4:$C$203,0)),"")</f>
        <v/>
      </c>
      <c r="F732" s="82">
        <f t="array" ref="F732">IF(B732="",0,INDEX('Bán nhanh'!$D$4:$M$103,INT((ROW()-4)/10)+1,MOD(ROW()-4,10)+1))</f>
        <v>0</v>
      </c>
      <c r="G732" s="83">
        <f t="array" ref="G732">IFERROR(INDEX('Sản phẩm'!$F$4:$F$103,MATCH(B732,'Sản phẩm'!$D$4:$D$103,0)),0)</f>
        <v>0</v>
      </c>
      <c r="H732" s="83">
        <f t="shared" si="5"/>
        <v>0</v>
      </c>
      <c r="I732" s="83">
        <f t="shared" si="1"/>
        <v>0</v>
      </c>
      <c r="J732" s="83">
        <f t="array" ref="J732">IFERROR(INDEX('Sản phẩm'!$G$4:$G$103,MATCH(B732,'Sản phẩm'!$D$4:$D$103,0)),0)</f>
        <v>0</v>
      </c>
      <c r="K732" s="83">
        <f t="array" ref="K732">IFERROR(J732*INDEX('Mẻ sữa'!$N$4:$N$203,MATCH(D732,'Mẻ sữa'!$C$4:$C$203,0)),0)</f>
        <v>0</v>
      </c>
      <c r="L732" s="83">
        <f t="array" ref="L732">IFERROR(INDEX('Sản phẩm'!$I$4:$I$103,MATCH(B732,'Sản phẩm'!$D$4:$D$103,0)),0)</f>
        <v>0</v>
      </c>
      <c r="M732" s="97" t="str">
        <f t="array" ref="M732">IFERROR(INDEX('Sản phẩm'!$J$4:$J$103,MATCH(B732,'Sản phẩm'!$D$4:$D$103,0)),0)</f>
        <v/>
      </c>
      <c r="N732" s="83">
        <f>IF(B732="",0,(K732+L732+M732)*'Thiết lập'!$B$8)</f>
        <v>0</v>
      </c>
      <c r="O732" s="83">
        <f t="shared" si="2"/>
        <v>0</v>
      </c>
      <c r="P732" s="83">
        <f t="shared" si="3"/>
        <v>0</v>
      </c>
      <c r="Q732" s="83">
        <f t="shared" si="4"/>
        <v>0</v>
      </c>
      <c r="R732" s="36" t="str">
        <f t="array" ref="R732">IF(B732="","",INDEX('Bán nhanh'!$C$4:$C$103,INT((ROW()-4)/10)+1))</f>
        <v/>
      </c>
      <c r="S732" s="36" t="str">
        <f t="array" ref="S732">IF(B732="","",INDEX('Bán nhanh'!$P$4:$P$103,INT((ROW()-4)/10)+1))</f>
        <v/>
      </c>
      <c r="T732" s="36"/>
      <c r="U732" s="36"/>
      <c r="V732" s="36"/>
      <c r="W732" s="36"/>
      <c r="X732" s="36"/>
      <c r="Y732" s="36"/>
      <c r="Z732" s="36"/>
    </row>
    <row r="733" ht="15.75" customHeight="1">
      <c r="A733" s="96" t="str">
        <f t="array" ref="A733">IF(B733="","",INDEX('Bán nhanh'!$A$4:$A$103,INT((ROW()-4)/10)+1))</f>
        <v/>
      </c>
      <c r="B733" s="36" t="str">
        <f t="array" ref="B733">IF(OR(INDEX('Bán nhanh'!$D$3:$M$3,1,MOD(ROW()-4,10)+1)="",INDEX('Bán nhanh'!$D$4:$M$103,INT((ROW()-4)/10)+1,MOD(ROW()-4,10)+1)&lt;=0),"",INDEX('Bán nhanh'!$D$3:$M$3,1,MOD(ROW()-4,10)+1))</f>
        <v/>
      </c>
      <c r="C733" s="36" t="str">
        <f t="array" ref="C733">IFERROR(INDEX('Sản phẩm'!$A$4:$A$103,MATCH(B733,'Sản phẩm'!$D$4:$D$103,0)),"")</f>
        <v/>
      </c>
      <c r="D733" s="36" t="str">
        <f t="array" ref="D733">IF(B733="","",INDEX('Bán nhanh'!$B$4:$B$103,INT((ROW()-4)/10)+1))</f>
        <v/>
      </c>
      <c r="E733" s="36" t="str">
        <f t="array" ref="E733">IFERROR(INDEX('Mẻ sữa'!$B$4:$B$203,MATCH(D733,'Mẻ sữa'!$C$4:$C$203,0)),"")</f>
        <v/>
      </c>
      <c r="F733" s="82">
        <f t="array" ref="F733">IF(B733="",0,INDEX('Bán nhanh'!$D$4:$M$103,INT((ROW()-4)/10)+1,MOD(ROW()-4,10)+1))</f>
        <v>0</v>
      </c>
      <c r="G733" s="83">
        <f t="array" ref="G733">IFERROR(INDEX('Sản phẩm'!$F$4:$F$103,MATCH(B733,'Sản phẩm'!$D$4:$D$103,0)),0)</f>
        <v>0</v>
      </c>
      <c r="H733" s="83">
        <f t="shared" si="5"/>
        <v>0</v>
      </c>
      <c r="I733" s="83">
        <f t="shared" si="1"/>
        <v>0</v>
      </c>
      <c r="J733" s="83">
        <f t="array" ref="J733">IFERROR(INDEX('Sản phẩm'!$G$4:$G$103,MATCH(B733,'Sản phẩm'!$D$4:$D$103,0)),0)</f>
        <v>0</v>
      </c>
      <c r="K733" s="83">
        <f t="array" ref="K733">IFERROR(J733*INDEX('Mẻ sữa'!$N$4:$N$203,MATCH(D733,'Mẻ sữa'!$C$4:$C$203,0)),0)</f>
        <v>0</v>
      </c>
      <c r="L733" s="83">
        <f t="array" ref="L733">IFERROR(INDEX('Sản phẩm'!$I$4:$I$103,MATCH(B733,'Sản phẩm'!$D$4:$D$103,0)),0)</f>
        <v>0</v>
      </c>
      <c r="M733" s="97" t="str">
        <f t="array" ref="M733">IFERROR(INDEX('Sản phẩm'!$J$4:$J$103,MATCH(B733,'Sản phẩm'!$D$4:$D$103,0)),0)</f>
        <v/>
      </c>
      <c r="N733" s="83">
        <f>IF(B733="",0,(K733+L733+M733)*'Thiết lập'!$B$8)</f>
        <v>0</v>
      </c>
      <c r="O733" s="83">
        <f t="shared" si="2"/>
        <v>0</v>
      </c>
      <c r="P733" s="83">
        <f t="shared" si="3"/>
        <v>0</v>
      </c>
      <c r="Q733" s="83">
        <f t="shared" si="4"/>
        <v>0</v>
      </c>
      <c r="R733" s="36" t="str">
        <f t="array" ref="R733">IF(B733="","",INDEX('Bán nhanh'!$C$4:$C$103,INT((ROW()-4)/10)+1))</f>
        <v/>
      </c>
      <c r="S733" s="36" t="str">
        <f t="array" ref="S733">IF(B733="","",INDEX('Bán nhanh'!$P$4:$P$103,INT((ROW()-4)/10)+1))</f>
        <v/>
      </c>
      <c r="T733" s="36"/>
      <c r="U733" s="36"/>
      <c r="V733" s="36"/>
      <c r="W733" s="36"/>
      <c r="X733" s="36"/>
      <c r="Y733" s="36"/>
      <c r="Z733" s="36"/>
    </row>
    <row r="734" ht="15.75" customHeight="1">
      <c r="A734" s="96" t="str">
        <f t="array" ref="A734">IF(B734="","",INDEX('Bán nhanh'!$A$4:$A$103,INT((ROW()-4)/10)+1))</f>
        <v/>
      </c>
      <c r="B734" s="36" t="str">
        <f t="array" ref="B734">IF(OR(INDEX('Bán nhanh'!$D$3:$M$3,1,MOD(ROW()-4,10)+1)="",INDEX('Bán nhanh'!$D$4:$M$103,INT((ROW()-4)/10)+1,MOD(ROW()-4,10)+1)&lt;=0),"",INDEX('Bán nhanh'!$D$3:$M$3,1,MOD(ROW()-4,10)+1))</f>
        <v/>
      </c>
      <c r="C734" s="36" t="str">
        <f t="array" ref="C734">IFERROR(INDEX('Sản phẩm'!$A$4:$A$103,MATCH(B734,'Sản phẩm'!$D$4:$D$103,0)),"")</f>
        <v/>
      </c>
      <c r="D734" s="36" t="str">
        <f t="array" ref="D734">IF(B734="","",INDEX('Bán nhanh'!$B$4:$B$103,INT((ROW()-4)/10)+1))</f>
        <v/>
      </c>
      <c r="E734" s="36" t="str">
        <f t="array" ref="E734">IFERROR(INDEX('Mẻ sữa'!$B$4:$B$203,MATCH(D734,'Mẻ sữa'!$C$4:$C$203,0)),"")</f>
        <v/>
      </c>
      <c r="F734" s="82">
        <f t="array" ref="F734">IF(B734="",0,INDEX('Bán nhanh'!$D$4:$M$103,INT((ROW()-4)/10)+1,MOD(ROW()-4,10)+1))</f>
        <v>0</v>
      </c>
      <c r="G734" s="83">
        <f t="array" ref="G734">IFERROR(INDEX('Sản phẩm'!$F$4:$F$103,MATCH(B734,'Sản phẩm'!$D$4:$D$103,0)),0)</f>
        <v>0</v>
      </c>
      <c r="H734" s="83">
        <f t="shared" si="5"/>
        <v>0</v>
      </c>
      <c r="I734" s="83">
        <f t="shared" si="1"/>
        <v>0</v>
      </c>
      <c r="J734" s="83">
        <f t="array" ref="J734">IFERROR(INDEX('Sản phẩm'!$G$4:$G$103,MATCH(B734,'Sản phẩm'!$D$4:$D$103,0)),0)</f>
        <v>0</v>
      </c>
      <c r="K734" s="83">
        <f t="array" ref="K734">IFERROR(J734*INDEX('Mẻ sữa'!$N$4:$N$203,MATCH(D734,'Mẻ sữa'!$C$4:$C$203,0)),0)</f>
        <v>0</v>
      </c>
      <c r="L734" s="83">
        <f t="array" ref="L734">IFERROR(INDEX('Sản phẩm'!$I$4:$I$103,MATCH(B734,'Sản phẩm'!$D$4:$D$103,0)),0)</f>
        <v>0</v>
      </c>
      <c r="M734" s="97" t="str">
        <f t="array" ref="M734">IFERROR(INDEX('Sản phẩm'!$J$4:$J$103,MATCH(B734,'Sản phẩm'!$D$4:$D$103,0)),0)</f>
        <v/>
      </c>
      <c r="N734" s="83">
        <f>IF(B734="",0,(K734+L734+M734)*'Thiết lập'!$B$8)</f>
        <v>0</v>
      </c>
      <c r="O734" s="83">
        <f t="shared" si="2"/>
        <v>0</v>
      </c>
      <c r="P734" s="83">
        <f t="shared" si="3"/>
        <v>0</v>
      </c>
      <c r="Q734" s="83">
        <f t="shared" si="4"/>
        <v>0</v>
      </c>
      <c r="R734" s="36" t="str">
        <f t="array" ref="R734">IF(B734="","",INDEX('Bán nhanh'!$C$4:$C$103,INT((ROW()-4)/10)+1))</f>
        <v/>
      </c>
      <c r="S734" s="36" t="str">
        <f t="array" ref="S734">IF(B734="","",INDEX('Bán nhanh'!$P$4:$P$103,INT((ROW()-4)/10)+1))</f>
        <v/>
      </c>
      <c r="T734" s="36"/>
      <c r="U734" s="36"/>
      <c r="V734" s="36"/>
      <c r="W734" s="36"/>
      <c r="X734" s="36"/>
      <c r="Y734" s="36"/>
      <c r="Z734" s="36"/>
    </row>
    <row r="735" ht="15.75" customHeight="1">
      <c r="A735" s="96" t="str">
        <f t="array" ref="A735">IF(B735="","",INDEX('Bán nhanh'!$A$4:$A$103,INT((ROW()-4)/10)+1))</f>
        <v/>
      </c>
      <c r="B735" s="36" t="str">
        <f t="array" ref="B735">IF(OR(INDEX('Bán nhanh'!$D$3:$M$3,1,MOD(ROW()-4,10)+1)="",INDEX('Bán nhanh'!$D$4:$M$103,INT((ROW()-4)/10)+1,MOD(ROW()-4,10)+1)&lt;=0),"",INDEX('Bán nhanh'!$D$3:$M$3,1,MOD(ROW()-4,10)+1))</f>
        <v/>
      </c>
      <c r="C735" s="36" t="str">
        <f t="array" ref="C735">IFERROR(INDEX('Sản phẩm'!$A$4:$A$103,MATCH(B735,'Sản phẩm'!$D$4:$D$103,0)),"")</f>
        <v/>
      </c>
      <c r="D735" s="36" t="str">
        <f t="array" ref="D735">IF(B735="","",INDEX('Bán nhanh'!$B$4:$B$103,INT((ROW()-4)/10)+1))</f>
        <v/>
      </c>
      <c r="E735" s="36" t="str">
        <f t="array" ref="E735">IFERROR(INDEX('Mẻ sữa'!$B$4:$B$203,MATCH(D735,'Mẻ sữa'!$C$4:$C$203,0)),"")</f>
        <v/>
      </c>
      <c r="F735" s="82">
        <f t="array" ref="F735">IF(B735="",0,INDEX('Bán nhanh'!$D$4:$M$103,INT((ROW()-4)/10)+1,MOD(ROW()-4,10)+1))</f>
        <v>0</v>
      </c>
      <c r="G735" s="83">
        <f t="array" ref="G735">IFERROR(INDEX('Sản phẩm'!$F$4:$F$103,MATCH(B735,'Sản phẩm'!$D$4:$D$103,0)),0)</f>
        <v>0</v>
      </c>
      <c r="H735" s="83">
        <f t="shared" si="5"/>
        <v>0</v>
      </c>
      <c r="I735" s="83">
        <f t="shared" si="1"/>
        <v>0</v>
      </c>
      <c r="J735" s="83">
        <f t="array" ref="J735">IFERROR(INDEX('Sản phẩm'!$G$4:$G$103,MATCH(B735,'Sản phẩm'!$D$4:$D$103,0)),0)</f>
        <v>0</v>
      </c>
      <c r="K735" s="83">
        <f t="array" ref="K735">IFERROR(J735*INDEX('Mẻ sữa'!$N$4:$N$203,MATCH(D735,'Mẻ sữa'!$C$4:$C$203,0)),0)</f>
        <v>0</v>
      </c>
      <c r="L735" s="83">
        <f t="array" ref="L735">IFERROR(INDEX('Sản phẩm'!$I$4:$I$103,MATCH(B735,'Sản phẩm'!$D$4:$D$103,0)),0)</f>
        <v>0</v>
      </c>
      <c r="M735" s="97" t="str">
        <f t="array" ref="M735">IFERROR(INDEX('Sản phẩm'!$J$4:$J$103,MATCH(B735,'Sản phẩm'!$D$4:$D$103,0)),0)</f>
        <v/>
      </c>
      <c r="N735" s="83">
        <f>IF(B735="",0,(K735+L735+M735)*'Thiết lập'!$B$8)</f>
        <v>0</v>
      </c>
      <c r="O735" s="83">
        <f t="shared" si="2"/>
        <v>0</v>
      </c>
      <c r="P735" s="83">
        <f t="shared" si="3"/>
        <v>0</v>
      </c>
      <c r="Q735" s="83">
        <f t="shared" si="4"/>
        <v>0</v>
      </c>
      <c r="R735" s="36" t="str">
        <f t="array" ref="R735">IF(B735="","",INDEX('Bán nhanh'!$C$4:$C$103,INT((ROW()-4)/10)+1))</f>
        <v/>
      </c>
      <c r="S735" s="36" t="str">
        <f t="array" ref="S735">IF(B735="","",INDEX('Bán nhanh'!$P$4:$P$103,INT((ROW()-4)/10)+1))</f>
        <v/>
      </c>
      <c r="T735" s="36"/>
      <c r="U735" s="36"/>
      <c r="V735" s="36"/>
      <c r="W735" s="36"/>
      <c r="X735" s="36"/>
      <c r="Y735" s="36"/>
      <c r="Z735" s="36"/>
    </row>
    <row r="736" ht="15.75" customHeight="1">
      <c r="A736" s="96" t="str">
        <f t="array" ref="A736">IF(B736="","",INDEX('Bán nhanh'!$A$4:$A$103,INT((ROW()-4)/10)+1))</f>
        <v/>
      </c>
      <c r="B736" s="36" t="str">
        <f t="array" ref="B736">IF(OR(INDEX('Bán nhanh'!$D$3:$M$3,1,MOD(ROW()-4,10)+1)="",INDEX('Bán nhanh'!$D$4:$M$103,INT((ROW()-4)/10)+1,MOD(ROW()-4,10)+1)&lt;=0),"",INDEX('Bán nhanh'!$D$3:$M$3,1,MOD(ROW()-4,10)+1))</f>
        <v/>
      </c>
      <c r="C736" s="36" t="str">
        <f t="array" ref="C736">IFERROR(INDEX('Sản phẩm'!$A$4:$A$103,MATCH(B736,'Sản phẩm'!$D$4:$D$103,0)),"")</f>
        <v/>
      </c>
      <c r="D736" s="36" t="str">
        <f t="array" ref="D736">IF(B736="","",INDEX('Bán nhanh'!$B$4:$B$103,INT((ROW()-4)/10)+1))</f>
        <v/>
      </c>
      <c r="E736" s="36" t="str">
        <f t="array" ref="E736">IFERROR(INDEX('Mẻ sữa'!$B$4:$B$203,MATCH(D736,'Mẻ sữa'!$C$4:$C$203,0)),"")</f>
        <v/>
      </c>
      <c r="F736" s="82">
        <f t="array" ref="F736">IF(B736="",0,INDEX('Bán nhanh'!$D$4:$M$103,INT((ROW()-4)/10)+1,MOD(ROW()-4,10)+1))</f>
        <v>0</v>
      </c>
      <c r="G736" s="83">
        <f t="array" ref="G736">IFERROR(INDEX('Sản phẩm'!$F$4:$F$103,MATCH(B736,'Sản phẩm'!$D$4:$D$103,0)),0)</f>
        <v>0</v>
      </c>
      <c r="H736" s="83">
        <f t="shared" si="5"/>
        <v>0</v>
      </c>
      <c r="I736" s="83">
        <f t="shared" si="1"/>
        <v>0</v>
      </c>
      <c r="J736" s="83">
        <f t="array" ref="J736">IFERROR(INDEX('Sản phẩm'!$G$4:$G$103,MATCH(B736,'Sản phẩm'!$D$4:$D$103,0)),0)</f>
        <v>0</v>
      </c>
      <c r="K736" s="83">
        <f t="array" ref="K736">IFERROR(J736*INDEX('Mẻ sữa'!$N$4:$N$203,MATCH(D736,'Mẻ sữa'!$C$4:$C$203,0)),0)</f>
        <v>0</v>
      </c>
      <c r="L736" s="83">
        <f t="array" ref="L736">IFERROR(INDEX('Sản phẩm'!$I$4:$I$103,MATCH(B736,'Sản phẩm'!$D$4:$D$103,0)),0)</f>
        <v>0</v>
      </c>
      <c r="M736" s="97" t="str">
        <f t="array" ref="M736">IFERROR(INDEX('Sản phẩm'!$J$4:$J$103,MATCH(B736,'Sản phẩm'!$D$4:$D$103,0)),0)</f>
        <v/>
      </c>
      <c r="N736" s="83">
        <f>IF(B736="",0,(K736+L736+M736)*'Thiết lập'!$B$8)</f>
        <v>0</v>
      </c>
      <c r="O736" s="83">
        <f t="shared" si="2"/>
        <v>0</v>
      </c>
      <c r="P736" s="83">
        <f t="shared" si="3"/>
        <v>0</v>
      </c>
      <c r="Q736" s="83">
        <f t="shared" si="4"/>
        <v>0</v>
      </c>
      <c r="R736" s="36" t="str">
        <f t="array" ref="R736">IF(B736="","",INDEX('Bán nhanh'!$C$4:$C$103,INT((ROW()-4)/10)+1))</f>
        <v/>
      </c>
      <c r="S736" s="36" t="str">
        <f t="array" ref="S736">IF(B736="","",INDEX('Bán nhanh'!$P$4:$P$103,INT((ROW()-4)/10)+1))</f>
        <v/>
      </c>
      <c r="T736" s="36"/>
      <c r="U736" s="36"/>
      <c r="V736" s="36"/>
      <c r="W736" s="36"/>
      <c r="X736" s="36"/>
      <c r="Y736" s="36"/>
      <c r="Z736" s="36"/>
    </row>
    <row r="737" ht="15.75" customHeight="1">
      <c r="A737" s="96" t="str">
        <f t="array" ref="A737">IF(B737="","",INDEX('Bán nhanh'!$A$4:$A$103,INT((ROW()-4)/10)+1))</f>
        <v/>
      </c>
      <c r="B737" s="36" t="str">
        <f t="array" ref="B737">IF(OR(INDEX('Bán nhanh'!$D$3:$M$3,1,MOD(ROW()-4,10)+1)="",INDEX('Bán nhanh'!$D$4:$M$103,INT((ROW()-4)/10)+1,MOD(ROW()-4,10)+1)&lt;=0),"",INDEX('Bán nhanh'!$D$3:$M$3,1,MOD(ROW()-4,10)+1))</f>
        <v/>
      </c>
      <c r="C737" s="36" t="str">
        <f t="array" ref="C737">IFERROR(INDEX('Sản phẩm'!$A$4:$A$103,MATCH(B737,'Sản phẩm'!$D$4:$D$103,0)),"")</f>
        <v/>
      </c>
      <c r="D737" s="36" t="str">
        <f t="array" ref="D737">IF(B737="","",INDEX('Bán nhanh'!$B$4:$B$103,INT((ROW()-4)/10)+1))</f>
        <v/>
      </c>
      <c r="E737" s="36" t="str">
        <f t="array" ref="E737">IFERROR(INDEX('Mẻ sữa'!$B$4:$B$203,MATCH(D737,'Mẻ sữa'!$C$4:$C$203,0)),"")</f>
        <v/>
      </c>
      <c r="F737" s="82">
        <f t="array" ref="F737">IF(B737="",0,INDEX('Bán nhanh'!$D$4:$M$103,INT((ROW()-4)/10)+1,MOD(ROW()-4,10)+1))</f>
        <v>0</v>
      </c>
      <c r="G737" s="83">
        <f t="array" ref="G737">IFERROR(INDEX('Sản phẩm'!$F$4:$F$103,MATCH(B737,'Sản phẩm'!$D$4:$D$103,0)),0)</f>
        <v>0</v>
      </c>
      <c r="H737" s="83">
        <f t="shared" si="5"/>
        <v>0</v>
      </c>
      <c r="I737" s="83">
        <f t="shared" si="1"/>
        <v>0</v>
      </c>
      <c r="J737" s="83">
        <f t="array" ref="J737">IFERROR(INDEX('Sản phẩm'!$G$4:$G$103,MATCH(B737,'Sản phẩm'!$D$4:$D$103,0)),0)</f>
        <v>0</v>
      </c>
      <c r="K737" s="83">
        <f t="array" ref="K737">IFERROR(J737*INDEX('Mẻ sữa'!$N$4:$N$203,MATCH(D737,'Mẻ sữa'!$C$4:$C$203,0)),0)</f>
        <v>0</v>
      </c>
      <c r="L737" s="83">
        <f t="array" ref="L737">IFERROR(INDEX('Sản phẩm'!$I$4:$I$103,MATCH(B737,'Sản phẩm'!$D$4:$D$103,0)),0)</f>
        <v>0</v>
      </c>
      <c r="M737" s="97" t="str">
        <f t="array" ref="M737">IFERROR(INDEX('Sản phẩm'!$J$4:$J$103,MATCH(B737,'Sản phẩm'!$D$4:$D$103,0)),0)</f>
        <v/>
      </c>
      <c r="N737" s="83">
        <f>IF(B737="",0,(K737+L737+M737)*'Thiết lập'!$B$8)</f>
        <v>0</v>
      </c>
      <c r="O737" s="83">
        <f t="shared" si="2"/>
        <v>0</v>
      </c>
      <c r="P737" s="83">
        <f t="shared" si="3"/>
        <v>0</v>
      </c>
      <c r="Q737" s="83">
        <f t="shared" si="4"/>
        <v>0</v>
      </c>
      <c r="R737" s="36" t="str">
        <f t="array" ref="R737">IF(B737="","",INDEX('Bán nhanh'!$C$4:$C$103,INT((ROW()-4)/10)+1))</f>
        <v/>
      </c>
      <c r="S737" s="36" t="str">
        <f t="array" ref="S737">IF(B737="","",INDEX('Bán nhanh'!$P$4:$P$103,INT((ROW()-4)/10)+1))</f>
        <v/>
      </c>
      <c r="T737" s="36"/>
      <c r="U737" s="36"/>
      <c r="V737" s="36"/>
      <c r="W737" s="36"/>
      <c r="X737" s="36"/>
      <c r="Y737" s="36"/>
      <c r="Z737" s="36"/>
    </row>
    <row r="738" ht="15.75" customHeight="1">
      <c r="A738" s="96" t="str">
        <f t="array" ref="A738">IF(B738="","",INDEX('Bán nhanh'!$A$4:$A$103,INT((ROW()-4)/10)+1))</f>
        <v/>
      </c>
      <c r="B738" s="36" t="str">
        <f t="array" ref="B738">IF(OR(INDEX('Bán nhanh'!$D$3:$M$3,1,MOD(ROW()-4,10)+1)="",INDEX('Bán nhanh'!$D$4:$M$103,INT((ROW()-4)/10)+1,MOD(ROW()-4,10)+1)&lt;=0),"",INDEX('Bán nhanh'!$D$3:$M$3,1,MOD(ROW()-4,10)+1))</f>
        <v/>
      </c>
      <c r="C738" s="36" t="str">
        <f t="array" ref="C738">IFERROR(INDEX('Sản phẩm'!$A$4:$A$103,MATCH(B738,'Sản phẩm'!$D$4:$D$103,0)),"")</f>
        <v/>
      </c>
      <c r="D738" s="36" t="str">
        <f t="array" ref="D738">IF(B738="","",INDEX('Bán nhanh'!$B$4:$B$103,INT((ROW()-4)/10)+1))</f>
        <v/>
      </c>
      <c r="E738" s="36" t="str">
        <f t="array" ref="E738">IFERROR(INDEX('Mẻ sữa'!$B$4:$B$203,MATCH(D738,'Mẻ sữa'!$C$4:$C$203,0)),"")</f>
        <v/>
      </c>
      <c r="F738" s="82">
        <f t="array" ref="F738">IF(B738="",0,INDEX('Bán nhanh'!$D$4:$M$103,INT((ROW()-4)/10)+1,MOD(ROW()-4,10)+1))</f>
        <v>0</v>
      </c>
      <c r="G738" s="83">
        <f t="array" ref="G738">IFERROR(INDEX('Sản phẩm'!$F$4:$F$103,MATCH(B738,'Sản phẩm'!$D$4:$D$103,0)),0)</f>
        <v>0</v>
      </c>
      <c r="H738" s="83">
        <f t="shared" si="5"/>
        <v>0</v>
      </c>
      <c r="I738" s="83">
        <f t="shared" si="1"/>
        <v>0</v>
      </c>
      <c r="J738" s="83">
        <f t="array" ref="J738">IFERROR(INDEX('Sản phẩm'!$G$4:$G$103,MATCH(B738,'Sản phẩm'!$D$4:$D$103,0)),0)</f>
        <v>0</v>
      </c>
      <c r="K738" s="83">
        <f t="array" ref="K738">IFERROR(J738*INDEX('Mẻ sữa'!$N$4:$N$203,MATCH(D738,'Mẻ sữa'!$C$4:$C$203,0)),0)</f>
        <v>0</v>
      </c>
      <c r="L738" s="83">
        <f t="array" ref="L738">IFERROR(INDEX('Sản phẩm'!$I$4:$I$103,MATCH(B738,'Sản phẩm'!$D$4:$D$103,0)),0)</f>
        <v>0</v>
      </c>
      <c r="M738" s="97" t="str">
        <f t="array" ref="M738">IFERROR(INDEX('Sản phẩm'!$J$4:$J$103,MATCH(B738,'Sản phẩm'!$D$4:$D$103,0)),0)</f>
        <v/>
      </c>
      <c r="N738" s="83">
        <f>IF(B738="",0,(K738+L738+M738)*'Thiết lập'!$B$8)</f>
        <v>0</v>
      </c>
      <c r="O738" s="83">
        <f t="shared" si="2"/>
        <v>0</v>
      </c>
      <c r="P738" s="83">
        <f t="shared" si="3"/>
        <v>0</v>
      </c>
      <c r="Q738" s="83">
        <f t="shared" si="4"/>
        <v>0</v>
      </c>
      <c r="R738" s="36" t="str">
        <f t="array" ref="R738">IF(B738="","",INDEX('Bán nhanh'!$C$4:$C$103,INT((ROW()-4)/10)+1))</f>
        <v/>
      </c>
      <c r="S738" s="36" t="str">
        <f t="array" ref="S738">IF(B738="","",INDEX('Bán nhanh'!$P$4:$P$103,INT((ROW()-4)/10)+1))</f>
        <v/>
      </c>
      <c r="T738" s="36"/>
      <c r="U738" s="36"/>
      <c r="V738" s="36"/>
      <c r="W738" s="36"/>
      <c r="X738" s="36"/>
      <c r="Y738" s="36"/>
      <c r="Z738" s="36"/>
    </row>
    <row r="739" ht="15.75" customHeight="1">
      <c r="A739" s="96" t="str">
        <f t="array" ref="A739">IF(B739="","",INDEX('Bán nhanh'!$A$4:$A$103,INT((ROW()-4)/10)+1))</f>
        <v/>
      </c>
      <c r="B739" s="36" t="str">
        <f t="array" ref="B739">IF(OR(INDEX('Bán nhanh'!$D$3:$M$3,1,MOD(ROW()-4,10)+1)="",INDEX('Bán nhanh'!$D$4:$M$103,INT((ROW()-4)/10)+1,MOD(ROW()-4,10)+1)&lt;=0),"",INDEX('Bán nhanh'!$D$3:$M$3,1,MOD(ROW()-4,10)+1))</f>
        <v/>
      </c>
      <c r="C739" s="36" t="str">
        <f t="array" ref="C739">IFERROR(INDEX('Sản phẩm'!$A$4:$A$103,MATCH(B739,'Sản phẩm'!$D$4:$D$103,0)),"")</f>
        <v/>
      </c>
      <c r="D739" s="36" t="str">
        <f t="array" ref="D739">IF(B739="","",INDEX('Bán nhanh'!$B$4:$B$103,INT((ROW()-4)/10)+1))</f>
        <v/>
      </c>
      <c r="E739" s="36" t="str">
        <f t="array" ref="E739">IFERROR(INDEX('Mẻ sữa'!$B$4:$B$203,MATCH(D739,'Mẻ sữa'!$C$4:$C$203,0)),"")</f>
        <v/>
      </c>
      <c r="F739" s="82">
        <f t="array" ref="F739">IF(B739="",0,INDEX('Bán nhanh'!$D$4:$M$103,INT((ROW()-4)/10)+1,MOD(ROW()-4,10)+1))</f>
        <v>0</v>
      </c>
      <c r="G739" s="83">
        <f t="array" ref="G739">IFERROR(INDEX('Sản phẩm'!$F$4:$F$103,MATCH(B739,'Sản phẩm'!$D$4:$D$103,0)),0)</f>
        <v>0</v>
      </c>
      <c r="H739" s="83">
        <f t="shared" si="5"/>
        <v>0</v>
      </c>
      <c r="I739" s="83">
        <f t="shared" si="1"/>
        <v>0</v>
      </c>
      <c r="J739" s="83">
        <f t="array" ref="J739">IFERROR(INDEX('Sản phẩm'!$G$4:$G$103,MATCH(B739,'Sản phẩm'!$D$4:$D$103,0)),0)</f>
        <v>0</v>
      </c>
      <c r="K739" s="83">
        <f t="array" ref="K739">IFERROR(J739*INDEX('Mẻ sữa'!$N$4:$N$203,MATCH(D739,'Mẻ sữa'!$C$4:$C$203,0)),0)</f>
        <v>0</v>
      </c>
      <c r="L739" s="83">
        <f t="array" ref="L739">IFERROR(INDEX('Sản phẩm'!$I$4:$I$103,MATCH(B739,'Sản phẩm'!$D$4:$D$103,0)),0)</f>
        <v>0</v>
      </c>
      <c r="M739" s="97" t="str">
        <f t="array" ref="M739">IFERROR(INDEX('Sản phẩm'!$J$4:$J$103,MATCH(B739,'Sản phẩm'!$D$4:$D$103,0)),0)</f>
        <v/>
      </c>
      <c r="N739" s="83">
        <f>IF(B739="",0,(K739+L739+M739)*'Thiết lập'!$B$8)</f>
        <v>0</v>
      </c>
      <c r="O739" s="83">
        <f t="shared" si="2"/>
        <v>0</v>
      </c>
      <c r="P739" s="83">
        <f t="shared" si="3"/>
        <v>0</v>
      </c>
      <c r="Q739" s="83">
        <f t="shared" si="4"/>
        <v>0</v>
      </c>
      <c r="R739" s="36" t="str">
        <f t="array" ref="R739">IF(B739="","",INDEX('Bán nhanh'!$C$4:$C$103,INT((ROW()-4)/10)+1))</f>
        <v/>
      </c>
      <c r="S739" s="36" t="str">
        <f t="array" ref="S739">IF(B739="","",INDEX('Bán nhanh'!$P$4:$P$103,INT((ROW()-4)/10)+1))</f>
        <v/>
      </c>
      <c r="T739" s="36"/>
      <c r="U739" s="36"/>
      <c r="V739" s="36"/>
      <c r="W739" s="36"/>
      <c r="X739" s="36"/>
      <c r="Y739" s="36"/>
      <c r="Z739" s="36"/>
    </row>
    <row r="740" ht="15.75" customHeight="1">
      <c r="A740" s="96" t="str">
        <f t="array" ref="A740">IF(B740="","",INDEX('Bán nhanh'!$A$4:$A$103,INT((ROW()-4)/10)+1))</f>
        <v/>
      </c>
      <c r="B740" s="36" t="str">
        <f t="array" ref="B740">IF(OR(INDEX('Bán nhanh'!$D$3:$M$3,1,MOD(ROW()-4,10)+1)="",INDEX('Bán nhanh'!$D$4:$M$103,INT((ROW()-4)/10)+1,MOD(ROW()-4,10)+1)&lt;=0),"",INDEX('Bán nhanh'!$D$3:$M$3,1,MOD(ROW()-4,10)+1))</f>
        <v/>
      </c>
      <c r="C740" s="36" t="str">
        <f t="array" ref="C740">IFERROR(INDEX('Sản phẩm'!$A$4:$A$103,MATCH(B740,'Sản phẩm'!$D$4:$D$103,0)),"")</f>
        <v/>
      </c>
      <c r="D740" s="36" t="str">
        <f t="array" ref="D740">IF(B740="","",INDEX('Bán nhanh'!$B$4:$B$103,INT((ROW()-4)/10)+1))</f>
        <v/>
      </c>
      <c r="E740" s="36" t="str">
        <f t="array" ref="E740">IFERROR(INDEX('Mẻ sữa'!$B$4:$B$203,MATCH(D740,'Mẻ sữa'!$C$4:$C$203,0)),"")</f>
        <v/>
      </c>
      <c r="F740" s="82">
        <f t="array" ref="F740">IF(B740="",0,INDEX('Bán nhanh'!$D$4:$M$103,INT((ROW()-4)/10)+1,MOD(ROW()-4,10)+1))</f>
        <v>0</v>
      </c>
      <c r="G740" s="83">
        <f t="array" ref="G740">IFERROR(INDEX('Sản phẩm'!$F$4:$F$103,MATCH(B740,'Sản phẩm'!$D$4:$D$103,0)),0)</f>
        <v>0</v>
      </c>
      <c r="H740" s="83">
        <f t="shared" si="5"/>
        <v>0</v>
      </c>
      <c r="I740" s="83">
        <f t="shared" si="1"/>
        <v>0</v>
      </c>
      <c r="J740" s="83">
        <f t="array" ref="J740">IFERROR(INDEX('Sản phẩm'!$G$4:$G$103,MATCH(B740,'Sản phẩm'!$D$4:$D$103,0)),0)</f>
        <v>0</v>
      </c>
      <c r="K740" s="83">
        <f t="array" ref="K740">IFERROR(J740*INDEX('Mẻ sữa'!$N$4:$N$203,MATCH(D740,'Mẻ sữa'!$C$4:$C$203,0)),0)</f>
        <v>0</v>
      </c>
      <c r="L740" s="83">
        <f t="array" ref="L740">IFERROR(INDEX('Sản phẩm'!$I$4:$I$103,MATCH(B740,'Sản phẩm'!$D$4:$D$103,0)),0)</f>
        <v>0</v>
      </c>
      <c r="M740" s="97" t="str">
        <f t="array" ref="M740">IFERROR(INDEX('Sản phẩm'!$J$4:$J$103,MATCH(B740,'Sản phẩm'!$D$4:$D$103,0)),0)</f>
        <v/>
      </c>
      <c r="N740" s="83">
        <f>IF(B740="",0,(K740+L740+M740)*'Thiết lập'!$B$8)</f>
        <v>0</v>
      </c>
      <c r="O740" s="83">
        <f t="shared" si="2"/>
        <v>0</v>
      </c>
      <c r="P740" s="83">
        <f t="shared" si="3"/>
        <v>0</v>
      </c>
      <c r="Q740" s="83">
        <f t="shared" si="4"/>
        <v>0</v>
      </c>
      <c r="R740" s="36" t="str">
        <f t="array" ref="R740">IF(B740="","",INDEX('Bán nhanh'!$C$4:$C$103,INT((ROW()-4)/10)+1))</f>
        <v/>
      </c>
      <c r="S740" s="36" t="str">
        <f t="array" ref="S740">IF(B740="","",INDEX('Bán nhanh'!$P$4:$P$103,INT((ROW()-4)/10)+1))</f>
        <v/>
      </c>
      <c r="T740" s="36"/>
      <c r="U740" s="36"/>
      <c r="V740" s="36"/>
      <c r="W740" s="36"/>
      <c r="X740" s="36"/>
      <c r="Y740" s="36"/>
      <c r="Z740" s="36"/>
    </row>
    <row r="741" ht="15.75" customHeight="1">
      <c r="A741" s="96" t="str">
        <f t="array" ref="A741">IF(B741="","",INDEX('Bán nhanh'!$A$4:$A$103,INT((ROW()-4)/10)+1))</f>
        <v/>
      </c>
      <c r="B741" s="36" t="str">
        <f t="array" ref="B741">IF(OR(INDEX('Bán nhanh'!$D$3:$M$3,1,MOD(ROW()-4,10)+1)="",INDEX('Bán nhanh'!$D$4:$M$103,INT((ROW()-4)/10)+1,MOD(ROW()-4,10)+1)&lt;=0),"",INDEX('Bán nhanh'!$D$3:$M$3,1,MOD(ROW()-4,10)+1))</f>
        <v/>
      </c>
      <c r="C741" s="36" t="str">
        <f t="array" ref="C741">IFERROR(INDEX('Sản phẩm'!$A$4:$A$103,MATCH(B741,'Sản phẩm'!$D$4:$D$103,0)),"")</f>
        <v/>
      </c>
      <c r="D741" s="36" t="str">
        <f t="array" ref="D741">IF(B741="","",INDEX('Bán nhanh'!$B$4:$B$103,INT((ROW()-4)/10)+1))</f>
        <v/>
      </c>
      <c r="E741" s="36" t="str">
        <f t="array" ref="E741">IFERROR(INDEX('Mẻ sữa'!$B$4:$B$203,MATCH(D741,'Mẻ sữa'!$C$4:$C$203,0)),"")</f>
        <v/>
      </c>
      <c r="F741" s="82">
        <f t="array" ref="F741">IF(B741="",0,INDEX('Bán nhanh'!$D$4:$M$103,INT((ROW()-4)/10)+1,MOD(ROW()-4,10)+1))</f>
        <v>0</v>
      </c>
      <c r="G741" s="83">
        <f t="array" ref="G741">IFERROR(INDEX('Sản phẩm'!$F$4:$F$103,MATCH(B741,'Sản phẩm'!$D$4:$D$103,0)),0)</f>
        <v>0</v>
      </c>
      <c r="H741" s="83">
        <f t="shared" si="5"/>
        <v>0</v>
      </c>
      <c r="I741" s="83">
        <f t="shared" si="1"/>
        <v>0</v>
      </c>
      <c r="J741" s="83">
        <f t="array" ref="J741">IFERROR(INDEX('Sản phẩm'!$G$4:$G$103,MATCH(B741,'Sản phẩm'!$D$4:$D$103,0)),0)</f>
        <v>0</v>
      </c>
      <c r="K741" s="83">
        <f t="array" ref="K741">IFERROR(J741*INDEX('Mẻ sữa'!$N$4:$N$203,MATCH(D741,'Mẻ sữa'!$C$4:$C$203,0)),0)</f>
        <v>0</v>
      </c>
      <c r="L741" s="83">
        <f t="array" ref="L741">IFERROR(INDEX('Sản phẩm'!$I$4:$I$103,MATCH(B741,'Sản phẩm'!$D$4:$D$103,0)),0)</f>
        <v>0</v>
      </c>
      <c r="M741" s="97" t="str">
        <f t="array" ref="M741">IFERROR(INDEX('Sản phẩm'!$J$4:$J$103,MATCH(B741,'Sản phẩm'!$D$4:$D$103,0)),0)</f>
        <v/>
      </c>
      <c r="N741" s="83">
        <f>IF(B741="",0,(K741+L741+M741)*'Thiết lập'!$B$8)</f>
        <v>0</v>
      </c>
      <c r="O741" s="83">
        <f t="shared" si="2"/>
        <v>0</v>
      </c>
      <c r="P741" s="83">
        <f t="shared" si="3"/>
        <v>0</v>
      </c>
      <c r="Q741" s="83">
        <f t="shared" si="4"/>
        <v>0</v>
      </c>
      <c r="R741" s="36" t="str">
        <f t="array" ref="R741">IF(B741="","",INDEX('Bán nhanh'!$C$4:$C$103,INT((ROW()-4)/10)+1))</f>
        <v/>
      </c>
      <c r="S741" s="36" t="str">
        <f t="array" ref="S741">IF(B741="","",INDEX('Bán nhanh'!$P$4:$P$103,INT((ROW()-4)/10)+1))</f>
        <v/>
      </c>
      <c r="T741" s="36"/>
      <c r="U741" s="36"/>
      <c r="V741" s="36"/>
      <c r="W741" s="36"/>
      <c r="X741" s="36"/>
      <c r="Y741" s="36"/>
      <c r="Z741" s="36"/>
    </row>
    <row r="742" ht="15.75" customHeight="1">
      <c r="A742" s="96" t="str">
        <f t="array" ref="A742">IF(B742="","",INDEX('Bán nhanh'!$A$4:$A$103,INT((ROW()-4)/10)+1))</f>
        <v/>
      </c>
      <c r="B742" s="36" t="str">
        <f t="array" ref="B742">IF(OR(INDEX('Bán nhanh'!$D$3:$M$3,1,MOD(ROW()-4,10)+1)="",INDEX('Bán nhanh'!$D$4:$M$103,INT((ROW()-4)/10)+1,MOD(ROW()-4,10)+1)&lt;=0),"",INDEX('Bán nhanh'!$D$3:$M$3,1,MOD(ROW()-4,10)+1))</f>
        <v/>
      </c>
      <c r="C742" s="36" t="str">
        <f t="array" ref="C742">IFERROR(INDEX('Sản phẩm'!$A$4:$A$103,MATCH(B742,'Sản phẩm'!$D$4:$D$103,0)),"")</f>
        <v/>
      </c>
      <c r="D742" s="36" t="str">
        <f t="array" ref="D742">IF(B742="","",INDEX('Bán nhanh'!$B$4:$B$103,INT((ROW()-4)/10)+1))</f>
        <v/>
      </c>
      <c r="E742" s="36" t="str">
        <f t="array" ref="E742">IFERROR(INDEX('Mẻ sữa'!$B$4:$B$203,MATCH(D742,'Mẻ sữa'!$C$4:$C$203,0)),"")</f>
        <v/>
      </c>
      <c r="F742" s="82">
        <f t="array" ref="F742">IF(B742="",0,INDEX('Bán nhanh'!$D$4:$M$103,INT((ROW()-4)/10)+1,MOD(ROW()-4,10)+1))</f>
        <v>0</v>
      </c>
      <c r="G742" s="83">
        <f t="array" ref="G742">IFERROR(INDEX('Sản phẩm'!$F$4:$F$103,MATCH(B742,'Sản phẩm'!$D$4:$D$103,0)),0)</f>
        <v>0</v>
      </c>
      <c r="H742" s="83">
        <f t="shared" si="5"/>
        <v>0</v>
      </c>
      <c r="I742" s="83">
        <f t="shared" si="1"/>
        <v>0</v>
      </c>
      <c r="J742" s="83">
        <f t="array" ref="J742">IFERROR(INDEX('Sản phẩm'!$G$4:$G$103,MATCH(B742,'Sản phẩm'!$D$4:$D$103,0)),0)</f>
        <v>0</v>
      </c>
      <c r="K742" s="83">
        <f t="array" ref="K742">IFERROR(J742*INDEX('Mẻ sữa'!$N$4:$N$203,MATCH(D742,'Mẻ sữa'!$C$4:$C$203,0)),0)</f>
        <v>0</v>
      </c>
      <c r="L742" s="83">
        <f t="array" ref="L742">IFERROR(INDEX('Sản phẩm'!$I$4:$I$103,MATCH(B742,'Sản phẩm'!$D$4:$D$103,0)),0)</f>
        <v>0</v>
      </c>
      <c r="M742" s="97" t="str">
        <f t="array" ref="M742">IFERROR(INDEX('Sản phẩm'!$J$4:$J$103,MATCH(B742,'Sản phẩm'!$D$4:$D$103,0)),0)</f>
        <v/>
      </c>
      <c r="N742" s="83">
        <f>IF(B742="",0,(K742+L742+M742)*'Thiết lập'!$B$8)</f>
        <v>0</v>
      </c>
      <c r="O742" s="83">
        <f t="shared" si="2"/>
        <v>0</v>
      </c>
      <c r="P742" s="83">
        <f t="shared" si="3"/>
        <v>0</v>
      </c>
      <c r="Q742" s="83">
        <f t="shared" si="4"/>
        <v>0</v>
      </c>
      <c r="R742" s="36" t="str">
        <f t="array" ref="R742">IF(B742="","",INDEX('Bán nhanh'!$C$4:$C$103,INT((ROW()-4)/10)+1))</f>
        <v/>
      </c>
      <c r="S742" s="36" t="str">
        <f t="array" ref="S742">IF(B742="","",INDEX('Bán nhanh'!$P$4:$P$103,INT((ROW()-4)/10)+1))</f>
        <v/>
      </c>
      <c r="T742" s="36"/>
      <c r="U742" s="36"/>
      <c r="V742" s="36"/>
      <c r="W742" s="36"/>
      <c r="X742" s="36"/>
      <c r="Y742" s="36"/>
      <c r="Z742" s="36"/>
    </row>
    <row r="743" ht="15.75" customHeight="1">
      <c r="A743" s="96" t="str">
        <f t="array" ref="A743">IF(B743="","",INDEX('Bán nhanh'!$A$4:$A$103,INT((ROW()-4)/10)+1))</f>
        <v/>
      </c>
      <c r="B743" s="36" t="str">
        <f t="array" ref="B743">IF(OR(INDEX('Bán nhanh'!$D$3:$M$3,1,MOD(ROW()-4,10)+1)="",INDEX('Bán nhanh'!$D$4:$M$103,INT((ROW()-4)/10)+1,MOD(ROW()-4,10)+1)&lt;=0),"",INDEX('Bán nhanh'!$D$3:$M$3,1,MOD(ROW()-4,10)+1))</f>
        <v/>
      </c>
      <c r="C743" s="36" t="str">
        <f t="array" ref="C743">IFERROR(INDEX('Sản phẩm'!$A$4:$A$103,MATCH(B743,'Sản phẩm'!$D$4:$D$103,0)),"")</f>
        <v/>
      </c>
      <c r="D743" s="36" t="str">
        <f t="array" ref="D743">IF(B743="","",INDEX('Bán nhanh'!$B$4:$B$103,INT((ROW()-4)/10)+1))</f>
        <v/>
      </c>
      <c r="E743" s="36" t="str">
        <f t="array" ref="E743">IFERROR(INDEX('Mẻ sữa'!$B$4:$B$203,MATCH(D743,'Mẻ sữa'!$C$4:$C$203,0)),"")</f>
        <v/>
      </c>
      <c r="F743" s="82">
        <f t="array" ref="F743">IF(B743="",0,INDEX('Bán nhanh'!$D$4:$M$103,INT((ROW()-4)/10)+1,MOD(ROW()-4,10)+1))</f>
        <v>0</v>
      </c>
      <c r="G743" s="83">
        <f t="array" ref="G743">IFERROR(INDEX('Sản phẩm'!$F$4:$F$103,MATCH(B743,'Sản phẩm'!$D$4:$D$103,0)),0)</f>
        <v>0</v>
      </c>
      <c r="H743" s="83">
        <f t="shared" si="5"/>
        <v>0</v>
      </c>
      <c r="I743" s="83">
        <f t="shared" si="1"/>
        <v>0</v>
      </c>
      <c r="J743" s="83">
        <f t="array" ref="J743">IFERROR(INDEX('Sản phẩm'!$G$4:$G$103,MATCH(B743,'Sản phẩm'!$D$4:$D$103,0)),0)</f>
        <v>0</v>
      </c>
      <c r="K743" s="83">
        <f t="array" ref="K743">IFERROR(J743*INDEX('Mẻ sữa'!$N$4:$N$203,MATCH(D743,'Mẻ sữa'!$C$4:$C$203,0)),0)</f>
        <v>0</v>
      </c>
      <c r="L743" s="83">
        <f t="array" ref="L743">IFERROR(INDEX('Sản phẩm'!$I$4:$I$103,MATCH(B743,'Sản phẩm'!$D$4:$D$103,0)),0)</f>
        <v>0</v>
      </c>
      <c r="M743" s="97" t="str">
        <f t="array" ref="M743">IFERROR(INDEX('Sản phẩm'!$J$4:$J$103,MATCH(B743,'Sản phẩm'!$D$4:$D$103,0)),0)</f>
        <v/>
      </c>
      <c r="N743" s="83">
        <f>IF(B743="",0,(K743+L743+M743)*'Thiết lập'!$B$8)</f>
        <v>0</v>
      </c>
      <c r="O743" s="83">
        <f t="shared" si="2"/>
        <v>0</v>
      </c>
      <c r="P743" s="83">
        <f t="shared" si="3"/>
        <v>0</v>
      </c>
      <c r="Q743" s="83">
        <f t="shared" si="4"/>
        <v>0</v>
      </c>
      <c r="R743" s="36" t="str">
        <f t="array" ref="R743">IF(B743="","",INDEX('Bán nhanh'!$C$4:$C$103,INT((ROW()-4)/10)+1))</f>
        <v/>
      </c>
      <c r="S743" s="36" t="str">
        <f t="array" ref="S743">IF(B743="","",INDEX('Bán nhanh'!$P$4:$P$103,INT((ROW()-4)/10)+1))</f>
        <v/>
      </c>
      <c r="T743" s="36"/>
      <c r="U743" s="36"/>
      <c r="V743" s="36"/>
      <c r="W743" s="36"/>
      <c r="X743" s="36"/>
      <c r="Y743" s="36"/>
      <c r="Z743" s="36"/>
    </row>
    <row r="744" ht="15.75" customHeight="1">
      <c r="A744" s="96" t="str">
        <f t="array" ref="A744">IF(B744="","",INDEX('Bán nhanh'!$A$4:$A$103,INT((ROW()-4)/10)+1))</f>
        <v/>
      </c>
      <c r="B744" s="36" t="str">
        <f t="array" ref="B744">IF(OR(INDEX('Bán nhanh'!$D$3:$M$3,1,MOD(ROW()-4,10)+1)="",INDEX('Bán nhanh'!$D$4:$M$103,INT((ROW()-4)/10)+1,MOD(ROW()-4,10)+1)&lt;=0),"",INDEX('Bán nhanh'!$D$3:$M$3,1,MOD(ROW()-4,10)+1))</f>
        <v/>
      </c>
      <c r="C744" s="36" t="str">
        <f t="array" ref="C744">IFERROR(INDEX('Sản phẩm'!$A$4:$A$103,MATCH(B744,'Sản phẩm'!$D$4:$D$103,0)),"")</f>
        <v/>
      </c>
      <c r="D744" s="36" t="str">
        <f t="array" ref="D744">IF(B744="","",INDEX('Bán nhanh'!$B$4:$B$103,INT((ROW()-4)/10)+1))</f>
        <v/>
      </c>
      <c r="E744" s="36" t="str">
        <f t="array" ref="E744">IFERROR(INDEX('Mẻ sữa'!$B$4:$B$203,MATCH(D744,'Mẻ sữa'!$C$4:$C$203,0)),"")</f>
        <v/>
      </c>
      <c r="F744" s="82">
        <f t="array" ref="F744">IF(B744="",0,INDEX('Bán nhanh'!$D$4:$M$103,INT((ROW()-4)/10)+1,MOD(ROW()-4,10)+1))</f>
        <v>0</v>
      </c>
      <c r="G744" s="83">
        <f t="array" ref="G744">IFERROR(INDEX('Sản phẩm'!$F$4:$F$103,MATCH(B744,'Sản phẩm'!$D$4:$D$103,0)),0)</f>
        <v>0</v>
      </c>
      <c r="H744" s="83">
        <f t="shared" si="5"/>
        <v>0</v>
      </c>
      <c r="I744" s="83">
        <f t="shared" si="1"/>
        <v>0</v>
      </c>
      <c r="J744" s="83">
        <f t="array" ref="J744">IFERROR(INDEX('Sản phẩm'!$G$4:$G$103,MATCH(B744,'Sản phẩm'!$D$4:$D$103,0)),0)</f>
        <v>0</v>
      </c>
      <c r="K744" s="83">
        <f t="array" ref="K744">IFERROR(J744*INDEX('Mẻ sữa'!$N$4:$N$203,MATCH(D744,'Mẻ sữa'!$C$4:$C$203,0)),0)</f>
        <v>0</v>
      </c>
      <c r="L744" s="83">
        <f t="array" ref="L744">IFERROR(INDEX('Sản phẩm'!$I$4:$I$103,MATCH(B744,'Sản phẩm'!$D$4:$D$103,0)),0)</f>
        <v>0</v>
      </c>
      <c r="M744" s="97" t="str">
        <f t="array" ref="M744">IFERROR(INDEX('Sản phẩm'!$J$4:$J$103,MATCH(B744,'Sản phẩm'!$D$4:$D$103,0)),0)</f>
        <v/>
      </c>
      <c r="N744" s="83">
        <f>IF(B744="",0,(K744+L744+M744)*'Thiết lập'!$B$8)</f>
        <v>0</v>
      </c>
      <c r="O744" s="83">
        <f t="shared" si="2"/>
        <v>0</v>
      </c>
      <c r="P744" s="83">
        <f t="shared" si="3"/>
        <v>0</v>
      </c>
      <c r="Q744" s="83">
        <f t="shared" si="4"/>
        <v>0</v>
      </c>
      <c r="R744" s="36" t="str">
        <f t="array" ref="R744">IF(B744="","",INDEX('Bán nhanh'!$C$4:$C$103,INT((ROW()-4)/10)+1))</f>
        <v/>
      </c>
      <c r="S744" s="36" t="str">
        <f t="array" ref="S744">IF(B744="","",INDEX('Bán nhanh'!$P$4:$P$103,INT((ROW()-4)/10)+1))</f>
        <v/>
      </c>
      <c r="T744" s="36"/>
      <c r="U744" s="36"/>
      <c r="V744" s="36"/>
      <c r="W744" s="36"/>
      <c r="X744" s="36"/>
      <c r="Y744" s="36"/>
      <c r="Z744" s="36"/>
    </row>
    <row r="745" ht="15.75" customHeight="1">
      <c r="A745" s="96" t="str">
        <f t="array" ref="A745">IF(B745="","",INDEX('Bán nhanh'!$A$4:$A$103,INT((ROW()-4)/10)+1))</f>
        <v/>
      </c>
      <c r="B745" s="36" t="str">
        <f t="array" ref="B745">IF(OR(INDEX('Bán nhanh'!$D$3:$M$3,1,MOD(ROW()-4,10)+1)="",INDEX('Bán nhanh'!$D$4:$M$103,INT((ROW()-4)/10)+1,MOD(ROW()-4,10)+1)&lt;=0),"",INDEX('Bán nhanh'!$D$3:$M$3,1,MOD(ROW()-4,10)+1))</f>
        <v/>
      </c>
      <c r="C745" s="36" t="str">
        <f t="array" ref="C745">IFERROR(INDEX('Sản phẩm'!$A$4:$A$103,MATCH(B745,'Sản phẩm'!$D$4:$D$103,0)),"")</f>
        <v/>
      </c>
      <c r="D745" s="36" t="str">
        <f t="array" ref="D745">IF(B745="","",INDEX('Bán nhanh'!$B$4:$B$103,INT((ROW()-4)/10)+1))</f>
        <v/>
      </c>
      <c r="E745" s="36" t="str">
        <f t="array" ref="E745">IFERROR(INDEX('Mẻ sữa'!$B$4:$B$203,MATCH(D745,'Mẻ sữa'!$C$4:$C$203,0)),"")</f>
        <v/>
      </c>
      <c r="F745" s="82">
        <f t="array" ref="F745">IF(B745="",0,INDEX('Bán nhanh'!$D$4:$M$103,INT((ROW()-4)/10)+1,MOD(ROW()-4,10)+1))</f>
        <v>0</v>
      </c>
      <c r="G745" s="83">
        <f t="array" ref="G745">IFERROR(INDEX('Sản phẩm'!$F$4:$F$103,MATCH(B745,'Sản phẩm'!$D$4:$D$103,0)),0)</f>
        <v>0</v>
      </c>
      <c r="H745" s="83">
        <f t="shared" si="5"/>
        <v>0</v>
      </c>
      <c r="I745" s="83">
        <f t="shared" si="1"/>
        <v>0</v>
      </c>
      <c r="J745" s="83">
        <f t="array" ref="J745">IFERROR(INDEX('Sản phẩm'!$G$4:$G$103,MATCH(B745,'Sản phẩm'!$D$4:$D$103,0)),0)</f>
        <v>0</v>
      </c>
      <c r="K745" s="83">
        <f t="array" ref="K745">IFERROR(J745*INDEX('Mẻ sữa'!$N$4:$N$203,MATCH(D745,'Mẻ sữa'!$C$4:$C$203,0)),0)</f>
        <v>0</v>
      </c>
      <c r="L745" s="83">
        <f t="array" ref="L745">IFERROR(INDEX('Sản phẩm'!$I$4:$I$103,MATCH(B745,'Sản phẩm'!$D$4:$D$103,0)),0)</f>
        <v>0</v>
      </c>
      <c r="M745" s="97" t="str">
        <f t="array" ref="M745">IFERROR(INDEX('Sản phẩm'!$J$4:$J$103,MATCH(B745,'Sản phẩm'!$D$4:$D$103,0)),0)</f>
        <v/>
      </c>
      <c r="N745" s="83">
        <f>IF(B745="",0,(K745+L745+M745)*'Thiết lập'!$B$8)</f>
        <v>0</v>
      </c>
      <c r="O745" s="83">
        <f t="shared" si="2"/>
        <v>0</v>
      </c>
      <c r="P745" s="83">
        <f t="shared" si="3"/>
        <v>0</v>
      </c>
      <c r="Q745" s="83">
        <f t="shared" si="4"/>
        <v>0</v>
      </c>
      <c r="R745" s="36" t="str">
        <f t="array" ref="R745">IF(B745="","",INDEX('Bán nhanh'!$C$4:$C$103,INT((ROW()-4)/10)+1))</f>
        <v/>
      </c>
      <c r="S745" s="36" t="str">
        <f t="array" ref="S745">IF(B745="","",INDEX('Bán nhanh'!$P$4:$P$103,INT((ROW()-4)/10)+1))</f>
        <v/>
      </c>
      <c r="T745" s="36"/>
      <c r="U745" s="36"/>
      <c r="V745" s="36"/>
      <c r="W745" s="36"/>
      <c r="X745" s="36"/>
      <c r="Y745" s="36"/>
      <c r="Z745" s="36"/>
    </row>
    <row r="746" ht="15.75" customHeight="1">
      <c r="A746" s="96" t="str">
        <f t="array" ref="A746">IF(B746="","",INDEX('Bán nhanh'!$A$4:$A$103,INT((ROW()-4)/10)+1))</f>
        <v/>
      </c>
      <c r="B746" s="36" t="str">
        <f t="array" ref="B746">IF(OR(INDEX('Bán nhanh'!$D$3:$M$3,1,MOD(ROW()-4,10)+1)="",INDEX('Bán nhanh'!$D$4:$M$103,INT((ROW()-4)/10)+1,MOD(ROW()-4,10)+1)&lt;=0),"",INDEX('Bán nhanh'!$D$3:$M$3,1,MOD(ROW()-4,10)+1))</f>
        <v/>
      </c>
      <c r="C746" s="36" t="str">
        <f t="array" ref="C746">IFERROR(INDEX('Sản phẩm'!$A$4:$A$103,MATCH(B746,'Sản phẩm'!$D$4:$D$103,0)),"")</f>
        <v/>
      </c>
      <c r="D746" s="36" t="str">
        <f t="array" ref="D746">IF(B746="","",INDEX('Bán nhanh'!$B$4:$B$103,INT((ROW()-4)/10)+1))</f>
        <v/>
      </c>
      <c r="E746" s="36" t="str">
        <f t="array" ref="E746">IFERROR(INDEX('Mẻ sữa'!$B$4:$B$203,MATCH(D746,'Mẻ sữa'!$C$4:$C$203,0)),"")</f>
        <v/>
      </c>
      <c r="F746" s="82">
        <f t="array" ref="F746">IF(B746="",0,INDEX('Bán nhanh'!$D$4:$M$103,INT((ROW()-4)/10)+1,MOD(ROW()-4,10)+1))</f>
        <v>0</v>
      </c>
      <c r="G746" s="83">
        <f t="array" ref="G746">IFERROR(INDEX('Sản phẩm'!$F$4:$F$103,MATCH(B746,'Sản phẩm'!$D$4:$D$103,0)),0)</f>
        <v>0</v>
      </c>
      <c r="H746" s="83">
        <f t="shared" si="5"/>
        <v>0</v>
      </c>
      <c r="I746" s="83">
        <f t="shared" si="1"/>
        <v>0</v>
      </c>
      <c r="J746" s="83">
        <f t="array" ref="J746">IFERROR(INDEX('Sản phẩm'!$G$4:$G$103,MATCH(B746,'Sản phẩm'!$D$4:$D$103,0)),0)</f>
        <v>0</v>
      </c>
      <c r="K746" s="83">
        <f t="array" ref="K746">IFERROR(J746*INDEX('Mẻ sữa'!$N$4:$N$203,MATCH(D746,'Mẻ sữa'!$C$4:$C$203,0)),0)</f>
        <v>0</v>
      </c>
      <c r="L746" s="83">
        <f t="array" ref="L746">IFERROR(INDEX('Sản phẩm'!$I$4:$I$103,MATCH(B746,'Sản phẩm'!$D$4:$D$103,0)),0)</f>
        <v>0</v>
      </c>
      <c r="M746" s="97" t="str">
        <f t="array" ref="M746">IFERROR(INDEX('Sản phẩm'!$J$4:$J$103,MATCH(B746,'Sản phẩm'!$D$4:$D$103,0)),0)</f>
        <v/>
      </c>
      <c r="N746" s="83">
        <f>IF(B746="",0,(K746+L746+M746)*'Thiết lập'!$B$8)</f>
        <v>0</v>
      </c>
      <c r="O746" s="83">
        <f t="shared" si="2"/>
        <v>0</v>
      </c>
      <c r="P746" s="83">
        <f t="shared" si="3"/>
        <v>0</v>
      </c>
      <c r="Q746" s="83">
        <f t="shared" si="4"/>
        <v>0</v>
      </c>
      <c r="R746" s="36" t="str">
        <f t="array" ref="R746">IF(B746="","",INDEX('Bán nhanh'!$C$4:$C$103,INT((ROW()-4)/10)+1))</f>
        <v/>
      </c>
      <c r="S746" s="36" t="str">
        <f t="array" ref="S746">IF(B746="","",INDEX('Bán nhanh'!$P$4:$P$103,INT((ROW()-4)/10)+1))</f>
        <v/>
      </c>
      <c r="T746" s="36"/>
      <c r="U746" s="36"/>
      <c r="V746" s="36"/>
      <c r="W746" s="36"/>
      <c r="X746" s="36"/>
      <c r="Y746" s="36"/>
      <c r="Z746" s="36"/>
    </row>
    <row r="747" ht="15.75" customHeight="1">
      <c r="A747" s="96" t="str">
        <f t="array" ref="A747">IF(B747="","",INDEX('Bán nhanh'!$A$4:$A$103,INT((ROW()-4)/10)+1))</f>
        <v/>
      </c>
      <c r="B747" s="36" t="str">
        <f t="array" ref="B747">IF(OR(INDEX('Bán nhanh'!$D$3:$M$3,1,MOD(ROW()-4,10)+1)="",INDEX('Bán nhanh'!$D$4:$M$103,INT((ROW()-4)/10)+1,MOD(ROW()-4,10)+1)&lt;=0),"",INDEX('Bán nhanh'!$D$3:$M$3,1,MOD(ROW()-4,10)+1))</f>
        <v/>
      </c>
      <c r="C747" s="36" t="str">
        <f t="array" ref="C747">IFERROR(INDEX('Sản phẩm'!$A$4:$A$103,MATCH(B747,'Sản phẩm'!$D$4:$D$103,0)),"")</f>
        <v/>
      </c>
      <c r="D747" s="36" t="str">
        <f t="array" ref="D747">IF(B747="","",INDEX('Bán nhanh'!$B$4:$B$103,INT((ROW()-4)/10)+1))</f>
        <v/>
      </c>
      <c r="E747" s="36" t="str">
        <f t="array" ref="E747">IFERROR(INDEX('Mẻ sữa'!$B$4:$B$203,MATCH(D747,'Mẻ sữa'!$C$4:$C$203,0)),"")</f>
        <v/>
      </c>
      <c r="F747" s="82">
        <f t="array" ref="F747">IF(B747="",0,INDEX('Bán nhanh'!$D$4:$M$103,INT((ROW()-4)/10)+1,MOD(ROW()-4,10)+1))</f>
        <v>0</v>
      </c>
      <c r="G747" s="83">
        <f t="array" ref="G747">IFERROR(INDEX('Sản phẩm'!$F$4:$F$103,MATCH(B747,'Sản phẩm'!$D$4:$D$103,0)),0)</f>
        <v>0</v>
      </c>
      <c r="H747" s="83">
        <f t="shared" si="5"/>
        <v>0</v>
      </c>
      <c r="I747" s="83">
        <f t="shared" si="1"/>
        <v>0</v>
      </c>
      <c r="J747" s="83">
        <f t="array" ref="J747">IFERROR(INDEX('Sản phẩm'!$G$4:$G$103,MATCH(B747,'Sản phẩm'!$D$4:$D$103,0)),0)</f>
        <v>0</v>
      </c>
      <c r="K747" s="83">
        <f t="array" ref="K747">IFERROR(J747*INDEX('Mẻ sữa'!$N$4:$N$203,MATCH(D747,'Mẻ sữa'!$C$4:$C$203,0)),0)</f>
        <v>0</v>
      </c>
      <c r="L747" s="83">
        <f t="array" ref="L747">IFERROR(INDEX('Sản phẩm'!$I$4:$I$103,MATCH(B747,'Sản phẩm'!$D$4:$D$103,0)),0)</f>
        <v>0</v>
      </c>
      <c r="M747" s="97" t="str">
        <f t="array" ref="M747">IFERROR(INDEX('Sản phẩm'!$J$4:$J$103,MATCH(B747,'Sản phẩm'!$D$4:$D$103,0)),0)</f>
        <v/>
      </c>
      <c r="N747" s="83">
        <f>IF(B747="",0,(K747+L747+M747)*'Thiết lập'!$B$8)</f>
        <v>0</v>
      </c>
      <c r="O747" s="83">
        <f t="shared" si="2"/>
        <v>0</v>
      </c>
      <c r="P747" s="83">
        <f t="shared" si="3"/>
        <v>0</v>
      </c>
      <c r="Q747" s="83">
        <f t="shared" si="4"/>
        <v>0</v>
      </c>
      <c r="R747" s="36" t="str">
        <f t="array" ref="R747">IF(B747="","",INDEX('Bán nhanh'!$C$4:$C$103,INT((ROW()-4)/10)+1))</f>
        <v/>
      </c>
      <c r="S747" s="36" t="str">
        <f t="array" ref="S747">IF(B747="","",INDEX('Bán nhanh'!$P$4:$P$103,INT((ROW()-4)/10)+1))</f>
        <v/>
      </c>
      <c r="T747" s="36"/>
      <c r="U747" s="36"/>
      <c r="V747" s="36"/>
      <c r="W747" s="36"/>
      <c r="X747" s="36"/>
      <c r="Y747" s="36"/>
      <c r="Z747" s="36"/>
    </row>
    <row r="748" ht="15.75" customHeight="1">
      <c r="A748" s="96" t="str">
        <f t="array" ref="A748">IF(B748="","",INDEX('Bán nhanh'!$A$4:$A$103,INT((ROW()-4)/10)+1))</f>
        <v/>
      </c>
      <c r="B748" s="36" t="str">
        <f t="array" ref="B748">IF(OR(INDEX('Bán nhanh'!$D$3:$M$3,1,MOD(ROW()-4,10)+1)="",INDEX('Bán nhanh'!$D$4:$M$103,INT((ROW()-4)/10)+1,MOD(ROW()-4,10)+1)&lt;=0),"",INDEX('Bán nhanh'!$D$3:$M$3,1,MOD(ROW()-4,10)+1))</f>
        <v/>
      </c>
      <c r="C748" s="36" t="str">
        <f t="array" ref="C748">IFERROR(INDEX('Sản phẩm'!$A$4:$A$103,MATCH(B748,'Sản phẩm'!$D$4:$D$103,0)),"")</f>
        <v/>
      </c>
      <c r="D748" s="36" t="str">
        <f t="array" ref="D748">IF(B748="","",INDEX('Bán nhanh'!$B$4:$B$103,INT((ROW()-4)/10)+1))</f>
        <v/>
      </c>
      <c r="E748" s="36" t="str">
        <f t="array" ref="E748">IFERROR(INDEX('Mẻ sữa'!$B$4:$B$203,MATCH(D748,'Mẻ sữa'!$C$4:$C$203,0)),"")</f>
        <v/>
      </c>
      <c r="F748" s="82">
        <f t="array" ref="F748">IF(B748="",0,INDEX('Bán nhanh'!$D$4:$M$103,INT((ROW()-4)/10)+1,MOD(ROW()-4,10)+1))</f>
        <v>0</v>
      </c>
      <c r="G748" s="83">
        <f t="array" ref="G748">IFERROR(INDEX('Sản phẩm'!$F$4:$F$103,MATCH(B748,'Sản phẩm'!$D$4:$D$103,0)),0)</f>
        <v>0</v>
      </c>
      <c r="H748" s="83">
        <f t="shared" si="5"/>
        <v>0</v>
      </c>
      <c r="I748" s="83">
        <f t="shared" si="1"/>
        <v>0</v>
      </c>
      <c r="J748" s="83">
        <f t="array" ref="J748">IFERROR(INDEX('Sản phẩm'!$G$4:$G$103,MATCH(B748,'Sản phẩm'!$D$4:$D$103,0)),0)</f>
        <v>0</v>
      </c>
      <c r="K748" s="83">
        <f t="array" ref="K748">IFERROR(J748*INDEX('Mẻ sữa'!$N$4:$N$203,MATCH(D748,'Mẻ sữa'!$C$4:$C$203,0)),0)</f>
        <v>0</v>
      </c>
      <c r="L748" s="83">
        <f t="array" ref="L748">IFERROR(INDEX('Sản phẩm'!$I$4:$I$103,MATCH(B748,'Sản phẩm'!$D$4:$D$103,0)),0)</f>
        <v>0</v>
      </c>
      <c r="M748" s="97" t="str">
        <f t="array" ref="M748">IFERROR(INDEX('Sản phẩm'!$J$4:$J$103,MATCH(B748,'Sản phẩm'!$D$4:$D$103,0)),0)</f>
        <v/>
      </c>
      <c r="N748" s="83">
        <f>IF(B748="",0,(K748+L748+M748)*'Thiết lập'!$B$8)</f>
        <v>0</v>
      </c>
      <c r="O748" s="83">
        <f t="shared" si="2"/>
        <v>0</v>
      </c>
      <c r="P748" s="83">
        <f t="shared" si="3"/>
        <v>0</v>
      </c>
      <c r="Q748" s="83">
        <f t="shared" si="4"/>
        <v>0</v>
      </c>
      <c r="R748" s="36" t="str">
        <f t="array" ref="R748">IF(B748="","",INDEX('Bán nhanh'!$C$4:$C$103,INT((ROW()-4)/10)+1))</f>
        <v/>
      </c>
      <c r="S748" s="36" t="str">
        <f t="array" ref="S748">IF(B748="","",INDEX('Bán nhanh'!$P$4:$P$103,INT((ROW()-4)/10)+1))</f>
        <v/>
      </c>
      <c r="T748" s="36"/>
      <c r="U748" s="36"/>
      <c r="V748" s="36"/>
      <c r="W748" s="36"/>
      <c r="X748" s="36"/>
      <c r="Y748" s="36"/>
      <c r="Z748" s="36"/>
    </row>
    <row r="749" ht="15.75" customHeight="1">
      <c r="A749" s="96" t="str">
        <f t="array" ref="A749">IF(B749="","",INDEX('Bán nhanh'!$A$4:$A$103,INT((ROW()-4)/10)+1))</f>
        <v/>
      </c>
      <c r="B749" s="36" t="str">
        <f t="array" ref="B749">IF(OR(INDEX('Bán nhanh'!$D$3:$M$3,1,MOD(ROW()-4,10)+1)="",INDEX('Bán nhanh'!$D$4:$M$103,INT((ROW()-4)/10)+1,MOD(ROW()-4,10)+1)&lt;=0),"",INDEX('Bán nhanh'!$D$3:$M$3,1,MOD(ROW()-4,10)+1))</f>
        <v/>
      </c>
      <c r="C749" s="36" t="str">
        <f t="array" ref="C749">IFERROR(INDEX('Sản phẩm'!$A$4:$A$103,MATCH(B749,'Sản phẩm'!$D$4:$D$103,0)),"")</f>
        <v/>
      </c>
      <c r="D749" s="36" t="str">
        <f t="array" ref="D749">IF(B749="","",INDEX('Bán nhanh'!$B$4:$B$103,INT((ROW()-4)/10)+1))</f>
        <v/>
      </c>
      <c r="E749" s="36" t="str">
        <f t="array" ref="E749">IFERROR(INDEX('Mẻ sữa'!$B$4:$B$203,MATCH(D749,'Mẻ sữa'!$C$4:$C$203,0)),"")</f>
        <v/>
      </c>
      <c r="F749" s="82">
        <f t="array" ref="F749">IF(B749="",0,INDEX('Bán nhanh'!$D$4:$M$103,INT((ROW()-4)/10)+1,MOD(ROW()-4,10)+1))</f>
        <v>0</v>
      </c>
      <c r="G749" s="83">
        <f t="array" ref="G749">IFERROR(INDEX('Sản phẩm'!$F$4:$F$103,MATCH(B749,'Sản phẩm'!$D$4:$D$103,0)),0)</f>
        <v>0</v>
      </c>
      <c r="H749" s="83">
        <f t="shared" si="5"/>
        <v>0</v>
      </c>
      <c r="I749" s="83">
        <f t="shared" si="1"/>
        <v>0</v>
      </c>
      <c r="J749" s="83">
        <f t="array" ref="J749">IFERROR(INDEX('Sản phẩm'!$G$4:$G$103,MATCH(B749,'Sản phẩm'!$D$4:$D$103,0)),0)</f>
        <v>0</v>
      </c>
      <c r="K749" s="83">
        <f t="array" ref="K749">IFERROR(J749*INDEX('Mẻ sữa'!$N$4:$N$203,MATCH(D749,'Mẻ sữa'!$C$4:$C$203,0)),0)</f>
        <v>0</v>
      </c>
      <c r="L749" s="83">
        <f t="array" ref="L749">IFERROR(INDEX('Sản phẩm'!$I$4:$I$103,MATCH(B749,'Sản phẩm'!$D$4:$D$103,0)),0)</f>
        <v>0</v>
      </c>
      <c r="M749" s="97" t="str">
        <f t="array" ref="M749">IFERROR(INDEX('Sản phẩm'!$J$4:$J$103,MATCH(B749,'Sản phẩm'!$D$4:$D$103,0)),0)</f>
        <v/>
      </c>
      <c r="N749" s="83">
        <f>IF(B749="",0,(K749+L749+M749)*'Thiết lập'!$B$8)</f>
        <v>0</v>
      </c>
      <c r="O749" s="83">
        <f t="shared" si="2"/>
        <v>0</v>
      </c>
      <c r="P749" s="83">
        <f t="shared" si="3"/>
        <v>0</v>
      </c>
      <c r="Q749" s="83">
        <f t="shared" si="4"/>
        <v>0</v>
      </c>
      <c r="R749" s="36" t="str">
        <f t="array" ref="R749">IF(B749="","",INDEX('Bán nhanh'!$C$4:$C$103,INT((ROW()-4)/10)+1))</f>
        <v/>
      </c>
      <c r="S749" s="36" t="str">
        <f t="array" ref="S749">IF(B749="","",INDEX('Bán nhanh'!$P$4:$P$103,INT((ROW()-4)/10)+1))</f>
        <v/>
      </c>
      <c r="T749" s="36"/>
      <c r="U749" s="36"/>
      <c r="V749" s="36"/>
      <c r="W749" s="36"/>
      <c r="X749" s="36"/>
      <c r="Y749" s="36"/>
      <c r="Z749" s="36"/>
    </row>
    <row r="750" ht="15.75" customHeight="1">
      <c r="A750" s="96" t="str">
        <f t="array" ref="A750">IF(B750="","",INDEX('Bán nhanh'!$A$4:$A$103,INT((ROW()-4)/10)+1))</f>
        <v/>
      </c>
      <c r="B750" s="36" t="str">
        <f t="array" ref="B750">IF(OR(INDEX('Bán nhanh'!$D$3:$M$3,1,MOD(ROW()-4,10)+1)="",INDEX('Bán nhanh'!$D$4:$M$103,INT((ROW()-4)/10)+1,MOD(ROW()-4,10)+1)&lt;=0),"",INDEX('Bán nhanh'!$D$3:$M$3,1,MOD(ROW()-4,10)+1))</f>
        <v/>
      </c>
      <c r="C750" s="36" t="str">
        <f t="array" ref="C750">IFERROR(INDEX('Sản phẩm'!$A$4:$A$103,MATCH(B750,'Sản phẩm'!$D$4:$D$103,0)),"")</f>
        <v/>
      </c>
      <c r="D750" s="36" t="str">
        <f t="array" ref="D750">IF(B750="","",INDEX('Bán nhanh'!$B$4:$B$103,INT((ROW()-4)/10)+1))</f>
        <v/>
      </c>
      <c r="E750" s="36" t="str">
        <f t="array" ref="E750">IFERROR(INDEX('Mẻ sữa'!$B$4:$B$203,MATCH(D750,'Mẻ sữa'!$C$4:$C$203,0)),"")</f>
        <v/>
      </c>
      <c r="F750" s="82">
        <f t="array" ref="F750">IF(B750="",0,INDEX('Bán nhanh'!$D$4:$M$103,INT((ROW()-4)/10)+1,MOD(ROW()-4,10)+1))</f>
        <v>0</v>
      </c>
      <c r="G750" s="83">
        <f t="array" ref="G750">IFERROR(INDEX('Sản phẩm'!$F$4:$F$103,MATCH(B750,'Sản phẩm'!$D$4:$D$103,0)),0)</f>
        <v>0</v>
      </c>
      <c r="H750" s="83">
        <f t="shared" si="5"/>
        <v>0</v>
      </c>
      <c r="I750" s="83">
        <f t="shared" si="1"/>
        <v>0</v>
      </c>
      <c r="J750" s="83">
        <f t="array" ref="J750">IFERROR(INDEX('Sản phẩm'!$G$4:$G$103,MATCH(B750,'Sản phẩm'!$D$4:$D$103,0)),0)</f>
        <v>0</v>
      </c>
      <c r="K750" s="83">
        <f t="array" ref="K750">IFERROR(J750*INDEX('Mẻ sữa'!$N$4:$N$203,MATCH(D750,'Mẻ sữa'!$C$4:$C$203,0)),0)</f>
        <v>0</v>
      </c>
      <c r="L750" s="83">
        <f t="array" ref="L750">IFERROR(INDEX('Sản phẩm'!$I$4:$I$103,MATCH(B750,'Sản phẩm'!$D$4:$D$103,0)),0)</f>
        <v>0</v>
      </c>
      <c r="M750" s="97" t="str">
        <f t="array" ref="M750">IFERROR(INDEX('Sản phẩm'!$J$4:$J$103,MATCH(B750,'Sản phẩm'!$D$4:$D$103,0)),0)</f>
        <v/>
      </c>
      <c r="N750" s="83">
        <f>IF(B750="",0,(K750+L750+M750)*'Thiết lập'!$B$8)</f>
        <v>0</v>
      </c>
      <c r="O750" s="83">
        <f t="shared" si="2"/>
        <v>0</v>
      </c>
      <c r="P750" s="83">
        <f t="shared" si="3"/>
        <v>0</v>
      </c>
      <c r="Q750" s="83">
        <f t="shared" si="4"/>
        <v>0</v>
      </c>
      <c r="R750" s="36" t="str">
        <f t="array" ref="R750">IF(B750="","",INDEX('Bán nhanh'!$C$4:$C$103,INT((ROW()-4)/10)+1))</f>
        <v/>
      </c>
      <c r="S750" s="36" t="str">
        <f t="array" ref="S750">IF(B750="","",INDEX('Bán nhanh'!$P$4:$P$103,INT((ROW()-4)/10)+1))</f>
        <v/>
      </c>
      <c r="T750" s="36"/>
      <c r="U750" s="36"/>
      <c r="V750" s="36"/>
      <c r="W750" s="36"/>
      <c r="X750" s="36"/>
      <c r="Y750" s="36"/>
      <c r="Z750" s="36"/>
    </row>
    <row r="751" ht="15.75" customHeight="1">
      <c r="A751" s="96" t="str">
        <f t="array" ref="A751">IF(B751="","",INDEX('Bán nhanh'!$A$4:$A$103,INT((ROW()-4)/10)+1))</f>
        <v/>
      </c>
      <c r="B751" s="36" t="str">
        <f t="array" ref="B751">IF(OR(INDEX('Bán nhanh'!$D$3:$M$3,1,MOD(ROW()-4,10)+1)="",INDEX('Bán nhanh'!$D$4:$M$103,INT((ROW()-4)/10)+1,MOD(ROW()-4,10)+1)&lt;=0),"",INDEX('Bán nhanh'!$D$3:$M$3,1,MOD(ROW()-4,10)+1))</f>
        <v/>
      </c>
      <c r="C751" s="36" t="str">
        <f t="array" ref="C751">IFERROR(INDEX('Sản phẩm'!$A$4:$A$103,MATCH(B751,'Sản phẩm'!$D$4:$D$103,0)),"")</f>
        <v/>
      </c>
      <c r="D751" s="36" t="str">
        <f t="array" ref="D751">IF(B751="","",INDEX('Bán nhanh'!$B$4:$B$103,INT((ROW()-4)/10)+1))</f>
        <v/>
      </c>
      <c r="E751" s="36" t="str">
        <f t="array" ref="E751">IFERROR(INDEX('Mẻ sữa'!$B$4:$B$203,MATCH(D751,'Mẻ sữa'!$C$4:$C$203,0)),"")</f>
        <v/>
      </c>
      <c r="F751" s="82">
        <f t="array" ref="F751">IF(B751="",0,INDEX('Bán nhanh'!$D$4:$M$103,INT((ROW()-4)/10)+1,MOD(ROW()-4,10)+1))</f>
        <v>0</v>
      </c>
      <c r="G751" s="83">
        <f t="array" ref="G751">IFERROR(INDEX('Sản phẩm'!$F$4:$F$103,MATCH(B751,'Sản phẩm'!$D$4:$D$103,0)),0)</f>
        <v>0</v>
      </c>
      <c r="H751" s="83">
        <f t="shared" si="5"/>
        <v>0</v>
      </c>
      <c r="I751" s="83">
        <f t="shared" si="1"/>
        <v>0</v>
      </c>
      <c r="J751" s="83">
        <f t="array" ref="J751">IFERROR(INDEX('Sản phẩm'!$G$4:$G$103,MATCH(B751,'Sản phẩm'!$D$4:$D$103,0)),0)</f>
        <v>0</v>
      </c>
      <c r="K751" s="83">
        <f t="array" ref="K751">IFERROR(J751*INDEX('Mẻ sữa'!$N$4:$N$203,MATCH(D751,'Mẻ sữa'!$C$4:$C$203,0)),0)</f>
        <v>0</v>
      </c>
      <c r="L751" s="83">
        <f t="array" ref="L751">IFERROR(INDEX('Sản phẩm'!$I$4:$I$103,MATCH(B751,'Sản phẩm'!$D$4:$D$103,0)),0)</f>
        <v>0</v>
      </c>
      <c r="M751" s="97" t="str">
        <f t="array" ref="M751">IFERROR(INDEX('Sản phẩm'!$J$4:$J$103,MATCH(B751,'Sản phẩm'!$D$4:$D$103,0)),0)</f>
        <v/>
      </c>
      <c r="N751" s="83">
        <f>IF(B751="",0,(K751+L751+M751)*'Thiết lập'!$B$8)</f>
        <v>0</v>
      </c>
      <c r="O751" s="83">
        <f t="shared" si="2"/>
        <v>0</v>
      </c>
      <c r="P751" s="83">
        <f t="shared" si="3"/>
        <v>0</v>
      </c>
      <c r="Q751" s="83">
        <f t="shared" si="4"/>
        <v>0</v>
      </c>
      <c r="R751" s="36" t="str">
        <f t="array" ref="R751">IF(B751="","",INDEX('Bán nhanh'!$C$4:$C$103,INT((ROW()-4)/10)+1))</f>
        <v/>
      </c>
      <c r="S751" s="36" t="str">
        <f t="array" ref="S751">IF(B751="","",INDEX('Bán nhanh'!$P$4:$P$103,INT((ROW()-4)/10)+1))</f>
        <v/>
      </c>
      <c r="T751" s="36"/>
      <c r="U751" s="36"/>
      <c r="V751" s="36"/>
      <c r="W751" s="36"/>
      <c r="X751" s="36"/>
      <c r="Y751" s="36"/>
      <c r="Z751" s="36"/>
    </row>
    <row r="752" ht="15.75" customHeight="1">
      <c r="A752" s="96" t="str">
        <f t="array" ref="A752">IF(B752="","",INDEX('Bán nhanh'!$A$4:$A$103,INT((ROW()-4)/10)+1))</f>
        <v/>
      </c>
      <c r="B752" s="36" t="str">
        <f t="array" ref="B752">IF(OR(INDEX('Bán nhanh'!$D$3:$M$3,1,MOD(ROW()-4,10)+1)="",INDEX('Bán nhanh'!$D$4:$M$103,INT((ROW()-4)/10)+1,MOD(ROW()-4,10)+1)&lt;=0),"",INDEX('Bán nhanh'!$D$3:$M$3,1,MOD(ROW()-4,10)+1))</f>
        <v/>
      </c>
      <c r="C752" s="36" t="str">
        <f t="array" ref="C752">IFERROR(INDEX('Sản phẩm'!$A$4:$A$103,MATCH(B752,'Sản phẩm'!$D$4:$D$103,0)),"")</f>
        <v/>
      </c>
      <c r="D752" s="36" t="str">
        <f t="array" ref="D752">IF(B752="","",INDEX('Bán nhanh'!$B$4:$B$103,INT((ROW()-4)/10)+1))</f>
        <v/>
      </c>
      <c r="E752" s="36" t="str">
        <f t="array" ref="E752">IFERROR(INDEX('Mẻ sữa'!$B$4:$B$203,MATCH(D752,'Mẻ sữa'!$C$4:$C$203,0)),"")</f>
        <v/>
      </c>
      <c r="F752" s="82">
        <f t="array" ref="F752">IF(B752="",0,INDEX('Bán nhanh'!$D$4:$M$103,INT((ROW()-4)/10)+1,MOD(ROW()-4,10)+1))</f>
        <v>0</v>
      </c>
      <c r="G752" s="83">
        <f t="array" ref="G752">IFERROR(INDEX('Sản phẩm'!$F$4:$F$103,MATCH(B752,'Sản phẩm'!$D$4:$D$103,0)),0)</f>
        <v>0</v>
      </c>
      <c r="H752" s="83">
        <f t="shared" si="5"/>
        <v>0</v>
      </c>
      <c r="I752" s="83">
        <f t="shared" si="1"/>
        <v>0</v>
      </c>
      <c r="J752" s="83">
        <f t="array" ref="J752">IFERROR(INDEX('Sản phẩm'!$G$4:$G$103,MATCH(B752,'Sản phẩm'!$D$4:$D$103,0)),0)</f>
        <v>0</v>
      </c>
      <c r="K752" s="83">
        <f t="array" ref="K752">IFERROR(J752*INDEX('Mẻ sữa'!$N$4:$N$203,MATCH(D752,'Mẻ sữa'!$C$4:$C$203,0)),0)</f>
        <v>0</v>
      </c>
      <c r="L752" s="83">
        <f t="array" ref="L752">IFERROR(INDEX('Sản phẩm'!$I$4:$I$103,MATCH(B752,'Sản phẩm'!$D$4:$D$103,0)),0)</f>
        <v>0</v>
      </c>
      <c r="M752" s="97" t="str">
        <f t="array" ref="M752">IFERROR(INDEX('Sản phẩm'!$J$4:$J$103,MATCH(B752,'Sản phẩm'!$D$4:$D$103,0)),0)</f>
        <v/>
      </c>
      <c r="N752" s="83">
        <f>IF(B752="",0,(K752+L752+M752)*'Thiết lập'!$B$8)</f>
        <v>0</v>
      </c>
      <c r="O752" s="83">
        <f t="shared" si="2"/>
        <v>0</v>
      </c>
      <c r="P752" s="83">
        <f t="shared" si="3"/>
        <v>0</v>
      </c>
      <c r="Q752" s="83">
        <f t="shared" si="4"/>
        <v>0</v>
      </c>
      <c r="R752" s="36" t="str">
        <f t="array" ref="R752">IF(B752="","",INDEX('Bán nhanh'!$C$4:$C$103,INT((ROW()-4)/10)+1))</f>
        <v/>
      </c>
      <c r="S752" s="36" t="str">
        <f t="array" ref="S752">IF(B752="","",INDEX('Bán nhanh'!$P$4:$P$103,INT((ROW()-4)/10)+1))</f>
        <v/>
      </c>
      <c r="T752" s="36"/>
      <c r="U752" s="36"/>
      <c r="V752" s="36"/>
      <c r="W752" s="36"/>
      <c r="X752" s="36"/>
      <c r="Y752" s="36"/>
      <c r="Z752" s="36"/>
    </row>
    <row r="753" ht="15.75" customHeight="1">
      <c r="A753" s="96" t="str">
        <f t="array" ref="A753">IF(B753="","",INDEX('Bán nhanh'!$A$4:$A$103,INT((ROW()-4)/10)+1))</f>
        <v/>
      </c>
      <c r="B753" s="36" t="str">
        <f t="array" ref="B753">IF(OR(INDEX('Bán nhanh'!$D$3:$M$3,1,MOD(ROW()-4,10)+1)="",INDEX('Bán nhanh'!$D$4:$M$103,INT((ROW()-4)/10)+1,MOD(ROW()-4,10)+1)&lt;=0),"",INDEX('Bán nhanh'!$D$3:$M$3,1,MOD(ROW()-4,10)+1))</f>
        <v/>
      </c>
      <c r="C753" s="36" t="str">
        <f t="array" ref="C753">IFERROR(INDEX('Sản phẩm'!$A$4:$A$103,MATCH(B753,'Sản phẩm'!$D$4:$D$103,0)),"")</f>
        <v/>
      </c>
      <c r="D753" s="36" t="str">
        <f t="array" ref="D753">IF(B753="","",INDEX('Bán nhanh'!$B$4:$B$103,INT((ROW()-4)/10)+1))</f>
        <v/>
      </c>
      <c r="E753" s="36" t="str">
        <f t="array" ref="E753">IFERROR(INDEX('Mẻ sữa'!$B$4:$B$203,MATCH(D753,'Mẻ sữa'!$C$4:$C$203,0)),"")</f>
        <v/>
      </c>
      <c r="F753" s="82">
        <f t="array" ref="F753">IF(B753="",0,INDEX('Bán nhanh'!$D$4:$M$103,INT((ROW()-4)/10)+1,MOD(ROW()-4,10)+1))</f>
        <v>0</v>
      </c>
      <c r="G753" s="83">
        <f t="array" ref="G753">IFERROR(INDEX('Sản phẩm'!$F$4:$F$103,MATCH(B753,'Sản phẩm'!$D$4:$D$103,0)),0)</f>
        <v>0</v>
      </c>
      <c r="H753" s="83">
        <f t="shared" si="5"/>
        <v>0</v>
      </c>
      <c r="I753" s="83">
        <f t="shared" si="1"/>
        <v>0</v>
      </c>
      <c r="J753" s="83">
        <f t="array" ref="J753">IFERROR(INDEX('Sản phẩm'!$G$4:$G$103,MATCH(B753,'Sản phẩm'!$D$4:$D$103,0)),0)</f>
        <v>0</v>
      </c>
      <c r="K753" s="83">
        <f t="array" ref="K753">IFERROR(J753*INDEX('Mẻ sữa'!$N$4:$N$203,MATCH(D753,'Mẻ sữa'!$C$4:$C$203,0)),0)</f>
        <v>0</v>
      </c>
      <c r="L753" s="83">
        <f t="array" ref="L753">IFERROR(INDEX('Sản phẩm'!$I$4:$I$103,MATCH(B753,'Sản phẩm'!$D$4:$D$103,0)),0)</f>
        <v>0</v>
      </c>
      <c r="M753" s="97" t="str">
        <f t="array" ref="M753">IFERROR(INDEX('Sản phẩm'!$J$4:$J$103,MATCH(B753,'Sản phẩm'!$D$4:$D$103,0)),0)</f>
        <v/>
      </c>
      <c r="N753" s="83">
        <f>IF(B753="",0,(K753+L753+M753)*'Thiết lập'!$B$8)</f>
        <v>0</v>
      </c>
      <c r="O753" s="83">
        <f t="shared" si="2"/>
        <v>0</v>
      </c>
      <c r="P753" s="83">
        <f t="shared" si="3"/>
        <v>0</v>
      </c>
      <c r="Q753" s="83">
        <f t="shared" si="4"/>
        <v>0</v>
      </c>
      <c r="R753" s="36" t="str">
        <f t="array" ref="R753">IF(B753="","",INDEX('Bán nhanh'!$C$4:$C$103,INT((ROW()-4)/10)+1))</f>
        <v/>
      </c>
      <c r="S753" s="36" t="str">
        <f t="array" ref="S753">IF(B753="","",INDEX('Bán nhanh'!$P$4:$P$103,INT((ROW()-4)/10)+1))</f>
        <v/>
      </c>
      <c r="T753" s="36"/>
      <c r="U753" s="36"/>
      <c r="V753" s="36"/>
      <c r="W753" s="36"/>
      <c r="X753" s="36"/>
      <c r="Y753" s="36"/>
      <c r="Z753" s="36"/>
    </row>
    <row r="754" ht="15.75" customHeight="1">
      <c r="A754" s="96" t="str">
        <f t="array" ref="A754">IF(B754="","",INDEX('Bán nhanh'!$A$4:$A$103,INT((ROW()-4)/10)+1))</f>
        <v/>
      </c>
      <c r="B754" s="36" t="str">
        <f t="array" ref="B754">IF(OR(INDEX('Bán nhanh'!$D$3:$M$3,1,MOD(ROW()-4,10)+1)="",INDEX('Bán nhanh'!$D$4:$M$103,INT((ROW()-4)/10)+1,MOD(ROW()-4,10)+1)&lt;=0),"",INDEX('Bán nhanh'!$D$3:$M$3,1,MOD(ROW()-4,10)+1))</f>
        <v/>
      </c>
      <c r="C754" s="36" t="str">
        <f t="array" ref="C754">IFERROR(INDEX('Sản phẩm'!$A$4:$A$103,MATCH(B754,'Sản phẩm'!$D$4:$D$103,0)),"")</f>
        <v/>
      </c>
      <c r="D754" s="36" t="str">
        <f t="array" ref="D754">IF(B754="","",INDEX('Bán nhanh'!$B$4:$B$103,INT((ROW()-4)/10)+1))</f>
        <v/>
      </c>
      <c r="E754" s="36" t="str">
        <f t="array" ref="E754">IFERROR(INDEX('Mẻ sữa'!$B$4:$B$203,MATCH(D754,'Mẻ sữa'!$C$4:$C$203,0)),"")</f>
        <v/>
      </c>
      <c r="F754" s="82">
        <f t="array" ref="F754">IF(B754="",0,INDEX('Bán nhanh'!$D$4:$M$103,INT((ROW()-4)/10)+1,MOD(ROW()-4,10)+1))</f>
        <v>0</v>
      </c>
      <c r="G754" s="83">
        <f t="array" ref="G754">IFERROR(INDEX('Sản phẩm'!$F$4:$F$103,MATCH(B754,'Sản phẩm'!$D$4:$D$103,0)),0)</f>
        <v>0</v>
      </c>
      <c r="H754" s="83">
        <f t="shared" si="5"/>
        <v>0</v>
      </c>
      <c r="I754" s="83">
        <f t="shared" si="1"/>
        <v>0</v>
      </c>
      <c r="J754" s="83">
        <f t="array" ref="J754">IFERROR(INDEX('Sản phẩm'!$G$4:$G$103,MATCH(B754,'Sản phẩm'!$D$4:$D$103,0)),0)</f>
        <v>0</v>
      </c>
      <c r="K754" s="83">
        <f t="array" ref="K754">IFERROR(J754*INDEX('Mẻ sữa'!$N$4:$N$203,MATCH(D754,'Mẻ sữa'!$C$4:$C$203,0)),0)</f>
        <v>0</v>
      </c>
      <c r="L754" s="83">
        <f t="array" ref="L754">IFERROR(INDEX('Sản phẩm'!$I$4:$I$103,MATCH(B754,'Sản phẩm'!$D$4:$D$103,0)),0)</f>
        <v>0</v>
      </c>
      <c r="M754" s="97" t="str">
        <f t="array" ref="M754">IFERROR(INDEX('Sản phẩm'!$J$4:$J$103,MATCH(B754,'Sản phẩm'!$D$4:$D$103,0)),0)</f>
        <v/>
      </c>
      <c r="N754" s="83">
        <f>IF(B754="",0,(K754+L754+M754)*'Thiết lập'!$B$8)</f>
        <v>0</v>
      </c>
      <c r="O754" s="83">
        <f t="shared" si="2"/>
        <v>0</v>
      </c>
      <c r="P754" s="83">
        <f t="shared" si="3"/>
        <v>0</v>
      </c>
      <c r="Q754" s="83">
        <f t="shared" si="4"/>
        <v>0</v>
      </c>
      <c r="R754" s="36" t="str">
        <f t="array" ref="R754">IF(B754="","",INDEX('Bán nhanh'!$C$4:$C$103,INT((ROW()-4)/10)+1))</f>
        <v/>
      </c>
      <c r="S754" s="36" t="str">
        <f t="array" ref="S754">IF(B754="","",INDEX('Bán nhanh'!$P$4:$P$103,INT((ROW()-4)/10)+1))</f>
        <v/>
      </c>
      <c r="T754" s="36"/>
      <c r="U754" s="36"/>
      <c r="V754" s="36"/>
      <c r="W754" s="36"/>
      <c r="X754" s="36"/>
      <c r="Y754" s="36"/>
      <c r="Z754" s="36"/>
    </row>
    <row r="755" ht="15.75" customHeight="1">
      <c r="A755" s="96" t="str">
        <f t="array" ref="A755">IF(B755="","",INDEX('Bán nhanh'!$A$4:$A$103,INT((ROW()-4)/10)+1))</f>
        <v/>
      </c>
      <c r="B755" s="36" t="str">
        <f t="array" ref="B755">IF(OR(INDEX('Bán nhanh'!$D$3:$M$3,1,MOD(ROW()-4,10)+1)="",INDEX('Bán nhanh'!$D$4:$M$103,INT((ROW()-4)/10)+1,MOD(ROW()-4,10)+1)&lt;=0),"",INDEX('Bán nhanh'!$D$3:$M$3,1,MOD(ROW()-4,10)+1))</f>
        <v/>
      </c>
      <c r="C755" s="36" t="str">
        <f t="array" ref="C755">IFERROR(INDEX('Sản phẩm'!$A$4:$A$103,MATCH(B755,'Sản phẩm'!$D$4:$D$103,0)),"")</f>
        <v/>
      </c>
      <c r="D755" s="36" t="str">
        <f t="array" ref="D755">IF(B755="","",INDEX('Bán nhanh'!$B$4:$B$103,INT((ROW()-4)/10)+1))</f>
        <v/>
      </c>
      <c r="E755" s="36" t="str">
        <f t="array" ref="E755">IFERROR(INDEX('Mẻ sữa'!$B$4:$B$203,MATCH(D755,'Mẻ sữa'!$C$4:$C$203,0)),"")</f>
        <v/>
      </c>
      <c r="F755" s="82">
        <f t="array" ref="F755">IF(B755="",0,INDEX('Bán nhanh'!$D$4:$M$103,INT((ROW()-4)/10)+1,MOD(ROW()-4,10)+1))</f>
        <v>0</v>
      </c>
      <c r="G755" s="83">
        <f t="array" ref="G755">IFERROR(INDEX('Sản phẩm'!$F$4:$F$103,MATCH(B755,'Sản phẩm'!$D$4:$D$103,0)),0)</f>
        <v>0</v>
      </c>
      <c r="H755" s="83">
        <f t="shared" si="5"/>
        <v>0</v>
      </c>
      <c r="I755" s="83">
        <f t="shared" si="1"/>
        <v>0</v>
      </c>
      <c r="J755" s="83">
        <f t="array" ref="J755">IFERROR(INDEX('Sản phẩm'!$G$4:$G$103,MATCH(B755,'Sản phẩm'!$D$4:$D$103,0)),0)</f>
        <v>0</v>
      </c>
      <c r="K755" s="83">
        <f t="array" ref="K755">IFERROR(J755*INDEX('Mẻ sữa'!$N$4:$N$203,MATCH(D755,'Mẻ sữa'!$C$4:$C$203,0)),0)</f>
        <v>0</v>
      </c>
      <c r="L755" s="83">
        <f t="array" ref="L755">IFERROR(INDEX('Sản phẩm'!$I$4:$I$103,MATCH(B755,'Sản phẩm'!$D$4:$D$103,0)),0)</f>
        <v>0</v>
      </c>
      <c r="M755" s="97" t="str">
        <f t="array" ref="M755">IFERROR(INDEX('Sản phẩm'!$J$4:$J$103,MATCH(B755,'Sản phẩm'!$D$4:$D$103,0)),0)</f>
        <v/>
      </c>
      <c r="N755" s="83">
        <f>IF(B755="",0,(K755+L755+M755)*'Thiết lập'!$B$8)</f>
        <v>0</v>
      </c>
      <c r="O755" s="83">
        <f t="shared" si="2"/>
        <v>0</v>
      </c>
      <c r="P755" s="83">
        <f t="shared" si="3"/>
        <v>0</v>
      </c>
      <c r="Q755" s="83">
        <f t="shared" si="4"/>
        <v>0</v>
      </c>
      <c r="R755" s="36" t="str">
        <f t="array" ref="R755">IF(B755="","",INDEX('Bán nhanh'!$C$4:$C$103,INT((ROW()-4)/10)+1))</f>
        <v/>
      </c>
      <c r="S755" s="36" t="str">
        <f t="array" ref="S755">IF(B755="","",INDEX('Bán nhanh'!$P$4:$P$103,INT((ROW()-4)/10)+1))</f>
        <v/>
      </c>
      <c r="T755" s="36"/>
      <c r="U755" s="36"/>
      <c r="V755" s="36"/>
      <c r="W755" s="36"/>
      <c r="X755" s="36"/>
      <c r="Y755" s="36"/>
      <c r="Z755" s="36"/>
    </row>
    <row r="756" ht="15.75" customHeight="1">
      <c r="A756" s="96" t="str">
        <f t="array" ref="A756">IF(B756="","",INDEX('Bán nhanh'!$A$4:$A$103,INT((ROW()-4)/10)+1))</f>
        <v/>
      </c>
      <c r="B756" s="36" t="str">
        <f t="array" ref="B756">IF(OR(INDEX('Bán nhanh'!$D$3:$M$3,1,MOD(ROW()-4,10)+1)="",INDEX('Bán nhanh'!$D$4:$M$103,INT((ROW()-4)/10)+1,MOD(ROW()-4,10)+1)&lt;=0),"",INDEX('Bán nhanh'!$D$3:$M$3,1,MOD(ROW()-4,10)+1))</f>
        <v/>
      </c>
      <c r="C756" s="36" t="str">
        <f t="array" ref="C756">IFERROR(INDEX('Sản phẩm'!$A$4:$A$103,MATCH(B756,'Sản phẩm'!$D$4:$D$103,0)),"")</f>
        <v/>
      </c>
      <c r="D756" s="36" t="str">
        <f t="array" ref="D756">IF(B756="","",INDEX('Bán nhanh'!$B$4:$B$103,INT((ROW()-4)/10)+1))</f>
        <v/>
      </c>
      <c r="E756" s="36" t="str">
        <f t="array" ref="E756">IFERROR(INDEX('Mẻ sữa'!$B$4:$B$203,MATCH(D756,'Mẻ sữa'!$C$4:$C$203,0)),"")</f>
        <v/>
      </c>
      <c r="F756" s="82">
        <f t="array" ref="F756">IF(B756="",0,INDEX('Bán nhanh'!$D$4:$M$103,INT((ROW()-4)/10)+1,MOD(ROW()-4,10)+1))</f>
        <v>0</v>
      </c>
      <c r="G756" s="83">
        <f t="array" ref="G756">IFERROR(INDEX('Sản phẩm'!$F$4:$F$103,MATCH(B756,'Sản phẩm'!$D$4:$D$103,0)),0)</f>
        <v>0</v>
      </c>
      <c r="H756" s="83">
        <f t="shared" si="5"/>
        <v>0</v>
      </c>
      <c r="I756" s="83">
        <f t="shared" si="1"/>
        <v>0</v>
      </c>
      <c r="J756" s="83">
        <f t="array" ref="J756">IFERROR(INDEX('Sản phẩm'!$G$4:$G$103,MATCH(B756,'Sản phẩm'!$D$4:$D$103,0)),0)</f>
        <v>0</v>
      </c>
      <c r="K756" s="83">
        <f t="array" ref="K756">IFERROR(J756*INDEX('Mẻ sữa'!$N$4:$N$203,MATCH(D756,'Mẻ sữa'!$C$4:$C$203,0)),0)</f>
        <v>0</v>
      </c>
      <c r="L756" s="83">
        <f t="array" ref="L756">IFERROR(INDEX('Sản phẩm'!$I$4:$I$103,MATCH(B756,'Sản phẩm'!$D$4:$D$103,0)),0)</f>
        <v>0</v>
      </c>
      <c r="M756" s="97" t="str">
        <f t="array" ref="M756">IFERROR(INDEX('Sản phẩm'!$J$4:$J$103,MATCH(B756,'Sản phẩm'!$D$4:$D$103,0)),0)</f>
        <v/>
      </c>
      <c r="N756" s="83">
        <f>IF(B756="",0,(K756+L756+M756)*'Thiết lập'!$B$8)</f>
        <v>0</v>
      </c>
      <c r="O756" s="83">
        <f t="shared" si="2"/>
        <v>0</v>
      </c>
      <c r="P756" s="83">
        <f t="shared" si="3"/>
        <v>0</v>
      </c>
      <c r="Q756" s="83">
        <f t="shared" si="4"/>
        <v>0</v>
      </c>
      <c r="R756" s="36" t="str">
        <f t="array" ref="R756">IF(B756="","",INDEX('Bán nhanh'!$C$4:$C$103,INT((ROW()-4)/10)+1))</f>
        <v/>
      </c>
      <c r="S756" s="36" t="str">
        <f t="array" ref="S756">IF(B756="","",INDEX('Bán nhanh'!$P$4:$P$103,INT((ROW()-4)/10)+1))</f>
        <v/>
      </c>
      <c r="T756" s="36"/>
      <c r="U756" s="36"/>
      <c r="V756" s="36"/>
      <c r="W756" s="36"/>
      <c r="X756" s="36"/>
      <c r="Y756" s="36"/>
      <c r="Z756" s="36"/>
    </row>
    <row r="757" ht="15.75" customHeight="1">
      <c r="A757" s="96" t="str">
        <f t="array" ref="A757">IF(B757="","",INDEX('Bán nhanh'!$A$4:$A$103,INT((ROW()-4)/10)+1))</f>
        <v/>
      </c>
      <c r="B757" s="36" t="str">
        <f t="array" ref="B757">IF(OR(INDEX('Bán nhanh'!$D$3:$M$3,1,MOD(ROW()-4,10)+1)="",INDEX('Bán nhanh'!$D$4:$M$103,INT((ROW()-4)/10)+1,MOD(ROW()-4,10)+1)&lt;=0),"",INDEX('Bán nhanh'!$D$3:$M$3,1,MOD(ROW()-4,10)+1))</f>
        <v/>
      </c>
      <c r="C757" s="36" t="str">
        <f t="array" ref="C757">IFERROR(INDEX('Sản phẩm'!$A$4:$A$103,MATCH(B757,'Sản phẩm'!$D$4:$D$103,0)),"")</f>
        <v/>
      </c>
      <c r="D757" s="36" t="str">
        <f t="array" ref="D757">IF(B757="","",INDEX('Bán nhanh'!$B$4:$B$103,INT((ROW()-4)/10)+1))</f>
        <v/>
      </c>
      <c r="E757" s="36" t="str">
        <f t="array" ref="E757">IFERROR(INDEX('Mẻ sữa'!$B$4:$B$203,MATCH(D757,'Mẻ sữa'!$C$4:$C$203,0)),"")</f>
        <v/>
      </c>
      <c r="F757" s="82">
        <f t="array" ref="F757">IF(B757="",0,INDEX('Bán nhanh'!$D$4:$M$103,INT((ROW()-4)/10)+1,MOD(ROW()-4,10)+1))</f>
        <v>0</v>
      </c>
      <c r="G757" s="83">
        <f t="array" ref="G757">IFERROR(INDEX('Sản phẩm'!$F$4:$F$103,MATCH(B757,'Sản phẩm'!$D$4:$D$103,0)),0)</f>
        <v>0</v>
      </c>
      <c r="H757" s="83">
        <f t="shared" si="5"/>
        <v>0</v>
      </c>
      <c r="I757" s="83">
        <f t="shared" si="1"/>
        <v>0</v>
      </c>
      <c r="J757" s="83">
        <f t="array" ref="J757">IFERROR(INDEX('Sản phẩm'!$G$4:$G$103,MATCH(B757,'Sản phẩm'!$D$4:$D$103,0)),0)</f>
        <v>0</v>
      </c>
      <c r="K757" s="83">
        <f t="array" ref="K757">IFERROR(J757*INDEX('Mẻ sữa'!$N$4:$N$203,MATCH(D757,'Mẻ sữa'!$C$4:$C$203,0)),0)</f>
        <v>0</v>
      </c>
      <c r="L757" s="83">
        <f t="array" ref="L757">IFERROR(INDEX('Sản phẩm'!$I$4:$I$103,MATCH(B757,'Sản phẩm'!$D$4:$D$103,0)),0)</f>
        <v>0</v>
      </c>
      <c r="M757" s="97" t="str">
        <f t="array" ref="M757">IFERROR(INDEX('Sản phẩm'!$J$4:$J$103,MATCH(B757,'Sản phẩm'!$D$4:$D$103,0)),0)</f>
        <v/>
      </c>
      <c r="N757" s="83">
        <f>IF(B757="",0,(K757+L757+M757)*'Thiết lập'!$B$8)</f>
        <v>0</v>
      </c>
      <c r="O757" s="83">
        <f t="shared" si="2"/>
        <v>0</v>
      </c>
      <c r="P757" s="83">
        <f t="shared" si="3"/>
        <v>0</v>
      </c>
      <c r="Q757" s="83">
        <f t="shared" si="4"/>
        <v>0</v>
      </c>
      <c r="R757" s="36" t="str">
        <f t="array" ref="R757">IF(B757="","",INDEX('Bán nhanh'!$C$4:$C$103,INT((ROW()-4)/10)+1))</f>
        <v/>
      </c>
      <c r="S757" s="36" t="str">
        <f t="array" ref="S757">IF(B757="","",INDEX('Bán nhanh'!$P$4:$P$103,INT((ROW()-4)/10)+1))</f>
        <v/>
      </c>
      <c r="T757" s="36"/>
      <c r="U757" s="36"/>
      <c r="V757" s="36"/>
      <c r="W757" s="36"/>
      <c r="X757" s="36"/>
      <c r="Y757" s="36"/>
      <c r="Z757" s="36"/>
    </row>
    <row r="758" ht="15.75" customHeight="1">
      <c r="A758" s="96" t="str">
        <f t="array" ref="A758">IF(B758="","",INDEX('Bán nhanh'!$A$4:$A$103,INT((ROW()-4)/10)+1))</f>
        <v/>
      </c>
      <c r="B758" s="36" t="str">
        <f t="array" ref="B758">IF(OR(INDEX('Bán nhanh'!$D$3:$M$3,1,MOD(ROW()-4,10)+1)="",INDEX('Bán nhanh'!$D$4:$M$103,INT((ROW()-4)/10)+1,MOD(ROW()-4,10)+1)&lt;=0),"",INDEX('Bán nhanh'!$D$3:$M$3,1,MOD(ROW()-4,10)+1))</f>
        <v/>
      </c>
      <c r="C758" s="36" t="str">
        <f t="array" ref="C758">IFERROR(INDEX('Sản phẩm'!$A$4:$A$103,MATCH(B758,'Sản phẩm'!$D$4:$D$103,0)),"")</f>
        <v/>
      </c>
      <c r="D758" s="36" t="str">
        <f t="array" ref="D758">IF(B758="","",INDEX('Bán nhanh'!$B$4:$B$103,INT((ROW()-4)/10)+1))</f>
        <v/>
      </c>
      <c r="E758" s="36" t="str">
        <f t="array" ref="E758">IFERROR(INDEX('Mẻ sữa'!$B$4:$B$203,MATCH(D758,'Mẻ sữa'!$C$4:$C$203,0)),"")</f>
        <v/>
      </c>
      <c r="F758" s="82">
        <f t="array" ref="F758">IF(B758="",0,INDEX('Bán nhanh'!$D$4:$M$103,INT((ROW()-4)/10)+1,MOD(ROW()-4,10)+1))</f>
        <v>0</v>
      </c>
      <c r="G758" s="83">
        <f t="array" ref="G758">IFERROR(INDEX('Sản phẩm'!$F$4:$F$103,MATCH(B758,'Sản phẩm'!$D$4:$D$103,0)),0)</f>
        <v>0</v>
      </c>
      <c r="H758" s="83">
        <f t="shared" si="5"/>
        <v>0</v>
      </c>
      <c r="I758" s="83">
        <f t="shared" si="1"/>
        <v>0</v>
      </c>
      <c r="J758" s="83">
        <f t="array" ref="J758">IFERROR(INDEX('Sản phẩm'!$G$4:$G$103,MATCH(B758,'Sản phẩm'!$D$4:$D$103,0)),0)</f>
        <v>0</v>
      </c>
      <c r="K758" s="83">
        <f t="array" ref="K758">IFERROR(J758*INDEX('Mẻ sữa'!$N$4:$N$203,MATCH(D758,'Mẻ sữa'!$C$4:$C$203,0)),0)</f>
        <v>0</v>
      </c>
      <c r="L758" s="83">
        <f t="array" ref="L758">IFERROR(INDEX('Sản phẩm'!$I$4:$I$103,MATCH(B758,'Sản phẩm'!$D$4:$D$103,0)),0)</f>
        <v>0</v>
      </c>
      <c r="M758" s="97" t="str">
        <f t="array" ref="M758">IFERROR(INDEX('Sản phẩm'!$J$4:$J$103,MATCH(B758,'Sản phẩm'!$D$4:$D$103,0)),0)</f>
        <v/>
      </c>
      <c r="N758" s="83">
        <f>IF(B758="",0,(K758+L758+M758)*'Thiết lập'!$B$8)</f>
        <v>0</v>
      </c>
      <c r="O758" s="83">
        <f t="shared" si="2"/>
        <v>0</v>
      </c>
      <c r="P758" s="83">
        <f t="shared" si="3"/>
        <v>0</v>
      </c>
      <c r="Q758" s="83">
        <f t="shared" si="4"/>
        <v>0</v>
      </c>
      <c r="R758" s="36" t="str">
        <f t="array" ref="R758">IF(B758="","",INDEX('Bán nhanh'!$C$4:$C$103,INT((ROW()-4)/10)+1))</f>
        <v/>
      </c>
      <c r="S758" s="36" t="str">
        <f t="array" ref="S758">IF(B758="","",INDEX('Bán nhanh'!$P$4:$P$103,INT((ROW()-4)/10)+1))</f>
        <v/>
      </c>
      <c r="T758" s="36"/>
      <c r="U758" s="36"/>
      <c r="V758" s="36"/>
      <c r="W758" s="36"/>
      <c r="X758" s="36"/>
      <c r="Y758" s="36"/>
      <c r="Z758" s="36"/>
    </row>
    <row r="759" ht="15.75" customHeight="1">
      <c r="A759" s="96" t="str">
        <f t="array" ref="A759">IF(B759="","",INDEX('Bán nhanh'!$A$4:$A$103,INT((ROW()-4)/10)+1))</f>
        <v/>
      </c>
      <c r="B759" s="36" t="str">
        <f t="array" ref="B759">IF(OR(INDEX('Bán nhanh'!$D$3:$M$3,1,MOD(ROW()-4,10)+1)="",INDEX('Bán nhanh'!$D$4:$M$103,INT((ROW()-4)/10)+1,MOD(ROW()-4,10)+1)&lt;=0),"",INDEX('Bán nhanh'!$D$3:$M$3,1,MOD(ROW()-4,10)+1))</f>
        <v/>
      </c>
      <c r="C759" s="36" t="str">
        <f t="array" ref="C759">IFERROR(INDEX('Sản phẩm'!$A$4:$A$103,MATCH(B759,'Sản phẩm'!$D$4:$D$103,0)),"")</f>
        <v/>
      </c>
      <c r="D759" s="36" t="str">
        <f t="array" ref="D759">IF(B759="","",INDEX('Bán nhanh'!$B$4:$B$103,INT((ROW()-4)/10)+1))</f>
        <v/>
      </c>
      <c r="E759" s="36" t="str">
        <f t="array" ref="E759">IFERROR(INDEX('Mẻ sữa'!$B$4:$B$203,MATCH(D759,'Mẻ sữa'!$C$4:$C$203,0)),"")</f>
        <v/>
      </c>
      <c r="F759" s="82">
        <f t="array" ref="F759">IF(B759="",0,INDEX('Bán nhanh'!$D$4:$M$103,INT((ROW()-4)/10)+1,MOD(ROW()-4,10)+1))</f>
        <v>0</v>
      </c>
      <c r="G759" s="83">
        <f t="array" ref="G759">IFERROR(INDEX('Sản phẩm'!$F$4:$F$103,MATCH(B759,'Sản phẩm'!$D$4:$D$103,0)),0)</f>
        <v>0</v>
      </c>
      <c r="H759" s="83">
        <f t="shared" si="5"/>
        <v>0</v>
      </c>
      <c r="I759" s="83">
        <f t="shared" si="1"/>
        <v>0</v>
      </c>
      <c r="J759" s="83">
        <f t="array" ref="J759">IFERROR(INDEX('Sản phẩm'!$G$4:$G$103,MATCH(B759,'Sản phẩm'!$D$4:$D$103,0)),0)</f>
        <v>0</v>
      </c>
      <c r="K759" s="83">
        <f t="array" ref="K759">IFERROR(J759*INDEX('Mẻ sữa'!$N$4:$N$203,MATCH(D759,'Mẻ sữa'!$C$4:$C$203,0)),0)</f>
        <v>0</v>
      </c>
      <c r="L759" s="83">
        <f t="array" ref="L759">IFERROR(INDEX('Sản phẩm'!$I$4:$I$103,MATCH(B759,'Sản phẩm'!$D$4:$D$103,0)),0)</f>
        <v>0</v>
      </c>
      <c r="M759" s="97" t="str">
        <f t="array" ref="M759">IFERROR(INDEX('Sản phẩm'!$J$4:$J$103,MATCH(B759,'Sản phẩm'!$D$4:$D$103,0)),0)</f>
        <v/>
      </c>
      <c r="N759" s="83">
        <f>IF(B759="",0,(K759+L759+M759)*'Thiết lập'!$B$8)</f>
        <v>0</v>
      </c>
      <c r="O759" s="83">
        <f t="shared" si="2"/>
        <v>0</v>
      </c>
      <c r="P759" s="83">
        <f t="shared" si="3"/>
        <v>0</v>
      </c>
      <c r="Q759" s="83">
        <f t="shared" si="4"/>
        <v>0</v>
      </c>
      <c r="R759" s="36" t="str">
        <f t="array" ref="R759">IF(B759="","",INDEX('Bán nhanh'!$C$4:$C$103,INT((ROW()-4)/10)+1))</f>
        <v/>
      </c>
      <c r="S759" s="36" t="str">
        <f t="array" ref="S759">IF(B759="","",INDEX('Bán nhanh'!$P$4:$P$103,INT((ROW()-4)/10)+1))</f>
        <v/>
      </c>
      <c r="T759" s="36"/>
      <c r="U759" s="36"/>
      <c r="V759" s="36"/>
      <c r="W759" s="36"/>
      <c r="X759" s="36"/>
      <c r="Y759" s="36"/>
      <c r="Z759" s="36"/>
    </row>
    <row r="760" ht="15.75" customHeight="1">
      <c r="A760" s="96" t="str">
        <f t="array" ref="A760">IF(B760="","",INDEX('Bán nhanh'!$A$4:$A$103,INT((ROW()-4)/10)+1))</f>
        <v/>
      </c>
      <c r="B760" s="36" t="str">
        <f t="array" ref="B760">IF(OR(INDEX('Bán nhanh'!$D$3:$M$3,1,MOD(ROW()-4,10)+1)="",INDEX('Bán nhanh'!$D$4:$M$103,INT((ROW()-4)/10)+1,MOD(ROW()-4,10)+1)&lt;=0),"",INDEX('Bán nhanh'!$D$3:$M$3,1,MOD(ROW()-4,10)+1))</f>
        <v/>
      </c>
      <c r="C760" s="36" t="str">
        <f t="array" ref="C760">IFERROR(INDEX('Sản phẩm'!$A$4:$A$103,MATCH(B760,'Sản phẩm'!$D$4:$D$103,0)),"")</f>
        <v/>
      </c>
      <c r="D760" s="36" t="str">
        <f t="array" ref="D760">IF(B760="","",INDEX('Bán nhanh'!$B$4:$B$103,INT((ROW()-4)/10)+1))</f>
        <v/>
      </c>
      <c r="E760" s="36" t="str">
        <f t="array" ref="E760">IFERROR(INDEX('Mẻ sữa'!$B$4:$B$203,MATCH(D760,'Mẻ sữa'!$C$4:$C$203,0)),"")</f>
        <v/>
      </c>
      <c r="F760" s="82">
        <f t="array" ref="F760">IF(B760="",0,INDEX('Bán nhanh'!$D$4:$M$103,INT((ROW()-4)/10)+1,MOD(ROW()-4,10)+1))</f>
        <v>0</v>
      </c>
      <c r="G760" s="83">
        <f t="array" ref="G760">IFERROR(INDEX('Sản phẩm'!$F$4:$F$103,MATCH(B760,'Sản phẩm'!$D$4:$D$103,0)),0)</f>
        <v>0</v>
      </c>
      <c r="H760" s="83">
        <f t="shared" si="5"/>
        <v>0</v>
      </c>
      <c r="I760" s="83">
        <f t="shared" si="1"/>
        <v>0</v>
      </c>
      <c r="J760" s="83">
        <f t="array" ref="J760">IFERROR(INDEX('Sản phẩm'!$G$4:$G$103,MATCH(B760,'Sản phẩm'!$D$4:$D$103,0)),0)</f>
        <v>0</v>
      </c>
      <c r="K760" s="83">
        <f t="array" ref="K760">IFERROR(J760*INDEX('Mẻ sữa'!$N$4:$N$203,MATCH(D760,'Mẻ sữa'!$C$4:$C$203,0)),0)</f>
        <v>0</v>
      </c>
      <c r="L760" s="83">
        <f t="array" ref="L760">IFERROR(INDEX('Sản phẩm'!$I$4:$I$103,MATCH(B760,'Sản phẩm'!$D$4:$D$103,0)),0)</f>
        <v>0</v>
      </c>
      <c r="M760" s="97" t="str">
        <f t="array" ref="M760">IFERROR(INDEX('Sản phẩm'!$J$4:$J$103,MATCH(B760,'Sản phẩm'!$D$4:$D$103,0)),0)</f>
        <v/>
      </c>
      <c r="N760" s="83">
        <f>IF(B760="",0,(K760+L760+M760)*'Thiết lập'!$B$8)</f>
        <v>0</v>
      </c>
      <c r="O760" s="83">
        <f t="shared" si="2"/>
        <v>0</v>
      </c>
      <c r="P760" s="83">
        <f t="shared" si="3"/>
        <v>0</v>
      </c>
      <c r="Q760" s="83">
        <f t="shared" si="4"/>
        <v>0</v>
      </c>
      <c r="R760" s="36" t="str">
        <f t="array" ref="R760">IF(B760="","",INDEX('Bán nhanh'!$C$4:$C$103,INT((ROW()-4)/10)+1))</f>
        <v/>
      </c>
      <c r="S760" s="36" t="str">
        <f t="array" ref="S760">IF(B760="","",INDEX('Bán nhanh'!$P$4:$P$103,INT((ROW()-4)/10)+1))</f>
        <v/>
      </c>
      <c r="T760" s="36"/>
      <c r="U760" s="36"/>
      <c r="V760" s="36"/>
      <c r="W760" s="36"/>
      <c r="X760" s="36"/>
      <c r="Y760" s="36"/>
      <c r="Z760" s="36"/>
    </row>
    <row r="761" ht="15.75" customHeight="1">
      <c r="A761" s="96" t="str">
        <f t="array" ref="A761">IF(B761="","",INDEX('Bán nhanh'!$A$4:$A$103,INT((ROW()-4)/10)+1))</f>
        <v/>
      </c>
      <c r="B761" s="36" t="str">
        <f t="array" ref="B761">IF(OR(INDEX('Bán nhanh'!$D$3:$M$3,1,MOD(ROW()-4,10)+1)="",INDEX('Bán nhanh'!$D$4:$M$103,INT((ROW()-4)/10)+1,MOD(ROW()-4,10)+1)&lt;=0),"",INDEX('Bán nhanh'!$D$3:$M$3,1,MOD(ROW()-4,10)+1))</f>
        <v/>
      </c>
      <c r="C761" s="36" t="str">
        <f t="array" ref="C761">IFERROR(INDEX('Sản phẩm'!$A$4:$A$103,MATCH(B761,'Sản phẩm'!$D$4:$D$103,0)),"")</f>
        <v/>
      </c>
      <c r="D761" s="36" t="str">
        <f t="array" ref="D761">IF(B761="","",INDEX('Bán nhanh'!$B$4:$B$103,INT((ROW()-4)/10)+1))</f>
        <v/>
      </c>
      <c r="E761" s="36" t="str">
        <f t="array" ref="E761">IFERROR(INDEX('Mẻ sữa'!$B$4:$B$203,MATCH(D761,'Mẻ sữa'!$C$4:$C$203,0)),"")</f>
        <v/>
      </c>
      <c r="F761" s="82">
        <f t="array" ref="F761">IF(B761="",0,INDEX('Bán nhanh'!$D$4:$M$103,INT((ROW()-4)/10)+1,MOD(ROW()-4,10)+1))</f>
        <v>0</v>
      </c>
      <c r="G761" s="83">
        <f t="array" ref="G761">IFERROR(INDEX('Sản phẩm'!$F$4:$F$103,MATCH(B761,'Sản phẩm'!$D$4:$D$103,0)),0)</f>
        <v>0</v>
      </c>
      <c r="H761" s="83">
        <f t="shared" si="5"/>
        <v>0</v>
      </c>
      <c r="I761" s="83">
        <f t="shared" si="1"/>
        <v>0</v>
      </c>
      <c r="J761" s="83">
        <f t="array" ref="J761">IFERROR(INDEX('Sản phẩm'!$G$4:$G$103,MATCH(B761,'Sản phẩm'!$D$4:$D$103,0)),0)</f>
        <v>0</v>
      </c>
      <c r="K761" s="83">
        <f t="array" ref="K761">IFERROR(J761*INDEX('Mẻ sữa'!$N$4:$N$203,MATCH(D761,'Mẻ sữa'!$C$4:$C$203,0)),0)</f>
        <v>0</v>
      </c>
      <c r="L761" s="83">
        <f t="array" ref="L761">IFERROR(INDEX('Sản phẩm'!$I$4:$I$103,MATCH(B761,'Sản phẩm'!$D$4:$D$103,0)),0)</f>
        <v>0</v>
      </c>
      <c r="M761" s="97" t="str">
        <f t="array" ref="M761">IFERROR(INDEX('Sản phẩm'!$J$4:$J$103,MATCH(B761,'Sản phẩm'!$D$4:$D$103,0)),0)</f>
        <v/>
      </c>
      <c r="N761" s="83">
        <f>IF(B761="",0,(K761+L761+M761)*'Thiết lập'!$B$8)</f>
        <v>0</v>
      </c>
      <c r="O761" s="83">
        <f t="shared" si="2"/>
        <v>0</v>
      </c>
      <c r="P761" s="83">
        <f t="shared" si="3"/>
        <v>0</v>
      </c>
      <c r="Q761" s="83">
        <f t="shared" si="4"/>
        <v>0</v>
      </c>
      <c r="R761" s="36" t="str">
        <f t="array" ref="R761">IF(B761="","",INDEX('Bán nhanh'!$C$4:$C$103,INT((ROW()-4)/10)+1))</f>
        <v/>
      </c>
      <c r="S761" s="36" t="str">
        <f t="array" ref="S761">IF(B761="","",INDEX('Bán nhanh'!$P$4:$P$103,INT((ROW()-4)/10)+1))</f>
        <v/>
      </c>
      <c r="T761" s="36"/>
      <c r="U761" s="36"/>
      <c r="V761" s="36"/>
      <c r="W761" s="36"/>
      <c r="X761" s="36"/>
      <c r="Y761" s="36"/>
      <c r="Z761" s="36"/>
    </row>
    <row r="762" ht="15.75" customHeight="1">
      <c r="A762" s="96" t="str">
        <f t="array" ref="A762">IF(B762="","",INDEX('Bán nhanh'!$A$4:$A$103,INT((ROW()-4)/10)+1))</f>
        <v/>
      </c>
      <c r="B762" s="36" t="str">
        <f t="array" ref="B762">IF(OR(INDEX('Bán nhanh'!$D$3:$M$3,1,MOD(ROW()-4,10)+1)="",INDEX('Bán nhanh'!$D$4:$M$103,INT((ROW()-4)/10)+1,MOD(ROW()-4,10)+1)&lt;=0),"",INDEX('Bán nhanh'!$D$3:$M$3,1,MOD(ROW()-4,10)+1))</f>
        <v/>
      </c>
      <c r="C762" s="36" t="str">
        <f t="array" ref="C762">IFERROR(INDEX('Sản phẩm'!$A$4:$A$103,MATCH(B762,'Sản phẩm'!$D$4:$D$103,0)),"")</f>
        <v/>
      </c>
      <c r="D762" s="36" t="str">
        <f t="array" ref="D762">IF(B762="","",INDEX('Bán nhanh'!$B$4:$B$103,INT((ROW()-4)/10)+1))</f>
        <v/>
      </c>
      <c r="E762" s="36" t="str">
        <f t="array" ref="E762">IFERROR(INDEX('Mẻ sữa'!$B$4:$B$203,MATCH(D762,'Mẻ sữa'!$C$4:$C$203,0)),"")</f>
        <v/>
      </c>
      <c r="F762" s="82">
        <f t="array" ref="F762">IF(B762="",0,INDEX('Bán nhanh'!$D$4:$M$103,INT((ROW()-4)/10)+1,MOD(ROW()-4,10)+1))</f>
        <v>0</v>
      </c>
      <c r="G762" s="83">
        <f t="array" ref="G762">IFERROR(INDEX('Sản phẩm'!$F$4:$F$103,MATCH(B762,'Sản phẩm'!$D$4:$D$103,0)),0)</f>
        <v>0</v>
      </c>
      <c r="H762" s="83">
        <f t="shared" si="5"/>
        <v>0</v>
      </c>
      <c r="I762" s="83">
        <f t="shared" si="1"/>
        <v>0</v>
      </c>
      <c r="J762" s="83">
        <f t="array" ref="J762">IFERROR(INDEX('Sản phẩm'!$G$4:$G$103,MATCH(B762,'Sản phẩm'!$D$4:$D$103,0)),0)</f>
        <v>0</v>
      </c>
      <c r="K762" s="83">
        <f t="array" ref="K762">IFERROR(J762*INDEX('Mẻ sữa'!$N$4:$N$203,MATCH(D762,'Mẻ sữa'!$C$4:$C$203,0)),0)</f>
        <v>0</v>
      </c>
      <c r="L762" s="83">
        <f t="array" ref="L762">IFERROR(INDEX('Sản phẩm'!$I$4:$I$103,MATCH(B762,'Sản phẩm'!$D$4:$D$103,0)),0)</f>
        <v>0</v>
      </c>
      <c r="M762" s="97" t="str">
        <f t="array" ref="M762">IFERROR(INDEX('Sản phẩm'!$J$4:$J$103,MATCH(B762,'Sản phẩm'!$D$4:$D$103,0)),0)</f>
        <v/>
      </c>
      <c r="N762" s="83">
        <f>IF(B762="",0,(K762+L762+M762)*'Thiết lập'!$B$8)</f>
        <v>0</v>
      </c>
      <c r="O762" s="83">
        <f t="shared" si="2"/>
        <v>0</v>
      </c>
      <c r="P762" s="83">
        <f t="shared" si="3"/>
        <v>0</v>
      </c>
      <c r="Q762" s="83">
        <f t="shared" si="4"/>
        <v>0</v>
      </c>
      <c r="R762" s="36" t="str">
        <f t="array" ref="R762">IF(B762="","",INDEX('Bán nhanh'!$C$4:$C$103,INT((ROW()-4)/10)+1))</f>
        <v/>
      </c>
      <c r="S762" s="36" t="str">
        <f t="array" ref="S762">IF(B762="","",INDEX('Bán nhanh'!$P$4:$P$103,INT((ROW()-4)/10)+1))</f>
        <v/>
      </c>
      <c r="T762" s="36"/>
      <c r="U762" s="36"/>
      <c r="V762" s="36"/>
      <c r="W762" s="36"/>
      <c r="X762" s="36"/>
      <c r="Y762" s="36"/>
      <c r="Z762" s="36"/>
    </row>
    <row r="763" ht="15.75" customHeight="1">
      <c r="A763" s="96" t="str">
        <f t="array" ref="A763">IF(B763="","",INDEX('Bán nhanh'!$A$4:$A$103,INT((ROW()-4)/10)+1))</f>
        <v/>
      </c>
      <c r="B763" s="36" t="str">
        <f t="array" ref="B763">IF(OR(INDEX('Bán nhanh'!$D$3:$M$3,1,MOD(ROW()-4,10)+1)="",INDEX('Bán nhanh'!$D$4:$M$103,INT((ROW()-4)/10)+1,MOD(ROW()-4,10)+1)&lt;=0),"",INDEX('Bán nhanh'!$D$3:$M$3,1,MOD(ROW()-4,10)+1))</f>
        <v/>
      </c>
      <c r="C763" s="36" t="str">
        <f t="array" ref="C763">IFERROR(INDEX('Sản phẩm'!$A$4:$A$103,MATCH(B763,'Sản phẩm'!$D$4:$D$103,0)),"")</f>
        <v/>
      </c>
      <c r="D763" s="36" t="str">
        <f t="array" ref="D763">IF(B763="","",INDEX('Bán nhanh'!$B$4:$B$103,INT((ROW()-4)/10)+1))</f>
        <v/>
      </c>
      <c r="E763" s="36" t="str">
        <f t="array" ref="E763">IFERROR(INDEX('Mẻ sữa'!$B$4:$B$203,MATCH(D763,'Mẻ sữa'!$C$4:$C$203,0)),"")</f>
        <v/>
      </c>
      <c r="F763" s="82">
        <f t="array" ref="F763">IF(B763="",0,INDEX('Bán nhanh'!$D$4:$M$103,INT((ROW()-4)/10)+1,MOD(ROW()-4,10)+1))</f>
        <v>0</v>
      </c>
      <c r="G763" s="83">
        <f t="array" ref="G763">IFERROR(INDEX('Sản phẩm'!$F$4:$F$103,MATCH(B763,'Sản phẩm'!$D$4:$D$103,0)),0)</f>
        <v>0</v>
      </c>
      <c r="H763" s="83">
        <f t="shared" si="5"/>
        <v>0</v>
      </c>
      <c r="I763" s="83">
        <f t="shared" si="1"/>
        <v>0</v>
      </c>
      <c r="J763" s="83">
        <f t="array" ref="J763">IFERROR(INDEX('Sản phẩm'!$G$4:$G$103,MATCH(B763,'Sản phẩm'!$D$4:$D$103,0)),0)</f>
        <v>0</v>
      </c>
      <c r="K763" s="83">
        <f t="array" ref="K763">IFERROR(J763*INDEX('Mẻ sữa'!$N$4:$N$203,MATCH(D763,'Mẻ sữa'!$C$4:$C$203,0)),0)</f>
        <v>0</v>
      </c>
      <c r="L763" s="83">
        <f t="array" ref="L763">IFERROR(INDEX('Sản phẩm'!$I$4:$I$103,MATCH(B763,'Sản phẩm'!$D$4:$D$103,0)),0)</f>
        <v>0</v>
      </c>
      <c r="M763" s="97" t="str">
        <f t="array" ref="M763">IFERROR(INDEX('Sản phẩm'!$J$4:$J$103,MATCH(B763,'Sản phẩm'!$D$4:$D$103,0)),0)</f>
        <v/>
      </c>
      <c r="N763" s="83">
        <f>IF(B763="",0,(K763+L763+M763)*'Thiết lập'!$B$8)</f>
        <v>0</v>
      </c>
      <c r="O763" s="83">
        <f t="shared" si="2"/>
        <v>0</v>
      </c>
      <c r="P763" s="83">
        <f t="shared" si="3"/>
        <v>0</v>
      </c>
      <c r="Q763" s="83">
        <f t="shared" si="4"/>
        <v>0</v>
      </c>
      <c r="R763" s="36" t="str">
        <f t="array" ref="R763">IF(B763="","",INDEX('Bán nhanh'!$C$4:$C$103,INT((ROW()-4)/10)+1))</f>
        <v/>
      </c>
      <c r="S763" s="36" t="str">
        <f t="array" ref="S763">IF(B763="","",INDEX('Bán nhanh'!$P$4:$P$103,INT((ROW()-4)/10)+1))</f>
        <v/>
      </c>
      <c r="T763" s="36"/>
      <c r="U763" s="36"/>
      <c r="V763" s="36"/>
      <c r="W763" s="36"/>
      <c r="X763" s="36"/>
      <c r="Y763" s="36"/>
      <c r="Z763" s="36"/>
    </row>
    <row r="764" ht="15.75" customHeight="1">
      <c r="A764" s="96" t="str">
        <f t="array" ref="A764">IF(B764="","",INDEX('Bán nhanh'!$A$4:$A$103,INT((ROW()-4)/10)+1))</f>
        <v/>
      </c>
      <c r="B764" s="36" t="str">
        <f t="array" ref="B764">IF(OR(INDEX('Bán nhanh'!$D$3:$M$3,1,MOD(ROW()-4,10)+1)="",INDEX('Bán nhanh'!$D$4:$M$103,INT((ROW()-4)/10)+1,MOD(ROW()-4,10)+1)&lt;=0),"",INDEX('Bán nhanh'!$D$3:$M$3,1,MOD(ROW()-4,10)+1))</f>
        <v/>
      </c>
      <c r="C764" s="36" t="str">
        <f t="array" ref="C764">IFERROR(INDEX('Sản phẩm'!$A$4:$A$103,MATCH(B764,'Sản phẩm'!$D$4:$D$103,0)),"")</f>
        <v/>
      </c>
      <c r="D764" s="36" t="str">
        <f t="array" ref="D764">IF(B764="","",INDEX('Bán nhanh'!$B$4:$B$103,INT((ROW()-4)/10)+1))</f>
        <v/>
      </c>
      <c r="E764" s="36" t="str">
        <f t="array" ref="E764">IFERROR(INDEX('Mẻ sữa'!$B$4:$B$203,MATCH(D764,'Mẻ sữa'!$C$4:$C$203,0)),"")</f>
        <v/>
      </c>
      <c r="F764" s="82">
        <f t="array" ref="F764">IF(B764="",0,INDEX('Bán nhanh'!$D$4:$M$103,INT((ROW()-4)/10)+1,MOD(ROW()-4,10)+1))</f>
        <v>0</v>
      </c>
      <c r="G764" s="83">
        <f t="array" ref="G764">IFERROR(INDEX('Sản phẩm'!$F$4:$F$103,MATCH(B764,'Sản phẩm'!$D$4:$D$103,0)),0)</f>
        <v>0</v>
      </c>
      <c r="H764" s="83">
        <f t="shared" si="5"/>
        <v>0</v>
      </c>
      <c r="I764" s="83">
        <f t="shared" si="1"/>
        <v>0</v>
      </c>
      <c r="J764" s="83">
        <f t="array" ref="J764">IFERROR(INDEX('Sản phẩm'!$G$4:$G$103,MATCH(B764,'Sản phẩm'!$D$4:$D$103,0)),0)</f>
        <v>0</v>
      </c>
      <c r="K764" s="83">
        <f t="array" ref="K764">IFERROR(J764*INDEX('Mẻ sữa'!$N$4:$N$203,MATCH(D764,'Mẻ sữa'!$C$4:$C$203,0)),0)</f>
        <v>0</v>
      </c>
      <c r="L764" s="83">
        <f t="array" ref="L764">IFERROR(INDEX('Sản phẩm'!$I$4:$I$103,MATCH(B764,'Sản phẩm'!$D$4:$D$103,0)),0)</f>
        <v>0</v>
      </c>
      <c r="M764" s="97" t="str">
        <f t="array" ref="M764">IFERROR(INDEX('Sản phẩm'!$J$4:$J$103,MATCH(B764,'Sản phẩm'!$D$4:$D$103,0)),0)</f>
        <v/>
      </c>
      <c r="N764" s="83">
        <f>IF(B764="",0,(K764+L764+M764)*'Thiết lập'!$B$8)</f>
        <v>0</v>
      </c>
      <c r="O764" s="83">
        <f t="shared" si="2"/>
        <v>0</v>
      </c>
      <c r="P764" s="83">
        <f t="shared" si="3"/>
        <v>0</v>
      </c>
      <c r="Q764" s="83">
        <f t="shared" si="4"/>
        <v>0</v>
      </c>
      <c r="R764" s="36" t="str">
        <f t="array" ref="R764">IF(B764="","",INDEX('Bán nhanh'!$C$4:$C$103,INT((ROW()-4)/10)+1))</f>
        <v/>
      </c>
      <c r="S764" s="36" t="str">
        <f t="array" ref="S764">IF(B764="","",INDEX('Bán nhanh'!$P$4:$P$103,INT((ROW()-4)/10)+1))</f>
        <v/>
      </c>
      <c r="T764" s="36"/>
      <c r="U764" s="36"/>
      <c r="V764" s="36"/>
      <c r="W764" s="36"/>
      <c r="X764" s="36"/>
      <c r="Y764" s="36"/>
      <c r="Z764" s="36"/>
    </row>
    <row r="765" ht="15.75" customHeight="1">
      <c r="A765" s="96" t="str">
        <f t="array" ref="A765">IF(B765="","",INDEX('Bán nhanh'!$A$4:$A$103,INT((ROW()-4)/10)+1))</f>
        <v/>
      </c>
      <c r="B765" s="36" t="str">
        <f t="array" ref="B765">IF(OR(INDEX('Bán nhanh'!$D$3:$M$3,1,MOD(ROW()-4,10)+1)="",INDEX('Bán nhanh'!$D$4:$M$103,INT((ROW()-4)/10)+1,MOD(ROW()-4,10)+1)&lt;=0),"",INDEX('Bán nhanh'!$D$3:$M$3,1,MOD(ROW()-4,10)+1))</f>
        <v/>
      </c>
      <c r="C765" s="36" t="str">
        <f t="array" ref="C765">IFERROR(INDEX('Sản phẩm'!$A$4:$A$103,MATCH(B765,'Sản phẩm'!$D$4:$D$103,0)),"")</f>
        <v/>
      </c>
      <c r="D765" s="36" t="str">
        <f t="array" ref="D765">IF(B765="","",INDEX('Bán nhanh'!$B$4:$B$103,INT((ROW()-4)/10)+1))</f>
        <v/>
      </c>
      <c r="E765" s="36" t="str">
        <f t="array" ref="E765">IFERROR(INDEX('Mẻ sữa'!$B$4:$B$203,MATCH(D765,'Mẻ sữa'!$C$4:$C$203,0)),"")</f>
        <v/>
      </c>
      <c r="F765" s="82">
        <f t="array" ref="F765">IF(B765="",0,INDEX('Bán nhanh'!$D$4:$M$103,INT((ROW()-4)/10)+1,MOD(ROW()-4,10)+1))</f>
        <v>0</v>
      </c>
      <c r="G765" s="83">
        <f t="array" ref="G765">IFERROR(INDEX('Sản phẩm'!$F$4:$F$103,MATCH(B765,'Sản phẩm'!$D$4:$D$103,0)),0)</f>
        <v>0</v>
      </c>
      <c r="H765" s="83">
        <f t="shared" si="5"/>
        <v>0</v>
      </c>
      <c r="I765" s="83">
        <f t="shared" si="1"/>
        <v>0</v>
      </c>
      <c r="J765" s="83">
        <f t="array" ref="J765">IFERROR(INDEX('Sản phẩm'!$G$4:$G$103,MATCH(B765,'Sản phẩm'!$D$4:$D$103,0)),0)</f>
        <v>0</v>
      </c>
      <c r="K765" s="83">
        <f t="array" ref="K765">IFERROR(J765*INDEX('Mẻ sữa'!$N$4:$N$203,MATCH(D765,'Mẻ sữa'!$C$4:$C$203,0)),0)</f>
        <v>0</v>
      </c>
      <c r="L765" s="83">
        <f t="array" ref="L765">IFERROR(INDEX('Sản phẩm'!$I$4:$I$103,MATCH(B765,'Sản phẩm'!$D$4:$D$103,0)),0)</f>
        <v>0</v>
      </c>
      <c r="M765" s="97" t="str">
        <f t="array" ref="M765">IFERROR(INDEX('Sản phẩm'!$J$4:$J$103,MATCH(B765,'Sản phẩm'!$D$4:$D$103,0)),0)</f>
        <v/>
      </c>
      <c r="N765" s="83">
        <f>IF(B765="",0,(K765+L765+M765)*'Thiết lập'!$B$8)</f>
        <v>0</v>
      </c>
      <c r="O765" s="83">
        <f t="shared" si="2"/>
        <v>0</v>
      </c>
      <c r="P765" s="83">
        <f t="shared" si="3"/>
        <v>0</v>
      </c>
      <c r="Q765" s="83">
        <f t="shared" si="4"/>
        <v>0</v>
      </c>
      <c r="R765" s="36" t="str">
        <f t="array" ref="R765">IF(B765="","",INDEX('Bán nhanh'!$C$4:$C$103,INT((ROW()-4)/10)+1))</f>
        <v/>
      </c>
      <c r="S765" s="36" t="str">
        <f t="array" ref="S765">IF(B765="","",INDEX('Bán nhanh'!$P$4:$P$103,INT((ROW()-4)/10)+1))</f>
        <v/>
      </c>
      <c r="T765" s="36"/>
      <c r="U765" s="36"/>
      <c r="V765" s="36"/>
      <c r="W765" s="36"/>
      <c r="X765" s="36"/>
      <c r="Y765" s="36"/>
      <c r="Z765" s="36"/>
    </row>
    <row r="766" ht="15.75" customHeight="1">
      <c r="A766" s="96" t="str">
        <f t="array" ref="A766">IF(B766="","",INDEX('Bán nhanh'!$A$4:$A$103,INT((ROW()-4)/10)+1))</f>
        <v/>
      </c>
      <c r="B766" s="36" t="str">
        <f t="array" ref="B766">IF(OR(INDEX('Bán nhanh'!$D$3:$M$3,1,MOD(ROW()-4,10)+1)="",INDEX('Bán nhanh'!$D$4:$M$103,INT((ROW()-4)/10)+1,MOD(ROW()-4,10)+1)&lt;=0),"",INDEX('Bán nhanh'!$D$3:$M$3,1,MOD(ROW()-4,10)+1))</f>
        <v/>
      </c>
      <c r="C766" s="36" t="str">
        <f t="array" ref="C766">IFERROR(INDEX('Sản phẩm'!$A$4:$A$103,MATCH(B766,'Sản phẩm'!$D$4:$D$103,0)),"")</f>
        <v/>
      </c>
      <c r="D766" s="36" t="str">
        <f t="array" ref="D766">IF(B766="","",INDEX('Bán nhanh'!$B$4:$B$103,INT((ROW()-4)/10)+1))</f>
        <v/>
      </c>
      <c r="E766" s="36" t="str">
        <f t="array" ref="E766">IFERROR(INDEX('Mẻ sữa'!$B$4:$B$203,MATCH(D766,'Mẻ sữa'!$C$4:$C$203,0)),"")</f>
        <v/>
      </c>
      <c r="F766" s="82">
        <f t="array" ref="F766">IF(B766="",0,INDEX('Bán nhanh'!$D$4:$M$103,INT((ROW()-4)/10)+1,MOD(ROW()-4,10)+1))</f>
        <v>0</v>
      </c>
      <c r="G766" s="83">
        <f t="array" ref="G766">IFERROR(INDEX('Sản phẩm'!$F$4:$F$103,MATCH(B766,'Sản phẩm'!$D$4:$D$103,0)),0)</f>
        <v>0</v>
      </c>
      <c r="H766" s="83">
        <f t="shared" si="5"/>
        <v>0</v>
      </c>
      <c r="I766" s="83">
        <f t="shared" si="1"/>
        <v>0</v>
      </c>
      <c r="J766" s="83">
        <f t="array" ref="J766">IFERROR(INDEX('Sản phẩm'!$G$4:$G$103,MATCH(B766,'Sản phẩm'!$D$4:$D$103,0)),0)</f>
        <v>0</v>
      </c>
      <c r="K766" s="83">
        <f t="array" ref="K766">IFERROR(J766*INDEX('Mẻ sữa'!$N$4:$N$203,MATCH(D766,'Mẻ sữa'!$C$4:$C$203,0)),0)</f>
        <v>0</v>
      </c>
      <c r="L766" s="83">
        <f t="array" ref="L766">IFERROR(INDEX('Sản phẩm'!$I$4:$I$103,MATCH(B766,'Sản phẩm'!$D$4:$D$103,0)),0)</f>
        <v>0</v>
      </c>
      <c r="M766" s="97" t="str">
        <f t="array" ref="M766">IFERROR(INDEX('Sản phẩm'!$J$4:$J$103,MATCH(B766,'Sản phẩm'!$D$4:$D$103,0)),0)</f>
        <v/>
      </c>
      <c r="N766" s="83">
        <f>IF(B766="",0,(K766+L766+M766)*'Thiết lập'!$B$8)</f>
        <v>0</v>
      </c>
      <c r="O766" s="83">
        <f t="shared" si="2"/>
        <v>0</v>
      </c>
      <c r="P766" s="83">
        <f t="shared" si="3"/>
        <v>0</v>
      </c>
      <c r="Q766" s="83">
        <f t="shared" si="4"/>
        <v>0</v>
      </c>
      <c r="R766" s="36" t="str">
        <f t="array" ref="R766">IF(B766="","",INDEX('Bán nhanh'!$C$4:$C$103,INT((ROW()-4)/10)+1))</f>
        <v/>
      </c>
      <c r="S766" s="36" t="str">
        <f t="array" ref="S766">IF(B766="","",INDEX('Bán nhanh'!$P$4:$P$103,INT((ROW()-4)/10)+1))</f>
        <v/>
      </c>
      <c r="T766" s="36"/>
      <c r="U766" s="36"/>
      <c r="V766" s="36"/>
      <c r="W766" s="36"/>
      <c r="X766" s="36"/>
      <c r="Y766" s="36"/>
      <c r="Z766" s="36"/>
    </row>
    <row r="767" ht="15.75" customHeight="1">
      <c r="A767" s="96" t="str">
        <f t="array" ref="A767">IF(B767="","",INDEX('Bán nhanh'!$A$4:$A$103,INT((ROW()-4)/10)+1))</f>
        <v/>
      </c>
      <c r="B767" s="36" t="str">
        <f t="array" ref="B767">IF(OR(INDEX('Bán nhanh'!$D$3:$M$3,1,MOD(ROW()-4,10)+1)="",INDEX('Bán nhanh'!$D$4:$M$103,INT((ROW()-4)/10)+1,MOD(ROW()-4,10)+1)&lt;=0),"",INDEX('Bán nhanh'!$D$3:$M$3,1,MOD(ROW()-4,10)+1))</f>
        <v/>
      </c>
      <c r="C767" s="36" t="str">
        <f t="array" ref="C767">IFERROR(INDEX('Sản phẩm'!$A$4:$A$103,MATCH(B767,'Sản phẩm'!$D$4:$D$103,0)),"")</f>
        <v/>
      </c>
      <c r="D767" s="36" t="str">
        <f t="array" ref="D767">IF(B767="","",INDEX('Bán nhanh'!$B$4:$B$103,INT((ROW()-4)/10)+1))</f>
        <v/>
      </c>
      <c r="E767" s="36" t="str">
        <f t="array" ref="E767">IFERROR(INDEX('Mẻ sữa'!$B$4:$B$203,MATCH(D767,'Mẻ sữa'!$C$4:$C$203,0)),"")</f>
        <v/>
      </c>
      <c r="F767" s="82">
        <f t="array" ref="F767">IF(B767="",0,INDEX('Bán nhanh'!$D$4:$M$103,INT((ROW()-4)/10)+1,MOD(ROW()-4,10)+1))</f>
        <v>0</v>
      </c>
      <c r="G767" s="83">
        <f t="array" ref="G767">IFERROR(INDEX('Sản phẩm'!$F$4:$F$103,MATCH(B767,'Sản phẩm'!$D$4:$D$103,0)),0)</f>
        <v>0</v>
      </c>
      <c r="H767" s="83">
        <f t="shared" si="5"/>
        <v>0</v>
      </c>
      <c r="I767" s="83">
        <f t="shared" si="1"/>
        <v>0</v>
      </c>
      <c r="J767" s="83">
        <f t="array" ref="J767">IFERROR(INDEX('Sản phẩm'!$G$4:$G$103,MATCH(B767,'Sản phẩm'!$D$4:$D$103,0)),0)</f>
        <v>0</v>
      </c>
      <c r="K767" s="83">
        <f t="array" ref="K767">IFERROR(J767*INDEX('Mẻ sữa'!$N$4:$N$203,MATCH(D767,'Mẻ sữa'!$C$4:$C$203,0)),0)</f>
        <v>0</v>
      </c>
      <c r="L767" s="83">
        <f t="array" ref="L767">IFERROR(INDEX('Sản phẩm'!$I$4:$I$103,MATCH(B767,'Sản phẩm'!$D$4:$D$103,0)),0)</f>
        <v>0</v>
      </c>
      <c r="M767" s="97" t="str">
        <f t="array" ref="M767">IFERROR(INDEX('Sản phẩm'!$J$4:$J$103,MATCH(B767,'Sản phẩm'!$D$4:$D$103,0)),0)</f>
        <v/>
      </c>
      <c r="N767" s="83">
        <f>IF(B767="",0,(K767+L767+M767)*'Thiết lập'!$B$8)</f>
        <v>0</v>
      </c>
      <c r="O767" s="83">
        <f t="shared" si="2"/>
        <v>0</v>
      </c>
      <c r="P767" s="83">
        <f t="shared" si="3"/>
        <v>0</v>
      </c>
      <c r="Q767" s="83">
        <f t="shared" si="4"/>
        <v>0</v>
      </c>
      <c r="R767" s="36" t="str">
        <f t="array" ref="R767">IF(B767="","",INDEX('Bán nhanh'!$C$4:$C$103,INT((ROW()-4)/10)+1))</f>
        <v/>
      </c>
      <c r="S767" s="36" t="str">
        <f t="array" ref="S767">IF(B767="","",INDEX('Bán nhanh'!$P$4:$P$103,INT((ROW()-4)/10)+1))</f>
        <v/>
      </c>
      <c r="T767" s="36"/>
      <c r="U767" s="36"/>
      <c r="V767" s="36"/>
      <c r="W767" s="36"/>
      <c r="X767" s="36"/>
      <c r="Y767" s="36"/>
      <c r="Z767" s="36"/>
    </row>
    <row r="768" ht="15.75" customHeight="1">
      <c r="A768" s="96" t="str">
        <f t="array" ref="A768">IF(B768="","",INDEX('Bán nhanh'!$A$4:$A$103,INT((ROW()-4)/10)+1))</f>
        <v/>
      </c>
      <c r="B768" s="36" t="str">
        <f t="array" ref="B768">IF(OR(INDEX('Bán nhanh'!$D$3:$M$3,1,MOD(ROW()-4,10)+1)="",INDEX('Bán nhanh'!$D$4:$M$103,INT((ROW()-4)/10)+1,MOD(ROW()-4,10)+1)&lt;=0),"",INDEX('Bán nhanh'!$D$3:$M$3,1,MOD(ROW()-4,10)+1))</f>
        <v/>
      </c>
      <c r="C768" s="36" t="str">
        <f t="array" ref="C768">IFERROR(INDEX('Sản phẩm'!$A$4:$A$103,MATCH(B768,'Sản phẩm'!$D$4:$D$103,0)),"")</f>
        <v/>
      </c>
      <c r="D768" s="36" t="str">
        <f t="array" ref="D768">IF(B768="","",INDEX('Bán nhanh'!$B$4:$B$103,INT((ROW()-4)/10)+1))</f>
        <v/>
      </c>
      <c r="E768" s="36" t="str">
        <f t="array" ref="E768">IFERROR(INDEX('Mẻ sữa'!$B$4:$B$203,MATCH(D768,'Mẻ sữa'!$C$4:$C$203,0)),"")</f>
        <v/>
      </c>
      <c r="F768" s="82">
        <f t="array" ref="F768">IF(B768="",0,INDEX('Bán nhanh'!$D$4:$M$103,INT((ROW()-4)/10)+1,MOD(ROW()-4,10)+1))</f>
        <v>0</v>
      </c>
      <c r="G768" s="83">
        <f t="array" ref="G768">IFERROR(INDEX('Sản phẩm'!$F$4:$F$103,MATCH(B768,'Sản phẩm'!$D$4:$D$103,0)),0)</f>
        <v>0</v>
      </c>
      <c r="H768" s="83">
        <f t="shared" si="5"/>
        <v>0</v>
      </c>
      <c r="I768" s="83">
        <f t="shared" si="1"/>
        <v>0</v>
      </c>
      <c r="J768" s="83">
        <f t="array" ref="J768">IFERROR(INDEX('Sản phẩm'!$G$4:$G$103,MATCH(B768,'Sản phẩm'!$D$4:$D$103,0)),0)</f>
        <v>0</v>
      </c>
      <c r="K768" s="83">
        <f t="array" ref="K768">IFERROR(J768*INDEX('Mẻ sữa'!$N$4:$N$203,MATCH(D768,'Mẻ sữa'!$C$4:$C$203,0)),0)</f>
        <v>0</v>
      </c>
      <c r="L768" s="83">
        <f t="array" ref="L768">IFERROR(INDEX('Sản phẩm'!$I$4:$I$103,MATCH(B768,'Sản phẩm'!$D$4:$D$103,0)),0)</f>
        <v>0</v>
      </c>
      <c r="M768" s="97" t="str">
        <f t="array" ref="M768">IFERROR(INDEX('Sản phẩm'!$J$4:$J$103,MATCH(B768,'Sản phẩm'!$D$4:$D$103,0)),0)</f>
        <v/>
      </c>
      <c r="N768" s="83">
        <f>IF(B768="",0,(K768+L768+M768)*'Thiết lập'!$B$8)</f>
        <v>0</v>
      </c>
      <c r="O768" s="83">
        <f t="shared" si="2"/>
        <v>0</v>
      </c>
      <c r="P768" s="83">
        <f t="shared" si="3"/>
        <v>0</v>
      </c>
      <c r="Q768" s="83">
        <f t="shared" si="4"/>
        <v>0</v>
      </c>
      <c r="R768" s="36" t="str">
        <f t="array" ref="R768">IF(B768="","",INDEX('Bán nhanh'!$C$4:$C$103,INT((ROW()-4)/10)+1))</f>
        <v/>
      </c>
      <c r="S768" s="36" t="str">
        <f t="array" ref="S768">IF(B768="","",INDEX('Bán nhanh'!$P$4:$P$103,INT((ROW()-4)/10)+1))</f>
        <v/>
      </c>
      <c r="T768" s="36"/>
      <c r="U768" s="36"/>
      <c r="V768" s="36"/>
      <c r="W768" s="36"/>
      <c r="X768" s="36"/>
      <c r="Y768" s="36"/>
      <c r="Z768" s="36"/>
    </row>
    <row r="769" ht="15.75" customHeight="1">
      <c r="A769" s="96" t="str">
        <f t="array" ref="A769">IF(B769="","",INDEX('Bán nhanh'!$A$4:$A$103,INT((ROW()-4)/10)+1))</f>
        <v/>
      </c>
      <c r="B769" s="36" t="str">
        <f t="array" ref="B769">IF(OR(INDEX('Bán nhanh'!$D$3:$M$3,1,MOD(ROW()-4,10)+1)="",INDEX('Bán nhanh'!$D$4:$M$103,INT((ROW()-4)/10)+1,MOD(ROW()-4,10)+1)&lt;=0),"",INDEX('Bán nhanh'!$D$3:$M$3,1,MOD(ROW()-4,10)+1))</f>
        <v/>
      </c>
      <c r="C769" s="36" t="str">
        <f t="array" ref="C769">IFERROR(INDEX('Sản phẩm'!$A$4:$A$103,MATCH(B769,'Sản phẩm'!$D$4:$D$103,0)),"")</f>
        <v/>
      </c>
      <c r="D769" s="36" t="str">
        <f t="array" ref="D769">IF(B769="","",INDEX('Bán nhanh'!$B$4:$B$103,INT((ROW()-4)/10)+1))</f>
        <v/>
      </c>
      <c r="E769" s="36" t="str">
        <f t="array" ref="E769">IFERROR(INDEX('Mẻ sữa'!$B$4:$B$203,MATCH(D769,'Mẻ sữa'!$C$4:$C$203,0)),"")</f>
        <v/>
      </c>
      <c r="F769" s="82">
        <f t="array" ref="F769">IF(B769="",0,INDEX('Bán nhanh'!$D$4:$M$103,INT((ROW()-4)/10)+1,MOD(ROW()-4,10)+1))</f>
        <v>0</v>
      </c>
      <c r="G769" s="83">
        <f t="array" ref="G769">IFERROR(INDEX('Sản phẩm'!$F$4:$F$103,MATCH(B769,'Sản phẩm'!$D$4:$D$103,0)),0)</f>
        <v>0</v>
      </c>
      <c r="H769" s="83">
        <f t="shared" si="5"/>
        <v>0</v>
      </c>
      <c r="I769" s="83">
        <f t="shared" si="1"/>
        <v>0</v>
      </c>
      <c r="J769" s="83">
        <f t="array" ref="J769">IFERROR(INDEX('Sản phẩm'!$G$4:$G$103,MATCH(B769,'Sản phẩm'!$D$4:$D$103,0)),0)</f>
        <v>0</v>
      </c>
      <c r="K769" s="83">
        <f t="array" ref="K769">IFERROR(J769*INDEX('Mẻ sữa'!$N$4:$N$203,MATCH(D769,'Mẻ sữa'!$C$4:$C$203,0)),0)</f>
        <v>0</v>
      </c>
      <c r="L769" s="83">
        <f t="array" ref="L769">IFERROR(INDEX('Sản phẩm'!$I$4:$I$103,MATCH(B769,'Sản phẩm'!$D$4:$D$103,0)),0)</f>
        <v>0</v>
      </c>
      <c r="M769" s="97" t="str">
        <f t="array" ref="M769">IFERROR(INDEX('Sản phẩm'!$J$4:$J$103,MATCH(B769,'Sản phẩm'!$D$4:$D$103,0)),0)</f>
        <v/>
      </c>
      <c r="N769" s="83">
        <f>IF(B769="",0,(K769+L769+M769)*'Thiết lập'!$B$8)</f>
        <v>0</v>
      </c>
      <c r="O769" s="83">
        <f t="shared" si="2"/>
        <v>0</v>
      </c>
      <c r="P769" s="83">
        <f t="shared" si="3"/>
        <v>0</v>
      </c>
      <c r="Q769" s="83">
        <f t="shared" si="4"/>
        <v>0</v>
      </c>
      <c r="R769" s="36" t="str">
        <f t="array" ref="R769">IF(B769="","",INDEX('Bán nhanh'!$C$4:$C$103,INT((ROW()-4)/10)+1))</f>
        <v/>
      </c>
      <c r="S769" s="36" t="str">
        <f t="array" ref="S769">IF(B769="","",INDEX('Bán nhanh'!$P$4:$P$103,INT((ROW()-4)/10)+1))</f>
        <v/>
      </c>
      <c r="T769" s="36"/>
      <c r="U769" s="36"/>
      <c r="V769" s="36"/>
      <c r="W769" s="36"/>
      <c r="X769" s="36"/>
      <c r="Y769" s="36"/>
      <c r="Z769" s="36"/>
    </row>
    <row r="770" ht="15.75" customHeight="1">
      <c r="A770" s="96" t="str">
        <f t="array" ref="A770">IF(B770="","",INDEX('Bán nhanh'!$A$4:$A$103,INT((ROW()-4)/10)+1))</f>
        <v/>
      </c>
      <c r="B770" s="36" t="str">
        <f t="array" ref="B770">IF(OR(INDEX('Bán nhanh'!$D$3:$M$3,1,MOD(ROW()-4,10)+1)="",INDEX('Bán nhanh'!$D$4:$M$103,INT((ROW()-4)/10)+1,MOD(ROW()-4,10)+1)&lt;=0),"",INDEX('Bán nhanh'!$D$3:$M$3,1,MOD(ROW()-4,10)+1))</f>
        <v/>
      </c>
      <c r="C770" s="36" t="str">
        <f t="array" ref="C770">IFERROR(INDEX('Sản phẩm'!$A$4:$A$103,MATCH(B770,'Sản phẩm'!$D$4:$D$103,0)),"")</f>
        <v/>
      </c>
      <c r="D770" s="36" t="str">
        <f t="array" ref="D770">IF(B770="","",INDEX('Bán nhanh'!$B$4:$B$103,INT((ROW()-4)/10)+1))</f>
        <v/>
      </c>
      <c r="E770" s="36" t="str">
        <f t="array" ref="E770">IFERROR(INDEX('Mẻ sữa'!$B$4:$B$203,MATCH(D770,'Mẻ sữa'!$C$4:$C$203,0)),"")</f>
        <v/>
      </c>
      <c r="F770" s="82">
        <f t="array" ref="F770">IF(B770="",0,INDEX('Bán nhanh'!$D$4:$M$103,INT((ROW()-4)/10)+1,MOD(ROW()-4,10)+1))</f>
        <v>0</v>
      </c>
      <c r="G770" s="83">
        <f t="array" ref="G770">IFERROR(INDEX('Sản phẩm'!$F$4:$F$103,MATCH(B770,'Sản phẩm'!$D$4:$D$103,0)),0)</f>
        <v>0</v>
      </c>
      <c r="H770" s="83">
        <f t="shared" si="5"/>
        <v>0</v>
      </c>
      <c r="I770" s="83">
        <f t="shared" si="1"/>
        <v>0</v>
      </c>
      <c r="J770" s="83">
        <f t="array" ref="J770">IFERROR(INDEX('Sản phẩm'!$G$4:$G$103,MATCH(B770,'Sản phẩm'!$D$4:$D$103,0)),0)</f>
        <v>0</v>
      </c>
      <c r="K770" s="83">
        <f t="array" ref="K770">IFERROR(J770*INDEX('Mẻ sữa'!$N$4:$N$203,MATCH(D770,'Mẻ sữa'!$C$4:$C$203,0)),0)</f>
        <v>0</v>
      </c>
      <c r="L770" s="83">
        <f t="array" ref="L770">IFERROR(INDEX('Sản phẩm'!$I$4:$I$103,MATCH(B770,'Sản phẩm'!$D$4:$D$103,0)),0)</f>
        <v>0</v>
      </c>
      <c r="M770" s="97" t="str">
        <f t="array" ref="M770">IFERROR(INDEX('Sản phẩm'!$J$4:$J$103,MATCH(B770,'Sản phẩm'!$D$4:$D$103,0)),0)</f>
        <v/>
      </c>
      <c r="N770" s="83">
        <f>IF(B770="",0,(K770+L770+M770)*'Thiết lập'!$B$8)</f>
        <v>0</v>
      </c>
      <c r="O770" s="83">
        <f t="shared" si="2"/>
        <v>0</v>
      </c>
      <c r="P770" s="83">
        <f t="shared" si="3"/>
        <v>0</v>
      </c>
      <c r="Q770" s="83">
        <f t="shared" si="4"/>
        <v>0</v>
      </c>
      <c r="R770" s="36" t="str">
        <f t="array" ref="R770">IF(B770="","",INDEX('Bán nhanh'!$C$4:$C$103,INT((ROW()-4)/10)+1))</f>
        <v/>
      </c>
      <c r="S770" s="36" t="str">
        <f t="array" ref="S770">IF(B770="","",INDEX('Bán nhanh'!$P$4:$P$103,INT((ROW()-4)/10)+1))</f>
        <v/>
      </c>
      <c r="T770" s="36"/>
      <c r="U770" s="36"/>
      <c r="V770" s="36"/>
      <c r="W770" s="36"/>
      <c r="X770" s="36"/>
      <c r="Y770" s="36"/>
      <c r="Z770" s="36"/>
    </row>
    <row r="771" ht="15.75" customHeight="1">
      <c r="A771" s="96" t="str">
        <f t="array" ref="A771">IF(B771="","",INDEX('Bán nhanh'!$A$4:$A$103,INT((ROW()-4)/10)+1))</f>
        <v/>
      </c>
      <c r="B771" s="36" t="str">
        <f t="array" ref="B771">IF(OR(INDEX('Bán nhanh'!$D$3:$M$3,1,MOD(ROW()-4,10)+1)="",INDEX('Bán nhanh'!$D$4:$M$103,INT((ROW()-4)/10)+1,MOD(ROW()-4,10)+1)&lt;=0),"",INDEX('Bán nhanh'!$D$3:$M$3,1,MOD(ROW()-4,10)+1))</f>
        <v/>
      </c>
      <c r="C771" s="36" t="str">
        <f t="array" ref="C771">IFERROR(INDEX('Sản phẩm'!$A$4:$A$103,MATCH(B771,'Sản phẩm'!$D$4:$D$103,0)),"")</f>
        <v/>
      </c>
      <c r="D771" s="36" t="str">
        <f t="array" ref="D771">IF(B771="","",INDEX('Bán nhanh'!$B$4:$B$103,INT((ROW()-4)/10)+1))</f>
        <v/>
      </c>
      <c r="E771" s="36" t="str">
        <f t="array" ref="E771">IFERROR(INDEX('Mẻ sữa'!$B$4:$B$203,MATCH(D771,'Mẻ sữa'!$C$4:$C$203,0)),"")</f>
        <v/>
      </c>
      <c r="F771" s="82">
        <f t="array" ref="F771">IF(B771="",0,INDEX('Bán nhanh'!$D$4:$M$103,INT((ROW()-4)/10)+1,MOD(ROW()-4,10)+1))</f>
        <v>0</v>
      </c>
      <c r="G771" s="83">
        <f t="array" ref="G771">IFERROR(INDEX('Sản phẩm'!$F$4:$F$103,MATCH(B771,'Sản phẩm'!$D$4:$D$103,0)),0)</f>
        <v>0</v>
      </c>
      <c r="H771" s="83">
        <f t="shared" si="5"/>
        <v>0</v>
      </c>
      <c r="I771" s="83">
        <f t="shared" si="1"/>
        <v>0</v>
      </c>
      <c r="J771" s="83">
        <f t="array" ref="J771">IFERROR(INDEX('Sản phẩm'!$G$4:$G$103,MATCH(B771,'Sản phẩm'!$D$4:$D$103,0)),0)</f>
        <v>0</v>
      </c>
      <c r="K771" s="83">
        <f t="array" ref="K771">IFERROR(J771*INDEX('Mẻ sữa'!$N$4:$N$203,MATCH(D771,'Mẻ sữa'!$C$4:$C$203,0)),0)</f>
        <v>0</v>
      </c>
      <c r="L771" s="83">
        <f t="array" ref="L771">IFERROR(INDEX('Sản phẩm'!$I$4:$I$103,MATCH(B771,'Sản phẩm'!$D$4:$D$103,0)),0)</f>
        <v>0</v>
      </c>
      <c r="M771" s="97" t="str">
        <f t="array" ref="M771">IFERROR(INDEX('Sản phẩm'!$J$4:$J$103,MATCH(B771,'Sản phẩm'!$D$4:$D$103,0)),0)</f>
        <v/>
      </c>
      <c r="N771" s="83">
        <f>IF(B771="",0,(K771+L771+M771)*'Thiết lập'!$B$8)</f>
        <v>0</v>
      </c>
      <c r="O771" s="83">
        <f t="shared" si="2"/>
        <v>0</v>
      </c>
      <c r="P771" s="83">
        <f t="shared" si="3"/>
        <v>0</v>
      </c>
      <c r="Q771" s="83">
        <f t="shared" si="4"/>
        <v>0</v>
      </c>
      <c r="R771" s="36" t="str">
        <f t="array" ref="R771">IF(B771="","",INDEX('Bán nhanh'!$C$4:$C$103,INT((ROW()-4)/10)+1))</f>
        <v/>
      </c>
      <c r="S771" s="36" t="str">
        <f t="array" ref="S771">IF(B771="","",INDEX('Bán nhanh'!$P$4:$P$103,INT((ROW()-4)/10)+1))</f>
        <v/>
      </c>
      <c r="T771" s="36"/>
      <c r="U771" s="36"/>
      <c r="V771" s="36"/>
      <c r="W771" s="36"/>
      <c r="X771" s="36"/>
      <c r="Y771" s="36"/>
      <c r="Z771" s="36"/>
    </row>
    <row r="772" ht="15.75" customHeight="1">
      <c r="A772" s="96" t="str">
        <f t="array" ref="A772">IF(B772="","",INDEX('Bán nhanh'!$A$4:$A$103,INT((ROW()-4)/10)+1))</f>
        <v/>
      </c>
      <c r="B772" s="36" t="str">
        <f t="array" ref="B772">IF(OR(INDEX('Bán nhanh'!$D$3:$M$3,1,MOD(ROW()-4,10)+1)="",INDEX('Bán nhanh'!$D$4:$M$103,INT((ROW()-4)/10)+1,MOD(ROW()-4,10)+1)&lt;=0),"",INDEX('Bán nhanh'!$D$3:$M$3,1,MOD(ROW()-4,10)+1))</f>
        <v/>
      </c>
      <c r="C772" s="36" t="str">
        <f t="array" ref="C772">IFERROR(INDEX('Sản phẩm'!$A$4:$A$103,MATCH(B772,'Sản phẩm'!$D$4:$D$103,0)),"")</f>
        <v/>
      </c>
      <c r="D772" s="36" t="str">
        <f t="array" ref="D772">IF(B772="","",INDEX('Bán nhanh'!$B$4:$B$103,INT((ROW()-4)/10)+1))</f>
        <v/>
      </c>
      <c r="E772" s="36" t="str">
        <f t="array" ref="E772">IFERROR(INDEX('Mẻ sữa'!$B$4:$B$203,MATCH(D772,'Mẻ sữa'!$C$4:$C$203,0)),"")</f>
        <v/>
      </c>
      <c r="F772" s="82">
        <f t="array" ref="F772">IF(B772="",0,INDEX('Bán nhanh'!$D$4:$M$103,INT((ROW()-4)/10)+1,MOD(ROW()-4,10)+1))</f>
        <v>0</v>
      </c>
      <c r="G772" s="83">
        <f t="array" ref="G772">IFERROR(INDEX('Sản phẩm'!$F$4:$F$103,MATCH(B772,'Sản phẩm'!$D$4:$D$103,0)),0)</f>
        <v>0</v>
      </c>
      <c r="H772" s="83">
        <f t="shared" si="5"/>
        <v>0</v>
      </c>
      <c r="I772" s="83">
        <f t="shared" si="1"/>
        <v>0</v>
      </c>
      <c r="J772" s="83">
        <f t="array" ref="J772">IFERROR(INDEX('Sản phẩm'!$G$4:$G$103,MATCH(B772,'Sản phẩm'!$D$4:$D$103,0)),0)</f>
        <v>0</v>
      </c>
      <c r="K772" s="83">
        <f t="array" ref="K772">IFERROR(J772*INDEX('Mẻ sữa'!$N$4:$N$203,MATCH(D772,'Mẻ sữa'!$C$4:$C$203,0)),0)</f>
        <v>0</v>
      </c>
      <c r="L772" s="83">
        <f t="array" ref="L772">IFERROR(INDEX('Sản phẩm'!$I$4:$I$103,MATCH(B772,'Sản phẩm'!$D$4:$D$103,0)),0)</f>
        <v>0</v>
      </c>
      <c r="M772" s="97" t="str">
        <f t="array" ref="M772">IFERROR(INDEX('Sản phẩm'!$J$4:$J$103,MATCH(B772,'Sản phẩm'!$D$4:$D$103,0)),0)</f>
        <v/>
      </c>
      <c r="N772" s="83">
        <f>IF(B772="",0,(K772+L772+M772)*'Thiết lập'!$B$8)</f>
        <v>0</v>
      </c>
      <c r="O772" s="83">
        <f t="shared" si="2"/>
        <v>0</v>
      </c>
      <c r="P772" s="83">
        <f t="shared" si="3"/>
        <v>0</v>
      </c>
      <c r="Q772" s="83">
        <f t="shared" si="4"/>
        <v>0</v>
      </c>
      <c r="R772" s="36" t="str">
        <f t="array" ref="R772">IF(B772="","",INDEX('Bán nhanh'!$C$4:$C$103,INT((ROW()-4)/10)+1))</f>
        <v/>
      </c>
      <c r="S772" s="36" t="str">
        <f t="array" ref="S772">IF(B772="","",INDEX('Bán nhanh'!$P$4:$P$103,INT((ROW()-4)/10)+1))</f>
        <v/>
      </c>
      <c r="T772" s="36"/>
      <c r="U772" s="36"/>
      <c r="V772" s="36"/>
      <c r="W772" s="36"/>
      <c r="X772" s="36"/>
      <c r="Y772" s="36"/>
      <c r="Z772" s="36"/>
    </row>
    <row r="773" ht="15.75" customHeight="1">
      <c r="A773" s="96" t="str">
        <f t="array" ref="A773">IF(B773="","",INDEX('Bán nhanh'!$A$4:$A$103,INT((ROW()-4)/10)+1))</f>
        <v/>
      </c>
      <c r="B773" s="36" t="str">
        <f t="array" ref="B773">IF(OR(INDEX('Bán nhanh'!$D$3:$M$3,1,MOD(ROW()-4,10)+1)="",INDEX('Bán nhanh'!$D$4:$M$103,INT((ROW()-4)/10)+1,MOD(ROW()-4,10)+1)&lt;=0),"",INDEX('Bán nhanh'!$D$3:$M$3,1,MOD(ROW()-4,10)+1))</f>
        <v/>
      </c>
      <c r="C773" s="36" t="str">
        <f t="array" ref="C773">IFERROR(INDEX('Sản phẩm'!$A$4:$A$103,MATCH(B773,'Sản phẩm'!$D$4:$D$103,0)),"")</f>
        <v/>
      </c>
      <c r="D773" s="36" t="str">
        <f t="array" ref="D773">IF(B773="","",INDEX('Bán nhanh'!$B$4:$B$103,INT((ROW()-4)/10)+1))</f>
        <v/>
      </c>
      <c r="E773" s="36" t="str">
        <f t="array" ref="E773">IFERROR(INDEX('Mẻ sữa'!$B$4:$B$203,MATCH(D773,'Mẻ sữa'!$C$4:$C$203,0)),"")</f>
        <v/>
      </c>
      <c r="F773" s="82">
        <f t="array" ref="F773">IF(B773="",0,INDEX('Bán nhanh'!$D$4:$M$103,INT((ROW()-4)/10)+1,MOD(ROW()-4,10)+1))</f>
        <v>0</v>
      </c>
      <c r="G773" s="83">
        <f t="array" ref="G773">IFERROR(INDEX('Sản phẩm'!$F$4:$F$103,MATCH(B773,'Sản phẩm'!$D$4:$D$103,0)),0)</f>
        <v>0</v>
      </c>
      <c r="H773" s="83">
        <f t="shared" si="5"/>
        <v>0</v>
      </c>
      <c r="I773" s="83">
        <f t="shared" si="1"/>
        <v>0</v>
      </c>
      <c r="J773" s="83">
        <f t="array" ref="J773">IFERROR(INDEX('Sản phẩm'!$G$4:$G$103,MATCH(B773,'Sản phẩm'!$D$4:$D$103,0)),0)</f>
        <v>0</v>
      </c>
      <c r="K773" s="83">
        <f t="array" ref="K773">IFERROR(J773*INDEX('Mẻ sữa'!$N$4:$N$203,MATCH(D773,'Mẻ sữa'!$C$4:$C$203,0)),0)</f>
        <v>0</v>
      </c>
      <c r="L773" s="83">
        <f t="array" ref="L773">IFERROR(INDEX('Sản phẩm'!$I$4:$I$103,MATCH(B773,'Sản phẩm'!$D$4:$D$103,0)),0)</f>
        <v>0</v>
      </c>
      <c r="M773" s="97" t="str">
        <f t="array" ref="M773">IFERROR(INDEX('Sản phẩm'!$J$4:$J$103,MATCH(B773,'Sản phẩm'!$D$4:$D$103,0)),0)</f>
        <v/>
      </c>
      <c r="N773" s="83">
        <f>IF(B773="",0,(K773+L773+M773)*'Thiết lập'!$B$8)</f>
        <v>0</v>
      </c>
      <c r="O773" s="83">
        <f t="shared" si="2"/>
        <v>0</v>
      </c>
      <c r="P773" s="83">
        <f t="shared" si="3"/>
        <v>0</v>
      </c>
      <c r="Q773" s="83">
        <f t="shared" si="4"/>
        <v>0</v>
      </c>
      <c r="R773" s="36" t="str">
        <f t="array" ref="R773">IF(B773="","",INDEX('Bán nhanh'!$C$4:$C$103,INT((ROW()-4)/10)+1))</f>
        <v/>
      </c>
      <c r="S773" s="36" t="str">
        <f t="array" ref="S773">IF(B773="","",INDEX('Bán nhanh'!$P$4:$P$103,INT((ROW()-4)/10)+1))</f>
        <v/>
      </c>
      <c r="T773" s="36"/>
      <c r="U773" s="36"/>
      <c r="V773" s="36"/>
      <c r="W773" s="36"/>
      <c r="X773" s="36"/>
      <c r="Y773" s="36"/>
      <c r="Z773" s="36"/>
    </row>
    <row r="774" ht="15.75" customHeight="1">
      <c r="A774" s="96" t="str">
        <f t="array" ref="A774">IF(B774="","",INDEX('Bán nhanh'!$A$4:$A$103,INT((ROW()-4)/10)+1))</f>
        <v/>
      </c>
      <c r="B774" s="36" t="str">
        <f t="array" ref="B774">IF(OR(INDEX('Bán nhanh'!$D$3:$M$3,1,MOD(ROW()-4,10)+1)="",INDEX('Bán nhanh'!$D$4:$M$103,INT((ROW()-4)/10)+1,MOD(ROW()-4,10)+1)&lt;=0),"",INDEX('Bán nhanh'!$D$3:$M$3,1,MOD(ROW()-4,10)+1))</f>
        <v/>
      </c>
      <c r="C774" s="36" t="str">
        <f t="array" ref="C774">IFERROR(INDEX('Sản phẩm'!$A$4:$A$103,MATCH(B774,'Sản phẩm'!$D$4:$D$103,0)),"")</f>
        <v/>
      </c>
      <c r="D774" s="36" t="str">
        <f t="array" ref="D774">IF(B774="","",INDEX('Bán nhanh'!$B$4:$B$103,INT((ROW()-4)/10)+1))</f>
        <v/>
      </c>
      <c r="E774" s="36" t="str">
        <f t="array" ref="E774">IFERROR(INDEX('Mẻ sữa'!$B$4:$B$203,MATCH(D774,'Mẻ sữa'!$C$4:$C$203,0)),"")</f>
        <v/>
      </c>
      <c r="F774" s="82">
        <f t="array" ref="F774">IF(B774="",0,INDEX('Bán nhanh'!$D$4:$M$103,INT((ROW()-4)/10)+1,MOD(ROW()-4,10)+1))</f>
        <v>0</v>
      </c>
      <c r="G774" s="83">
        <f t="array" ref="G774">IFERROR(INDEX('Sản phẩm'!$F$4:$F$103,MATCH(B774,'Sản phẩm'!$D$4:$D$103,0)),0)</f>
        <v>0</v>
      </c>
      <c r="H774" s="83">
        <f t="shared" si="5"/>
        <v>0</v>
      </c>
      <c r="I774" s="83">
        <f t="shared" si="1"/>
        <v>0</v>
      </c>
      <c r="J774" s="83">
        <f t="array" ref="J774">IFERROR(INDEX('Sản phẩm'!$G$4:$G$103,MATCH(B774,'Sản phẩm'!$D$4:$D$103,0)),0)</f>
        <v>0</v>
      </c>
      <c r="K774" s="83">
        <f t="array" ref="K774">IFERROR(J774*INDEX('Mẻ sữa'!$N$4:$N$203,MATCH(D774,'Mẻ sữa'!$C$4:$C$203,0)),0)</f>
        <v>0</v>
      </c>
      <c r="L774" s="83">
        <f t="array" ref="L774">IFERROR(INDEX('Sản phẩm'!$I$4:$I$103,MATCH(B774,'Sản phẩm'!$D$4:$D$103,0)),0)</f>
        <v>0</v>
      </c>
      <c r="M774" s="97" t="str">
        <f t="array" ref="M774">IFERROR(INDEX('Sản phẩm'!$J$4:$J$103,MATCH(B774,'Sản phẩm'!$D$4:$D$103,0)),0)</f>
        <v/>
      </c>
      <c r="N774" s="83">
        <f>IF(B774="",0,(K774+L774+M774)*'Thiết lập'!$B$8)</f>
        <v>0</v>
      </c>
      <c r="O774" s="83">
        <f t="shared" si="2"/>
        <v>0</v>
      </c>
      <c r="P774" s="83">
        <f t="shared" si="3"/>
        <v>0</v>
      </c>
      <c r="Q774" s="83">
        <f t="shared" si="4"/>
        <v>0</v>
      </c>
      <c r="R774" s="36" t="str">
        <f t="array" ref="R774">IF(B774="","",INDEX('Bán nhanh'!$C$4:$C$103,INT((ROW()-4)/10)+1))</f>
        <v/>
      </c>
      <c r="S774" s="36" t="str">
        <f t="array" ref="S774">IF(B774="","",INDEX('Bán nhanh'!$P$4:$P$103,INT((ROW()-4)/10)+1))</f>
        <v/>
      </c>
      <c r="T774" s="36"/>
      <c r="U774" s="36"/>
      <c r="V774" s="36"/>
      <c r="W774" s="36"/>
      <c r="X774" s="36"/>
      <c r="Y774" s="36"/>
      <c r="Z774" s="36"/>
    </row>
    <row r="775" ht="15.75" customHeight="1">
      <c r="A775" s="96" t="str">
        <f t="array" ref="A775">IF(B775="","",INDEX('Bán nhanh'!$A$4:$A$103,INT((ROW()-4)/10)+1))</f>
        <v/>
      </c>
      <c r="B775" s="36" t="str">
        <f t="array" ref="B775">IF(OR(INDEX('Bán nhanh'!$D$3:$M$3,1,MOD(ROW()-4,10)+1)="",INDEX('Bán nhanh'!$D$4:$M$103,INT((ROW()-4)/10)+1,MOD(ROW()-4,10)+1)&lt;=0),"",INDEX('Bán nhanh'!$D$3:$M$3,1,MOD(ROW()-4,10)+1))</f>
        <v/>
      </c>
      <c r="C775" s="36" t="str">
        <f t="array" ref="C775">IFERROR(INDEX('Sản phẩm'!$A$4:$A$103,MATCH(B775,'Sản phẩm'!$D$4:$D$103,0)),"")</f>
        <v/>
      </c>
      <c r="D775" s="36" t="str">
        <f t="array" ref="D775">IF(B775="","",INDEX('Bán nhanh'!$B$4:$B$103,INT((ROW()-4)/10)+1))</f>
        <v/>
      </c>
      <c r="E775" s="36" t="str">
        <f t="array" ref="E775">IFERROR(INDEX('Mẻ sữa'!$B$4:$B$203,MATCH(D775,'Mẻ sữa'!$C$4:$C$203,0)),"")</f>
        <v/>
      </c>
      <c r="F775" s="82">
        <f t="array" ref="F775">IF(B775="",0,INDEX('Bán nhanh'!$D$4:$M$103,INT((ROW()-4)/10)+1,MOD(ROW()-4,10)+1))</f>
        <v>0</v>
      </c>
      <c r="G775" s="83">
        <f t="array" ref="G775">IFERROR(INDEX('Sản phẩm'!$F$4:$F$103,MATCH(B775,'Sản phẩm'!$D$4:$D$103,0)),0)</f>
        <v>0</v>
      </c>
      <c r="H775" s="83">
        <f t="shared" si="5"/>
        <v>0</v>
      </c>
      <c r="I775" s="83">
        <f t="shared" si="1"/>
        <v>0</v>
      </c>
      <c r="J775" s="83">
        <f t="array" ref="J775">IFERROR(INDEX('Sản phẩm'!$G$4:$G$103,MATCH(B775,'Sản phẩm'!$D$4:$D$103,0)),0)</f>
        <v>0</v>
      </c>
      <c r="K775" s="83">
        <f t="array" ref="K775">IFERROR(J775*INDEX('Mẻ sữa'!$N$4:$N$203,MATCH(D775,'Mẻ sữa'!$C$4:$C$203,0)),0)</f>
        <v>0</v>
      </c>
      <c r="L775" s="83">
        <f t="array" ref="L775">IFERROR(INDEX('Sản phẩm'!$I$4:$I$103,MATCH(B775,'Sản phẩm'!$D$4:$D$103,0)),0)</f>
        <v>0</v>
      </c>
      <c r="M775" s="97" t="str">
        <f t="array" ref="M775">IFERROR(INDEX('Sản phẩm'!$J$4:$J$103,MATCH(B775,'Sản phẩm'!$D$4:$D$103,0)),0)</f>
        <v/>
      </c>
      <c r="N775" s="83">
        <f>IF(B775="",0,(K775+L775+M775)*'Thiết lập'!$B$8)</f>
        <v>0</v>
      </c>
      <c r="O775" s="83">
        <f t="shared" si="2"/>
        <v>0</v>
      </c>
      <c r="P775" s="83">
        <f t="shared" si="3"/>
        <v>0</v>
      </c>
      <c r="Q775" s="83">
        <f t="shared" si="4"/>
        <v>0</v>
      </c>
      <c r="R775" s="36" t="str">
        <f t="array" ref="R775">IF(B775="","",INDEX('Bán nhanh'!$C$4:$C$103,INT((ROW()-4)/10)+1))</f>
        <v/>
      </c>
      <c r="S775" s="36" t="str">
        <f t="array" ref="S775">IF(B775="","",INDEX('Bán nhanh'!$P$4:$P$103,INT((ROW()-4)/10)+1))</f>
        <v/>
      </c>
      <c r="T775" s="36"/>
      <c r="U775" s="36"/>
      <c r="V775" s="36"/>
      <c r="W775" s="36"/>
      <c r="X775" s="36"/>
      <c r="Y775" s="36"/>
      <c r="Z775" s="36"/>
    </row>
    <row r="776" ht="15.75" customHeight="1">
      <c r="A776" s="96" t="str">
        <f t="array" ref="A776">IF(B776="","",INDEX('Bán nhanh'!$A$4:$A$103,INT((ROW()-4)/10)+1))</f>
        <v/>
      </c>
      <c r="B776" s="36" t="str">
        <f t="array" ref="B776">IF(OR(INDEX('Bán nhanh'!$D$3:$M$3,1,MOD(ROW()-4,10)+1)="",INDEX('Bán nhanh'!$D$4:$M$103,INT((ROW()-4)/10)+1,MOD(ROW()-4,10)+1)&lt;=0),"",INDEX('Bán nhanh'!$D$3:$M$3,1,MOD(ROW()-4,10)+1))</f>
        <v/>
      </c>
      <c r="C776" s="36" t="str">
        <f t="array" ref="C776">IFERROR(INDEX('Sản phẩm'!$A$4:$A$103,MATCH(B776,'Sản phẩm'!$D$4:$D$103,0)),"")</f>
        <v/>
      </c>
      <c r="D776" s="36" t="str">
        <f t="array" ref="D776">IF(B776="","",INDEX('Bán nhanh'!$B$4:$B$103,INT((ROW()-4)/10)+1))</f>
        <v/>
      </c>
      <c r="E776" s="36" t="str">
        <f t="array" ref="E776">IFERROR(INDEX('Mẻ sữa'!$B$4:$B$203,MATCH(D776,'Mẻ sữa'!$C$4:$C$203,0)),"")</f>
        <v/>
      </c>
      <c r="F776" s="82">
        <f t="array" ref="F776">IF(B776="",0,INDEX('Bán nhanh'!$D$4:$M$103,INT((ROW()-4)/10)+1,MOD(ROW()-4,10)+1))</f>
        <v>0</v>
      </c>
      <c r="G776" s="83">
        <f t="array" ref="G776">IFERROR(INDEX('Sản phẩm'!$F$4:$F$103,MATCH(B776,'Sản phẩm'!$D$4:$D$103,0)),0)</f>
        <v>0</v>
      </c>
      <c r="H776" s="83">
        <f t="shared" si="5"/>
        <v>0</v>
      </c>
      <c r="I776" s="83">
        <f t="shared" si="1"/>
        <v>0</v>
      </c>
      <c r="J776" s="83">
        <f t="array" ref="J776">IFERROR(INDEX('Sản phẩm'!$G$4:$G$103,MATCH(B776,'Sản phẩm'!$D$4:$D$103,0)),0)</f>
        <v>0</v>
      </c>
      <c r="K776" s="83">
        <f t="array" ref="K776">IFERROR(J776*INDEX('Mẻ sữa'!$N$4:$N$203,MATCH(D776,'Mẻ sữa'!$C$4:$C$203,0)),0)</f>
        <v>0</v>
      </c>
      <c r="L776" s="83">
        <f t="array" ref="L776">IFERROR(INDEX('Sản phẩm'!$I$4:$I$103,MATCH(B776,'Sản phẩm'!$D$4:$D$103,0)),0)</f>
        <v>0</v>
      </c>
      <c r="M776" s="97" t="str">
        <f t="array" ref="M776">IFERROR(INDEX('Sản phẩm'!$J$4:$J$103,MATCH(B776,'Sản phẩm'!$D$4:$D$103,0)),0)</f>
        <v/>
      </c>
      <c r="N776" s="83">
        <f>IF(B776="",0,(K776+L776+M776)*'Thiết lập'!$B$8)</f>
        <v>0</v>
      </c>
      <c r="O776" s="83">
        <f t="shared" si="2"/>
        <v>0</v>
      </c>
      <c r="P776" s="83">
        <f t="shared" si="3"/>
        <v>0</v>
      </c>
      <c r="Q776" s="83">
        <f t="shared" si="4"/>
        <v>0</v>
      </c>
      <c r="R776" s="36" t="str">
        <f t="array" ref="R776">IF(B776="","",INDEX('Bán nhanh'!$C$4:$C$103,INT((ROW()-4)/10)+1))</f>
        <v/>
      </c>
      <c r="S776" s="36" t="str">
        <f t="array" ref="S776">IF(B776="","",INDEX('Bán nhanh'!$P$4:$P$103,INT((ROW()-4)/10)+1))</f>
        <v/>
      </c>
      <c r="T776" s="36"/>
      <c r="U776" s="36"/>
      <c r="V776" s="36"/>
      <c r="W776" s="36"/>
      <c r="X776" s="36"/>
      <c r="Y776" s="36"/>
      <c r="Z776" s="36"/>
    </row>
    <row r="777" ht="15.75" customHeight="1">
      <c r="A777" s="96" t="str">
        <f t="array" ref="A777">IF(B777="","",INDEX('Bán nhanh'!$A$4:$A$103,INT((ROW()-4)/10)+1))</f>
        <v/>
      </c>
      <c r="B777" s="36" t="str">
        <f t="array" ref="B777">IF(OR(INDEX('Bán nhanh'!$D$3:$M$3,1,MOD(ROW()-4,10)+1)="",INDEX('Bán nhanh'!$D$4:$M$103,INT((ROW()-4)/10)+1,MOD(ROW()-4,10)+1)&lt;=0),"",INDEX('Bán nhanh'!$D$3:$M$3,1,MOD(ROW()-4,10)+1))</f>
        <v/>
      </c>
      <c r="C777" s="36" t="str">
        <f t="array" ref="C777">IFERROR(INDEX('Sản phẩm'!$A$4:$A$103,MATCH(B777,'Sản phẩm'!$D$4:$D$103,0)),"")</f>
        <v/>
      </c>
      <c r="D777" s="36" t="str">
        <f t="array" ref="D777">IF(B777="","",INDEX('Bán nhanh'!$B$4:$B$103,INT((ROW()-4)/10)+1))</f>
        <v/>
      </c>
      <c r="E777" s="36" t="str">
        <f t="array" ref="E777">IFERROR(INDEX('Mẻ sữa'!$B$4:$B$203,MATCH(D777,'Mẻ sữa'!$C$4:$C$203,0)),"")</f>
        <v/>
      </c>
      <c r="F777" s="82">
        <f t="array" ref="F777">IF(B777="",0,INDEX('Bán nhanh'!$D$4:$M$103,INT((ROW()-4)/10)+1,MOD(ROW()-4,10)+1))</f>
        <v>0</v>
      </c>
      <c r="G777" s="83">
        <f t="array" ref="G777">IFERROR(INDEX('Sản phẩm'!$F$4:$F$103,MATCH(B777,'Sản phẩm'!$D$4:$D$103,0)),0)</f>
        <v>0</v>
      </c>
      <c r="H777" s="83">
        <f t="shared" si="5"/>
        <v>0</v>
      </c>
      <c r="I777" s="83">
        <f t="shared" si="1"/>
        <v>0</v>
      </c>
      <c r="J777" s="83">
        <f t="array" ref="J777">IFERROR(INDEX('Sản phẩm'!$G$4:$G$103,MATCH(B777,'Sản phẩm'!$D$4:$D$103,0)),0)</f>
        <v>0</v>
      </c>
      <c r="K777" s="83">
        <f t="array" ref="K777">IFERROR(J777*INDEX('Mẻ sữa'!$N$4:$N$203,MATCH(D777,'Mẻ sữa'!$C$4:$C$203,0)),0)</f>
        <v>0</v>
      </c>
      <c r="L777" s="83">
        <f t="array" ref="L777">IFERROR(INDEX('Sản phẩm'!$I$4:$I$103,MATCH(B777,'Sản phẩm'!$D$4:$D$103,0)),0)</f>
        <v>0</v>
      </c>
      <c r="M777" s="97" t="str">
        <f t="array" ref="M777">IFERROR(INDEX('Sản phẩm'!$J$4:$J$103,MATCH(B777,'Sản phẩm'!$D$4:$D$103,0)),0)</f>
        <v/>
      </c>
      <c r="N777" s="83">
        <f>IF(B777="",0,(K777+L777+M777)*'Thiết lập'!$B$8)</f>
        <v>0</v>
      </c>
      <c r="O777" s="83">
        <f t="shared" si="2"/>
        <v>0</v>
      </c>
      <c r="P777" s="83">
        <f t="shared" si="3"/>
        <v>0</v>
      </c>
      <c r="Q777" s="83">
        <f t="shared" si="4"/>
        <v>0</v>
      </c>
      <c r="R777" s="36" t="str">
        <f t="array" ref="R777">IF(B777="","",INDEX('Bán nhanh'!$C$4:$C$103,INT((ROW()-4)/10)+1))</f>
        <v/>
      </c>
      <c r="S777" s="36" t="str">
        <f t="array" ref="S777">IF(B777="","",INDEX('Bán nhanh'!$P$4:$P$103,INT((ROW()-4)/10)+1))</f>
        <v/>
      </c>
      <c r="T777" s="36"/>
      <c r="U777" s="36"/>
      <c r="V777" s="36"/>
      <c r="W777" s="36"/>
      <c r="X777" s="36"/>
      <c r="Y777" s="36"/>
      <c r="Z777" s="36"/>
    </row>
    <row r="778" ht="15.75" customHeight="1">
      <c r="A778" s="96" t="str">
        <f t="array" ref="A778">IF(B778="","",INDEX('Bán nhanh'!$A$4:$A$103,INT((ROW()-4)/10)+1))</f>
        <v/>
      </c>
      <c r="B778" s="36" t="str">
        <f t="array" ref="B778">IF(OR(INDEX('Bán nhanh'!$D$3:$M$3,1,MOD(ROW()-4,10)+1)="",INDEX('Bán nhanh'!$D$4:$M$103,INT((ROW()-4)/10)+1,MOD(ROW()-4,10)+1)&lt;=0),"",INDEX('Bán nhanh'!$D$3:$M$3,1,MOD(ROW()-4,10)+1))</f>
        <v/>
      </c>
      <c r="C778" s="36" t="str">
        <f t="array" ref="C778">IFERROR(INDEX('Sản phẩm'!$A$4:$A$103,MATCH(B778,'Sản phẩm'!$D$4:$D$103,0)),"")</f>
        <v/>
      </c>
      <c r="D778" s="36" t="str">
        <f t="array" ref="D778">IF(B778="","",INDEX('Bán nhanh'!$B$4:$B$103,INT((ROW()-4)/10)+1))</f>
        <v/>
      </c>
      <c r="E778" s="36" t="str">
        <f t="array" ref="E778">IFERROR(INDEX('Mẻ sữa'!$B$4:$B$203,MATCH(D778,'Mẻ sữa'!$C$4:$C$203,0)),"")</f>
        <v/>
      </c>
      <c r="F778" s="82">
        <f t="array" ref="F778">IF(B778="",0,INDEX('Bán nhanh'!$D$4:$M$103,INT((ROW()-4)/10)+1,MOD(ROW()-4,10)+1))</f>
        <v>0</v>
      </c>
      <c r="G778" s="83">
        <f t="array" ref="G778">IFERROR(INDEX('Sản phẩm'!$F$4:$F$103,MATCH(B778,'Sản phẩm'!$D$4:$D$103,0)),0)</f>
        <v>0</v>
      </c>
      <c r="H778" s="83">
        <f t="shared" si="5"/>
        <v>0</v>
      </c>
      <c r="I778" s="83">
        <f t="shared" si="1"/>
        <v>0</v>
      </c>
      <c r="J778" s="83">
        <f t="array" ref="J778">IFERROR(INDEX('Sản phẩm'!$G$4:$G$103,MATCH(B778,'Sản phẩm'!$D$4:$D$103,0)),0)</f>
        <v>0</v>
      </c>
      <c r="K778" s="83">
        <f t="array" ref="K778">IFERROR(J778*INDEX('Mẻ sữa'!$N$4:$N$203,MATCH(D778,'Mẻ sữa'!$C$4:$C$203,0)),0)</f>
        <v>0</v>
      </c>
      <c r="L778" s="83">
        <f t="array" ref="L778">IFERROR(INDEX('Sản phẩm'!$I$4:$I$103,MATCH(B778,'Sản phẩm'!$D$4:$D$103,0)),0)</f>
        <v>0</v>
      </c>
      <c r="M778" s="97" t="str">
        <f t="array" ref="M778">IFERROR(INDEX('Sản phẩm'!$J$4:$J$103,MATCH(B778,'Sản phẩm'!$D$4:$D$103,0)),0)</f>
        <v/>
      </c>
      <c r="N778" s="83">
        <f>IF(B778="",0,(K778+L778+M778)*'Thiết lập'!$B$8)</f>
        <v>0</v>
      </c>
      <c r="O778" s="83">
        <f t="shared" si="2"/>
        <v>0</v>
      </c>
      <c r="P778" s="83">
        <f t="shared" si="3"/>
        <v>0</v>
      </c>
      <c r="Q778" s="83">
        <f t="shared" si="4"/>
        <v>0</v>
      </c>
      <c r="R778" s="36" t="str">
        <f t="array" ref="R778">IF(B778="","",INDEX('Bán nhanh'!$C$4:$C$103,INT((ROW()-4)/10)+1))</f>
        <v/>
      </c>
      <c r="S778" s="36" t="str">
        <f t="array" ref="S778">IF(B778="","",INDEX('Bán nhanh'!$P$4:$P$103,INT((ROW()-4)/10)+1))</f>
        <v/>
      </c>
      <c r="T778" s="36"/>
      <c r="U778" s="36"/>
      <c r="V778" s="36"/>
      <c r="W778" s="36"/>
      <c r="X778" s="36"/>
      <c r="Y778" s="36"/>
      <c r="Z778" s="36"/>
    </row>
    <row r="779" ht="15.75" customHeight="1">
      <c r="A779" s="96" t="str">
        <f t="array" ref="A779">IF(B779="","",INDEX('Bán nhanh'!$A$4:$A$103,INT((ROW()-4)/10)+1))</f>
        <v/>
      </c>
      <c r="B779" s="36" t="str">
        <f t="array" ref="B779">IF(OR(INDEX('Bán nhanh'!$D$3:$M$3,1,MOD(ROW()-4,10)+1)="",INDEX('Bán nhanh'!$D$4:$M$103,INT((ROW()-4)/10)+1,MOD(ROW()-4,10)+1)&lt;=0),"",INDEX('Bán nhanh'!$D$3:$M$3,1,MOD(ROW()-4,10)+1))</f>
        <v/>
      </c>
      <c r="C779" s="36" t="str">
        <f t="array" ref="C779">IFERROR(INDEX('Sản phẩm'!$A$4:$A$103,MATCH(B779,'Sản phẩm'!$D$4:$D$103,0)),"")</f>
        <v/>
      </c>
      <c r="D779" s="36" t="str">
        <f t="array" ref="D779">IF(B779="","",INDEX('Bán nhanh'!$B$4:$B$103,INT((ROW()-4)/10)+1))</f>
        <v/>
      </c>
      <c r="E779" s="36" t="str">
        <f t="array" ref="E779">IFERROR(INDEX('Mẻ sữa'!$B$4:$B$203,MATCH(D779,'Mẻ sữa'!$C$4:$C$203,0)),"")</f>
        <v/>
      </c>
      <c r="F779" s="82">
        <f t="array" ref="F779">IF(B779="",0,INDEX('Bán nhanh'!$D$4:$M$103,INT((ROW()-4)/10)+1,MOD(ROW()-4,10)+1))</f>
        <v>0</v>
      </c>
      <c r="G779" s="83">
        <f t="array" ref="G779">IFERROR(INDEX('Sản phẩm'!$F$4:$F$103,MATCH(B779,'Sản phẩm'!$D$4:$D$103,0)),0)</f>
        <v>0</v>
      </c>
      <c r="H779" s="83">
        <f t="shared" si="5"/>
        <v>0</v>
      </c>
      <c r="I779" s="83">
        <f t="shared" si="1"/>
        <v>0</v>
      </c>
      <c r="J779" s="83">
        <f t="array" ref="J779">IFERROR(INDEX('Sản phẩm'!$G$4:$G$103,MATCH(B779,'Sản phẩm'!$D$4:$D$103,0)),0)</f>
        <v>0</v>
      </c>
      <c r="K779" s="83">
        <f t="array" ref="K779">IFERROR(J779*INDEX('Mẻ sữa'!$N$4:$N$203,MATCH(D779,'Mẻ sữa'!$C$4:$C$203,0)),0)</f>
        <v>0</v>
      </c>
      <c r="L779" s="83">
        <f t="array" ref="L779">IFERROR(INDEX('Sản phẩm'!$I$4:$I$103,MATCH(B779,'Sản phẩm'!$D$4:$D$103,0)),0)</f>
        <v>0</v>
      </c>
      <c r="M779" s="97" t="str">
        <f t="array" ref="M779">IFERROR(INDEX('Sản phẩm'!$J$4:$J$103,MATCH(B779,'Sản phẩm'!$D$4:$D$103,0)),0)</f>
        <v/>
      </c>
      <c r="N779" s="83">
        <f>IF(B779="",0,(K779+L779+M779)*'Thiết lập'!$B$8)</f>
        <v>0</v>
      </c>
      <c r="O779" s="83">
        <f t="shared" si="2"/>
        <v>0</v>
      </c>
      <c r="P779" s="83">
        <f t="shared" si="3"/>
        <v>0</v>
      </c>
      <c r="Q779" s="83">
        <f t="shared" si="4"/>
        <v>0</v>
      </c>
      <c r="R779" s="36" t="str">
        <f t="array" ref="R779">IF(B779="","",INDEX('Bán nhanh'!$C$4:$C$103,INT((ROW()-4)/10)+1))</f>
        <v/>
      </c>
      <c r="S779" s="36" t="str">
        <f t="array" ref="S779">IF(B779="","",INDEX('Bán nhanh'!$P$4:$P$103,INT((ROW()-4)/10)+1))</f>
        <v/>
      </c>
      <c r="T779" s="36"/>
      <c r="U779" s="36"/>
      <c r="V779" s="36"/>
      <c r="W779" s="36"/>
      <c r="X779" s="36"/>
      <c r="Y779" s="36"/>
      <c r="Z779" s="36"/>
    </row>
    <row r="780" ht="15.75" customHeight="1">
      <c r="A780" s="96" t="str">
        <f t="array" ref="A780">IF(B780="","",INDEX('Bán nhanh'!$A$4:$A$103,INT((ROW()-4)/10)+1))</f>
        <v/>
      </c>
      <c r="B780" s="36" t="str">
        <f t="array" ref="B780">IF(OR(INDEX('Bán nhanh'!$D$3:$M$3,1,MOD(ROW()-4,10)+1)="",INDEX('Bán nhanh'!$D$4:$M$103,INT((ROW()-4)/10)+1,MOD(ROW()-4,10)+1)&lt;=0),"",INDEX('Bán nhanh'!$D$3:$M$3,1,MOD(ROW()-4,10)+1))</f>
        <v/>
      </c>
      <c r="C780" s="36" t="str">
        <f t="array" ref="C780">IFERROR(INDEX('Sản phẩm'!$A$4:$A$103,MATCH(B780,'Sản phẩm'!$D$4:$D$103,0)),"")</f>
        <v/>
      </c>
      <c r="D780" s="36" t="str">
        <f t="array" ref="D780">IF(B780="","",INDEX('Bán nhanh'!$B$4:$B$103,INT((ROW()-4)/10)+1))</f>
        <v/>
      </c>
      <c r="E780" s="36" t="str">
        <f t="array" ref="E780">IFERROR(INDEX('Mẻ sữa'!$B$4:$B$203,MATCH(D780,'Mẻ sữa'!$C$4:$C$203,0)),"")</f>
        <v/>
      </c>
      <c r="F780" s="82">
        <f t="array" ref="F780">IF(B780="",0,INDEX('Bán nhanh'!$D$4:$M$103,INT((ROW()-4)/10)+1,MOD(ROW()-4,10)+1))</f>
        <v>0</v>
      </c>
      <c r="G780" s="83">
        <f t="array" ref="G780">IFERROR(INDEX('Sản phẩm'!$F$4:$F$103,MATCH(B780,'Sản phẩm'!$D$4:$D$103,0)),0)</f>
        <v>0</v>
      </c>
      <c r="H780" s="83">
        <f t="shared" si="5"/>
        <v>0</v>
      </c>
      <c r="I780" s="83">
        <f t="shared" si="1"/>
        <v>0</v>
      </c>
      <c r="J780" s="83">
        <f t="array" ref="J780">IFERROR(INDEX('Sản phẩm'!$G$4:$G$103,MATCH(B780,'Sản phẩm'!$D$4:$D$103,0)),0)</f>
        <v>0</v>
      </c>
      <c r="K780" s="83">
        <f t="array" ref="K780">IFERROR(J780*INDEX('Mẻ sữa'!$N$4:$N$203,MATCH(D780,'Mẻ sữa'!$C$4:$C$203,0)),0)</f>
        <v>0</v>
      </c>
      <c r="L780" s="83">
        <f t="array" ref="L780">IFERROR(INDEX('Sản phẩm'!$I$4:$I$103,MATCH(B780,'Sản phẩm'!$D$4:$D$103,0)),0)</f>
        <v>0</v>
      </c>
      <c r="M780" s="97" t="str">
        <f t="array" ref="M780">IFERROR(INDEX('Sản phẩm'!$J$4:$J$103,MATCH(B780,'Sản phẩm'!$D$4:$D$103,0)),0)</f>
        <v/>
      </c>
      <c r="N780" s="83">
        <f>IF(B780="",0,(K780+L780+M780)*'Thiết lập'!$B$8)</f>
        <v>0</v>
      </c>
      <c r="O780" s="83">
        <f t="shared" si="2"/>
        <v>0</v>
      </c>
      <c r="P780" s="83">
        <f t="shared" si="3"/>
        <v>0</v>
      </c>
      <c r="Q780" s="83">
        <f t="shared" si="4"/>
        <v>0</v>
      </c>
      <c r="R780" s="36" t="str">
        <f t="array" ref="R780">IF(B780="","",INDEX('Bán nhanh'!$C$4:$C$103,INT((ROW()-4)/10)+1))</f>
        <v/>
      </c>
      <c r="S780" s="36" t="str">
        <f t="array" ref="S780">IF(B780="","",INDEX('Bán nhanh'!$P$4:$P$103,INT((ROW()-4)/10)+1))</f>
        <v/>
      </c>
      <c r="T780" s="36"/>
      <c r="U780" s="36"/>
      <c r="V780" s="36"/>
      <c r="W780" s="36"/>
      <c r="X780" s="36"/>
      <c r="Y780" s="36"/>
      <c r="Z780" s="36"/>
    </row>
    <row r="781" ht="15.75" customHeight="1">
      <c r="A781" s="96" t="str">
        <f t="array" ref="A781">IF(B781="","",INDEX('Bán nhanh'!$A$4:$A$103,INT((ROW()-4)/10)+1))</f>
        <v/>
      </c>
      <c r="B781" s="36" t="str">
        <f t="array" ref="B781">IF(OR(INDEX('Bán nhanh'!$D$3:$M$3,1,MOD(ROW()-4,10)+1)="",INDEX('Bán nhanh'!$D$4:$M$103,INT((ROW()-4)/10)+1,MOD(ROW()-4,10)+1)&lt;=0),"",INDEX('Bán nhanh'!$D$3:$M$3,1,MOD(ROW()-4,10)+1))</f>
        <v/>
      </c>
      <c r="C781" s="36" t="str">
        <f t="array" ref="C781">IFERROR(INDEX('Sản phẩm'!$A$4:$A$103,MATCH(B781,'Sản phẩm'!$D$4:$D$103,0)),"")</f>
        <v/>
      </c>
      <c r="D781" s="36" t="str">
        <f t="array" ref="D781">IF(B781="","",INDEX('Bán nhanh'!$B$4:$B$103,INT((ROW()-4)/10)+1))</f>
        <v/>
      </c>
      <c r="E781" s="36" t="str">
        <f t="array" ref="E781">IFERROR(INDEX('Mẻ sữa'!$B$4:$B$203,MATCH(D781,'Mẻ sữa'!$C$4:$C$203,0)),"")</f>
        <v/>
      </c>
      <c r="F781" s="82">
        <f t="array" ref="F781">IF(B781="",0,INDEX('Bán nhanh'!$D$4:$M$103,INT((ROW()-4)/10)+1,MOD(ROW()-4,10)+1))</f>
        <v>0</v>
      </c>
      <c r="G781" s="83">
        <f t="array" ref="G781">IFERROR(INDEX('Sản phẩm'!$F$4:$F$103,MATCH(B781,'Sản phẩm'!$D$4:$D$103,0)),0)</f>
        <v>0</v>
      </c>
      <c r="H781" s="83">
        <f t="shared" si="5"/>
        <v>0</v>
      </c>
      <c r="I781" s="83">
        <f t="shared" si="1"/>
        <v>0</v>
      </c>
      <c r="J781" s="83">
        <f t="array" ref="J781">IFERROR(INDEX('Sản phẩm'!$G$4:$G$103,MATCH(B781,'Sản phẩm'!$D$4:$D$103,0)),0)</f>
        <v>0</v>
      </c>
      <c r="K781" s="83">
        <f t="array" ref="K781">IFERROR(J781*INDEX('Mẻ sữa'!$N$4:$N$203,MATCH(D781,'Mẻ sữa'!$C$4:$C$203,0)),0)</f>
        <v>0</v>
      </c>
      <c r="L781" s="83">
        <f t="array" ref="L781">IFERROR(INDEX('Sản phẩm'!$I$4:$I$103,MATCH(B781,'Sản phẩm'!$D$4:$D$103,0)),0)</f>
        <v>0</v>
      </c>
      <c r="M781" s="97" t="str">
        <f t="array" ref="M781">IFERROR(INDEX('Sản phẩm'!$J$4:$J$103,MATCH(B781,'Sản phẩm'!$D$4:$D$103,0)),0)</f>
        <v/>
      </c>
      <c r="N781" s="83">
        <f>IF(B781="",0,(K781+L781+M781)*'Thiết lập'!$B$8)</f>
        <v>0</v>
      </c>
      <c r="O781" s="83">
        <f t="shared" si="2"/>
        <v>0</v>
      </c>
      <c r="P781" s="83">
        <f t="shared" si="3"/>
        <v>0</v>
      </c>
      <c r="Q781" s="83">
        <f t="shared" si="4"/>
        <v>0</v>
      </c>
      <c r="R781" s="36" t="str">
        <f t="array" ref="R781">IF(B781="","",INDEX('Bán nhanh'!$C$4:$C$103,INT((ROW()-4)/10)+1))</f>
        <v/>
      </c>
      <c r="S781" s="36" t="str">
        <f t="array" ref="S781">IF(B781="","",INDEX('Bán nhanh'!$P$4:$P$103,INT((ROW()-4)/10)+1))</f>
        <v/>
      </c>
      <c r="T781" s="36"/>
      <c r="U781" s="36"/>
      <c r="V781" s="36"/>
      <c r="W781" s="36"/>
      <c r="X781" s="36"/>
      <c r="Y781" s="36"/>
      <c r="Z781" s="36"/>
    </row>
    <row r="782" ht="15.75" customHeight="1">
      <c r="A782" s="96" t="str">
        <f t="array" ref="A782">IF(B782="","",INDEX('Bán nhanh'!$A$4:$A$103,INT((ROW()-4)/10)+1))</f>
        <v/>
      </c>
      <c r="B782" s="36" t="str">
        <f t="array" ref="B782">IF(OR(INDEX('Bán nhanh'!$D$3:$M$3,1,MOD(ROW()-4,10)+1)="",INDEX('Bán nhanh'!$D$4:$M$103,INT((ROW()-4)/10)+1,MOD(ROW()-4,10)+1)&lt;=0),"",INDEX('Bán nhanh'!$D$3:$M$3,1,MOD(ROW()-4,10)+1))</f>
        <v/>
      </c>
      <c r="C782" s="36" t="str">
        <f t="array" ref="C782">IFERROR(INDEX('Sản phẩm'!$A$4:$A$103,MATCH(B782,'Sản phẩm'!$D$4:$D$103,0)),"")</f>
        <v/>
      </c>
      <c r="D782" s="36" t="str">
        <f t="array" ref="D782">IF(B782="","",INDEX('Bán nhanh'!$B$4:$B$103,INT((ROW()-4)/10)+1))</f>
        <v/>
      </c>
      <c r="E782" s="36" t="str">
        <f t="array" ref="E782">IFERROR(INDEX('Mẻ sữa'!$B$4:$B$203,MATCH(D782,'Mẻ sữa'!$C$4:$C$203,0)),"")</f>
        <v/>
      </c>
      <c r="F782" s="82">
        <f t="array" ref="F782">IF(B782="",0,INDEX('Bán nhanh'!$D$4:$M$103,INT((ROW()-4)/10)+1,MOD(ROW()-4,10)+1))</f>
        <v>0</v>
      </c>
      <c r="G782" s="83">
        <f t="array" ref="G782">IFERROR(INDEX('Sản phẩm'!$F$4:$F$103,MATCH(B782,'Sản phẩm'!$D$4:$D$103,0)),0)</f>
        <v>0</v>
      </c>
      <c r="H782" s="83">
        <f t="shared" si="5"/>
        <v>0</v>
      </c>
      <c r="I782" s="83">
        <f t="shared" si="1"/>
        <v>0</v>
      </c>
      <c r="J782" s="83">
        <f t="array" ref="J782">IFERROR(INDEX('Sản phẩm'!$G$4:$G$103,MATCH(B782,'Sản phẩm'!$D$4:$D$103,0)),0)</f>
        <v>0</v>
      </c>
      <c r="K782" s="83">
        <f t="array" ref="K782">IFERROR(J782*INDEX('Mẻ sữa'!$N$4:$N$203,MATCH(D782,'Mẻ sữa'!$C$4:$C$203,0)),0)</f>
        <v>0</v>
      </c>
      <c r="L782" s="83">
        <f t="array" ref="L782">IFERROR(INDEX('Sản phẩm'!$I$4:$I$103,MATCH(B782,'Sản phẩm'!$D$4:$D$103,0)),0)</f>
        <v>0</v>
      </c>
      <c r="M782" s="97" t="str">
        <f t="array" ref="M782">IFERROR(INDEX('Sản phẩm'!$J$4:$J$103,MATCH(B782,'Sản phẩm'!$D$4:$D$103,0)),0)</f>
        <v/>
      </c>
      <c r="N782" s="83">
        <f>IF(B782="",0,(K782+L782+M782)*'Thiết lập'!$B$8)</f>
        <v>0</v>
      </c>
      <c r="O782" s="83">
        <f t="shared" si="2"/>
        <v>0</v>
      </c>
      <c r="P782" s="83">
        <f t="shared" si="3"/>
        <v>0</v>
      </c>
      <c r="Q782" s="83">
        <f t="shared" si="4"/>
        <v>0</v>
      </c>
      <c r="R782" s="36" t="str">
        <f t="array" ref="R782">IF(B782="","",INDEX('Bán nhanh'!$C$4:$C$103,INT((ROW()-4)/10)+1))</f>
        <v/>
      </c>
      <c r="S782" s="36" t="str">
        <f t="array" ref="S782">IF(B782="","",INDEX('Bán nhanh'!$P$4:$P$103,INT((ROW()-4)/10)+1))</f>
        <v/>
      </c>
      <c r="T782" s="36"/>
      <c r="U782" s="36"/>
      <c r="V782" s="36"/>
      <c r="W782" s="36"/>
      <c r="X782" s="36"/>
      <c r="Y782" s="36"/>
      <c r="Z782" s="36"/>
    </row>
    <row r="783" ht="15.75" customHeight="1">
      <c r="A783" s="96" t="str">
        <f t="array" ref="A783">IF(B783="","",INDEX('Bán nhanh'!$A$4:$A$103,INT((ROW()-4)/10)+1))</f>
        <v/>
      </c>
      <c r="B783" s="36" t="str">
        <f t="array" ref="B783">IF(OR(INDEX('Bán nhanh'!$D$3:$M$3,1,MOD(ROW()-4,10)+1)="",INDEX('Bán nhanh'!$D$4:$M$103,INT((ROW()-4)/10)+1,MOD(ROW()-4,10)+1)&lt;=0),"",INDEX('Bán nhanh'!$D$3:$M$3,1,MOD(ROW()-4,10)+1))</f>
        <v/>
      </c>
      <c r="C783" s="36" t="str">
        <f t="array" ref="C783">IFERROR(INDEX('Sản phẩm'!$A$4:$A$103,MATCH(B783,'Sản phẩm'!$D$4:$D$103,0)),"")</f>
        <v/>
      </c>
      <c r="D783" s="36" t="str">
        <f t="array" ref="D783">IF(B783="","",INDEX('Bán nhanh'!$B$4:$B$103,INT((ROW()-4)/10)+1))</f>
        <v/>
      </c>
      <c r="E783" s="36" t="str">
        <f t="array" ref="E783">IFERROR(INDEX('Mẻ sữa'!$B$4:$B$203,MATCH(D783,'Mẻ sữa'!$C$4:$C$203,0)),"")</f>
        <v/>
      </c>
      <c r="F783" s="82">
        <f t="array" ref="F783">IF(B783="",0,INDEX('Bán nhanh'!$D$4:$M$103,INT((ROW()-4)/10)+1,MOD(ROW()-4,10)+1))</f>
        <v>0</v>
      </c>
      <c r="G783" s="83">
        <f t="array" ref="G783">IFERROR(INDEX('Sản phẩm'!$F$4:$F$103,MATCH(B783,'Sản phẩm'!$D$4:$D$103,0)),0)</f>
        <v>0</v>
      </c>
      <c r="H783" s="83">
        <f t="shared" si="5"/>
        <v>0</v>
      </c>
      <c r="I783" s="83">
        <f t="shared" si="1"/>
        <v>0</v>
      </c>
      <c r="J783" s="83">
        <f t="array" ref="J783">IFERROR(INDEX('Sản phẩm'!$G$4:$G$103,MATCH(B783,'Sản phẩm'!$D$4:$D$103,0)),0)</f>
        <v>0</v>
      </c>
      <c r="K783" s="83">
        <f t="array" ref="K783">IFERROR(J783*INDEX('Mẻ sữa'!$N$4:$N$203,MATCH(D783,'Mẻ sữa'!$C$4:$C$203,0)),0)</f>
        <v>0</v>
      </c>
      <c r="L783" s="83">
        <f t="array" ref="L783">IFERROR(INDEX('Sản phẩm'!$I$4:$I$103,MATCH(B783,'Sản phẩm'!$D$4:$D$103,0)),0)</f>
        <v>0</v>
      </c>
      <c r="M783" s="97" t="str">
        <f t="array" ref="M783">IFERROR(INDEX('Sản phẩm'!$J$4:$J$103,MATCH(B783,'Sản phẩm'!$D$4:$D$103,0)),0)</f>
        <v/>
      </c>
      <c r="N783" s="83">
        <f>IF(B783="",0,(K783+L783+M783)*'Thiết lập'!$B$8)</f>
        <v>0</v>
      </c>
      <c r="O783" s="83">
        <f t="shared" si="2"/>
        <v>0</v>
      </c>
      <c r="P783" s="83">
        <f t="shared" si="3"/>
        <v>0</v>
      </c>
      <c r="Q783" s="83">
        <f t="shared" si="4"/>
        <v>0</v>
      </c>
      <c r="R783" s="36" t="str">
        <f t="array" ref="R783">IF(B783="","",INDEX('Bán nhanh'!$C$4:$C$103,INT((ROW()-4)/10)+1))</f>
        <v/>
      </c>
      <c r="S783" s="36" t="str">
        <f t="array" ref="S783">IF(B783="","",INDEX('Bán nhanh'!$P$4:$P$103,INT((ROW()-4)/10)+1))</f>
        <v/>
      </c>
      <c r="T783" s="36"/>
      <c r="U783" s="36"/>
      <c r="V783" s="36"/>
      <c r="W783" s="36"/>
      <c r="X783" s="36"/>
      <c r="Y783" s="36"/>
      <c r="Z783" s="36"/>
    </row>
    <row r="784" ht="15.75" customHeight="1">
      <c r="A784" s="96" t="str">
        <f t="array" ref="A784">IF(B784="","",INDEX('Bán nhanh'!$A$4:$A$103,INT((ROW()-4)/10)+1))</f>
        <v/>
      </c>
      <c r="B784" s="36" t="str">
        <f t="array" ref="B784">IF(OR(INDEX('Bán nhanh'!$D$3:$M$3,1,MOD(ROW()-4,10)+1)="",INDEX('Bán nhanh'!$D$4:$M$103,INT((ROW()-4)/10)+1,MOD(ROW()-4,10)+1)&lt;=0),"",INDEX('Bán nhanh'!$D$3:$M$3,1,MOD(ROW()-4,10)+1))</f>
        <v/>
      </c>
      <c r="C784" s="36" t="str">
        <f t="array" ref="C784">IFERROR(INDEX('Sản phẩm'!$A$4:$A$103,MATCH(B784,'Sản phẩm'!$D$4:$D$103,0)),"")</f>
        <v/>
      </c>
      <c r="D784" s="36" t="str">
        <f t="array" ref="D784">IF(B784="","",INDEX('Bán nhanh'!$B$4:$B$103,INT((ROW()-4)/10)+1))</f>
        <v/>
      </c>
      <c r="E784" s="36" t="str">
        <f t="array" ref="E784">IFERROR(INDEX('Mẻ sữa'!$B$4:$B$203,MATCH(D784,'Mẻ sữa'!$C$4:$C$203,0)),"")</f>
        <v/>
      </c>
      <c r="F784" s="82">
        <f t="array" ref="F784">IF(B784="",0,INDEX('Bán nhanh'!$D$4:$M$103,INT((ROW()-4)/10)+1,MOD(ROW()-4,10)+1))</f>
        <v>0</v>
      </c>
      <c r="G784" s="83">
        <f t="array" ref="G784">IFERROR(INDEX('Sản phẩm'!$F$4:$F$103,MATCH(B784,'Sản phẩm'!$D$4:$D$103,0)),0)</f>
        <v>0</v>
      </c>
      <c r="H784" s="83">
        <f t="shared" si="5"/>
        <v>0</v>
      </c>
      <c r="I784" s="83">
        <f t="shared" si="1"/>
        <v>0</v>
      </c>
      <c r="J784" s="83">
        <f t="array" ref="J784">IFERROR(INDEX('Sản phẩm'!$G$4:$G$103,MATCH(B784,'Sản phẩm'!$D$4:$D$103,0)),0)</f>
        <v>0</v>
      </c>
      <c r="K784" s="83">
        <f t="array" ref="K784">IFERROR(J784*INDEX('Mẻ sữa'!$N$4:$N$203,MATCH(D784,'Mẻ sữa'!$C$4:$C$203,0)),0)</f>
        <v>0</v>
      </c>
      <c r="L784" s="83">
        <f t="array" ref="L784">IFERROR(INDEX('Sản phẩm'!$I$4:$I$103,MATCH(B784,'Sản phẩm'!$D$4:$D$103,0)),0)</f>
        <v>0</v>
      </c>
      <c r="M784" s="97" t="str">
        <f t="array" ref="M784">IFERROR(INDEX('Sản phẩm'!$J$4:$J$103,MATCH(B784,'Sản phẩm'!$D$4:$D$103,0)),0)</f>
        <v/>
      </c>
      <c r="N784" s="83">
        <f>IF(B784="",0,(K784+L784+M784)*'Thiết lập'!$B$8)</f>
        <v>0</v>
      </c>
      <c r="O784" s="83">
        <f t="shared" si="2"/>
        <v>0</v>
      </c>
      <c r="P784" s="83">
        <f t="shared" si="3"/>
        <v>0</v>
      </c>
      <c r="Q784" s="83">
        <f t="shared" si="4"/>
        <v>0</v>
      </c>
      <c r="R784" s="36" t="str">
        <f t="array" ref="R784">IF(B784="","",INDEX('Bán nhanh'!$C$4:$C$103,INT((ROW()-4)/10)+1))</f>
        <v/>
      </c>
      <c r="S784" s="36" t="str">
        <f t="array" ref="S784">IF(B784="","",INDEX('Bán nhanh'!$P$4:$P$103,INT((ROW()-4)/10)+1))</f>
        <v/>
      </c>
      <c r="T784" s="36"/>
      <c r="U784" s="36"/>
      <c r="V784" s="36"/>
      <c r="W784" s="36"/>
      <c r="X784" s="36"/>
      <c r="Y784" s="36"/>
      <c r="Z784" s="36"/>
    </row>
    <row r="785" ht="15.75" customHeight="1">
      <c r="A785" s="96" t="str">
        <f t="array" ref="A785">IF(B785="","",INDEX('Bán nhanh'!$A$4:$A$103,INT((ROW()-4)/10)+1))</f>
        <v/>
      </c>
      <c r="B785" s="36" t="str">
        <f t="array" ref="B785">IF(OR(INDEX('Bán nhanh'!$D$3:$M$3,1,MOD(ROW()-4,10)+1)="",INDEX('Bán nhanh'!$D$4:$M$103,INT((ROW()-4)/10)+1,MOD(ROW()-4,10)+1)&lt;=0),"",INDEX('Bán nhanh'!$D$3:$M$3,1,MOD(ROW()-4,10)+1))</f>
        <v/>
      </c>
      <c r="C785" s="36" t="str">
        <f t="array" ref="C785">IFERROR(INDEX('Sản phẩm'!$A$4:$A$103,MATCH(B785,'Sản phẩm'!$D$4:$D$103,0)),"")</f>
        <v/>
      </c>
      <c r="D785" s="36" t="str">
        <f t="array" ref="D785">IF(B785="","",INDEX('Bán nhanh'!$B$4:$B$103,INT((ROW()-4)/10)+1))</f>
        <v/>
      </c>
      <c r="E785" s="36" t="str">
        <f t="array" ref="E785">IFERROR(INDEX('Mẻ sữa'!$B$4:$B$203,MATCH(D785,'Mẻ sữa'!$C$4:$C$203,0)),"")</f>
        <v/>
      </c>
      <c r="F785" s="82">
        <f t="array" ref="F785">IF(B785="",0,INDEX('Bán nhanh'!$D$4:$M$103,INT((ROW()-4)/10)+1,MOD(ROW()-4,10)+1))</f>
        <v>0</v>
      </c>
      <c r="G785" s="83">
        <f t="array" ref="G785">IFERROR(INDEX('Sản phẩm'!$F$4:$F$103,MATCH(B785,'Sản phẩm'!$D$4:$D$103,0)),0)</f>
        <v>0</v>
      </c>
      <c r="H785" s="83">
        <f t="shared" si="5"/>
        <v>0</v>
      </c>
      <c r="I785" s="83">
        <f t="shared" si="1"/>
        <v>0</v>
      </c>
      <c r="J785" s="83">
        <f t="array" ref="J785">IFERROR(INDEX('Sản phẩm'!$G$4:$G$103,MATCH(B785,'Sản phẩm'!$D$4:$D$103,0)),0)</f>
        <v>0</v>
      </c>
      <c r="K785" s="83">
        <f t="array" ref="K785">IFERROR(J785*INDEX('Mẻ sữa'!$N$4:$N$203,MATCH(D785,'Mẻ sữa'!$C$4:$C$203,0)),0)</f>
        <v>0</v>
      </c>
      <c r="L785" s="83">
        <f t="array" ref="L785">IFERROR(INDEX('Sản phẩm'!$I$4:$I$103,MATCH(B785,'Sản phẩm'!$D$4:$D$103,0)),0)</f>
        <v>0</v>
      </c>
      <c r="M785" s="97" t="str">
        <f t="array" ref="M785">IFERROR(INDEX('Sản phẩm'!$J$4:$J$103,MATCH(B785,'Sản phẩm'!$D$4:$D$103,0)),0)</f>
        <v/>
      </c>
      <c r="N785" s="83">
        <f>IF(B785="",0,(K785+L785+M785)*'Thiết lập'!$B$8)</f>
        <v>0</v>
      </c>
      <c r="O785" s="83">
        <f t="shared" si="2"/>
        <v>0</v>
      </c>
      <c r="P785" s="83">
        <f t="shared" si="3"/>
        <v>0</v>
      </c>
      <c r="Q785" s="83">
        <f t="shared" si="4"/>
        <v>0</v>
      </c>
      <c r="R785" s="36" t="str">
        <f t="array" ref="R785">IF(B785="","",INDEX('Bán nhanh'!$C$4:$C$103,INT((ROW()-4)/10)+1))</f>
        <v/>
      </c>
      <c r="S785" s="36" t="str">
        <f t="array" ref="S785">IF(B785="","",INDEX('Bán nhanh'!$P$4:$P$103,INT((ROW()-4)/10)+1))</f>
        <v/>
      </c>
      <c r="T785" s="36"/>
      <c r="U785" s="36"/>
      <c r="V785" s="36"/>
      <c r="W785" s="36"/>
      <c r="X785" s="36"/>
      <c r="Y785" s="36"/>
      <c r="Z785" s="36"/>
    </row>
    <row r="786" ht="15.75" customHeight="1">
      <c r="A786" s="96" t="str">
        <f t="array" ref="A786">IF(B786="","",INDEX('Bán nhanh'!$A$4:$A$103,INT((ROW()-4)/10)+1))</f>
        <v/>
      </c>
      <c r="B786" s="36" t="str">
        <f t="array" ref="B786">IF(OR(INDEX('Bán nhanh'!$D$3:$M$3,1,MOD(ROW()-4,10)+1)="",INDEX('Bán nhanh'!$D$4:$M$103,INT((ROW()-4)/10)+1,MOD(ROW()-4,10)+1)&lt;=0),"",INDEX('Bán nhanh'!$D$3:$M$3,1,MOD(ROW()-4,10)+1))</f>
        <v/>
      </c>
      <c r="C786" s="36" t="str">
        <f t="array" ref="C786">IFERROR(INDEX('Sản phẩm'!$A$4:$A$103,MATCH(B786,'Sản phẩm'!$D$4:$D$103,0)),"")</f>
        <v/>
      </c>
      <c r="D786" s="36" t="str">
        <f t="array" ref="D786">IF(B786="","",INDEX('Bán nhanh'!$B$4:$B$103,INT((ROW()-4)/10)+1))</f>
        <v/>
      </c>
      <c r="E786" s="36" t="str">
        <f t="array" ref="E786">IFERROR(INDEX('Mẻ sữa'!$B$4:$B$203,MATCH(D786,'Mẻ sữa'!$C$4:$C$203,0)),"")</f>
        <v/>
      </c>
      <c r="F786" s="82">
        <f t="array" ref="F786">IF(B786="",0,INDEX('Bán nhanh'!$D$4:$M$103,INT((ROW()-4)/10)+1,MOD(ROW()-4,10)+1))</f>
        <v>0</v>
      </c>
      <c r="G786" s="83">
        <f t="array" ref="G786">IFERROR(INDEX('Sản phẩm'!$F$4:$F$103,MATCH(B786,'Sản phẩm'!$D$4:$D$103,0)),0)</f>
        <v>0</v>
      </c>
      <c r="H786" s="83">
        <f t="shared" si="5"/>
        <v>0</v>
      </c>
      <c r="I786" s="83">
        <f t="shared" si="1"/>
        <v>0</v>
      </c>
      <c r="J786" s="83">
        <f t="array" ref="J786">IFERROR(INDEX('Sản phẩm'!$G$4:$G$103,MATCH(B786,'Sản phẩm'!$D$4:$D$103,0)),0)</f>
        <v>0</v>
      </c>
      <c r="K786" s="83">
        <f t="array" ref="K786">IFERROR(J786*INDEX('Mẻ sữa'!$N$4:$N$203,MATCH(D786,'Mẻ sữa'!$C$4:$C$203,0)),0)</f>
        <v>0</v>
      </c>
      <c r="L786" s="83">
        <f t="array" ref="L786">IFERROR(INDEX('Sản phẩm'!$I$4:$I$103,MATCH(B786,'Sản phẩm'!$D$4:$D$103,0)),0)</f>
        <v>0</v>
      </c>
      <c r="M786" s="97" t="str">
        <f t="array" ref="M786">IFERROR(INDEX('Sản phẩm'!$J$4:$J$103,MATCH(B786,'Sản phẩm'!$D$4:$D$103,0)),0)</f>
        <v/>
      </c>
      <c r="N786" s="83">
        <f>IF(B786="",0,(K786+L786+M786)*'Thiết lập'!$B$8)</f>
        <v>0</v>
      </c>
      <c r="O786" s="83">
        <f t="shared" si="2"/>
        <v>0</v>
      </c>
      <c r="P786" s="83">
        <f t="shared" si="3"/>
        <v>0</v>
      </c>
      <c r="Q786" s="83">
        <f t="shared" si="4"/>
        <v>0</v>
      </c>
      <c r="R786" s="36" t="str">
        <f t="array" ref="R786">IF(B786="","",INDEX('Bán nhanh'!$C$4:$C$103,INT((ROW()-4)/10)+1))</f>
        <v/>
      </c>
      <c r="S786" s="36" t="str">
        <f t="array" ref="S786">IF(B786="","",INDEX('Bán nhanh'!$P$4:$P$103,INT((ROW()-4)/10)+1))</f>
        <v/>
      </c>
      <c r="T786" s="36"/>
      <c r="U786" s="36"/>
      <c r="V786" s="36"/>
      <c r="W786" s="36"/>
      <c r="X786" s="36"/>
      <c r="Y786" s="36"/>
      <c r="Z786" s="36"/>
    </row>
    <row r="787" ht="15.75" customHeight="1">
      <c r="A787" s="96" t="str">
        <f t="array" ref="A787">IF(B787="","",INDEX('Bán nhanh'!$A$4:$A$103,INT((ROW()-4)/10)+1))</f>
        <v/>
      </c>
      <c r="B787" s="36" t="str">
        <f t="array" ref="B787">IF(OR(INDEX('Bán nhanh'!$D$3:$M$3,1,MOD(ROW()-4,10)+1)="",INDEX('Bán nhanh'!$D$4:$M$103,INT((ROW()-4)/10)+1,MOD(ROW()-4,10)+1)&lt;=0),"",INDEX('Bán nhanh'!$D$3:$M$3,1,MOD(ROW()-4,10)+1))</f>
        <v/>
      </c>
      <c r="C787" s="36" t="str">
        <f t="array" ref="C787">IFERROR(INDEX('Sản phẩm'!$A$4:$A$103,MATCH(B787,'Sản phẩm'!$D$4:$D$103,0)),"")</f>
        <v/>
      </c>
      <c r="D787" s="36" t="str">
        <f t="array" ref="D787">IF(B787="","",INDEX('Bán nhanh'!$B$4:$B$103,INT((ROW()-4)/10)+1))</f>
        <v/>
      </c>
      <c r="E787" s="36" t="str">
        <f t="array" ref="E787">IFERROR(INDEX('Mẻ sữa'!$B$4:$B$203,MATCH(D787,'Mẻ sữa'!$C$4:$C$203,0)),"")</f>
        <v/>
      </c>
      <c r="F787" s="82">
        <f t="array" ref="F787">IF(B787="",0,INDEX('Bán nhanh'!$D$4:$M$103,INT((ROW()-4)/10)+1,MOD(ROW()-4,10)+1))</f>
        <v>0</v>
      </c>
      <c r="G787" s="83">
        <f t="array" ref="G787">IFERROR(INDEX('Sản phẩm'!$F$4:$F$103,MATCH(B787,'Sản phẩm'!$D$4:$D$103,0)),0)</f>
        <v>0</v>
      </c>
      <c r="H787" s="83">
        <f t="shared" si="5"/>
        <v>0</v>
      </c>
      <c r="I787" s="83">
        <f t="shared" si="1"/>
        <v>0</v>
      </c>
      <c r="J787" s="83">
        <f t="array" ref="J787">IFERROR(INDEX('Sản phẩm'!$G$4:$G$103,MATCH(B787,'Sản phẩm'!$D$4:$D$103,0)),0)</f>
        <v>0</v>
      </c>
      <c r="K787" s="83">
        <f t="array" ref="K787">IFERROR(J787*INDEX('Mẻ sữa'!$N$4:$N$203,MATCH(D787,'Mẻ sữa'!$C$4:$C$203,0)),0)</f>
        <v>0</v>
      </c>
      <c r="L787" s="83">
        <f t="array" ref="L787">IFERROR(INDEX('Sản phẩm'!$I$4:$I$103,MATCH(B787,'Sản phẩm'!$D$4:$D$103,0)),0)</f>
        <v>0</v>
      </c>
      <c r="M787" s="97" t="str">
        <f t="array" ref="M787">IFERROR(INDEX('Sản phẩm'!$J$4:$J$103,MATCH(B787,'Sản phẩm'!$D$4:$D$103,0)),0)</f>
        <v/>
      </c>
      <c r="N787" s="83">
        <f>IF(B787="",0,(K787+L787+M787)*'Thiết lập'!$B$8)</f>
        <v>0</v>
      </c>
      <c r="O787" s="83">
        <f t="shared" si="2"/>
        <v>0</v>
      </c>
      <c r="P787" s="83">
        <f t="shared" si="3"/>
        <v>0</v>
      </c>
      <c r="Q787" s="83">
        <f t="shared" si="4"/>
        <v>0</v>
      </c>
      <c r="R787" s="36" t="str">
        <f t="array" ref="R787">IF(B787="","",INDEX('Bán nhanh'!$C$4:$C$103,INT((ROW()-4)/10)+1))</f>
        <v/>
      </c>
      <c r="S787" s="36" t="str">
        <f t="array" ref="S787">IF(B787="","",INDEX('Bán nhanh'!$P$4:$P$103,INT((ROW()-4)/10)+1))</f>
        <v/>
      </c>
      <c r="T787" s="36"/>
      <c r="U787" s="36"/>
      <c r="V787" s="36"/>
      <c r="W787" s="36"/>
      <c r="X787" s="36"/>
      <c r="Y787" s="36"/>
      <c r="Z787" s="36"/>
    </row>
    <row r="788" ht="15.75" customHeight="1">
      <c r="A788" s="96" t="str">
        <f t="array" ref="A788">IF(B788="","",INDEX('Bán nhanh'!$A$4:$A$103,INT((ROW()-4)/10)+1))</f>
        <v/>
      </c>
      <c r="B788" s="36" t="str">
        <f t="array" ref="B788">IF(OR(INDEX('Bán nhanh'!$D$3:$M$3,1,MOD(ROW()-4,10)+1)="",INDEX('Bán nhanh'!$D$4:$M$103,INT((ROW()-4)/10)+1,MOD(ROW()-4,10)+1)&lt;=0),"",INDEX('Bán nhanh'!$D$3:$M$3,1,MOD(ROW()-4,10)+1))</f>
        <v/>
      </c>
      <c r="C788" s="36" t="str">
        <f t="array" ref="C788">IFERROR(INDEX('Sản phẩm'!$A$4:$A$103,MATCH(B788,'Sản phẩm'!$D$4:$D$103,0)),"")</f>
        <v/>
      </c>
      <c r="D788" s="36" t="str">
        <f t="array" ref="D788">IF(B788="","",INDEX('Bán nhanh'!$B$4:$B$103,INT((ROW()-4)/10)+1))</f>
        <v/>
      </c>
      <c r="E788" s="36" t="str">
        <f t="array" ref="E788">IFERROR(INDEX('Mẻ sữa'!$B$4:$B$203,MATCH(D788,'Mẻ sữa'!$C$4:$C$203,0)),"")</f>
        <v/>
      </c>
      <c r="F788" s="82">
        <f t="array" ref="F788">IF(B788="",0,INDEX('Bán nhanh'!$D$4:$M$103,INT((ROW()-4)/10)+1,MOD(ROW()-4,10)+1))</f>
        <v>0</v>
      </c>
      <c r="G788" s="83">
        <f t="array" ref="G788">IFERROR(INDEX('Sản phẩm'!$F$4:$F$103,MATCH(B788,'Sản phẩm'!$D$4:$D$103,0)),0)</f>
        <v>0</v>
      </c>
      <c r="H788" s="83">
        <f t="shared" si="5"/>
        <v>0</v>
      </c>
      <c r="I788" s="83">
        <f t="shared" si="1"/>
        <v>0</v>
      </c>
      <c r="J788" s="83">
        <f t="array" ref="J788">IFERROR(INDEX('Sản phẩm'!$G$4:$G$103,MATCH(B788,'Sản phẩm'!$D$4:$D$103,0)),0)</f>
        <v>0</v>
      </c>
      <c r="K788" s="83">
        <f t="array" ref="K788">IFERROR(J788*INDEX('Mẻ sữa'!$N$4:$N$203,MATCH(D788,'Mẻ sữa'!$C$4:$C$203,0)),0)</f>
        <v>0</v>
      </c>
      <c r="L788" s="83">
        <f t="array" ref="L788">IFERROR(INDEX('Sản phẩm'!$I$4:$I$103,MATCH(B788,'Sản phẩm'!$D$4:$D$103,0)),0)</f>
        <v>0</v>
      </c>
      <c r="M788" s="97" t="str">
        <f t="array" ref="M788">IFERROR(INDEX('Sản phẩm'!$J$4:$J$103,MATCH(B788,'Sản phẩm'!$D$4:$D$103,0)),0)</f>
        <v/>
      </c>
      <c r="N788" s="83">
        <f>IF(B788="",0,(K788+L788+M788)*'Thiết lập'!$B$8)</f>
        <v>0</v>
      </c>
      <c r="O788" s="83">
        <f t="shared" si="2"/>
        <v>0</v>
      </c>
      <c r="P788" s="83">
        <f t="shared" si="3"/>
        <v>0</v>
      </c>
      <c r="Q788" s="83">
        <f t="shared" si="4"/>
        <v>0</v>
      </c>
      <c r="R788" s="36" t="str">
        <f t="array" ref="R788">IF(B788="","",INDEX('Bán nhanh'!$C$4:$C$103,INT((ROW()-4)/10)+1))</f>
        <v/>
      </c>
      <c r="S788" s="36" t="str">
        <f t="array" ref="S788">IF(B788="","",INDEX('Bán nhanh'!$P$4:$P$103,INT((ROW()-4)/10)+1))</f>
        <v/>
      </c>
      <c r="T788" s="36"/>
      <c r="U788" s="36"/>
      <c r="V788" s="36"/>
      <c r="W788" s="36"/>
      <c r="X788" s="36"/>
      <c r="Y788" s="36"/>
      <c r="Z788" s="36"/>
    </row>
    <row r="789" ht="15.75" customHeight="1">
      <c r="A789" s="96" t="str">
        <f t="array" ref="A789">IF(B789="","",INDEX('Bán nhanh'!$A$4:$A$103,INT((ROW()-4)/10)+1))</f>
        <v/>
      </c>
      <c r="B789" s="36" t="str">
        <f t="array" ref="B789">IF(OR(INDEX('Bán nhanh'!$D$3:$M$3,1,MOD(ROW()-4,10)+1)="",INDEX('Bán nhanh'!$D$4:$M$103,INT((ROW()-4)/10)+1,MOD(ROW()-4,10)+1)&lt;=0),"",INDEX('Bán nhanh'!$D$3:$M$3,1,MOD(ROW()-4,10)+1))</f>
        <v/>
      </c>
      <c r="C789" s="36" t="str">
        <f t="array" ref="C789">IFERROR(INDEX('Sản phẩm'!$A$4:$A$103,MATCH(B789,'Sản phẩm'!$D$4:$D$103,0)),"")</f>
        <v/>
      </c>
      <c r="D789" s="36" t="str">
        <f t="array" ref="D789">IF(B789="","",INDEX('Bán nhanh'!$B$4:$B$103,INT((ROW()-4)/10)+1))</f>
        <v/>
      </c>
      <c r="E789" s="36" t="str">
        <f t="array" ref="E789">IFERROR(INDEX('Mẻ sữa'!$B$4:$B$203,MATCH(D789,'Mẻ sữa'!$C$4:$C$203,0)),"")</f>
        <v/>
      </c>
      <c r="F789" s="82">
        <f t="array" ref="F789">IF(B789="",0,INDEX('Bán nhanh'!$D$4:$M$103,INT((ROW()-4)/10)+1,MOD(ROW()-4,10)+1))</f>
        <v>0</v>
      </c>
      <c r="G789" s="83">
        <f t="array" ref="G789">IFERROR(INDEX('Sản phẩm'!$F$4:$F$103,MATCH(B789,'Sản phẩm'!$D$4:$D$103,0)),0)</f>
        <v>0</v>
      </c>
      <c r="H789" s="83">
        <f t="shared" si="5"/>
        <v>0</v>
      </c>
      <c r="I789" s="83">
        <f t="shared" si="1"/>
        <v>0</v>
      </c>
      <c r="J789" s="83">
        <f t="array" ref="J789">IFERROR(INDEX('Sản phẩm'!$G$4:$G$103,MATCH(B789,'Sản phẩm'!$D$4:$D$103,0)),0)</f>
        <v>0</v>
      </c>
      <c r="K789" s="83">
        <f t="array" ref="K789">IFERROR(J789*INDEX('Mẻ sữa'!$N$4:$N$203,MATCH(D789,'Mẻ sữa'!$C$4:$C$203,0)),0)</f>
        <v>0</v>
      </c>
      <c r="L789" s="83">
        <f t="array" ref="L789">IFERROR(INDEX('Sản phẩm'!$I$4:$I$103,MATCH(B789,'Sản phẩm'!$D$4:$D$103,0)),0)</f>
        <v>0</v>
      </c>
      <c r="M789" s="97" t="str">
        <f t="array" ref="M789">IFERROR(INDEX('Sản phẩm'!$J$4:$J$103,MATCH(B789,'Sản phẩm'!$D$4:$D$103,0)),0)</f>
        <v/>
      </c>
      <c r="N789" s="83">
        <f>IF(B789="",0,(K789+L789+M789)*'Thiết lập'!$B$8)</f>
        <v>0</v>
      </c>
      <c r="O789" s="83">
        <f t="shared" si="2"/>
        <v>0</v>
      </c>
      <c r="P789" s="83">
        <f t="shared" si="3"/>
        <v>0</v>
      </c>
      <c r="Q789" s="83">
        <f t="shared" si="4"/>
        <v>0</v>
      </c>
      <c r="R789" s="36" t="str">
        <f t="array" ref="R789">IF(B789="","",INDEX('Bán nhanh'!$C$4:$C$103,INT((ROW()-4)/10)+1))</f>
        <v/>
      </c>
      <c r="S789" s="36" t="str">
        <f t="array" ref="S789">IF(B789="","",INDEX('Bán nhanh'!$P$4:$P$103,INT((ROW()-4)/10)+1))</f>
        <v/>
      </c>
      <c r="T789" s="36"/>
      <c r="U789" s="36"/>
      <c r="V789" s="36"/>
      <c r="W789" s="36"/>
      <c r="X789" s="36"/>
      <c r="Y789" s="36"/>
      <c r="Z789" s="36"/>
    </row>
    <row r="790" ht="15.75" customHeight="1">
      <c r="A790" s="96" t="str">
        <f t="array" ref="A790">IF(B790="","",INDEX('Bán nhanh'!$A$4:$A$103,INT((ROW()-4)/10)+1))</f>
        <v/>
      </c>
      <c r="B790" s="36" t="str">
        <f t="array" ref="B790">IF(OR(INDEX('Bán nhanh'!$D$3:$M$3,1,MOD(ROW()-4,10)+1)="",INDEX('Bán nhanh'!$D$4:$M$103,INT((ROW()-4)/10)+1,MOD(ROW()-4,10)+1)&lt;=0),"",INDEX('Bán nhanh'!$D$3:$M$3,1,MOD(ROW()-4,10)+1))</f>
        <v/>
      </c>
      <c r="C790" s="36" t="str">
        <f t="array" ref="C790">IFERROR(INDEX('Sản phẩm'!$A$4:$A$103,MATCH(B790,'Sản phẩm'!$D$4:$D$103,0)),"")</f>
        <v/>
      </c>
      <c r="D790" s="36" t="str">
        <f t="array" ref="D790">IF(B790="","",INDEX('Bán nhanh'!$B$4:$B$103,INT((ROW()-4)/10)+1))</f>
        <v/>
      </c>
      <c r="E790" s="36" t="str">
        <f t="array" ref="E790">IFERROR(INDEX('Mẻ sữa'!$B$4:$B$203,MATCH(D790,'Mẻ sữa'!$C$4:$C$203,0)),"")</f>
        <v/>
      </c>
      <c r="F790" s="82">
        <f t="array" ref="F790">IF(B790="",0,INDEX('Bán nhanh'!$D$4:$M$103,INT((ROW()-4)/10)+1,MOD(ROW()-4,10)+1))</f>
        <v>0</v>
      </c>
      <c r="G790" s="83">
        <f t="array" ref="G790">IFERROR(INDEX('Sản phẩm'!$F$4:$F$103,MATCH(B790,'Sản phẩm'!$D$4:$D$103,0)),0)</f>
        <v>0</v>
      </c>
      <c r="H790" s="83">
        <f t="shared" si="5"/>
        <v>0</v>
      </c>
      <c r="I790" s="83">
        <f t="shared" si="1"/>
        <v>0</v>
      </c>
      <c r="J790" s="83">
        <f t="array" ref="J790">IFERROR(INDEX('Sản phẩm'!$G$4:$G$103,MATCH(B790,'Sản phẩm'!$D$4:$D$103,0)),0)</f>
        <v>0</v>
      </c>
      <c r="K790" s="83">
        <f t="array" ref="K790">IFERROR(J790*INDEX('Mẻ sữa'!$N$4:$N$203,MATCH(D790,'Mẻ sữa'!$C$4:$C$203,0)),0)</f>
        <v>0</v>
      </c>
      <c r="L790" s="83">
        <f t="array" ref="L790">IFERROR(INDEX('Sản phẩm'!$I$4:$I$103,MATCH(B790,'Sản phẩm'!$D$4:$D$103,0)),0)</f>
        <v>0</v>
      </c>
      <c r="M790" s="97" t="str">
        <f t="array" ref="M790">IFERROR(INDEX('Sản phẩm'!$J$4:$J$103,MATCH(B790,'Sản phẩm'!$D$4:$D$103,0)),0)</f>
        <v/>
      </c>
      <c r="N790" s="83">
        <f>IF(B790="",0,(K790+L790+M790)*'Thiết lập'!$B$8)</f>
        <v>0</v>
      </c>
      <c r="O790" s="83">
        <f t="shared" si="2"/>
        <v>0</v>
      </c>
      <c r="P790" s="83">
        <f t="shared" si="3"/>
        <v>0</v>
      </c>
      <c r="Q790" s="83">
        <f t="shared" si="4"/>
        <v>0</v>
      </c>
      <c r="R790" s="36" t="str">
        <f t="array" ref="R790">IF(B790="","",INDEX('Bán nhanh'!$C$4:$C$103,INT((ROW()-4)/10)+1))</f>
        <v/>
      </c>
      <c r="S790" s="36" t="str">
        <f t="array" ref="S790">IF(B790="","",INDEX('Bán nhanh'!$P$4:$P$103,INT((ROW()-4)/10)+1))</f>
        <v/>
      </c>
      <c r="T790" s="36"/>
      <c r="U790" s="36"/>
      <c r="V790" s="36"/>
      <c r="W790" s="36"/>
      <c r="X790" s="36"/>
      <c r="Y790" s="36"/>
      <c r="Z790" s="36"/>
    </row>
    <row r="791" ht="15.75" customHeight="1">
      <c r="A791" s="96" t="str">
        <f t="array" ref="A791">IF(B791="","",INDEX('Bán nhanh'!$A$4:$A$103,INT((ROW()-4)/10)+1))</f>
        <v/>
      </c>
      <c r="B791" s="36" t="str">
        <f t="array" ref="B791">IF(OR(INDEX('Bán nhanh'!$D$3:$M$3,1,MOD(ROW()-4,10)+1)="",INDEX('Bán nhanh'!$D$4:$M$103,INT((ROW()-4)/10)+1,MOD(ROW()-4,10)+1)&lt;=0),"",INDEX('Bán nhanh'!$D$3:$M$3,1,MOD(ROW()-4,10)+1))</f>
        <v/>
      </c>
      <c r="C791" s="36" t="str">
        <f t="array" ref="C791">IFERROR(INDEX('Sản phẩm'!$A$4:$A$103,MATCH(B791,'Sản phẩm'!$D$4:$D$103,0)),"")</f>
        <v/>
      </c>
      <c r="D791" s="36" t="str">
        <f t="array" ref="D791">IF(B791="","",INDEX('Bán nhanh'!$B$4:$B$103,INT((ROW()-4)/10)+1))</f>
        <v/>
      </c>
      <c r="E791" s="36" t="str">
        <f t="array" ref="E791">IFERROR(INDEX('Mẻ sữa'!$B$4:$B$203,MATCH(D791,'Mẻ sữa'!$C$4:$C$203,0)),"")</f>
        <v/>
      </c>
      <c r="F791" s="82">
        <f t="array" ref="F791">IF(B791="",0,INDEX('Bán nhanh'!$D$4:$M$103,INT((ROW()-4)/10)+1,MOD(ROW()-4,10)+1))</f>
        <v>0</v>
      </c>
      <c r="G791" s="83">
        <f t="array" ref="G791">IFERROR(INDEX('Sản phẩm'!$F$4:$F$103,MATCH(B791,'Sản phẩm'!$D$4:$D$103,0)),0)</f>
        <v>0</v>
      </c>
      <c r="H791" s="83">
        <f t="shared" si="5"/>
        <v>0</v>
      </c>
      <c r="I791" s="83">
        <f t="shared" si="1"/>
        <v>0</v>
      </c>
      <c r="J791" s="83">
        <f t="array" ref="J791">IFERROR(INDEX('Sản phẩm'!$G$4:$G$103,MATCH(B791,'Sản phẩm'!$D$4:$D$103,0)),0)</f>
        <v>0</v>
      </c>
      <c r="K791" s="83">
        <f t="array" ref="K791">IFERROR(J791*INDEX('Mẻ sữa'!$N$4:$N$203,MATCH(D791,'Mẻ sữa'!$C$4:$C$203,0)),0)</f>
        <v>0</v>
      </c>
      <c r="L791" s="83">
        <f t="array" ref="L791">IFERROR(INDEX('Sản phẩm'!$I$4:$I$103,MATCH(B791,'Sản phẩm'!$D$4:$D$103,0)),0)</f>
        <v>0</v>
      </c>
      <c r="M791" s="97" t="str">
        <f t="array" ref="M791">IFERROR(INDEX('Sản phẩm'!$J$4:$J$103,MATCH(B791,'Sản phẩm'!$D$4:$D$103,0)),0)</f>
        <v/>
      </c>
      <c r="N791" s="83">
        <f>IF(B791="",0,(K791+L791+M791)*'Thiết lập'!$B$8)</f>
        <v>0</v>
      </c>
      <c r="O791" s="83">
        <f t="shared" si="2"/>
        <v>0</v>
      </c>
      <c r="P791" s="83">
        <f t="shared" si="3"/>
        <v>0</v>
      </c>
      <c r="Q791" s="83">
        <f t="shared" si="4"/>
        <v>0</v>
      </c>
      <c r="R791" s="36" t="str">
        <f t="array" ref="R791">IF(B791="","",INDEX('Bán nhanh'!$C$4:$C$103,INT((ROW()-4)/10)+1))</f>
        <v/>
      </c>
      <c r="S791" s="36" t="str">
        <f t="array" ref="S791">IF(B791="","",INDEX('Bán nhanh'!$P$4:$P$103,INT((ROW()-4)/10)+1))</f>
        <v/>
      </c>
      <c r="T791" s="36"/>
      <c r="U791" s="36"/>
      <c r="V791" s="36"/>
      <c r="W791" s="36"/>
      <c r="X791" s="36"/>
      <c r="Y791" s="36"/>
      <c r="Z791" s="36"/>
    </row>
    <row r="792" ht="15.75" customHeight="1">
      <c r="A792" s="96" t="str">
        <f t="array" ref="A792">IF(B792="","",INDEX('Bán nhanh'!$A$4:$A$103,INT((ROW()-4)/10)+1))</f>
        <v/>
      </c>
      <c r="B792" s="36" t="str">
        <f t="array" ref="B792">IF(OR(INDEX('Bán nhanh'!$D$3:$M$3,1,MOD(ROW()-4,10)+1)="",INDEX('Bán nhanh'!$D$4:$M$103,INT((ROW()-4)/10)+1,MOD(ROW()-4,10)+1)&lt;=0),"",INDEX('Bán nhanh'!$D$3:$M$3,1,MOD(ROW()-4,10)+1))</f>
        <v/>
      </c>
      <c r="C792" s="36" t="str">
        <f t="array" ref="C792">IFERROR(INDEX('Sản phẩm'!$A$4:$A$103,MATCH(B792,'Sản phẩm'!$D$4:$D$103,0)),"")</f>
        <v/>
      </c>
      <c r="D792" s="36" t="str">
        <f t="array" ref="D792">IF(B792="","",INDEX('Bán nhanh'!$B$4:$B$103,INT((ROW()-4)/10)+1))</f>
        <v/>
      </c>
      <c r="E792" s="36" t="str">
        <f t="array" ref="E792">IFERROR(INDEX('Mẻ sữa'!$B$4:$B$203,MATCH(D792,'Mẻ sữa'!$C$4:$C$203,0)),"")</f>
        <v/>
      </c>
      <c r="F792" s="82">
        <f t="array" ref="F792">IF(B792="",0,INDEX('Bán nhanh'!$D$4:$M$103,INT((ROW()-4)/10)+1,MOD(ROW()-4,10)+1))</f>
        <v>0</v>
      </c>
      <c r="G792" s="83">
        <f t="array" ref="G792">IFERROR(INDEX('Sản phẩm'!$F$4:$F$103,MATCH(B792,'Sản phẩm'!$D$4:$D$103,0)),0)</f>
        <v>0</v>
      </c>
      <c r="H792" s="83">
        <f t="shared" si="5"/>
        <v>0</v>
      </c>
      <c r="I792" s="83">
        <f t="shared" si="1"/>
        <v>0</v>
      </c>
      <c r="J792" s="83">
        <f t="array" ref="J792">IFERROR(INDEX('Sản phẩm'!$G$4:$G$103,MATCH(B792,'Sản phẩm'!$D$4:$D$103,0)),0)</f>
        <v>0</v>
      </c>
      <c r="K792" s="83">
        <f t="array" ref="K792">IFERROR(J792*INDEX('Mẻ sữa'!$N$4:$N$203,MATCH(D792,'Mẻ sữa'!$C$4:$C$203,0)),0)</f>
        <v>0</v>
      </c>
      <c r="L792" s="83">
        <f t="array" ref="L792">IFERROR(INDEX('Sản phẩm'!$I$4:$I$103,MATCH(B792,'Sản phẩm'!$D$4:$D$103,0)),0)</f>
        <v>0</v>
      </c>
      <c r="M792" s="97" t="str">
        <f t="array" ref="M792">IFERROR(INDEX('Sản phẩm'!$J$4:$J$103,MATCH(B792,'Sản phẩm'!$D$4:$D$103,0)),0)</f>
        <v/>
      </c>
      <c r="N792" s="83">
        <f>IF(B792="",0,(K792+L792+M792)*'Thiết lập'!$B$8)</f>
        <v>0</v>
      </c>
      <c r="O792" s="83">
        <f t="shared" si="2"/>
        <v>0</v>
      </c>
      <c r="P792" s="83">
        <f t="shared" si="3"/>
        <v>0</v>
      </c>
      <c r="Q792" s="83">
        <f t="shared" si="4"/>
        <v>0</v>
      </c>
      <c r="R792" s="36" t="str">
        <f t="array" ref="R792">IF(B792="","",INDEX('Bán nhanh'!$C$4:$C$103,INT((ROW()-4)/10)+1))</f>
        <v/>
      </c>
      <c r="S792" s="36" t="str">
        <f t="array" ref="S792">IF(B792="","",INDEX('Bán nhanh'!$P$4:$P$103,INT((ROW()-4)/10)+1))</f>
        <v/>
      </c>
      <c r="T792" s="36"/>
      <c r="U792" s="36"/>
      <c r="V792" s="36"/>
      <c r="W792" s="36"/>
      <c r="X792" s="36"/>
      <c r="Y792" s="36"/>
      <c r="Z792" s="36"/>
    </row>
    <row r="793" ht="15.75" customHeight="1">
      <c r="A793" s="96" t="str">
        <f t="array" ref="A793">IF(B793="","",INDEX('Bán nhanh'!$A$4:$A$103,INT((ROW()-4)/10)+1))</f>
        <v/>
      </c>
      <c r="B793" s="36" t="str">
        <f t="array" ref="B793">IF(OR(INDEX('Bán nhanh'!$D$3:$M$3,1,MOD(ROW()-4,10)+1)="",INDEX('Bán nhanh'!$D$4:$M$103,INT((ROW()-4)/10)+1,MOD(ROW()-4,10)+1)&lt;=0),"",INDEX('Bán nhanh'!$D$3:$M$3,1,MOD(ROW()-4,10)+1))</f>
        <v/>
      </c>
      <c r="C793" s="36" t="str">
        <f t="array" ref="C793">IFERROR(INDEX('Sản phẩm'!$A$4:$A$103,MATCH(B793,'Sản phẩm'!$D$4:$D$103,0)),"")</f>
        <v/>
      </c>
      <c r="D793" s="36" t="str">
        <f t="array" ref="D793">IF(B793="","",INDEX('Bán nhanh'!$B$4:$B$103,INT((ROW()-4)/10)+1))</f>
        <v/>
      </c>
      <c r="E793" s="36" t="str">
        <f t="array" ref="E793">IFERROR(INDEX('Mẻ sữa'!$B$4:$B$203,MATCH(D793,'Mẻ sữa'!$C$4:$C$203,0)),"")</f>
        <v/>
      </c>
      <c r="F793" s="82">
        <f t="array" ref="F793">IF(B793="",0,INDEX('Bán nhanh'!$D$4:$M$103,INT((ROW()-4)/10)+1,MOD(ROW()-4,10)+1))</f>
        <v>0</v>
      </c>
      <c r="G793" s="83">
        <f t="array" ref="G793">IFERROR(INDEX('Sản phẩm'!$F$4:$F$103,MATCH(B793,'Sản phẩm'!$D$4:$D$103,0)),0)</f>
        <v>0</v>
      </c>
      <c r="H793" s="83">
        <f t="shared" si="5"/>
        <v>0</v>
      </c>
      <c r="I793" s="83">
        <f t="shared" si="1"/>
        <v>0</v>
      </c>
      <c r="J793" s="83">
        <f t="array" ref="J793">IFERROR(INDEX('Sản phẩm'!$G$4:$G$103,MATCH(B793,'Sản phẩm'!$D$4:$D$103,0)),0)</f>
        <v>0</v>
      </c>
      <c r="K793" s="83">
        <f t="array" ref="K793">IFERROR(J793*INDEX('Mẻ sữa'!$N$4:$N$203,MATCH(D793,'Mẻ sữa'!$C$4:$C$203,0)),0)</f>
        <v>0</v>
      </c>
      <c r="L793" s="83">
        <f t="array" ref="L793">IFERROR(INDEX('Sản phẩm'!$I$4:$I$103,MATCH(B793,'Sản phẩm'!$D$4:$D$103,0)),0)</f>
        <v>0</v>
      </c>
      <c r="M793" s="97" t="str">
        <f t="array" ref="M793">IFERROR(INDEX('Sản phẩm'!$J$4:$J$103,MATCH(B793,'Sản phẩm'!$D$4:$D$103,0)),0)</f>
        <v/>
      </c>
      <c r="N793" s="83">
        <f>IF(B793="",0,(K793+L793+M793)*'Thiết lập'!$B$8)</f>
        <v>0</v>
      </c>
      <c r="O793" s="83">
        <f t="shared" si="2"/>
        <v>0</v>
      </c>
      <c r="P793" s="83">
        <f t="shared" si="3"/>
        <v>0</v>
      </c>
      <c r="Q793" s="83">
        <f t="shared" si="4"/>
        <v>0</v>
      </c>
      <c r="R793" s="36" t="str">
        <f t="array" ref="R793">IF(B793="","",INDEX('Bán nhanh'!$C$4:$C$103,INT((ROW()-4)/10)+1))</f>
        <v/>
      </c>
      <c r="S793" s="36" t="str">
        <f t="array" ref="S793">IF(B793="","",INDEX('Bán nhanh'!$P$4:$P$103,INT((ROW()-4)/10)+1))</f>
        <v/>
      </c>
      <c r="T793" s="36"/>
      <c r="U793" s="36"/>
      <c r="V793" s="36"/>
      <c r="W793" s="36"/>
      <c r="X793" s="36"/>
      <c r="Y793" s="36"/>
      <c r="Z793" s="36"/>
    </row>
    <row r="794" ht="15.75" customHeight="1">
      <c r="A794" s="96" t="str">
        <f t="array" ref="A794">IF(B794="","",INDEX('Bán nhanh'!$A$4:$A$103,INT((ROW()-4)/10)+1))</f>
        <v/>
      </c>
      <c r="B794" s="36" t="str">
        <f t="array" ref="B794">IF(OR(INDEX('Bán nhanh'!$D$3:$M$3,1,MOD(ROW()-4,10)+1)="",INDEX('Bán nhanh'!$D$4:$M$103,INT((ROW()-4)/10)+1,MOD(ROW()-4,10)+1)&lt;=0),"",INDEX('Bán nhanh'!$D$3:$M$3,1,MOD(ROW()-4,10)+1))</f>
        <v/>
      </c>
      <c r="C794" s="36" t="str">
        <f t="array" ref="C794">IFERROR(INDEX('Sản phẩm'!$A$4:$A$103,MATCH(B794,'Sản phẩm'!$D$4:$D$103,0)),"")</f>
        <v/>
      </c>
      <c r="D794" s="36" t="str">
        <f t="array" ref="D794">IF(B794="","",INDEX('Bán nhanh'!$B$4:$B$103,INT((ROW()-4)/10)+1))</f>
        <v/>
      </c>
      <c r="E794" s="36" t="str">
        <f t="array" ref="E794">IFERROR(INDEX('Mẻ sữa'!$B$4:$B$203,MATCH(D794,'Mẻ sữa'!$C$4:$C$203,0)),"")</f>
        <v/>
      </c>
      <c r="F794" s="82">
        <f t="array" ref="F794">IF(B794="",0,INDEX('Bán nhanh'!$D$4:$M$103,INT((ROW()-4)/10)+1,MOD(ROW()-4,10)+1))</f>
        <v>0</v>
      </c>
      <c r="G794" s="83">
        <f t="array" ref="G794">IFERROR(INDEX('Sản phẩm'!$F$4:$F$103,MATCH(B794,'Sản phẩm'!$D$4:$D$103,0)),0)</f>
        <v>0</v>
      </c>
      <c r="H794" s="83">
        <f t="shared" si="5"/>
        <v>0</v>
      </c>
      <c r="I794" s="83">
        <f t="shared" si="1"/>
        <v>0</v>
      </c>
      <c r="J794" s="83">
        <f t="array" ref="J794">IFERROR(INDEX('Sản phẩm'!$G$4:$G$103,MATCH(B794,'Sản phẩm'!$D$4:$D$103,0)),0)</f>
        <v>0</v>
      </c>
      <c r="K794" s="83">
        <f t="array" ref="K794">IFERROR(J794*INDEX('Mẻ sữa'!$N$4:$N$203,MATCH(D794,'Mẻ sữa'!$C$4:$C$203,0)),0)</f>
        <v>0</v>
      </c>
      <c r="L794" s="83">
        <f t="array" ref="L794">IFERROR(INDEX('Sản phẩm'!$I$4:$I$103,MATCH(B794,'Sản phẩm'!$D$4:$D$103,0)),0)</f>
        <v>0</v>
      </c>
      <c r="M794" s="97" t="str">
        <f t="array" ref="M794">IFERROR(INDEX('Sản phẩm'!$J$4:$J$103,MATCH(B794,'Sản phẩm'!$D$4:$D$103,0)),0)</f>
        <v/>
      </c>
      <c r="N794" s="83">
        <f>IF(B794="",0,(K794+L794+M794)*'Thiết lập'!$B$8)</f>
        <v>0</v>
      </c>
      <c r="O794" s="83">
        <f t="shared" si="2"/>
        <v>0</v>
      </c>
      <c r="P794" s="83">
        <f t="shared" si="3"/>
        <v>0</v>
      </c>
      <c r="Q794" s="83">
        <f t="shared" si="4"/>
        <v>0</v>
      </c>
      <c r="R794" s="36" t="str">
        <f t="array" ref="R794">IF(B794="","",INDEX('Bán nhanh'!$C$4:$C$103,INT((ROW()-4)/10)+1))</f>
        <v/>
      </c>
      <c r="S794" s="36" t="str">
        <f t="array" ref="S794">IF(B794="","",INDEX('Bán nhanh'!$P$4:$P$103,INT((ROW()-4)/10)+1))</f>
        <v/>
      </c>
      <c r="T794" s="36"/>
      <c r="U794" s="36"/>
      <c r="V794" s="36"/>
      <c r="W794" s="36"/>
      <c r="X794" s="36"/>
      <c r="Y794" s="36"/>
      <c r="Z794" s="36"/>
    </row>
    <row r="795" ht="15.75" customHeight="1">
      <c r="A795" s="96" t="str">
        <f t="array" ref="A795">IF(B795="","",INDEX('Bán nhanh'!$A$4:$A$103,INT((ROW()-4)/10)+1))</f>
        <v/>
      </c>
      <c r="B795" s="36" t="str">
        <f t="array" ref="B795">IF(OR(INDEX('Bán nhanh'!$D$3:$M$3,1,MOD(ROW()-4,10)+1)="",INDEX('Bán nhanh'!$D$4:$M$103,INT((ROW()-4)/10)+1,MOD(ROW()-4,10)+1)&lt;=0),"",INDEX('Bán nhanh'!$D$3:$M$3,1,MOD(ROW()-4,10)+1))</f>
        <v/>
      </c>
      <c r="C795" s="36" t="str">
        <f t="array" ref="C795">IFERROR(INDEX('Sản phẩm'!$A$4:$A$103,MATCH(B795,'Sản phẩm'!$D$4:$D$103,0)),"")</f>
        <v/>
      </c>
      <c r="D795" s="36" t="str">
        <f t="array" ref="D795">IF(B795="","",INDEX('Bán nhanh'!$B$4:$B$103,INT((ROW()-4)/10)+1))</f>
        <v/>
      </c>
      <c r="E795" s="36" t="str">
        <f t="array" ref="E795">IFERROR(INDEX('Mẻ sữa'!$B$4:$B$203,MATCH(D795,'Mẻ sữa'!$C$4:$C$203,0)),"")</f>
        <v/>
      </c>
      <c r="F795" s="82">
        <f t="array" ref="F795">IF(B795="",0,INDEX('Bán nhanh'!$D$4:$M$103,INT((ROW()-4)/10)+1,MOD(ROW()-4,10)+1))</f>
        <v>0</v>
      </c>
      <c r="G795" s="83">
        <f t="array" ref="G795">IFERROR(INDEX('Sản phẩm'!$F$4:$F$103,MATCH(B795,'Sản phẩm'!$D$4:$D$103,0)),0)</f>
        <v>0</v>
      </c>
      <c r="H795" s="83">
        <f t="shared" si="5"/>
        <v>0</v>
      </c>
      <c r="I795" s="83">
        <f t="shared" si="1"/>
        <v>0</v>
      </c>
      <c r="J795" s="83">
        <f t="array" ref="J795">IFERROR(INDEX('Sản phẩm'!$G$4:$G$103,MATCH(B795,'Sản phẩm'!$D$4:$D$103,0)),0)</f>
        <v>0</v>
      </c>
      <c r="K795" s="83">
        <f t="array" ref="K795">IFERROR(J795*INDEX('Mẻ sữa'!$N$4:$N$203,MATCH(D795,'Mẻ sữa'!$C$4:$C$203,0)),0)</f>
        <v>0</v>
      </c>
      <c r="L795" s="83">
        <f t="array" ref="L795">IFERROR(INDEX('Sản phẩm'!$I$4:$I$103,MATCH(B795,'Sản phẩm'!$D$4:$D$103,0)),0)</f>
        <v>0</v>
      </c>
      <c r="M795" s="97" t="str">
        <f t="array" ref="M795">IFERROR(INDEX('Sản phẩm'!$J$4:$J$103,MATCH(B795,'Sản phẩm'!$D$4:$D$103,0)),0)</f>
        <v/>
      </c>
      <c r="N795" s="83">
        <f>IF(B795="",0,(K795+L795+M795)*'Thiết lập'!$B$8)</f>
        <v>0</v>
      </c>
      <c r="O795" s="83">
        <f t="shared" si="2"/>
        <v>0</v>
      </c>
      <c r="P795" s="83">
        <f t="shared" si="3"/>
        <v>0</v>
      </c>
      <c r="Q795" s="83">
        <f t="shared" si="4"/>
        <v>0</v>
      </c>
      <c r="R795" s="36" t="str">
        <f t="array" ref="R795">IF(B795="","",INDEX('Bán nhanh'!$C$4:$C$103,INT((ROW()-4)/10)+1))</f>
        <v/>
      </c>
      <c r="S795" s="36" t="str">
        <f t="array" ref="S795">IF(B795="","",INDEX('Bán nhanh'!$P$4:$P$103,INT((ROW()-4)/10)+1))</f>
        <v/>
      </c>
      <c r="T795" s="36"/>
      <c r="U795" s="36"/>
      <c r="V795" s="36"/>
      <c r="W795" s="36"/>
      <c r="X795" s="36"/>
      <c r="Y795" s="36"/>
      <c r="Z795" s="36"/>
    </row>
    <row r="796" ht="15.75" customHeight="1">
      <c r="A796" s="96" t="str">
        <f t="array" ref="A796">IF(B796="","",INDEX('Bán nhanh'!$A$4:$A$103,INT((ROW()-4)/10)+1))</f>
        <v/>
      </c>
      <c r="B796" s="36" t="str">
        <f t="array" ref="B796">IF(OR(INDEX('Bán nhanh'!$D$3:$M$3,1,MOD(ROW()-4,10)+1)="",INDEX('Bán nhanh'!$D$4:$M$103,INT((ROW()-4)/10)+1,MOD(ROW()-4,10)+1)&lt;=0),"",INDEX('Bán nhanh'!$D$3:$M$3,1,MOD(ROW()-4,10)+1))</f>
        <v/>
      </c>
      <c r="C796" s="36" t="str">
        <f t="array" ref="C796">IFERROR(INDEX('Sản phẩm'!$A$4:$A$103,MATCH(B796,'Sản phẩm'!$D$4:$D$103,0)),"")</f>
        <v/>
      </c>
      <c r="D796" s="36" t="str">
        <f t="array" ref="D796">IF(B796="","",INDEX('Bán nhanh'!$B$4:$B$103,INT((ROW()-4)/10)+1))</f>
        <v/>
      </c>
      <c r="E796" s="36" t="str">
        <f t="array" ref="E796">IFERROR(INDEX('Mẻ sữa'!$B$4:$B$203,MATCH(D796,'Mẻ sữa'!$C$4:$C$203,0)),"")</f>
        <v/>
      </c>
      <c r="F796" s="82">
        <f t="array" ref="F796">IF(B796="",0,INDEX('Bán nhanh'!$D$4:$M$103,INT((ROW()-4)/10)+1,MOD(ROW()-4,10)+1))</f>
        <v>0</v>
      </c>
      <c r="G796" s="83">
        <f t="array" ref="G796">IFERROR(INDEX('Sản phẩm'!$F$4:$F$103,MATCH(B796,'Sản phẩm'!$D$4:$D$103,0)),0)</f>
        <v>0</v>
      </c>
      <c r="H796" s="83">
        <f t="shared" si="5"/>
        <v>0</v>
      </c>
      <c r="I796" s="83">
        <f t="shared" si="1"/>
        <v>0</v>
      </c>
      <c r="J796" s="83">
        <f t="array" ref="J796">IFERROR(INDEX('Sản phẩm'!$G$4:$G$103,MATCH(B796,'Sản phẩm'!$D$4:$D$103,0)),0)</f>
        <v>0</v>
      </c>
      <c r="K796" s="83">
        <f t="array" ref="K796">IFERROR(J796*INDEX('Mẻ sữa'!$N$4:$N$203,MATCH(D796,'Mẻ sữa'!$C$4:$C$203,0)),0)</f>
        <v>0</v>
      </c>
      <c r="L796" s="83">
        <f t="array" ref="L796">IFERROR(INDEX('Sản phẩm'!$I$4:$I$103,MATCH(B796,'Sản phẩm'!$D$4:$D$103,0)),0)</f>
        <v>0</v>
      </c>
      <c r="M796" s="97" t="str">
        <f t="array" ref="M796">IFERROR(INDEX('Sản phẩm'!$J$4:$J$103,MATCH(B796,'Sản phẩm'!$D$4:$D$103,0)),0)</f>
        <v/>
      </c>
      <c r="N796" s="83">
        <f>IF(B796="",0,(K796+L796+M796)*'Thiết lập'!$B$8)</f>
        <v>0</v>
      </c>
      <c r="O796" s="83">
        <f t="shared" si="2"/>
        <v>0</v>
      </c>
      <c r="P796" s="83">
        <f t="shared" si="3"/>
        <v>0</v>
      </c>
      <c r="Q796" s="83">
        <f t="shared" si="4"/>
        <v>0</v>
      </c>
      <c r="R796" s="36" t="str">
        <f t="array" ref="R796">IF(B796="","",INDEX('Bán nhanh'!$C$4:$C$103,INT((ROW()-4)/10)+1))</f>
        <v/>
      </c>
      <c r="S796" s="36" t="str">
        <f t="array" ref="S796">IF(B796="","",INDEX('Bán nhanh'!$P$4:$P$103,INT((ROW()-4)/10)+1))</f>
        <v/>
      </c>
      <c r="T796" s="36"/>
      <c r="U796" s="36"/>
      <c r="V796" s="36"/>
      <c r="W796" s="36"/>
      <c r="X796" s="36"/>
      <c r="Y796" s="36"/>
      <c r="Z796" s="36"/>
    </row>
    <row r="797" ht="15.75" customHeight="1">
      <c r="A797" s="96" t="str">
        <f t="array" ref="A797">IF(B797="","",INDEX('Bán nhanh'!$A$4:$A$103,INT((ROW()-4)/10)+1))</f>
        <v/>
      </c>
      <c r="B797" s="36" t="str">
        <f t="array" ref="B797">IF(OR(INDEX('Bán nhanh'!$D$3:$M$3,1,MOD(ROW()-4,10)+1)="",INDEX('Bán nhanh'!$D$4:$M$103,INT((ROW()-4)/10)+1,MOD(ROW()-4,10)+1)&lt;=0),"",INDEX('Bán nhanh'!$D$3:$M$3,1,MOD(ROW()-4,10)+1))</f>
        <v/>
      </c>
      <c r="C797" s="36" t="str">
        <f t="array" ref="C797">IFERROR(INDEX('Sản phẩm'!$A$4:$A$103,MATCH(B797,'Sản phẩm'!$D$4:$D$103,0)),"")</f>
        <v/>
      </c>
      <c r="D797" s="36" t="str">
        <f t="array" ref="D797">IF(B797="","",INDEX('Bán nhanh'!$B$4:$B$103,INT((ROW()-4)/10)+1))</f>
        <v/>
      </c>
      <c r="E797" s="36" t="str">
        <f t="array" ref="E797">IFERROR(INDEX('Mẻ sữa'!$B$4:$B$203,MATCH(D797,'Mẻ sữa'!$C$4:$C$203,0)),"")</f>
        <v/>
      </c>
      <c r="F797" s="82">
        <f t="array" ref="F797">IF(B797="",0,INDEX('Bán nhanh'!$D$4:$M$103,INT((ROW()-4)/10)+1,MOD(ROW()-4,10)+1))</f>
        <v>0</v>
      </c>
      <c r="G797" s="83">
        <f t="array" ref="G797">IFERROR(INDEX('Sản phẩm'!$F$4:$F$103,MATCH(B797,'Sản phẩm'!$D$4:$D$103,0)),0)</f>
        <v>0</v>
      </c>
      <c r="H797" s="83">
        <f t="shared" si="5"/>
        <v>0</v>
      </c>
      <c r="I797" s="83">
        <f t="shared" si="1"/>
        <v>0</v>
      </c>
      <c r="J797" s="83">
        <f t="array" ref="J797">IFERROR(INDEX('Sản phẩm'!$G$4:$G$103,MATCH(B797,'Sản phẩm'!$D$4:$D$103,0)),0)</f>
        <v>0</v>
      </c>
      <c r="K797" s="83">
        <f t="array" ref="K797">IFERROR(J797*INDEX('Mẻ sữa'!$N$4:$N$203,MATCH(D797,'Mẻ sữa'!$C$4:$C$203,0)),0)</f>
        <v>0</v>
      </c>
      <c r="L797" s="83">
        <f t="array" ref="L797">IFERROR(INDEX('Sản phẩm'!$I$4:$I$103,MATCH(B797,'Sản phẩm'!$D$4:$D$103,0)),0)</f>
        <v>0</v>
      </c>
      <c r="M797" s="97" t="str">
        <f t="array" ref="M797">IFERROR(INDEX('Sản phẩm'!$J$4:$J$103,MATCH(B797,'Sản phẩm'!$D$4:$D$103,0)),0)</f>
        <v/>
      </c>
      <c r="N797" s="83">
        <f>IF(B797="",0,(K797+L797+M797)*'Thiết lập'!$B$8)</f>
        <v>0</v>
      </c>
      <c r="O797" s="83">
        <f t="shared" si="2"/>
        <v>0</v>
      </c>
      <c r="P797" s="83">
        <f t="shared" si="3"/>
        <v>0</v>
      </c>
      <c r="Q797" s="83">
        <f t="shared" si="4"/>
        <v>0</v>
      </c>
      <c r="R797" s="36" t="str">
        <f t="array" ref="R797">IF(B797="","",INDEX('Bán nhanh'!$C$4:$C$103,INT((ROW()-4)/10)+1))</f>
        <v/>
      </c>
      <c r="S797" s="36" t="str">
        <f t="array" ref="S797">IF(B797="","",INDEX('Bán nhanh'!$P$4:$P$103,INT((ROW()-4)/10)+1))</f>
        <v/>
      </c>
      <c r="T797" s="36"/>
      <c r="U797" s="36"/>
      <c r="V797" s="36"/>
      <c r="W797" s="36"/>
      <c r="X797" s="36"/>
      <c r="Y797" s="36"/>
      <c r="Z797" s="36"/>
    </row>
    <row r="798" ht="15.75" customHeight="1">
      <c r="A798" s="96" t="str">
        <f t="array" ref="A798">IF(B798="","",INDEX('Bán nhanh'!$A$4:$A$103,INT((ROW()-4)/10)+1))</f>
        <v/>
      </c>
      <c r="B798" s="36" t="str">
        <f t="array" ref="B798">IF(OR(INDEX('Bán nhanh'!$D$3:$M$3,1,MOD(ROW()-4,10)+1)="",INDEX('Bán nhanh'!$D$4:$M$103,INT((ROW()-4)/10)+1,MOD(ROW()-4,10)+1)&lt;=0),"",INDEX('Bán nhanh'!$D$3:$M$3,1,MOD(ROW()-4,10)+1))</f>
        <v/>
      </c>
      <c r="C798" s="36" t="str">
        <f t="array" ref="C798">IFERROR(INDEX('Sản phẩm'!$A$4:$A$103,MATCH(B798,'Sản phẩm'!$D$4:$D$103,0)),"")</f>
        <v/>
      </c>
      <c r="D798" s="36" t="str">
        <f t="array" ref="D798">IF(B798="","",INDEX('Bán nhanh'!$B$4:$B$103,INT((ROW()-4)/10)+1))</f>
        <v/>
      </c>
      <c r="E798" s="36" t="str">
        <f t="array" ref="E798">IFERROR(INDEX('Mẻ sữa'!$B$4:$B$203,MATCH(D798,'Mẻ sữa'!$C$4:$C$203,0)),"")</f>
        <v/>
      </c>
      <c r="F798" s="82">
        <f t="array" ref="F798">IF(B798="",0,INDEX('Bán nhanh'!$D$4:$M$103,INT((ROW()-4)/10)+1,MOD(ROW()-4,10)+1))</f>
        <v>0</v>
      </c>
      <c r="G798" s="83">
        <f t="array" ref="G798">IFERROR(INDEX('Sản phẩm'!$F$4:$F$103,MATCH(B798,'Sản phẩm'!$D$4:$D$103,0)),0)</f>
        <v>0</v>
      </c>
      <c r="H798" s="83">
        <f t="shared" si="5"/>
        <v>0</v>
      </c>
      <c r="I798" s="83">
        <f t="shared" si="1"/>
        <v>0</v>
      </c>
      <c r="J798" s="83">
        <f t="array" ref="J798">IFERROR(INDEX('Sản phẩm'!$G$4:$G$103,MATCH(B798,'Sản phẩm'!$D$4:$D$103,0)),0)</f>
        <v>0</v>
      </c>
      <c r="K798" s="83">
        <f t="array" ref="K798">IFERROR(J798*INDEX('Mẻ sữa'!$N$4:$N$203,MATCH(D798,'Mẻ sữa'!$C$4:$C$203,0)),0)</f>
        <v>0</v>
      </c>
      <c r="L798" s="83">
        <f t="array" ref="L798">IFERROR(INDEX('Sản phẩm'!$I$4:$I$103,MATCH(B798,'Sản phẩm'!$D$4:$D$103,0)),0)</f>
        <v>0</v>
      </c>
      <c r="M798" s="97" t="str">
        <f t="array" ref="M798">IFERROR(INDEX('Sản phẩm'!$J$4:$J$103,MATCH(B798,'Sản phẩm'!$D$4:$D$103,0)),0)</f>
        <v/>
      </c>
      <c r="N798" s="83">
        <f>IF(B798="",0,(K798+L798+M798)*'Thiết lập'!$B$8)</f>
        <v>0</v>
      </c>
      <c r="O798" s="83">
        <f t="shared" si="2"/>
        <v>0</v>
      </c>
      <c r="P798" s="83">
        <f t="shared" si="3"/>
        <v>0</v>
      </c>
      <c r="Q798" s="83">
        <f t="shared" si="4"/>
        <v>0</v>
      </c>
      <c r="R798" s="36" t="str">
        <f t="array" ref="R798">IF(B798="","",INDEX('Bán nhanh'!$C$4:$C$103,INT((ROW()-4)/10)+1))</f>
        <v/>
      </c>
      <c r="S798" s="36" t="str">
        <f t="array" ref="S798">IF(B798="","",INDEX('Bán nhanh'!$P$4:$P$103,INT((ROW()-4)/10)+1))</f>
        <v/>
      </c>
      <c r="T798" s="36"/>
      <c r="U798" s="36"/>
      <c r="V798" s="36"/>
      <c r="W798" s="36"/>
      <c r="X798" s="36"/>
      <c r="Y798" s="36"/>
      <c r="Z798" s="36"/>
    </row>
    <row r="799" ht="15.75" customHeight="1">
      <c r="A799" s="96" t="str">
        <f t="array" ref="A799">IF(B799="","",INDEX('Bán nhanh'!$A$4:$A$103,INT((ROW()-4)/10)+1))</f>
        <v/>
      </c>
      <c r="B799" s="36" t="str">
        <f t="array" ref="B799">IF(OR(INDEX('Bán nhanh'!$D$3:$M$3,1,MOD(ROW()-4,10)+1)="",INDEX('Bán nhanh'!$D$4:$M$103,INT((ROW()-4)/10)+1,MOD(ROW()-4,10)+1)&lt;=0),"",INDEX('Bán nhanh'!$D$3:$M$3,1,MOD(ROW()-4,10)+1))</f>
        <v/>
      </c>
      <c r="C799" s="36" t="str">
        <f t="array" ref="C799">IFERROR(INDEX('Sản phẩm'!$A$4:$A$103,MATCH(B799,'Sản phẩm'!$D$4:$D$103,0)),"")</f>
        <v/>
      </c>
      <c r="D799" s="36" t="str">
        <f t="array" ref="D799">IF(B799="","",INDEX('Bán nhanh'!$B$4:$B$103,INT((ROW()-4)/10)+1))</f>
        <v/>
      </c>
      <c r="E799" s="36" t="str">
        <f t="array" ref="E799">IFERROR(INDEX('Mẻ sữa'!$B$4:$B$203,MATCH(D799,'Mẻ sữa'!$C$4:$C$203,0)),"")</f>
        <v/>
      </c>
      <c r="F799" s="82">
        <f t="array" ref="F799">IF(B799="",0,INDEX('Bán nhanh'!$D$4:$M$103,INT((ROW()-4)/10)+1,MOD(ROW()-4,10)+1))</f>
        <v>0</v>
      </c>
      <c r="G799" s="83">
        <f t="array" ref="G799">IFERROR(INDEX('Sản phẩm'!$F$4:$F$103,MATCH(B799,'Sản phẩm'!$D$4:$D$103,0)),0)</f>
        <v>0</v>
      </c>
      <c r="H799" s="83">
        <f t="shared" si="5"/>
        <v>0</v>
      </c>
      <c r="I799" s="83">
        <f t="shared" si="1"/>
        <v>0</v>
      </c>
      <c r="J799" s="83">
        <f t="array" ref="J799">IFERROR(INDEX('Sản phẩm'!$G$4:$G$103,MATCH(B799,'Sản phẩm'!$D$4:$D$103,0)),0)</f>
        <v>0</v>
      </c>
      <c r="K799" s="83">
        <f t="array" ref="K799">IFERROR(J799*INDEX('Mẻ sữa'!$N$4:$N$203,MATCH(D799,'Mẻ sữa'!$C$4:$C$203,0)),0)</f>
        <v>0</v>
      </c>
      <c r="L799" s="83">
        <f t="array" ref="L799">IFERROR(INDEX('Sản phẩm'!$I$4:$I$103,MATCH(B799,'Sản phẩm'!$D$4:$D$103,0)),0)</f>
        <v>0</v>
      </c>
      <c r="M799" s="97" t="str">
        <f t="array" ref="M799">IFERROR(INDEX('Sản phẩm'!$J$4:$J$103,MATCH(B799,'Sản phẩm'!$D$4:$D$103,0)),0)</f>
        <v/>
      </c>
      <c r="N799" s="83">
        <f>IF(B799="",0,(K799+L799+M799)*'Thiết lập'!$B$8)</f>
        <v>0</v>
      </c>
      <c r="O799" s="83">
        <f t="shared" si="2"/>
        <v>0</v>
      </c>
      <c r="P799" s="83">
        <f t="shared" si="3"/>
        <v>0</v>
      </c>
      <c r="Q799" s="83">
        <f t="shared" si="4"/>
        <v>0</v>
      </c>
      <c r="R799" s="36" t="str">
        <f t="array" ref="R799">IF(B799="","",INDEX('Bán nhanh'!$C$4:$C$103,INT((ROW()-4)/10)+1))</f>
        <v/>
      </c>
      <c r="S799" s="36" t="str">
        <f t="array" ref="S799">IF(B799="","",INDEX('Bán nhanh'!$P$4:$P$103,INT((ROW()-4)/10)+1))</f>
        <v/>
      </c>
      <c r="T799" s="36"/>
      <c r="U799" s="36"/>
      <c r="V799" s="36"/>
      <c r="W799" s="36"/>
      <c r="X799" s="36"/>
      <c r="Y799" s="36"/>
      <c r="Z799" s="36"/>
    </row>
    <row r="800" ht="15.75" customHeight="1">
      <c r="A800" s="96" t="str">
        <f t="array" ref="A800">IF(B800="","",INDEX('Bán nhanh'!$A$4:$A$103,INT((ROW()-4)/10)+1))</f>
        <v/>
      </c>
      <c r="B800" s="36" t="str">
        <f t="array" ref="B800">IF(OR(INDEX('Bán nhanh'!$D$3:$M$3,1,MOD(ROW()-4,10)+1)="",INDEX('Bán nhanh'!$D$4:$M$103,INT((ROW()-4)/10)+1,MOD(ROW()-4,10)+1)&lt;=0),"",INDEX('Bán nhanh'!$D$3:$M$3,1,MOD(ROW()-4,10)+1))</f>
        <v/>
      </c>
      <c r="C800" s="36" t="str">
        <f t="array" ref="C800">IFERROR(INDEX('Sản phẩm'!$A$4:$A$103,MATCH(B800,'Sản phẩm'!$D$4:$D$103,0)),"")</f>
        <v/>
      </c>
      <c r="D800" s="36" t="str">
        <f t="array" ref="D800">IF(B800="","",INDEX('Bán nhanh'!$B$4:$B$103,INT((ROW()-4)/10)+1))</f>
        <v/>
      </c>
      <c r="E800" s="36" t="str">
        <f t="array" ref="E800">IFERROR(INDEX('Mẻ sữa'!$B$4:$B$203,MATCH(D800,'Mẻ sữa'!$C$4:$C$203,0)),"")</f>
        <v/>
      </c>
      <c r="F800" s="82">
        <f t="array" ref="F800">IF(B800="",0,INDEX('Bán nhanh'!$D$4:$M$103,INT((ROW()-4)/10)+1,MOD(ROW()-4,10)+1))</f>
        <v>0</v>
      </c>
      <c r="G800" s="83">
        <f t="array" ref="G800">IFERROR(INDEX('Sản phẩm'!$F$4:$F$103,MATCH(B800,'Sản phẩm'!$D$4:$D$103,0)),0)</f>
        <v>0</v>
      </c>
      <c r="H800" s="83">
        <f t="shared" si="5"/>
        <v>0</v>
      </c>
      <c r="I800" s="83">
        <f t="shared" si="1"/>
        <v>0</v>
      </c>
      <c r="J800" s="83">
        <f t="array" ref="J800">IFERROR(INDEX('Sản phẩm'!$G$4:$G$103,MATCH(B800,'Sản phẩm'!$D$4:$D$103,0)),0)</f>
        <v>0</v>
      </c>
      <c r="K800" s="83">
        <f t="array" ref="K800">IFERROR(J800*INDEX('Mẻ sữa'!$N$4:$N$203,MATCH(D800,'Mẻ sữa'!$C$4:$C$203,0)),0)</f>
        <v>0</v>
      </c>
      <c r="L800" s="83">
        <f t="array" ref="L800">IFERROR(INDEX('Sản phẩm'!$I$4:$I$103,MATCH(B800,'Sản phẩm'!$D$4:$D$103,0)),0)</f>
        <v>0</v>
      </c>
      <c r="M800" s="97" t="str">
        <f t="array" ref="M800">IFERROR(INDEX('Sản phẩm'!$J$4:$J$103,MATCH(B800,'Sản phẩm'!$D$4:$D$103,0)),0)</f>
        <v/>
      </c>
      <c r="N800" s="83">
        <f>IF(B800="",0,(K800+L800+M800)*'Thiết lập'!$B$8)</f>
        <v>0</v>
      </c>
      <c r="O800" s="83">
        <f t="shared" si="2"/>
        <v>0</v>
      </c>
      <c r="P800" s="83">
        <f t="shared" si="3"/>
        <v>0</v>
      </c>
      <c r="Q800" s="83">
        <f t="shared" si="4"/>
        <v>0</v>
      </c>
      <c r="R800" s="36" t="str">
        <f t="array" ref="R800">IF(B800="","",INDEX('Bán nhanh'!$C$4:$C$103,INT((ROW()-4)/10)+1))</f>
        <v/>
      </c>
      <c r="S800" s="36" t="str">
        <f t="array" ref="S800">IF(B800="","",INDEX('Bán nhanh'!$P$4:$P$103,INT((ROW()-4)/10)+1))</f>
        <v/>
      </c>
      <c r="T800" s="36"/>
      <c r="U800" s="36"/>
      <c r="V800" s="36"/>
      <c r="W800" s="36"/>
      <c r="X800" s="36"/>
      <c r="Y800" s="36"/>
      <c r="Z800" s="36"/>
    </row>
    <row r="801" ht="15.75" customHeight="1">
      <c r="A801" s="96" t="str">
        <f t="array" ref="A801">IF(B801="","",INDEX('Bán nhanh'!$A$4:$A$103,INT((ROW()-4)/10)+1))</f>
        <v/>
      </c>
      <c r="B801" s="36" t="str">
        <f t="array" ref="B801">IF(OR(INDEX('Bán nhanh'!$D$3:$M$3,1,MOD(ROW()-4,10)+1)="",INDEX('Bán nhanh'!$D$4:$M$103,INT((ROW()-4)/10)+1,MOD(ROW()-4,10)+1)&lt;=0),"",INDEX('Bán nhanh'!$D$3:$M$3,1,MOD(ROW()-4,10)+1))</f>
        <v/>
      </c>
      <c r="C801" s="36" t="str">
        <f t="array" ref="C801">IFERROR(INDEX('Sản phẩm'!$A$4:$A$103,MATCH(B801,'Sản phẩm'!$D$4:$D$103,0)),"")</f>
        <v/>
      </c>
      <c r="D801" s="36" t="str">
        <f t="array" ref="D801">IF(B801="","",INDEX('Bán nhanh'!$B$4:$B$103,INT((ROW()-4)/10)+1))</f>
        <v/>
      </c>
      <c r="E801" s="36" t="str">
        <f t="array" ref="E801">IFERROR(INDEX('Mẻ sữa'!$B$4:$B$203,MATCH(D801,'Mẻ sữa'!$C$4:$C$203,0)),"")</f>
        <v/>
      </c>
      <c r="F801" s="82">
        <f t="array" ref="F801">IF(B801="",0,INDEX('Bán nhanh'!$D$4:$M$103,INT((ROW()-4)/10)+1,MOD(ROW()-4,10)+1))</f>
        <v>0</v>
      </c>
      <c r="G801" s="83">
        <f t="array" ref="G801">IFERROR(INDEX('Sản phẩm'!$F$4:$F$103,MATCH(B801,'Sản phẩm'!$D$4:$D$103,0)),0)</f>
        <v>0</v>
      </c>
      <c r="H801" s="83">
        <f t="shared" si="5"/>
        <v>0</v>
      </c>
      <c r="I801" s="83">
        <f t="shared" si="1"/>
        <v>0</v>
      </c>
      <c r="J801" s="83">
        <f t="array" ref="J801">IFERROR(INDEX('Sản phẩm'!$G$4:$G$103,MATCH(B801,'Sản phẩm'!$D$4:$D$103,0)),0)</f>
        <v>0</v>
      </c>
      <c r="K801" s="83">
        <f t="array" ref="K801">IFERROR(J801*INDEX('Mẻ sữa'!$N$4:$N$203,MATCH(D801,'Mẻ sữa'!$C$4:$C$203,0)),0)</f>
        <v>0</v>
      </c>
      <c r="L801" s="83">
        <f t="array" ref="L801">IFERROR(INDEX('Sản phẩm'!$I$4:$I$103,MATCH(B801,'Sản phẩm'!$D$4:$D$103,0)),0)</f>
        <v>0</v>
      </c>
      <c r="M801" s="97" t="str">
        <f t="array" ref="M801">IFERROR(INDEX('Sản phẩm'!$J$4:$J$103,MATCH(B801,'Sản phẩm'!$D$4:$D$103,0)),0)</f>
        <v/>
      </c>
      <c r="N801" s="83">
        <f>IF(B801="",0,(K801+L801+M801)*'Thiết lập'!$B$8)</f>
        <v>0</v>
      </c>
      <c r="O801" s="83">
        <f t="shared" si="2"/>
        <v>0</v>
      </c>
      <c r="P801" s="83">
        <f t="shared" si="3"/>
        <v>0</v>
      </c>
      <c r="Q801" s="83">
        <f t="shared" si="4"/>
        <v>0</v>
      </c>
      <c r="R801" s="36" t="str">
        <f t="array" ref="R801">IF(B801="","",INDEX('Bán nhanh'!$C$4:$C$103,INT((ROW()-4)/10)+1))</f>
        <v/>
      </c>
      <c r="S801" s="36" t="str">
        <f t="array" ref="S801">IF(B801="","",INDEX('Bán nhanh'!$P$4:$P$103,INT((ROW()-4)/10)+1))</f>
        <v/>
      </c>
      <c r="T801" s="36"/>
      <c r="U801" s="36"/>
      <c r="V801" s="36"/>
      <c r="W801" s="36"/>
      <c r="X801" s="36"/>
      <c r="Y801" s="36"/>
      <c r="Z801" s="36"/>
    </row>
    <row r="802" ht="15.75" customHeight="1">
      <c r="A802" s="96" t="str">
        <f t="array" ref="A802">IF(B802="","",INDEX('Bán nhanh'!$A$4:$A$103,INT((ROW()-4)/10)+1))</f>
        <v/>
      </c>
      <c r="B802" s="36" t="str">
        <f t="array" ref="B802">IF(OR(INDEX('Bán nhanh'!$D$3:$M$3,1,MOD(ROW()-4,10)+1)="",INDEX('Bán nhanh'!$D$4:$M$103,INT((ROW()-4)/10)+1,MOD(ROW()-4,10)+1)&lt;=0),"",INDEX('Bán nhanh'!$D$3:$M$3,1,MOD(ROW()-4,10)+1))</f>
        <v/>
      </c>
      <c r="C802" s="36" t="str">
        <f t="array" ref="C802">IFERROR(INDEX('Sản phẩm'!$A$4:$A$103,MATCH(B802,'Sản phẩm'!$D$4:$D$103,0)),"")</f>
        <v/>
      </c>
      <c r="D802" s="36" t="str">
        <f t="array" ref="D802">IF(B802="","",INDEX('Bán nhanh'!$B$4:$B$103,INT((ROW()-4)/10)+1))</f>
        <v/>
      </c>
      <c r="E802" s="36" t="str">
        <f t="array" ref="E802">IFERROR(INDEX('Mẻ sữa'!$B$4:$B$203,MATCH(D802,'Mẻ sữa'!$C$4:$C$203,0)),"")</f>
        <v/>
      </c>
      <c r="F802" s="82">
        <f t="array" ref="F802">IF(B802="",0,INDEX('Bán nhanh'!$D$4:$M$103,INT((ROW()-4)/10)+1,MOD(ROW()-4,10)+1))</f>
        <v>0</v>
      </c>
      <c r="G802" s="83">
        <f t="array" ref="G802">IFERROR(INDEX('Sản phẩm'!$F$4:$F$103,MATCH(B802,'Sản phẩm'!$D$4:$D$103,0)),0)</f>
        <v>0</v>
      </c>
      <c r="H802" s="83">
        <f t="shared" si="5"/>
        <v>0</v>
      </c>
      <c r="I802" s="83">
        <f t="shared" si="1"/>
        <v>0</v>
      </c>
      <c r="J802" s="83">
        <f t="array" ref="J802">IFERROR(INDEX('Sản phẩm'!$G$4:$G$103,MATCH(B802,'Sản phẩm'!$D$4:$D$103,0)),0)</f>
        <v>0</v>
      </c>
      <c r="K802" s="83">
        <f t="array" ref="K802">IFERROR(J802*INDEX('Mẻ sữa'!$N$4:$N$203,MATCH(D802,'Mẻ sữa'!$C$4:$C$203,0)),0)</f>
        <v>0</v>
      </c>
      <c r="L802" s="83">
        <f t="array" ref="L802">IFERROR(INDEX('Sản phẩm'!$I$4:$I$103,MATCH(B802,'Sản phẩm'!$D$4:$D$103,0)),0)</f>
        <v>0</v>
      </c>
      <c r="M802" s="97" t="str">
        <f t="array" ref="M802">IFERROR(INDEX('Sản phẩm'!$J$4:$J$103,MATCH(B802,'Sản phẩm'!$D$4:$D$103,0)),0)</f>
        <v/>
      </c>
      <c r="N802" s="83">
        <f>IF(B802="",0,(K802+L802+M802)*'Thiết lập'!$B$8)</f>
        <v>0</v>
      </c>
      <c r="O802" s="83">
        <f t="shared" si="2"/>
        <v>0</v>
      </c>
      <c r="P802" s="83">
        <f t="shared" si="3"/>
        <v>0</v>
      </c>
      <c r="Q802" s="83">
        <f t="shared" si="4"/>
        <v>0</v>
      </c>
      <c r="R802" s="36" t="str">
        <f t="array" ref="R802">IF(B802="","",INDEX('Bán nhanh'!$C$4:$C$103,INT((ROW()-4)/10)+1))</f>
        <v/>
      </c>
      <c r="S802" s="36" t="str">
        <f t="array" ref="S802">IF(B802="","",INDEX('Bán nhanh'!$P$4:$P$103,INT((ROW()-4)/10)+1))</f>
        <v/>
      </c>
      <c r="T802" s="36"/>
      <c r="U802" s="36"/>
      <c r="V802" s="36"/>
      <c r="W802" s="36"/>
      <c r="X802" s="36"/>
      <c r="Y802" s="36"/>
      <c r="Z802" s="36"/>
    </row>
    <row r="803" ht="15.75" customHeight="1">
      <c r="A803" s="96" t="str">
        <f t="array" ref="A803">IF(B803="","",INDEX('Bán nhanh'!$A$4:$A$103,INT((ROW()-4)/10)+1))</f>
        <v/>
      </c>
      <c r="B803" s="36" t="str">
        <f t="array" ref="B803">IF(OR(INDEX('Bán nhanh'!$D$3:$M$3,1,MOD(ROW()-4,10)+1)="",INDEX('Bán nhanh'!$D$4:$M$103,INT((ROW()-4)/10)+1,MOD(ROW()-4,10)+1)&lt;=0),"",INDEX('Bán nhanh'!$D$3:$M$3,1,MOD(ROW()-4,10)+1))</f>
        <v/>
      </c>
      <c r="C803" s="36" t="str">
        <f t="array" ref="C803">IFERROR(INDEX('Sản phẩm'!$A$4:$A$103,MATCH(B803,'Sản phẩm'!$D$4:$D$103,0)),"")</f>
        <v/>
      </c>
      <c r="D803" s="36" t="str">
        <f t="array" ref="D803">IF(B803="","",INDEX('Bán nhanh'!$B$4:$B$103,INT((ROW()-4)/10)+1))</f>
        <v/>
      </c>
      <c r="E803" s="36" t="str">
        <f t="array" ref="E803">IFERROR(INDEX('Mẻ sữa'!$B$4:$B$203,MATCH(D803,'Mẻ sữa'!$C$4:$C$203,0)),"")</f>
        <v/>
      </c>
      <c r="F803" s="82">
        <f t="array" ref="F803">IF(B803="",0,INDEX('Bán nhanh'!$D$4:$M$103,INT((ROW()-4)/10)+1,MOD(ROW()-4,10)+1))</f>
        <v>0</v>
      </c>
      <c r="G803" s="83">
        <f t="array" ref="G803">IFERROR(INDEX('Sản phẩm'!$F$4:$F$103,MATCH(B803,'Sản phẩm'!$D$4:$D$103,0)),0)</f>
        <v>0</v>
      </c>
      <c r="H803" s="83">
        <f t="shared" si="5"/>
        <v>0</v>
      </c>
      <c r="I803" s="83">
        <f t="shared" si="1"/>
        <v>0</v>
      </c>
      <c r="J803" s="83">
        <f t="array" ref="J803">IFERROR(INDEX('Sản phẩm'!$G$4:$G$103,MATCH(B803,'Sản phẩm'!$D$4:$D$103,0)),0)</f>
        <v>0</v>
      </c>
      <c r="K803" s="83">
        <f t="array" ref="K803">IFERROR(J803*INDEX('Mẻ sữa'!$N$4:$N$203,MATCH(D803,'Mẻ sữa'!$C$4:$C$203,0)),0)</f>
        <v>0</v>
      </c>
      <c r="L803" s="83">
        <f t="array" ref="L803">IFERROR(INDEX('Sản phẩm'!$I$4:$I$103,MATCH(B803,'Sản phẩm'!$D$4:$D$103,0)),0)</f>
        <v>0</v>
      </c>
      <c r="M803" s="97" t="str">
        <f t="array" ref="M803">IFERROR(INDEX('Sản phẩm'!$J$4:$J$103,MATCH(B803,'Sản phẩm'!$D$4:$D$103,0)),0)</f>
        <v/>
      </c>
      <c r="N803" s="83">
        <f>IF(B803="",0,(K803+L803+M803)*'Thiết lập'!$B$8)</f>
        <v>0</v>
      </c>
      <c r="O803" s="83">
        <f t="shared" si="2"/>
        <v>0</v>
      </c>
      <c r="P803" s="83">
        <f t="shared" si="3"/>
        <v>0</v>
      </c>
      <c r="Q803" s="83">
        <f t="shared" si="4"/>
        <v>0</v>
      </c>
      <c r="R803" s="36" t="str">
        <f t="array" ref="R803">IF(B803="","",INDEX('Bán nhanh'!$C$4:$C$103,INT((ROW()-4)/10)+1))</f>
        <v/>
      </c>
      <c r="S803" s="36" t="str">
        <f t="array" ref="S803">IF(B803="","",INDEX('Bán nhanh'!$P$4:$P$103,INT((ROW()-4)/10)+1))</f>
        <v/>
      </c>
      <c r="T803" s="36"/>
      <c r="U803" s="36"/>
      <c r="V803" s="36"/>
      <c r="W803" s="36"/>
      <c r="X803" s="36"/>
      <c r="Y803" s="36"/>
      <c r="Z803" s="36"/>
    </row>
    <row r="804" ht="15.75" customHeight="1">
      <c r="A804" s="96" t="str">
        <f t="array" ref="A804">IF(B804="","",INDEX('Bán nhanh'!$A$4:$A$103,INT((ROW()-4)/10)+1))</f>
        <v/>
      </c>
      <c r="B804" s="36" t="str">
        <f t="array" ref="B804">IF(OR(INDEX('Bán nhanh'!$D$3:$M$3,1,MOD(ROW()-4,10)+1)="",INDEX('Bán nhanh'!$D$4:$M$103,INT((ROW()-4)/10)+1,MOD(ROW()-4,10)+1)&lt;=0),"",INDEX('Bán nhanh'!$D$3:$M$3,1,MOD(ROW()-4,10)+1))</f>
        <v/>
      </c>
      <c r="C804" s="36" t="str">
        <f t="array" ref="C804">IFERROR(INDEX('Sản phẩm'!$A$4:$A$103,MATCH(B804,'Sản phẩm'!$D$4:$D$103,0)),"")</f>
        <v/>
      </c>
      <c r="D804" s="36" t="str">
        <f t="array" ref="D804">IF(B804="","",INDEX('Bán nhanh'!$B$4:$B$103,INT((ROW()-4)/10)+1))</f>
        <v/>
      </c>
      <c r="E804" s="36" t="str">
        <f t="array" ref="E804">IFERROR(INDEX('Mẻ sữa'!$B$4:$B$203,MATCH(D804,'Mẻ sữa'!$C$4:$C$203,0)),"")</f>
        <v/>
      </c>
      <c r="F804" s="82">
        <f t="array" ref="F804">IF(B804="",0,INDEX('Bán nhanh'!$D$4:$M$103,INT((ROW()-4)/10)+1,MOD(ROW()-4,10)+1))</f>
        <v>0</v>
      </c>
      <c r="G804" s="83">
        <f t="array" ref="G804">IFERROR(INDEX('Sản phẩm'!$F$4:$F$103,MATCH(B804,'Sản phẩm'!$D$4:$D$103,0)),0)</f>
        <v>0</v>
      </c>
      <c r="H804" s="83">
        <f t="shared" si="5"/>
        <v>0</v>
      </c>
      <c r="I804" s="83">
        <f t="shared" si="1"/>
        <v>0</v>
      </c>
      <c r="J804" s="83">
        <f t="array" ref="J804">IFERROR(INDEX('Sản phẩm'!$G$4:$G$103,MATCH(B804,'Sản phẩm'!$D$4:$D$103,0)),0)</f>
        <v>0</v>
      </c>
      <c r="K804" s="83">
        <f t="array" ref="K804">IFERROR(J804*INDEX('Mẻ sữa'!$N$4:$N$203,MATCH(D804,'Mẻ sữa'!$C$4:$C$203,0)),0)</f>
        <v>0</v>
      </c>
      <c r="L804" s="83">
        <f t="array" ref="L804">IFERROR(INDEX('Sản phẩm'!$I$4:$I$103,MATCH(B804,'Sản phẩm'!$D$4:$D$103,0)),0)</f>
        <v>0</v>
      </c>
      <c r="M804" s="97" t="str">
        <f t="array" ref="M804">IFERROR(INDEX('Sản phẩm'!$J$4:$J$103,MATCH(B804,'Sản phẩm'!$D$4:$D$103,0)),0)</f>
        <v/>
      </c>
      <c r="N804" s="83">
        <f>IF(B804="",0,(K804+L804+M804)*'Thiết lập'!$B$8)</f>
        <v>0</v>
      </c>
      <c r="O804" s="83">
        <f t="shared" si="2"/>
        <v>0</v>
      </c>
      <c r="P804" s="83">
        <f t="shared" si="3"/>
        <v>0</v>
      </c>
      <c r="Q804" s="83">
        <f t="shared" si="4"/>
        <v>0</v>
      </c>
      <c r="R804" s="36" t="str">
        <f t="array" ref="R804">IF(B804="","",INDEX('Bán nhanh'!$C$4:$C$103,INT((ROW()-4)/10)+1))</f>
        <v/>
      </c>
      <c r="S804" s="36" t="str">
        <f t="array" ref="S804">IF(B804="","",INDEX('Bán nhanh'!$P$4:$P$103,INT((ROW()-4)/10)+1))</f>
        <v/>
      </c>
      <c r="T804" s="36"/>
      <c r="U804" s="36"/>
      <c r="V804" s="36"/>
      <c r="W804" s="36"/>
      <c r="X804" s="36"/>
      <c r="Y804" s="36"/>
      <c r="Z804" s="36"/>
    </row>
    <row r="805" ht="15.75" customHeight="1">
      <c r="A805" s="96" t="str">
        <f t="array" ref="A805">IF(B805="","",INDEX('Bán nhanh'!$A$4:$A$103,INT((ROW()-4)/10)+1))</f>
        <v/>
      </c>
      <c r="B805" s="36" t="str">
        <f t="array" ref="B805">IF(OR(INDEX('Bán nhanh'!$D$3:$M$3,1,MOD(ROW()-4,10)+1)="",INDEX('Bán nhanh'!$D$4:$M$103,INT((ROW()-4)/10)+1,MOD(ROW()-4,10)+1)&lt;=0),"",INDEX('Bán nhanh'!$D$3:$M$3,1,MOD(ROW()-4,10)+1))</f>
        <v/>
      </c>
      <c r="C805" s="36" t="str">
        <f t="array" ref="C805">IFERROR(INDEX('Sản phẩm'!$A$4:$A$103,MATCH(B805,'Sản phẩm'!$D$4:$D$103,0)),"")</f>
        <v/>
      </c>
      <c r="D805" s="36" t="str">
        <f t="array" ref="D805">IF(B805="","",INDEX('Bán nhanh'!$B$4:$B$103,INT((ROW()-4)/10)+1))</f>
        <v/>
      </c>
      <c r="E805" s="36" t="str">
        <f t="array" ref="E805">IFERROR(INDEX('Mẻ sữa'!$B$4:$B$203,MATCH(D805,'Mẻ sữa'!$C$4:$C$203,0)),"")</f>
        <v/>
      </c>
      <c r="F805" s="82">
        <f t="array" ref="F805">IF(B805="",0,INDEX('Bán nhanh'!$D$4:$M$103,INT((ROW()-4)/10)+1,MOD(ROW()-4,10)+1))</f>
        <v>0</v>
      </c>
      <c r="G805" s="83">
        <f t="array" ref="G805">IFERROR(INDEX('Sản phẩm'!$F$4:$F$103,MATCH(B805,'Sản phẩm'!$D$4:$D$103,0)),0)</f>
        <v>0</v>
      </c>
      <c r="H805" s="83">
        <f t="shared" si="5"/>
        <v>0</v>
      </c>
      <c r="I805" s="83">
        <f t="shared" si="1"/>
        <v>0</v>
      </c>
      <c r="J805" s="83">
        <f t="array" ref="J805">IFERROR(INDEX('Sản phẩm'!$G$4:$G$103,MATCH(B805,'Sản phẩm'!$D$4:$D$103,0)),0)</f>
        <v>0</v>
      </c>
      <c r="K805" s="83">
        <f t="array" ref="K805">IFERROR(J805*INDEX('Mẻ sữa'!$N$4:$N$203,MATCH(D805,'Mẻ sữa'!$C$4:$C$203,0)),0)</f>
        <v>0</v>
      </c>
      <c r="L805" s="83">
        <f t="array" ref="L805">IFERROR(INDEX('Sản phẩm'!$I$4:$I$103,MATCH(B805,'Sản phẩm'!$D$4:$D$103,0)),0)</f>
        <v>0</v>
      </c>
      <c r="M805" s="97" t="str">
        <f t="array" ref="M805">IFERROR(INDEX('Sản phẩm'!$J$4:$J$103,MATCH(B805,'Sản phẩm'!$D$4:$D$103,0)),0)</f>
        <v/>
      </c>
      <c r="N805" s="83">
        <f>IF(B805="",0,(K805+L805+M805)*'Thiết lập'!$B$8)</f>
        <v>0</v>
      </c>
      <c r="O805" s="83">
        <f t="shared" si="2"/>
        <v>0</v>
      </c>
      <c r="P805" s="83">
        <f t="shared" si="3"/>
        <v>0</v>
      </c>
      <c r="Q805" s="83">
        <f t="shared" si="4"/>
        <v>0</v>
      </c>
      <c r="R805" s="36" t="str">
        <f t="array" ref="R805">IF(B805="","",INDEX('Bán nhanh'!$C$4:$C$103,INT((ROW()-4)/10)+1))</f>
        <v/>
      </c>
      <c r="S805" s="36" t="str">
        <f t="array" ref="S805">IF(B805="","",INDEX('Bán nhanh'!$P$4:$P$103,INT((ROW()-4)/10)+1))</f>
        <v/>
      </c>
      <c r="T805" s="36"/>
      <c r="U805" s="36"/>
      <c r="V805" s="36"/>
      <c r="W805" s="36"/>
      <c r="X805" s="36"/>
      <c r="Y805" s="36"/>
      <c r="Z805" s="36"/>
    </row>
    <row r="806" ht="15.75" customHeight="1">
      <c r="A806" s="96" t="str">
        <f t="array" ref="A806">IF(B806="","",INDEX('Bán nhanh'!$A$4:$A$103,INT((ROW()-4)/10)+1))</f>
        <v/>
      </c>
      <c r="B806" s="36" t="str">
        <f t="array" ref="B806">IF(OR(INDEX('Bán nhanh'!$D$3:$M$3,1,MOD(ROW()-4,10)+1)="",INDEX('Bán nhanh'!$D$4:$M$103,INT((ROW()-4)/10)+1,MOD(ROW()-4,10)+1)&lt;=0),"",INDEX('Bán nhanh'!$D$3:$M$3,1,MOD(ROW()-4,10)+1))</f>
        <v/>
      </c>
      <c r="C806" s="36" t="str">
        <f t="array" ref="C806">IFERROR(INDEX('Sản phẩm'!$A$4:$A$103,MATCH(B806,'Sản phẩm'!$D$4:$D$103,0)),"")</f>
        <v/>
      </c>
      <c r="D806" s="36" t="str">
        <f t="array" ref="D806">IF(B806="","",INDEX('Bán nhanh'!$B$4:$B$103,INT((ROW()-4)/10)+1))</f>
        <v/>
      </c>
      <c r="E806" s="36" t="str">
        <f t="array" ref="E806">IFERROR(INDEX('Mẻ sữa'!$B$4:$B$203,MATCH(D806,'Mẻ sữa'!$C$4:$C$203,0)),"")</f>
        <v/>
      </c>
      <c r="F806" s="82">
        <f t="array" ref="F806">IF(B806="",0,INDEX('Bán nhanh'!$D$4:$M$103,INT((ROW()-4)/10)+1,MOD(ROW()-4,10)+1))</f>
        <v>0</v>
      </c>
      <c r="G806" s="83">
        <f t="array" ref="G806">IFERROR(INDEX('Sản phẩm'!$F$4:$F$103,MATCH(B806,'Sản phẩm'!$D$4:$D$103,0)),0)</f>
        <v>0</v>
      </c>
      <c r="H806" s="83">
        <f t="shared" si="5"/>
        <v>0</v>
      </c>
      <c r="I806" s="83">
        <f t="shared" si="1"/>
        <v>0</v>
      </c>
      <c r="J806" s="83">
        <f t="array" ref="J806">IFERROR(INDEX('Sản phẩm'!$G$4:$G$103,MATCH(B806,'Sản phẩm'!$D$4:$D$103,0)),0)</f>
        <v>0</v>
      </c>
      <c r="K806" s="83">
        <f t="array" ref="K806">IFERROR(J806*INDEX('Mẻ sữa'!$N$4:$N$203,MATCH(D806,'Mẻ sữa'!$C$4:$C$203,0)),0)</f>
        <v>0</v>
      </c>
      <c r="L806" s="83">
        <f t="array" ref="L806">IFERROR(INDEX('Sản phẩm'!$I$4:$I$103,MATCH(B806,'Sản phẩm'!$D$4:$D$103,0)),0)</f>
        <v>0</v>
      </c>
      <c r="M806" s="97" t="str">
        <f t="array" ref="M806">IFERROR(INDEX('Sản phẩm'!$J$4:$J$103,MATCH(B806,'Sản phẩm'!$D$4:$D$103,0)),0)</f>
        <v/>
      </c>
      <c r="N806" s="83">
        <f>IF(B806="",0,(K806+L806+M806)*'Thiết lập'!$B$8)</f>
        <v>0</v>
      </c>
      <c r="O806" s="83">
        <f t="shared" si="2"/>
        <v>0</v>
      </c>
      <c r="P806" s="83">
        <f t="shared" si="3"/>
        <v>0</v>
      </c>
      <c r="Q806" s="83">
        <f t="shared" si="4"/>
        <v>0</v>
      </c>
      <c r="R806" s="36" t="str">
        <f t="array" ref="R806">IF(B806="","",INDEX('Bán nhanh'!$C$4:$C$103,INT((ROW()-4)/10)+1))</f>
        <v/>
      </c>
      <c r="S806" s="36" t="str">
        <f t="array" ref="S806">IF(B806="","",INDEX('Bán nhanh'!$P$4:$P$103,INT((ROW()-4)/10)+1))</f>
        <v/>
      </c>
      <c r="T806" s="36"/>
      <c r="U806" s="36"/>
      <c r="V806" s="36"/>
      <c r="W806" s="36"/>
      <c r="X806" s="36"/>
      <c r="Y806" s="36"/>
      <c r="Z806" s="36"/>
    </row>
    <row r="807" ht="15.75" customHeight="1">
      <c r="A807" s="96" t="str">
        <f t="array" ref="A807">IF(B807="","",INDEX('Bán nhanh'!$A$4:$A$103,INT((ROW()-4)/10)+1))</f>
        <v/>
      </c>
      <c r="B807" s="36" t="str">
        <f t="array" ref="B807">IF(OR(INDEX('Bán nhanh'!$D$3:$M$3,1,MOD(ROW()-4,10)+1)="",INDEX('Bán nhanh'!$D$4:$M$103,INT((ROW()-4)/10)+1,MOD(ROW()-4,10)+1)&lt;=0),"",INDEX('Bán nhanh'!$D$3:$M$3,1,MOD(ROW()-4,10)+1))</f>
        <v/>
      </c>
      <c r="C807" s="36" t="str">
        <f t="array" ref="C807">IFERROR(INDEX('Sản phẩm'!$A$4:$A$103,MATCH(B807,'Sản phẩm'!$D$4:$D$103,0)),"")</f>
        <v/>
      </c>
      <c r="D807" s="36" t="str">
        <f t="array" ref="D807">IF(B807="","",INDEX('Bán nhanh'!$B$4:$B$103,INT((ROW()-4)/10)+1))</f>
        <v/>
      </c>
      <c r="E807" s="36" t="str">
        <f t="array" ref="E807">IFERROR(INDEX('Mẻ sữa'!$B$4:$B$203,MATCH(D807,'Mẻ sữa'!$C$4:$C$203,0)),"")</f>
        <v/>
      </c>
      <c r="F807" s="82">
        <f t="array" ref="F807">IF(B807="",0,INDEX('Bán nhanh'!$D$4:$M$103,INT((ROW()-4)/10)+1,MOD(ROW()-4,10)+1))</f>
        <v>0</v>
      </c>
      <c r="G807" s="83">
        <f t="array" ref="G807">IFERROR(INDEX('Sản phẩm'!$F$4:$F$103,MATCH(B807,'Sản phẩm'!$D$4:$D$103,0)),0)</f>
        <v>0</v>
      </c>
      <c r="H807" s="83">
        <f t="shared" si="5"/>
        <v>0</v>
      </c>
      <c r="I807" s="83">
        <f t="shared" si="1"/>
        <v>0</v>
      </c>
      <c r="J807" s="83">
        <f t="array" ref="J807">IFERROR(INDEX('Sản phẩm'!$G$4:$G$103,MATCH(B807,'Sản phẩm'!$D$4:$D$103,0)),0)</f>
        <v>0</v>
      </c>
      <c r="K807" s="83">
        <f t="array" ref="K807">IFERROR(J807*INDEX('Mẻ sữa'!$N$4:$N$203,MATCH(D807,'Mẻ sữa'!$C$4:$C$203,0)),0)</f>
        <v>0</v>
      </c>
      <c r="L807" s="83">
        <f t="array" ref="L807">IFERROR(INDEX('Sản phẩm'!$I$4:$I$103,MATCH(B807,'Sản phẩm'!$D$4:$D$103,0)),0)</f>
        <v>0</v>
      </c>
      <c r="M807" s="97" t="str">
        <f t="array" ref="M807">IFERROR(INDEX('Sản phẩm'!$J$4:$J$103,MATCH(B807,'Sản phẩm'!$D$4:$D$103,0)),0)</f>
        <v/>
      </c>
      <c r="N807" s="83">
        <f>IF(B807="",0,(K807+L807+M807)*'Thiết lập'!$B$8)</f>
        <v>0</v>
      </c>
      <c r="O807" s="83">
        <f t="shared" si="2"/>
        <v>0</v>
      </c>
      <c r="P807" s="83">
        <f t="shared" si="3"/>
        <v>0</v>
      </c>
      <c r="Q807" s="83">
        <f t="shared" si="4"/>
        <v>0</v>
      </c>
      <c r="R807" s="36" t="str">
        <f t="array" ref="R807">IF(B807="","",INDEX('Bán nhanh'!$C$4:$C$103,INT((ROW()-4)/10)+1))</f>
        <v/>
      </c>
      <c r="S807" s="36" t="str">
        <f t="array" ref="S807">IF(B807="","",INDEX('Bán nhanh'!$P$4:$P$103,INT((ROW()-4)/10)+1))</f>
        <v/>
      </c>
      <c r="T807" s="36"/>
      <c r="U807" s="36"/>
      <c r="V807" s="36"/>
      <c r="W807" s="36"/>
      <c r="X807" s="36"/>
      <c r="Y807" s="36"/>
      <c r="Z807" s="36"/>
    </row>
    <row r="808" ht="15.75" customHeight="1">
      <c r="A808" s="96" t="str">
        <f t="array" ref="A808">IF(B808="","",INDEX('Bán nhanh'!$A$4:$A$103,INT((ROW()-4)/10)+1))</f>
        <v/>
      </c>
      <c r="B808" s="36" t="str">
        <f t="array" ref="B808">IF(OR(INDEX('Bán nhanh'!$D$3:$M$3,1,MOD(ROW()-4,10)+1)="",INDEX('Bán nhanh'!$D$4:$M$103,INT((ROW()-4)/10)+1,MOD(ROW()-4,10)+1)&lt;=0),"",INDEX('Bán nhanh'!$D$3:$M$3,1,MOD(ROW()-4,10)+1))</f>
        <v/>
      </c>
      <c r="C808" s="36" t="str">
        <f t="array" ref="C808">IFERROR(INDEX('Sản phẩm'!$A$4:$A$103,MATCH(B808,'Sản phẩm'!$D$4:$D$103,0)),"")</f>
        <v/>
      </c>
      <c r="D808" s="36" t="str">
        <f t="array" ref="D808">IF(B808="","",INDEX('Bán nhanh'!$B$4:$B$103,INT((ROW()-4)/10)+1))</f>
        <v/>
      </c>
      <c r="E808" s="36" t="str">
        <f t="array" ref="E808">IFERROR(INDEX('Mẻ sữa'!$B$4:$B$203,MATCH(D808,'Mẻ sữa'!$C$4:$C$203,0)),"")</f>
        <v/>
      </c>
      <c r="F808" s="82">
        <f t="array" ref="F808">IF(B808="",0,INDEX('Bán nhanh'!$D$4:$M$103,INT((ROW()-4)/10)+1,MOD(ROW()-4,10)+1))</f>
        <v>0</v>
      </c>
      <c r="G808" s="83">
        <f t="array" ref="G808">IFERROR(INDEX('Sản phẩm'!$F$4:$F$103,MATCH(B808,'Sản phẩm'!$D$4:$D$103,0)),0)</f>
        <v>0</v>
      </c>
      <c r="H808" s="83">
        <f t="shared" si="5"/>
        <v>0</v>
      </c>
      <c r="I808" s="83">
        <f t="shared" si="1"/>
        <v>0</v>
      </c>
      <c r="J808" s="83">
        <f t="array" ref="J808">IFERROR(INDEX('Sản phẩm'!$G$4:$G$103,MATCH(B808,'Sản phẩm'!$D$4:$D$103,0)),0)</f>
        <v>0</v>
      </c>
      <c r="K808" s="83">
        <f t="array" ref="K808">IFERROR(J808*INDEX('Mẻ sữa'!$N$4:$N$203,MATCH(D808,'Mẻ sữa'!$C$4:$C$203,0)),0)</f>
        <v>0</v>
      </c>
      <c r="L808" s="83">
        <f t="array" ref="L808">IFERROR(INDEX('Sản phẩm'!$I$4:$I$103,MATCH(B808,'Sản phẩm'!$D$4:$D$103,0)),0)</f>
        <v>0</v>
      </c>
      <c r="M808" s="97" t="str">
        <f t="array" ref="M808">IFERROR(INDEX('Sản phẩm'!$J$4:$J$103,MATCH(B808,'Sản phẩm'!$D$4:$D$103,0)),0)</f>
        <v/>
      </c>
      <c r="N808" s="83">
        <f>IF(B808="",0,(K808+L808+M808)*'Thiết lập'!$B$8)</f>
        <v>0</v>
      </c>
      <c r="O808" s="83">
        <f t="shared" si="2"/>
        <v>0</v>
      </c>
      <c r="P808" s="83">
        <f t="shared" si="3"/>
        <v>0</v>
      </c>
      <c r="Q808" s="83">
        <f t="shared" si="4"/>
        <v>0</v>
      </c>
      <c r="R808" s="36" t="str">
        <f t="array" ref="R808">IF(B808="","",INDEX('Bán nhanh'!$C$4:$C$103,INT((ROW()-4)/10)+1))</f>
        <v/>
      </c>
      <c r="S808" s="36" t="str">
        <f t="array" ref="S808">IF(B808="","",INDEX('Bán nhanh'!$P$4:$P$103,INT((ROW()-4)/10)+1))</f>
        <v/>
      </c>
      <c r="T808" s="36"/>
      <c r="U808" s="36"/>
      <c r="V808" s="36"/>
      <c r="W808" s="36"/>
      <c r="X808" s="36"/>
      <c r="Y808" s="36"/>
      <c r="Z808" s="36"/>
    </row>
    <row r="809" ht="15.75" customHeight="1">
      <c r="A809" s="96" t="str">
        <f t="array" ref="A809">IF(B809="","",INDEX('Bán nhanh'!$A$4:$A$103,INT((ROW()-4)/10)+1))</f>
        <v/>
      </c>
      <c r="B809" s="36" t="str">
        <f t="array" ref="B809">IF(OR(INDEX('Bán nhanh'!$D$3:$M$3,1,MOD(ROW()-4,10)+1)="",INDEX('Bán nhanh'!$D$4:$M$103,INT((ROW()-4)/10)+1,MOD(ROW()-4,10)+1)&lt;=0),"",INDEX('Bán nhanh'!$D$3:$M$3,1,MOD(ROW()-4,10)+1))</f>
        <v/>
      </c>
      <c r="C809" s="36" t="str">
        <f t="array" ref="C809">IFERROR(INDEX('Sản phẩm'!$A$4:$A$103,MATCH(B809,'Sản phẩm'!$D$4:$D$103,0)),"")</f>
        <v/>
      </c>
      <c r="D809" s="36" t="str">
        <f t="array" ref="D809">IF(B809="","",INDEX('Bán nhanh'!$B$4:$B$103,INT((ROW()-4)/10)+1))</f>
        <v/>
      </c>
      <c r="E809" s="36" t="str">
        <f t="array" ref="E809">IFERROR(INDEX('Mẻ sữa'!$B$4:$B$203,MATCH(D809,'Mẻ sữa'!$C$4:$C$203,0)),"")</f>
        <v/>
      </c>
      <c r="F809" s="82">
        <f t="array" ref="F809">IF(B809="",0,INDEX('Bán nhanh'!$D$4:$M$103,INT((ROW()-4)/10)+1,MOD(ROW()-4,10)+1))</f>
        <v>0</v>
      </c>
      <c r="G809" s="83">
        <f t="array" ref="G809">IFERROR(INDEX('Sản phẩm'!$F$4:$F$103,MATCH(B809,'Sản phẩm'!$D$4:$D$103,0)),0)</f>
        <v>0</v>
      </c>
      <c r="H809" s="83">
        <f t="shared" si="5"/>
        <v>0</v>
      </c>
      <c r="I809" s="83">
        <f t="shared" si="1"/>
        <v>0</v>
      </c>
      <c r="J809" s="83">
        <f t="array" ref="J809">IFERROR(INDEX('Sản phẩm'!$G$4:$G$103,MATCH(B809,'Sản phẩm'!$D$4:$D$103,0)),0)</f>
        <v>0</v>
      </c>
      <c r="K809" s="83">
        <f t="array" ref="K809">IFERROR(J809*INDEX('Mẻ sữa'!$N$4:$N$203,MATCH(D809,'Mẻ sữa'!$C$4:$C$203,0)),0)</f>
        <v>0</v>
      </c>
      <c r="L809" s="83">
        <f t="array" ref="L809">IFERROR(INDEX('Sản phẩm'!$I$4:$I$103,MATCH(B809,'Sản phẩm'!$D$4:$D$103,0)),0)</f>
        <v>0</v>
      </c>
      <c r="M809" s="97" t="str">
        <f t="array" ref="M809">IFERROR(INDEX('Sản phẩm'!$J$4:$J$103,MATCH(B809,'Sản phẩm'!$D$4:$D$103,0)),0)</f>
        <v/>
      </c>
      <c r="N809" s="83">
        <f>IF(B809="",0,(K809+L809+M809)*'Thiết lập'!$B$8)</f>
        <v>0</v>
      </c>
      <c r="O809" s="83">
        <f t="shared" si="2"/>
        <v>0</v>
      </c>
      <c r="P809" s="83">
        <f t="shared" si="3"/>
        <v>0</v>
      </c>
      <c r="Q809" s="83">
        <f t="shared" si="4"/>
        <v>0</v>
      </c>
      <c r="R809" s="36" t="str">
        <f t="array" ref="R809">IF(B809="","",INDEX('Bán nhanh'!$C$4:$C$103,INT((ROW()-4)/10)+1))</f>
        <v/>
      </c>
      <c r="S809" s="36" t="str">
        <f t="array" ref="S809">IF(B809="","",INDEX('Bán nhanh'!$P$4:$P$103,INT((ROW()-4)/10)+1))</f>
        <v/>
      </c>
      <c r="T809" s="36"/>
      <c r="U809" s="36"/>
      <c r="V809" s="36"/>
      <c r="W809" s="36"/>
      <c r="X809" s="36"/>
      <c r="Y809" s="36"/>
      <c r="Z809" s="36"/>
    </row>
    <row r="810" ht="15.75" customHeight="1">
      <c r="A810" s="96" t="str">
        <f t="array" ref="A810">IF(B810="","",INDEX('Bán nhanh'!$A$4:$A$103,INT((ROW()-4)/10)+1))</f>
        <v/>
      </c>
      <c r="B810" s="36" t="str">
        <f t="array" ref="B810">IF(OR(INDEX('Bán nhanh'!$D$3:$M$3,1,MOD(ROW()-4,10)+1)="",INDEX('Bán nhanh'!$D$4:$M$103,INT((ROW()-4)/10)+1,MOD(ROW()-4,10)+1)&lt;=0),"",INDEX('Bán nhanh'!$D$3:$M$3,1,MOD(ROW()-4,10)+1))</f>
        <v/>
      </c>
      <c r="C810" s="36" t="str">
        <f t="array" ref="C810">IFERROR(INDEX('Sản phẩm'!$A$4:$A$103,MATCH(B810,'Sản phẩm'!$D$4:$D$103,0)),"")</f>
        <v/>
      </c>
      <c r="D810" s="36" t="str">
        <f t="array" ref="D810">IF(B810="","",INDEX('Bán nhanh'!$B$4:$B$103,INT((ROW()-4)/10)+1))</f>
        <v/>
      </c>
      <c r="E810" s="36" t="str">
        <f t="array" ref="E810">IFERROR(INDEX('Mẻ sữa'!$B$4:$B$203,MATCH(D810,'Mẻ sữa'!$C$4:$C$203,0)),"")</f>
        <v/>
      </c>
      <c r="F810" s="82">
        <f t="array" ref="F810">IF(B810="",0,INDEX('Bán nhanh'!$D$4:$M$103,INT((ROW()-4)/10)+1,MOD(ROW()-4,10)+1))</f>
        <v>0</v>
      </c>
      <c r="G810" s="83">
        <f t="array" ref="G810">IFERROR(INDEX('Sản phẩm'!$F$4:$F$103,MATCH(B810,'Sản phẩm'!$D$4:$D$103,0)),0)</f>
        <v>0</v>
      </c>
      <c r="H810" s="83">
        <f t="shared" si="5"/>
        <v>0</v>
      </c>
      <c r="I810" s="83">
        <f t="shared" si="1"/>
        <v>0</v>
      </c>
      <c r="J810" s="83">
        <f t="array" ref="J810">IFERROR(INDEX('Sản phẩm'!$G$4:$G$103,MATCH(B810,'Sản phẩm'!$D$4:$D$103,0)),0)</f>
        <v>0</v>
      </c>
      <c r="K810" s="83">
        <f t="array" ref="K810">IFERROR(J810*INDEX('Mẻ sữa'!$N$4:$N$203,MATCH(D810,'Mẻ sữa'!$C$4:$C$203,0)),0)</f>
        <v>0</v>
      </c>
      <c r="L810" s="83">
        <f t="array" ref="L810">IFERROR(INDEX('Sản phẩm'!$I$4:$I$103,MATCH(B810,'Sản phẩm'!$D$4:$D$103,0)),0)</f>
        <v>0</v>
      </c>
      <c r="M810" s="97" t="str">
        <f t="array" ref="M810">IFERROR(INDEX('Sản phẩm'!$J$4:$J$103,MATCH(B810,'Sản phẩm'!$D$4:$D$103,0)),0)</f>
        <v/>
      </c>
      <c r="N810" s="83">
        <f>IF(B810="",0,(K810+L810+M810)*'Thiết lập'!$B$8)</f>
        <v>0</v>
      </c>
      <c r="O810" s="83">
        <f t="shared" si="2"/>
        <v>0</v>
      </c>
      <c r="P810" s="83">
        <f t="shared" si="3"/>
        <v>0</v>
      </c>
      <c r="Q810" s="83">
        <f t="shared" si="4"/>
        <v>0</v>
      </c>
      <c r="R810" s="36" t="str">
        <f t="array" ref="R810">IF(B810="","",INDEX('Bán nhanh'!$C$4:$C$103,INT((ROW()-4)/10)+1))</f>
        <v/>
      </c>
      <c r="S810" s="36" t="str">
        <f t="array" ref="S810">IF(B810="","",INDEX('Bán nhanh'!$P$4:$P$103,INT((ROW()-4)/10)+1))</f>
        <v/>
      </c>
      <c r="T810" s="36"/>
      <c r="U810" s="36"/>
      <c r="V810" s="36"/>
      <c r="W810" s="36"/>
      <c r="X810" s="36"/>
      <c r="Y810" s="36"/>
      <c r="Z810" s="36"/>
    </row>
    <row r="811" ht="15.75" customHeight="1">
      <c r="A811" s="96" t="str">
        <f t="array" ref="A811">IF(B811="","",INDEX('Bán nhanh'!$A$4:$A$103,INT((ROW()-4)/10)+1))</f>
        <v/>
      </c>
      <c r="B811" s="36" t="str">
        <f t="array" ref="B811">IF(OR(INDEX('Bán nhanh'!$D$3:$M$3,1,MOD(ROW()-4,10)+1)="",INDEX('Bán nhanh'!$D$4:$M$103,INT((ROW()-4)/10)+1,MOD(ROW()-4,10)+1)&lt;=0),"",INDEX('Bán nhanh'!$D$3:$M$3,1,MOD(ROW()-4,10)+1))</f>
        <v/>
      </c>
      <c r="C811" s="36" t="str">
        <f t="array" ref="C811">IFERROR(INDEX('Sản phẩm'!$A$4:$A$103,MATCH(B811,'Sản phẩm'!$D$4:$D$103,0)),"")</f>
        <v/>
      </c>
      <c r="D811" s="36" t="str">
        <f t="array" ref="D811">IF(B811="","",INDEX('Bán nhanh'!$B$4:$B$103,INT((ROW()-4)/10)+1))</f>
        <v/>
      </c>
      <c r="E811" s="36" t="str">
        <f t="array" ref="E811">IFERROR(INDEX('Mẻ sữa'!$B$4:$B$203,MATCH(D811,'Mẻ sữa'!$C$4:$C$203,0)),"")</f>
        <v/>
      </c>
      <c r="F811" s="82">
        <f t="array" ref="F811">IF(B811="",0,INDEX('Bán nhanh'!$D$4:$M$103,INT((ROW()-4)/10)+1,MOD(ROW()-4,10)+1))</f>
        <v>0</v>
      </c>
      <c r="G811" s="83">
        <f t="array" ref="G811">IFERROR(INDEX('Sản phẩm'!$F$4:$F$103,MATCH(B811,'Sản phẩm'!$D$4:$D$103,0)),0)</f>
        <v>0</v>
      </c>
      <c r="H811" s="83">
        <f t="shared" si="5"/>
        <v>0</v>
      </c>
      <c r="I811" s="83">
        <f t="shared" si="1"/>
        <v>0</v>
      </c>
      <c r="J811" s="83">
        <f t="array" ref="J811">IFERROR(INDEX('Sản phẩm'!$G$4:$G$103,MATCH(B811,'Sản phẩm'!$D$4:$D$103,0)),0)</f>
        <v>0</v>
      </c>
      <c r="K811" s="83">
        <f t="array" ref="K811">IFERROR(J811*INDEX('Mẻ sữa'!$N$4:$N$203,MATCH(D811,'Mẻ sữa'!$C$4:$C$203,0)),0)</f>
        <v>0</v>
      </c>
      <c r="L811" s="83">
        <f t="array" ref="L811">IFERROR(INDEX('Sản phẩm'!$I$4:$I$103,MATCH(B811,'Sản phẩm'!$D$4:$D$103,0)),0)</f>
        <v>0</v>
      </c>
      <c r="M811" s="97" t="str">
        <f t="array" ref="M811">IFERROR(INDEX('Sản phẩm'!$J$4:$J$103,MATCH(B811,'Sản phẩm'!$D$4:$D$103,0)),0)</f>
        <v/>
      </c>
      <c r="N811" s="83">
        <f>IF(B811="",0,(K811+L811+M811)*'Thiết lập'!$B$8)</f>
        <v>0</v>
      </c>
      <c r="O811" s="83">
        <f t="shared" si="2"/>
        <v>0</v>
      </c>
      <c r="P811" s="83">
        <f t="shared" si="3"/>
        <v>0</v>
      </c>
      <c r="Q811" s="83">
        <f t="shared" si="4"/>
        <v>0</v>
      </c>
      <c r="R811" s="36" t="str">
        <f t="array" ref="R811">IF(B811="","",INDEX('Bán nhanh'!$C$4:$C$103,INT((ROW()-4)/10)+1))</f>
        <v/>
      </c>
      <c r="S811" s="36" t="str">
        <f t="array" ref="S811">IF(B811="","",INDEX('Bán nhanh'!$P$4:$P$103,INT((ROW()-4)/10)+1))</f>
        <v/>
      </c>
      <c r="T811" s="36"/>
      <c r="U811" s="36"/>
      <c r="V811" s="36"/>
      <c r="W811" s="36"/>
      <c r="X811" s="36"/>
      <c r="Y811" s="36"/>
      <c r="Z811" s="36"/>
    </row>
    <row r="812" ht="15.75" customHeight="1">
      <c r="A812" s="96" t="str">
        <f t="array" ref="A812">IF(B812="","",INDEX('Bán nhanh'!$A$4:$A$103,INT((ROW()-4)/10)+1))</f>
        <v/>
      </c>
      <c r="B812" s="36" t="str">
        <f t="array" ref="B812">IF(OR(INDEX('Bán nhanh'!$D$3:$M$3,1,MOD(ROW()-4,10)+1)="",INDEX('Bán nhanh'!$D$4:$M$103,INT((ROW()-4)/10)+1,MOD(ROW()-4,10)+1)&lt;=0),"",INDEX('Bán nhanh'!$D$3:$M$3,1,MOD(ROW()-4,10)+1))</f>
        <v/>
      </c>
      <c r="C812" s="36" t="str">
        <f t="array" ref="C812">IFERROR(INDEX('Sản phẩm'!$A$4:$A$103,MATCH(B812,'Sản phẩm'!$D$4:$D$103,0)),"")</f>
        <v/>
      </c>
      <c r="D812" s="36" t="str">
        <f t="array" ref="D812">IF(B812="","",INDEX('Bán nhanh'!$B$4:$B$103,INT((ROW()-4)/10)+1))</f>
        <v/>
      </c>
      <c r="E812" s="36" t="str">
        <f t="array" ref="E812">IFERROR(INDEX('Mẻ sữa'!$B$4:$B$203,MATCH(D812,'Mẻ sữa'!$C$4:$C$203,0)),"")</f>
        <v/>
      </c>
      <c r="F812" s="82">
        <f t="array" ref="F812">IF(B812="",0,INDEX('Bán nhanh'!$D$4:$M$103,INT((ROW()-4)/10)+1,MOD(ROW()-4,10)+1))</f>
        <v>0</v>
      </c>
      <c r="G812" s="83">
        <f t="array" ref="G812">IFERROR(INDEX('Sản phẩm'!$F$4:$F$103,MATCH(B812,'Sản phẩm'!$D$4:$D$103,0)),0)</f>
        <v>0</v>
      </c>
      <c r="H812" s="83">
        <f t="shared" si="5"/>
        <v>0</v>
      </c>
      <c r="I812" s="83">
        <f t="shared" si="1"/>
        <v>0</v>
      </c>
      <c r="J812" s="83">
        <f t="array" ref="J812">IFERROR(INDEX('Sản phẩm'!$G$4:$G$103,MATCH(B812,'Sản phẩm'!$D$4:$D$103,0)),0)</f>
        <v>0</v>
      </c>
      <c r="K812" s="83">
        <f t="array" ref="K812">IFERROR(J812*INDEX('Mẻ sữa'!$N$4:$N$203,MATCH(D812,'Mẻ sữa'!$C$4:$C$203,0)),0)</f>
        <v>0</v>
      </c>
      <c r="L812" s="83">
        <f t="array" ref="L812">IFERROR(INDEX('Sản phẩm'!$I$4:$I$103,MATCH(B812,'Sản phẩm'!$D$4:$D$103,0)),0)</f>
        <v>0</v>
      </c>
      <c r="M812" s="97" t="str">
        <f t="array" ref="M812">IFERROR(INDEX('Sản phẩm'!$J$4:$J$103,MATCH(B812,'Sản phẩm'!$D$4:$D$103,0)),0)</f>
        <v/>
      </c>
      <c r="N812" s="83">
        <f>IF(B812="",0,(K812+L812+M812)*'Thiết lập'!$B$8)</f>
        <v>0</v>
      </c>
      <c r="O812" s="83">
        <f t="shared" si="2"/>
        <v>0</v>
      </c>
      <c r="P812" s="83">
        <f t="shared" si="3"/>
        <v>0</v>
      </c>
      <c r="Q812" s="83">
        <f t="shared" si="4"/>
        <v>0</v>
      </c>
      <c r="R812" s="36" t="str">
        <f t="array" ref="R812">IF(B812="","",INDEX('Bán nhanh'!$C$4:$C$103,INT((ROW()-4)/10)+1))</f>
        <v/>
      </c>
      <c r="S812" s="36" t="str">
        <f t="array" ref="S812">IF(B812="","",INDEX('Bán nhanh'!$P$4:$P$103,INT((ROW()-4)/10)+1))</f>
        <v/>
      </c>
      <c r="T812" s="36"/>
      <c r="U812" s="36"/>
      <c r="V812" s="36"/>
      <c r="W812" s="36"/>
      <c r="X812" s="36"/>
      <c r="Y812" s="36"/>
      <c r="Z812" s="36"/>
    </row>
    <row r="813" ht="15.75" customHeight="1">
      <c r="A813" s="96" t="str">
        <f t="array" ref="A813">IF(B813="","",INDEX('Bán nhanh'!$A$4:$A$103,INT((ROW()-4)/10)+1))</f>
        <v/>
      </c>
      <c r="B813" s="36" t="str">
        <f t="array" ref="B813">IF(OR(INDEX('Bán nhanh'!$D$3:$M$3,1,MOD(ROW()-4,10)+1)="",INDEX('Bán nhanh'!$D$4:$M$103,INT((ROW()-4)/10)+1,MOD(ROW()-4,10)+1)&lt;=0),"",INDEX('Bán nhanh'!$D$3:$M$3,1,MOD(ROW()-4,10)+1))</f>
        <v/>
      </c>
      <c r="C813" s="36" t="str">
        <f t="array" ref="C813">IFERROR(INDEX('Sản phẩm'!$A$4:$A$103,MATCH(B813,'Sản phẩm'!$D$4:$D$103,0)),"")</f>
        <v/>
      </c>
      <c r="D813" s="36" t="str">
        <f t="array" ref="D813">IF(B813="","",INDEX('Bán nhanh'!$B$4:$B$103,INT((ROW()-4)/10)+1))</f>
        <v/>
      </c>
      <c r="E813" s="36" t="str">
        <f t="array" ref="E813">IFERROR(INDEX('Mẻ sữa'!$B$4:$B$203,MATCH(D813,'Mẻ sữa'!$C$4:$C$203,0)),"")</f>
        <v/>
      </c>
      <c r="F813" s="82">
        <f t="array" ref="F813">IF(B813="",0,INDEX('Bán nhanh'!$D$4:$M$103,INT((ROW()-4)/10)+1,MOD(ROW()-4,10)+1))</f>
        <v>0</v>
      </c>
      <c r="G813" s="83">
        <f t="array" ref="G813">IFERROR(INDEX('Sản phẩm'!$F$4:$F$103,MATCH(B813,'Sản phẩm'!$D$4:$D$103,0)),0)</f>
        <v>0</v>
      </c>
      <c r="H813" s="83">
        <f t="shared" si="5"/>
        <v>0</v>
      </c>
      <c r="I813" s="83">
        <f t="shared" si="1"/>
        <v>0</v>
      </c>
      <c r="J813" s="83">
        <f t="array" ref="J813">IFERROR(INDEX('Sản phẩm'!$G$4:$G$103,MATCH(B813,'Sản phẩm'!$D$4:$D$103,0)),0)</f>
        <v>0</v>
      </c>
      <c r="K813" s="83">
        <f t="array" ref="K813">IFERROR(J813*INDEX('Mẻ sữa'!$N$4:$N$203,MATCH(D813,'Mẻ sữa'!$C$4:$C$203,0)),0)</f>
        <v>0</v>
      </c>
      <c r="L813" s="83">
        <f t="array" ref="L813">IFERROR(INDEX('Sản phẩm'!$I$4:$I$103,MATCH(B813,'Sản phẩm'!$D$4:$D$103,0)),0)</f>
        <v>0</v>
      </c>
      <c r="M813" s="97" t="str">
        <f t="array" ref="M813">IFERROR(INDEX('Sản phẩm'!$J$4:$J$103,MATCH(B813,'Sản phẩm'!$D$4:$D$103,0)),0)</f>
        <v/>
      </c>
      <c r="N813" s="83">
        <f>IF(B813="",0,(K813+L813+M813)*'Thiết lập'!$B$8)</f>
        <v>0</v>
      </c>
      <c r="O813" s="83">
        <f t="shared" si="2"/>
        <v>0</v>
      </c>
      <c r="P813" s="83">
        <f t="shared" si="3"/>
        <v>0</v>
      </c>
      <c r="Q813" s="83">
        <f t="shared" si="4"/>
        <v>0</v>
      </c>
      <c r="R813" s="36" t="str">
        <f t="array" ref="R813">IF(B813="","",INDEX('Bán nhanh'!$C$4:$C$103,INT((ROW()-4)/10)+1))</f>
        <v/>
      </c>
      <c r="S813" s="36" t="str">
        <f t="array" ref="S813">IF(B813="","",INDEX('Bán nhanh'!$P$4:$P$103,INT((ROW()-4)/10)+1))</f>
        <v/>
      </c>
      <c r="T813" s="36"/>
      <c r="U813" s="36"/>
      <c r="V813" s="36"/>
      <c r="W813" s="36"/>
      <c r="X813" s="36"/>
      <c r="Y813" s="36"/>
      <c r="Z813" s="36"/>
    </row>
    <row r="814" ht="15.75" customHeight="1">
      <c r="A814" s="96" t="str">
        <f t="array" ref="A814">IF(B814="","",INDEX('Bán nhanh'!$A$4:$A$103,INT((ROW()-4)/10)+1))</f>
        <v/>
      </c>
      <c r="B814" s="36" t="str">
        <f t="array" ref="B814">IF(OR(INDEX('Bán nhanh'!$D$3:$M$3,1,MOD(ROW()-4,10)+1)="",INDEX('Bán nhanh'!$D$4:$M$103,INT((ROW()-4)/10)+1,MOD(ROW()-4,10)+1)&lt;=0),"",INDEX('Bán nhanh'!$D$3:$M$3,1,MOD(ROW()-4,10)+1))</f>
        <v/>
      </c>
      <c r="C814" s="36" t="str">
        <f t="array" ref="C814">IFERROR(INDEX('Sản phẩm'!$A$4:$A$103,MATCH(B814,'Sản phẩm'!$D$4:$D$103,0)),"")</f>
        <v/>
      </c>
      <c r="D814" s="36" t="str">
        <f t="array" ref="D814">IF(B814="","",INDEX('Bán nhanh'!$B$4:$B$103,INT((ROW()-4)/10)+1))</f>
        <v/>
      </c>
      <c r="E814" s="36" t="str">
        <f t="array" ref="E814">IFERROR(INDEX('Mẻ sữa'!$B$4:$B$203,MATCH(D814,'Mẻ sữa'!$C$4:$C$203,0)),"")</f>
        <v/>
      </c>
      <c r="F814" s="82">
        <f t="array" ref="F814">IF(B814="",0,INDEX('Bán nhanh'!$D$4:$M$103,INT((ROW()-4)/10)+1,MOD(ROW()-4,10)+1))</f>
        <v>0</v>
      </c>
      <c r="G814" s="83">
        <f t="array" ref="G814">IFERROR(INDEX('Sản phẩm'!$F$4:$F$103,MATCH(B814,'Sản phẩm'!$D$4:$D$103,0)),0)</f>
        <v>0</v>
      </c>
      <c r="H814" s="83">
        <f t="shared" si="5"/>
        <v>0</v>
      </c>
      <c r="I814" s="83">
        <f t="shared" si="1"/>
        <v>0</v>
      </c>
      <c r="J814" s="83">
        <f t="array" ref="J814">IFERROR(INDEX('Sản phẩm'!$G$4:$G$103,MATCH(B814,'Sản phẩm'!$D$4:$D$103,0)),0)</f>
        <v>0</v>
      </c>
      <c r="K814" s="83">
        <f t="array" ref="K814">IFERROR(J814*INDEX('Mẻ sữa'!$N$4:$N$203,MATCH(D814,'Mẻ sữa'!$C$4:$C$203,0)),0)</f>
        <v>0</v>
      </c>
      <c r="L814" s="83">
        <f t="array" ref="L814">IFERROR(INDEX('Sản phẩm'!$I$4:$I$103,MATCH(B814,'Sản phẩm'!$D$4:$D$103,0)),0)</f>
        <v>0</v>
      </c>
      <c r="M814" s="97" t="str">
        <f t="array" ref="M814">IFERROR(INDEX('Sản phẩm'!$J$4:$J$103,MATCH(B814,'Sản phẩm'!$D$4:$D$103,0)),0)</f>
        <v/>
      </c>
      <c r="N814" s="83">
        <f>IF(B814="",0,(K814+L814+M814)*'Thiết lập'!$B$8)</f>
        <v>0</v>
      </c>
      <c r="O814" s="83">
        <f t="shared" si="2"/>
        <v>0</v>
      </c>
      <c r="P814" s="83">
        <f t="shared" si="3"/>
        <v>0</v>
      </c>
      <c r="Q814" s="83">
        <f t="shared" si="4"/>
        <v>0</v>
      </c>
      <c r="R814" s="36" t="str">
        <f t="array" ref="R814">IF(B814="","",INDEX('Bán nhanh'!$C$4:$C$103,INT((ROW()-4)/10)+1))</f>
        <v/>
      </c>
      <c r="S814" s="36" t="str">
        <f t="array" ref="S814">IF(B814="","",INDEX('Bán nhanh'!$P$4:$P$103,INT((ROW()-4)/10)+1))</f>
        <v/>
      </c>
      <c r="T814" s="36"/>
      <c r="U814" s="36"/>
      <c r="V814" s="36"/>
      <c r="W814" s="36"/>
      <c r="X814" s="36"/>
      <c r="Y814" s="36"/>
      <c r="Z814" s="36"/>
    </row>
    <row r="815" ht="15.75" customHeight="1">
      <c r="A815" s="96" t="str">
        <f t="array" ref="A815">IF(B815="","",INDEX('Bán nhanh'!$A$4:$A$103,INT((ROW()-4)/10)+1))</f>
        <v/>
      </c>
      <c r="B815" s="36" t="str">
        <f t="array" ref="B815">IF(OR(INDEX('Bán nhanh'!$D$3:$M$3,1,MOD(ROW()-4,10)+1)="",INDEX('Bán nhanh'!$D$4:$M$103,INT((ROW()-4)/10)+1,MOD(ROW()-4,10)+1)&lt;=0),"",INDEX('Bán nhanh'!$D$3:$M$3,1,MOD(ROW()-4,10)+1))</f>
        <v/>
      </c>
      <c r="C815" s="36" t="str">
        <f t="array" ref="C815">IFERROR(INDEX('Sản phẩm'!$A$4:$A$103,MATCH(B815,'Sản phẩm'!$D$4:$D$103,0)),"")</f>
        <v/>
      </c>
      <c r="D815" s="36" t="str">
        <f t="array" ref="D815">IF(B815="","",INDEX('Bán nhanh'!$B$4:$B$103,INT((ROW()-4)/10)+1))</f>
        <v/>
      </c>
      <c r="E815" s="36" t="str">
        <f t="array" ref="E815">IFERROR(INDEX('Mẻ sữa'!$B$4:$B$203,MATCH(D815,'Mẻ sữa'!$C$4:$C$203,0)),"")</f>
        <v/>
      </c>
      <c r="F815" s="82">
        <f t="array" ref="F815">IF(B815="",0,INDEX('Bán nhanh'!$D$4:$M$103,INT((ROW()-4)/10)+1,MOD(ROW()-4,10)+1))</f>
        <v>0</v>
      </c>
      <c r="G815" s="83">
        <f t="array" ref="G815">IFERROR(INDEX('Sản phẩm'!$F$4:$F$103,MATCH(B815,'Sản phẩm'!$D$4:$D$103,0)),0)</f>
        <v>0</v>
      </c>
      <c r="H815" s="83">
        <f t="shared" si="5"/>
        <v>0</v>
      </c>
      <c r="I815" s="83">
        <f t="shared" si="1"/>
        <v>0</v>
      </c>
      <c r="J815" s="83">
        <f t="array" ref="J815">IFERROR(INDEX('Sản phẩm'!$G$4:$G$103,MATCH(B815,'Sản phẩm'!$D$4:$D$103,0)),0)</f>
        <v>0</v>
      </c>
      <c r="K815" s="83">
        <f t="array" ref="K815">IFERROR(J815*INDEX('Mẻ sữa'!$N$4:$N$203,MATCH(D815,'Mẻ sữa'!$C$4:$C$203,0)),0)</f>
        <v>0</v>
      </c>
      <c r="L815" s="83">
        <f t="array" ref="L815">IFERROR(INDEX('Sản phẩm'!$I$4:$I$103,MATCH(B815,'Sản phẩm'!$D$4:$D$103,0)),0)</f>
        <v>0</v>
      </c>
      <c r="M815" s="97" t="str">
        <f t="array" ref="M815">IFERROR(INDEX('Sản phẩm'!$J$4:$J$103,MATCH(B815,'Sản phẩm'!$D$4:$D$103,0)),0)</f>
        <v/>
      </c>
      <c r="N815" s="83">
        <f>IF(B815="",0,(K815+L815+M815)*'Thiết lập'!$B$8)</f>
        <v>0</v>
      </c>
      <c r="O815" s="83">
        <f t="shared" si="2"/>
        <v>0</v>
      </c>
      <c r="P815" s="83">
        <f t="shared" si="3"/>
        <v>0</v>
      </c>
      <c r="Q815" s="83">
        <f t="shared" si="4"/>
        <v>0</v>
      </c>
      <c r="R815" s="36" t="str">
        <f t="array" ref="R815">IF(B815="","",INDEX('Bán nhanh'!$C$4:$C$103,INT((ROW()-4)/10)+1))</f>
        <v/>
      </c>
      <c r="S815" s="36" t="str">
        <f t="array" ref="S815">IF(B815="","",INDEX('Bán nhanh'!$P$4:$P$103,INT((ROW()-4)/10)+1))</f>
        <v/>
      </c>
      <c r="T815" s="36"/>
      <c r="U815" s="36"/>
      <c r="V815" s="36"/>
      <c r="W815" s="36"/>
      <c r="X815" s="36"/>
      <c r="Y815" s="36"/>
      <c r="Z815" s="36"/>
    </row>
    <row r="816" ht="15.75" customHeight="1">
      <c r="A816" s="96" t="str">
        <f t="array" ref="A816">IF(B816="","",INDEX('Bán nhanh'!$A$4:$A$103,INT((ROW()-4)/10)+1))</f>
        <v/>
      </c>
      <c r="B816" s="36" t="str">
        <f t="array" ref="B816">IF(OR(INDEX('Bán nhanh'!$D$3:$M$3,1,MOD(ROW()-4,10)+1)="",INDEX('Bán nhanh'!$D$4:$M$103,INT((ROW()-4)/10)+1,MOD(ROW()-4,10)+1)&lt;=0),"",INDEX('Bán nhanh'!$D$3:$M$3,1,MOD(ROW()-4,10)+1))</f>
        <v/>
      </c>
      <c r="C816" s="36" t="str">
        <f t="array" ref="C816">IFERROR(INDEX('Sản phẩm'!$A$4:$A$103,MATCH(B816,'Sản phẩm'!$D$4:$D$103,0)),"")</f>
        <v/>
      </c>
      <c r="D816" s="36" t="str">
        <f t="array" ref="D816">IF(B816="","",INDEX('Bán nhanh'!$B$4:$B$103,INT((ROW()-4)/10)+1))</f>
        <v/>
      </c>
      <c r="E816" s="36" t="str">
        <f t="array" ref="E816">IFERROR(INDEX('Mẻ sữa'!$B$4:$B$203,MATCH(D816,'Mẻ sữa'!$C$4:$C$203,0)),"")</f>
        <v/>
      </c>
      <c r="F816" s="82">
        <f t="array" ref="F816">IF(B816="",0,INDEX('Bán nhanh'!$D$4:$M$103,INT((ROW()-4)/10)+1,MOD(ROW()-4,10)+1))</f>
        <v>0</v>
      </c>
      <c r="G816" s="83">
        <f t="array" ref="G816">IFERROR(INDEX('Sản phẩm'!$F$4:$F$103,MATCH(B816,'Sản phẩm'!$D$4:$D$103,0)),0)</f>
        <v>0</v>
      </c>
      <c r="H816" s="83">
        <f t="shared" si="5"/>
        <v>0</v>
      </c>
      <c r="I816" s="83">
        <f t="shared" si="1"/>
        <v>0</v>
      </c>
      <c r="J816" s="83">
        <f t="array" ref="J816">IFERROR(INDEX('Sản phẩm'!$G$4:$G$103,MATCH(B816,'Sản phẩm'!$D$4:$D$103,0)),0)</f>
        <v>0</v>
      </c>
      <c r="K816" s="83">
        <f t="array" ref="K816">IFERROR(J816*INDEX('Mẻ sữa'!$N$4:$N$203,MATCH(D816,'Mẻ sữa'!$C$4:$C$203,0)),0)</f>
        <v>0</v>
      </c>
      <c r="L816" s="83">
        <f t="array" ref="L816">IFERROR(INDEX('Sản phẩm'!$I$4:$I$103,MATCH(B816,'Sản phẩm'!$D$4:$D$103,0)),0)</f>
        <v>0</v>
      </c>
      <c r="M816" s="97" t="str">
        <f t="array" ref="M816">IFERROR(INDEX('Sản phẩm'!$J$4:$J$103,MATCH(B816,'Sản phẩm'!$D$4:$D$103,0)),0)</f>
        <v/>
      </c>
      <c r="N816" s="83">
        <f>IF(B816="",0,(K816+L816+M816)*'Thiết lập'!$B$8)</f>
        <v>0</v>
      </c>
      <c r="O816" s="83">
        <f t="shared" si="2"/>
        <v>0</v>
      </c>
      <c r="P816" s="83">
        <f t="shared" si="3"/>
        <v>0</v>
      </c>
      <c r="Q816" s="83">
        <f t="shared" si="4"/>
        <v>0</v>
      </c>
      <c r="R816" s="36" t="str">
        <f t="array" ref="R816">IF(B816="","",INDEX('Bán nhanh'!$C$4:$C$103,INT((ROW()-4)/10)+1))</f>
        <v/>
      </c>
      <c r="S816" s="36" t="str">
        <f t="array" ref="S816">IF(B816="","",INDEX('Bán nhanh'!$P$4:$P$103,INT((ROW()-4)/10)+1))</f>
        <v/>
      </c>
      <c r="T816" s="36"/>
      <c r="U816" s="36"/>
      <c r="V816" s="36"/>
      <c r="W816" s="36"/>
      <c r="X816" s="36"/>
      <c r="Y816" s="36"/>
      <c r="Z816" s="36"/>
    </row>
    <row r="817" ht="15.75" customHeight="1">
      <c r="A817" s="96" t="str">
        <f t="array" ref="A817">IF(B817="","",INDEX('Bán nhanh'!$A$4:$A$103,INT((ROW()-4)/10)+1))</f>
        <v/>
      </c>
      <c r="B817" s="36" t="str">
        <f t="array" ref="B817">IF(OR(INDEX('Bán nhanh'!$D$3:$M$3,1,MOD(ROW()-4,10)+1)="",INDEX('Bán nhanh'!$D$4:$M$103,INT((ROW()-4)/10)+1,MOD(ROW()-4,10)+1)&lt;=0),"",INDEX('Bán nhanh'!$D$3:$M$3,1,MOD(ROW()-4,10)+1))</f>
        <v/>
      </c>
      <c r="C817" s="36" t="str">
        <f t="array" ref="C817">IFERROR(INDEX('Sản phẩm'!$A$4:$A$103,MATCH(B817,'Sản phẩm'!$D$4:$D$103,0)),"")</f>
        <v/>
      </c>
      <c r="D817" s="36" t="str">
        <f t="array" ref="D817">IF(B817="","",INDEX('Bán nhanh'!$B$4:$B$103,INT((ROW()-4)/10)+1))</f>
        <v/>
      </c>
      <c r="E817" s="36" t="str">
        <f t="array" ref="E817">IFERROR(INDEX('Mẻ sữa'!$B$4:$B$203,MATCH(D817,'Mẻ sữa'!$C$4:$C$203,0)),"")</f>
        <v/>
      </c>
      <c r="F817" s="82">
        <f t="array" ref="F817">IF(B817="",0,INDEX('Bán nhanh'!$D$4:$M$103,INT((ROW()-4)/10)+1,MOD(ROW()-4,10)+1))</f>
        <v>0</v>
      </c>
      <c r="G817" s="83">
        <f t="array" ref="G817">IFERROR(INDEX('Sản phẩm'!$F$4:$F$103,MATCH(B817,'Sản phẩm'!$D$4:$D$103,0)),0)</f>
        <v>0</v>
      </c>
      <c r="H817" s="83">
        <f t="shared" si="5"/>
        <v>0</v>
      </c>
      <c r="I817" s="83">
        <f t="shared" si="1"/>
        <v>0</v>
      </c>
      <c r="J817" s="83">
        <f t="array" ref="J817">IFERROR(INDEX('Sản phẩm'!$G$4:$G$103,MATCH(B817,'Sản phẩm'!$D$4:$D$103,0)),0)</f>
        <v>0</v>
      </c>
      <c r="K817" s="83">
        <f t="array" ref="K817">IFERROR(J817*INDEX('Mẻ sữa'!$N$4:$N$203,MATCH(D817,'Mẻ sữa'!$C$4:$C$203,0)),0)</f>
        <v>0</v>
      </c>
      <c r="L817" s="83">
        <f t="array" ref="L817">IFERROR(INDEX('Sản phẩm'!$I$4:$I$103,MATCH(B817,'Sản phẩm'!$D$4:$D$103,0)),0)</f>
        <v>0</v>
      </c>
      <c r="M817" s="97" t="str">
        <f t="array" ref="M817">IFERROR(INDEX('Sản phẩm'!$J$4:$J$103,MATCH(B817,'Sản phẩm'!$D$4:$D$103,0)),0)</f>
        <v/>
      </c>
      <c r="N817" s="83">
        <f>IF(B817="",0,(K817+L817+M817)*'Thiết lập'!$B$8)</f>
        <v>0</v>
      </c>
      <c r="O817" s="83">
        <f t="shared" si="2"/>
        <v>0</v>
      </c>
      <c r="P817" s="83">
        <f t="shared" si="3"/>
        <v>0</v>
      </c>
      <c r="Q817" s="83">
        <f t="shared" si="4"/>
        <v>0</v>
      </c>
      <c r="R817" s="36" t="str">
        <f t="array" ref="R817">IF(B817="","",INDEX('Bán nhanh'!$C$4:$C$103,INT((ROW()-4)/10)+1))</f>
        <v/>
      </c>
      <c r="S817" s="36" t="str">
        <f t="array" ref="S817">IF(B817="","",INDEX('Bán nhanh'!$P$4:$P$103,INT((ROW()-4)/10)+1))</f>
        <v/>
      </c>
      <c r="T817" s="36"/>
      <c r="U817" s="36"/>
      <c r="V817" s="36"/>
      <c r="W817" s="36"/>
      <c r="X817" s="36"/>
      <c r="Y817" s="36"/>
      <c r="Z817" s="36"/>
    </row>
    <row r="818" ht="15.75" customHeight="1">
      <c r="A818" s="96" t="str">
        <f t="array" ref="A818">IF(B818="","",INDEX('Bán nhanh'!$A$4:$A$103,INT((ROW()-4)/10)+1))</f>
        <v/>
      </c>
      <c r="B818" s="36" t="str">
        <f t="array" ref="B818">IF(OR(INDEX('Bán nhanh'!$D$3:$M$3,1,MOD(ROW()-4,10)+1)="",INDEX('Bán nhanh'!$D$4:$M$103,INT((ROW()-4)/10)+1,MOD(ROW()-4,10)+1)&lt;=0),"",INDEX('Bán nhanh'!$D$3:$M$3,1,MOD(ROW()-4,10)+1))</f>
        <v/>
      </c>
      <c r="C818" s="36" t="str">
        <f t="array" ref="C818">IFERROR(INDEX('Sản phẩm'!$A$4:$A$103,MATCH(B818,'Sản phẩm'!$D$4:$D$103,0)),"")</f>
        <v/>
      </c>
      <c r="D818" s="36" t="str">
        <f t="array" ref="D818">IF(B818="","",INDEX('Bán nhanh'!$B$4:$B$103,INT((ROW()-4)/10)+1))</f>
        <v/>
      </c>
      <c r="E818" s="36" t="str">
        <f t="array" ref="E818">IFERROR(INDEX('Mẻ sữa'!$B$4:$B$203,MATCH(D818,'Mẻ sữa'!$C$4:$C$203,0)),"")</f>
        <v/>
      </c>
      <c r="F818" s="82">
        <f t="array" ref="F818">IF(B818="",0,INDEX('Bán nhanh'!$D$4:$M$103,INT((ROW()-4)/10)+1,MOD(ROW()-4,10)+1))</f>
        <v>0</v>
      </c>
      <c r="G818" s="83">
        <f t="array" ref="G818">IFERROR(INDEX('Sản phẩm'!$F$4:$F$103,MATCH(B818,'Sản phẩm'!$D$4:$D$103,0)),0)</f>
        <v>0</v>
      </c>
      <c r="H818" s="83">
        <f t="shared" si="5"/>
        <v>0</v>
      </c>
      <c r="I818" s="83">
        <f t="shared" si="1"/>
        <v>0</v>
      </c>
      <c r="J818" s="83">
        <f t="array" ref="J818">IFERROR(INDEX('Sản phẩm'!$G$4:$G$103,MATCH(B818,'Sản phẩm'!$D$4:$D$103,0)),0)</f>
        <v>0</v>
      </c>
      <c r="K818" s="83">
        <f t="array" ref="K818">IFERROR(J818*INDEX('Mẻ sữa'!$N$4:$N$203,MATCH(D818,'Mẻ sữa'!$C$4:$C$203,0)),0)</f>
        <v>0</v>
      </c>
      <c r="L818" s="83">
        <f t="array" ref="L818">IFERROR(INDEX('Sản phẩm'!$I$4:$I$103,MATCH(B818,'Sản phẩm'!$D$4:$D$103,0)),0)</f>
        <v>0</v>
      </c>
      <c r="M818" s="97" t="str">
        <f t="array" ref="M818">IFERROR(INDEX('Sản phẩm'!$J$4:$J$103,MATCH(B818,'Sản phẩm'!$D$4:$D$103,0)),0)</f>
        <v/>
      </c>
      <c r="N818" s="83">
        <f>IF(B818="",0,(K818+L818+M818)*'Thiết lập'!$B$8)</f>
        <v>0</v>
      </c>
      <c r="O818" s="83">
        <f t="shared" si="2"/>
        <v>0</v>
      </c>
      <c r="P818" s="83">
        <f t="shared" si="3"/>
        <v>0</v>
      </c>
      <c r="Q818" s="83">
        <f t="shared" si="4"/>
        <v>0</v>
      </c>
      <c r="R818" s="36" t="str">
        <f t="array" ref="R818">IF(B818="","",INDEX('Bán nhanh'!$C$4:$C$103,INT((ROW()-4)/10)+1))</f>
        <v/>
      </c>
      <c r="S818" s="36" t="str">
        <f t="array" ref="S818">IF(B818="","",INDEX('Bán nhanh'!$P$4:$P$103,INT((ROW()-4)/10)+1))</f>
        <v/>
      </c>
      <c r="T818" s="36"/>
      <c r="U818" s="36"/>
      <c r="V818" s="36"/>
      <c r="W818" s="36"/>
      <c r="X818" s="36"/>
      <c r="Y818" s="36"/>
      <c r="Z818" s="36"/>
    </row>
    <row r="819" ht="15.75" customHeight="1">
      <c r="A819" s="96" t="str">
        <f t="array" ref="A819">IF(B819="","",INDEX('Bán nhanh'!$A$4:$A$103,INT((ROW()-4)/10)+1))</f>
        <v/>
      </c>
      <c r="B819" s="36" t="str">
        <f t="array" ref="B819">IF(OR(INDEX('Bán nhanh'!$D$3:$M$3,1,MOD(ROW()-4,10)+1)="",INDEX('Bán nhanh'!$D$4:$M$103,INT((ROW()-4)/10)+1,MOD(ROW()-4,10)+1)&lt;=0),"",INDEX('Bán nhanh'!$D$3:$M$3,1,MOD(ROW()-4,10)+1))</f>
        <v/>
      </c>
      <c r="C819" s="36" t="str">
        <f t="array" ref="C819">IFERROR(INDEX('Sản phẩm'!$A$4:$A$103,MATCH(B819,'Sản phẩm'!$D$4:$D$103,0)),"")</f>
        <v/>
      </c>
      <c r="D819" s="36" t="str">
        <f t="array" ref="D819">IF(B819="","",INDEX('Bán nhanh'!$B$4:$B$103,INT((ROW()-4)/10)+1))</f>
        <v/>
      </c>
      <c r="E819" s="36" t="str">
        <f t="array" ref="E819">IFERROR(INDEX('Mẻ sữa'!$B$4:$B$203,MATCH(D819,'Mẻ sữa'!$C$4:$C$203,0)),"")</f>
        <v/>
      </c>
      <c r="F819" s="82">
        <f t="array" ref="F819">IF(B819="",0,INDEX('Bán nhanh'!$D$4:$M$103,INT((ROW()-4)/10)+1,MOD(ROW()-4,10)+1))</f>
        <v>0</v>
      </c>
      <c r="G819" s="83">
        <f t="array" ref="G819">IFERROR(INDEX('Sản phẩm'!$F$4:$F$103,MATCH(B819,'Sản phẩm'!$D$4:$D$103,0)),0)</f>
        <v>0</v>
      </c>
      <c r="H819" s="83">
        <f t="shared" si="5"/>
        <v>0</v>
      </c>
      <c r="I819" s="83">
        <f t="shared" si="1"/>
        <v>0</v>
      </c>
      <c r="J819" s="83">
        <f t="array" ref="J819">IFERROR(INDEX('Sản phẩm'!$G$4:$G$103,MATCH(B819,'Sản phẩm'!$D$4:$D$103,0)),0)</f>
        <v>0</v>
      </c>
      <c r="K819" s="83">
        <f t="array" ref="K819">IFERROR(J819*INDEX('Mẻ sữa'!$N$4:$N$203,MATCH(D819,'Mẻ sữa'!$C$4:$C$203,0)),0)</f>
        <v>0</v>
      </c>
      <c r="L819" s="83">
        <f t="array" ref="L819">IFERROR(INDEX('Sản phẩm'!$I$4:$I$103,MATCH(B819,'Sản phẩm'!$D$4:$D$103,0)),0)</f>
        <v>0</v>
      </c>
      <c r="M819" s="97" t="str">
        <f t="array" ref="M819">IFERROR(INDEX('Sản phẩm'!$J$4:$J$103,MATCH(B819,'Sản phẩm'!$D$4:$D$103,0)),0)</f>
        <v/>
      </c>
      <c r="N819" s="83">
        <f>IF(B819="",0,(K819+L819+M819)*'Thiết lập'!$B$8)</f>
        <v>0</v>
      </c>
      <c r="O819" s="83">
        <f t="shared" si="2"/>
        <v>0</v>
      </c>
      <c r="P819" s="83">
        <f t="shared" si="3"/>
        <v>0</v>
      </c>
      <c r="Q819" s="83">
        <f t="shared" si="4"/>
        <v>0</v>
      </c>
      <c r="R819" s="36" t="str">
        <f t="array" ref="R819">IF(B819="","",INDEX('Bán nhanh'!$C$4:$C$103,INT((ROW()-4)/10)+1))</f>
        <v/>
      </c>
      <c r="S819" s="36" t="str">
        <f t="array" ref="S819">IF(B819="","",INDEX('Bán nhanh'!$P$4:$P$103,INT((ROW()-4)/10)+1))</f>
        <v/>
      </c>
      <c r="T819" s="36"/>
      <c r="U819" s="36"/>
      <c r="V819" s="36"/>
      <c r="W819" s="36"/>
      <c r="X819" s="36"/>
      <c r="Y819" s="36"/>
      <c r="Z819" s="36"/>
    </row>
    <row r="820" ht="15.75" customHeight="1">
      <c r="A820" s="96" t="str">
        <f t="array" ref="A820">IF(B820="","",INDEX('Bán nhanh'!$A$4:$A$103,INT((ROW()-4)/10)+1))</f>
        <v/>
      </c>
      <c r="B820" s="36" t="str">
        <f t="array" ref="B820">IF(OR(INDEX('Bán nhanh'!$D$3:$M$3,1,MOD(ROW()-4,10)+1)="",INDEX('Bán nhanh'!$D$4:$M$103,INT((ROW()-4)/10)+1,MOD(ROW()-4,10)+1)&lt;=0),"",INDEX('Bán nhanh'!$D$3:$M$3,1,MOD(ROW()-4,10)+1))</f>
        <v/>
      </c>
      <c r="C820" s="36" t="str">
        <f t="array" ref="C820">IFERROR(INDEX('Sản phẩm'!$A$4:$A$103,MATCH(B820,'Sản phẩm'!$D$4:$D$103,0)),"")</f>
        <v/>
      </c>
      <c r="D820" s="36" t="str">
        <f t="array" ref="D820">IF(B820="","",INDEX('Bán nhanh'!$B$4:$B$103,INT((ROW()-4)/10)+1))</f>
        <v/>
      </c>
      <c r="E820" s="36" t="str">
        <f t="array" ref="E820">IFERROR(INDEX('Mẻ sữa'!$B$4:$B$203,MATCH(D820,'Mẻ sữa'!$C$4:$C$203,0)),"")</f>
        <v/>
      </c>
      <c r="F820" s="82">
        <f t="array" ref="F820">IF(B820="",0,INDEX('Bán nhanh'!$D$4:$M$103,INT((ROW()-4)/10)+1,MOD(ROW()-4,10)+1))</f>
        <v>0</v>
      </c>
      <c r="G820" s="83">
        <f t="array" ref="G820">IFERROR(INDEX('Sản phẩm'!$F$4:$F$103,MATCH(B820,'Sản phẩm'!$D$4:$D$103,0)),0)</f>
        <v>0</v>
      </c>
      <c r="H820" s="83">
        <f t="shared" si="5"/>
        <v>0</v>
      </c>
      <c r="I820" s="83">
        <f t="shared" si="1"/>
        <v>0</v>
      </c>
      <c r="J820" s="83">
        <f t="array" ref="J820">IFERROR(INDEX('Sản phẩm'!$G$4:$G$103,MATCH(B820,'Sản phẩm'!$D$4:$D$103,0)),0)</f>
        <v>0</v>
      </c>
      <c r="K820" s="83">
        <f t="array" ref="K820">IFERROR(J820*INDEX('Mẻ sữa'!$N$4:$N$203,MATCH(D820,'Mẻ sữa'!$C$4:$C$203,0)),0)</f>
        <v>0</v>
      </c>
      <c r="L820" s="83">
        <f t="array" ref="L820">IFERROR(INDEX('Sản phẩm'!$I$4:$I$103,MATCH(B820,'Sản phẩm'!$D$4:$D$103,0)),0)</f>
        <v>0</v>
      </c>
      <c r="M820" s="97" t="str">
        <f t="array" ref="M820">IFERROR(INDEX('Sản phẩm'!$J$4:$J$103,MATCH(B820,'Sản phẩm'!$D$4:$D$103,0)),0)</f>
        <v/>
      </c>
      <c r="N820" s="83">
        <f>IF(B820="",0,(K820+L820+M820)*'Thiết lập'!$B$8)</f>
        <v>0</v>
      </c>
      <c r="O820" s="83">
        <f t="shared" si="2"/>
        <v>0</v>
      </c>
      <c r="P820" s="83">
        <f t="shared" si="3"/>
        <v>0</v>
      </c>
      <c r="Q820" s="83">
        <f t="shared" si="4"/>
        <v>0</v>
      </c>
      <c r="R820" s="36" t="str">
        <f t="array" ref="R820">IF(B820="","",INDEX('Bán nhanh'!$C$4:$C$103,INT((ROW()-4)/10)+1))</f>
        <v/>
      </c>
      <c r="S820" s="36" t="str">
        <f t="array" ref="S820">IF(B820="","",INDEX('Bán nhanh'!$P$4:$P$103,INT((ROW()-4)/10)+1))</f>
        <v/>
      </c>
      <c r="T820" s="36"/>
      <c r="U820" s="36"/>
      <c r="V820" s="36"/>
      <c r="W820" s="36"/>
      <c r="X820" s="36"/>
      <c r="Y820" s="36"/>
      <c r="Z820" s="36"/>
    </row>
    <row r="821" ht="15.75" customHeight="1">
      <c r="A821" s="96" t="str">
        <f t="array" ref="A821">IF(B821="","",INDEX('Bán nhanh'!$A$4:$A$103,INT((ROW()-4)/10)+1))</f>
        <v/>
      </c>
      <c r="B821" s="36" t="str">
        <f t="array" ref="B821">IF(OR(INDEX('Bán nhanh'!$D$3:$M$3,1,MOD(ROW()-4,10)+1)="",INDEX('Bán nhanh'!$D$4:$M$103,INT((ROW()-4)/10)+1,MOD(ROW()-4,10)+1)&lt;=0),"",INDEX('Bán nhanh'!$D$3:$M$3,1,MOD(ROW()-4,10)+1))</f>
        <v/>
      </c>
      <c r="C821" s="36" t="str">
        <f t="array" ref="C821">IFERROR(INDEX('Sản phẩm'!$A$4:$A$103,MATCH(B821,'Sản phẩm'!$D$4:$D$103,0)),"")</f>
        <v/>
      </c>
      <c r="D821" s="36" t="str">
        <f t="array" ref="D821">IF(B821="","",INDEX('Bán nhanh'!$B$4:$B$103,INT((ROW()-4)/10)+1))</f>
        <v/>
      </c>
      <c r="E821" s="36" t="str">
        <f t="array" ref="E821">IFERROR(INDEX('Mẻ sữa'!$B$4:$B$203,MATCH(D821,'Mẻ sữa'!$C$4:$C$203,0)),"")</f>
        <v/>
      </c>
      <c r="F821" s="82">
        <f t="array" ref="F821">IF(B821="",0,INDEX('Bán nhanh'!$D$4:$M$103,INT((ROW()-4)/10)+1,MOD(ROW()-4,10)+1))</f>
        <v>0</v>
      </c>
      <c r="G821" s="83">
        <f t="array" ref="G821">IFERROR(INDEX('Sản phẩm'!$F$4:$F$103,MATCH(B821,'Sản phẩm'!$D$4:$D$103,0)),0)</f>
        <v>0</v>
      </c>
      <c r="H821" s="83">
        <f t="shared" si="5"/>
        <v>0</v>
      </c>
      <c r="I821" s="83">
        <f t="shared" si="1"/>
        <v>0</v>
      </c>
      <c r="J821" s="83">
        <f t="array" ref="J821">IFERROR(INDEX('Sản phẩm'!$G$4:$G$103,MATCH(B821,'Sản phẩm'!$D$4:$D$103,0)),0)</f>
        <v>0</v>
      </c>
      <c r="K821" s="83">
        <f t="array" ref="K821">IFERROR(J821*INDEX('Mẻ sữa'!$N$4:$N$203,MATCH(D821,'Mẻ sữa'!$C$4:$C$203,0)),0)</f>
        <v>0</v>
      </c>
      <c r="L821" s="83">
        <f t="array" ref="L821">IFERROR(INDEX('Sản phẩm'!$I$4:$I$103,MATCH(B821,'Sản phẩm'!$D$4:$D$103,0)),0)</f>
        <v>0</v>
      </c>
      <c r="M821" s="97" t="str">
        <f t="array" ref="M821">IFERROR(INDEX('Sản phẩm'!$J$4:$J$103,MATCH(B821,'Sản phẩm'!$D$4:$D$103,0)),0)</f>
        <v/>
      </c>
      <c r="N821" s="83">
        <f>IF(B821="",0,(K821+L821+M821)*'Thiết lập'!$B$8)</f>
        <v>0</v>
      </c>
      <c r="O821" s="83">
        <f t="shared" si="2"/>
        <v>0</v>
      </c>
      <c r="P821" s="83">
        <f t="shared" si="3"/>
        <v>0</v>
      </c>
      <c r="Q821" s="83">
        <f t="shared" si="4"/>
        <v>0</v>
      </c>
      <c r="R821" s="36" t="str">
        <f t="array" ref="R821">IF(B821="","",INDEX('Bán nhanh'!$C$4:$C$103,INT((ROW()-4)/10)+1))</f>
        <v/>
      </c>
      <c r="S821" s="36" t="str">
        <f t="array" ref="S821">IF(B821="","",INDEX('Bán nhanh'!$P$4:$P$103,INT((ROW()-4)/10)+1))</f>
        <v/>
      </c>
      <c r="T821" s="36"/>
      <c r="U821" s="36"/>
      <c r="V821" s="36"/>
      <c r="W821" s="36"/>
      <c r="X821" s="36"/>
      <c r="Y821" s="36"/>
      <c r="Z821" s="36"/>
    </row>
    <row r="822" ht="15.75" customHeight="1">
      <c r="A822" s="96" t="str">
        <f t="array" ref="A822">IF(B822="","",INDEX('Bán nhanh'!$A$4:$A$103,INT((ROW()-4)/10)+1))</f>
        <v/>
      </c>
      <c r="B822" s="36" t="str">
        <f t="array" ref="B822">IF(OR(INDEX('Bán nhanh'!$D$3:$M$3,1,MOD(ROW()-4,10)+1)="",INDEX('Bán nhanh'!$D$4:$M$103,INT((ROW()-4)/10)+1,MOD(ROW()-4,10)+1)&lt;=0),"",INDEX('Bán nhanh'!$D$3:$M$3,1,MOD(ROW()-4,10)+1))</f>
        <v/>
      </c>
      <c r="C822" s="36" t="str">
        <f t="array" ref="C822">IFERROR(INDEX('Sản phẩm'!$A$4:$A$103,MATCH(B822,'Sản phẩm'!$D$4:$D$103,0)),"")</f>
        <v/>
      </c>
      <c r="D822" s="36" t="str">
        <f t="array" ref="D822">IF(B822="","",INDEX('Bán nhanh'!$B$4:$B$103,INT((ROW()-4)/10)+1))</f>
        <v/>
      </c>
      <c r="E822" s="36" t="str">
        <f t="array" ref="E822">IFERROR(INDEX('Mẻ sữa'!$B$4:$B$203,MATCH(D822,'Mẻ sữa'!$C$4:$C$203,0)),"")</f>
        <v/>
      </c>
      <c r="F822" s="82">
        <f t="array" ref="F822">IF(B822="",0,INDEX('Bán nhanh'!$D$4:$M$103,INT((ROW()-4)/10)+1,MOD(ROW()-4,10)+1))</f>
        <v>0</v>
      </c>
      <c r="G822" s="83">
        <f t="array" ref="G822">IFERROR(INDEX('Sản phẩm'!$F$4:$F$103,MATCH(B822,'Sản phẩm'!$D$4:$D$103,0)),0)</f>
        <v>0</v>
      </c>
      <c r="H822" s="83">
        <f t="shared" si="5"/>
        <v>0</v>
      </c>
      <c r="I822" s="83">
        <f t="shared" si="1"/>
        <v>0</v>
      </c>
      <c r="J822" s="83">
        <f t="array" ref="J822">IFERROR(INDEX('Sản phẩm'!$G$4:$G$103,MATCH(B822,'Sản phẩm'!$D$4:$D$103,0)),0)</f>
        <v>0</v>
      </c>
      <c r="K822" s="83">
        <f t="array" ref="K822">IFERROR(J822*INDEX('Mẻ sữa'!$N$4:$N$203,MATCH(D822,'Mẻ sữa'!$C$4:$C$203,0)),0)</f>
        <v>0</v>
      </c>
      <c r="L822" s="83">
        <f t="array" ref="L822">IFERROR(INDEX('Sản phẩm'!$I$4:$I$103,MATCH(B822,'Sản phẩm'!$D$4:$D$103,0)),0)</f>
        <v>0</v>
      </c>
      <c r="M822" s="97" t="str">
        <f t="array" ref="M822">IFERROR(INDEX('Sản phẩm'!$J$4:$J$103,MATCH(B822,'Sản phẩm'!$D$4:$D$103,0)),0)</f>
        <v/>
      </c>
      <c r="N822" s="83">
        <f>IF(B822="",0,(K822+L822+M822)*'Thiết lập'!$B$8)</f>
        <v>0</v>
      </c>
      <c r="O822" s="83">
        <f t="shared" si="2"/>
        <v>0</v>
      </c>
      <c r="P822" s="83">
        <f t="shared" si="3"/>
        <v>0</v>
      </c>
      <c r="Q822" s="83">
        <f t="shared" si="4"/>
        <v>0</v>
      </c>
      <c r="R822" s="36" t="str">
        <f t="array" ref="R822">IF(B822="","",INDEX('Bán nhanh'!$C$4:$C$103,INT((ROW()-4)/10)+1))</f>
        <v/>
      </c>
      <c r="S822" s="36" t="str">
        <f t="array" ref="S822">IF(B822="","",INDEX('Bán nhanh'!$P$4:$P$103,INT((ROW()-4)/10)+1))</f>
        <v/>
      </c>
      <c r="T822" s="36"/>
      <c r="U822" s="36"/>
      <c r="V822" s="36"/>
      <c r="W822" s="36"/>
      <c r="X822" s="36"/>
      <c r="Y822" s="36"/>
      <c r="Z822" s="36"/>
    </row>
    <row r="823" ht="15.75" customHeight="1">
      <c r="A823" s="96" t="str">
        <f t="array" ref="A823">IF(B823="","",INDEX('Bán nhanh'!$A$4:$A$103,INT((ROW()-4)/10)+1))</f>
        <v/>
      </c>
      <c r="B823" s="36" t="str">
        <f t="array" ref="B823">IF(OR(INDEX('Bán nhanh'!$D$3:$M$3,1,MOD(ROW()-4,10)+1)="",INDEX('Bán nhanh'!$D$4:$M$103,INT((ROW()-4)/10)+1,MOD(ROW()-4,10)+1)&lt;=0),"",INDEX('Bán nhanh'!$D$3:$M$3,1,MOD(ROW()-4,10)+1))</f>
        <v/>
      </c>
      <c r="C823" s="36" t="str">
        <f t="array" ref="C823">IFERROR(INDEX('Sản phẩm'!$A$4:$A$103,MATCH(B823,'Sản phẩm'!$D$4:$D$103,0)),"")</f>
        <v/>
      </c>
      <c r="D823" s="36" t="str">
        <f t="array" ref="D823">IF(B823="","",INDEX('Bán nhanh'!$B$4:$B$103,INT((ROW()-4)/10)+1))</f>
        <v/>
      </c>
      <c r="E823" s="36" t="str">
        <f t="array" ref="E823">IFERROR(INDEX('Mẻ sữa'!$B$4:$B$203,MATCH(D823,'Mẻ sữa'!$C$4:$C$203,0)),"")</f>
        <v/>
      </c>
      <c r="F823" s="82">
        <f t="array" ref="F823">IF(B823="",0,INDEX('Bán nhanh'!$D$4:$M$103,INT((ROW()-4)/10)+1,MOD(ROW()-4,10)+1))</f>
        <v>0</v>
      </c>
      <c r="G823" s="83">
        <f t="array" ref="G823">IFERROR(INDEX('Sản phẩm'!$F$4:$F$103,MATCH(B823,'Sản phẩm'!$D$4:$D$103,0)),0)</f>
        <v>0</v>
      </c>
      <c r="H823" s="83">
        <f t="shared" si="5"/>
        <v>0</v>
      </c>
      <c r="I823" s="83">
        <f t="shared" si="1"/>
        <v>0</v>
      </c>
      <c r="J823" s="83">
        <f t="array" ref="J823">IFERROR(INDEX('Sản phẩm'!$G$4:$G$103,MATCH(B823,'Sản phẩm'!$D$4:$D$103,0)),0)</f>
        <v>0</v>
      </c>
      <c r="K823" s="83">
        <f t="array" ref="K823">IFERROR(J823*INDEX('Mẻ sữa'!$N$4:$N$203,MATCH(D823,'Mẻ sữa'!$C$4:$C$203,0)),0)</f>
        <v>0</v>
      </c>
      <c r="L823" s="83">
        <f t="array" ref="L823">IFERROR(INDEX('Sản phẩm'!$I$4:$I$103,MATCH(B823,'Sản phẩm'!$D$4:$D$103,0)),0)</f>
        <v>0</v>
      </c>
      <c r="M823" s="97" t="str">
        <f t="array" ref="M823">IFERROR(INDEX('Sản phẩm'!$J$4:$J$103,MATCH(B823,'Sản phẩm'!$D$4:$D$103,0)),0)</f>
        <v/>
      </c>
      <c r="N823" s="83">
        <f>IF(B823="",0,(K823+L823+M823)*'Thiết lập'!$B$8)</f>
        <v>0</v>
      </c>
      <c r="O823" s="83">
        <f t="shared" si="2"/>
        <v>0</v>
      </c>
      <c r="P823" s="83">
        <f t="shared" si="3"/>
        <v>0</v>
      </c>
      <c r="Q823" s="83">
        <f t="shared" si="4"/>
        <v>0</v>
      </c>
      <c r="R823" s="36" t="str">
        <f t="array" ref="R823">IF(B823="","",INDEX('Bán nhanh'!$C$4:$C$103,INT((ROW()-4)/10)+1))</f>
        <v/>
      </c>
      <c r="S823" s="36" t="str">
        <f t="array" ref="S823">IF(B823="","",INDEX('Bán nhanh'!$P$4:$P$103,INT((ROW()-4)/10)+1))</f>
        <v/>
      </c>
      <c r="T823" s="36"/>
      <c r="U823" s="36"/>
      <c r="V823" s="36"/>
      <c r="W823" s="36"/>
      <c r="X823" s="36"/>
      <c r="Y823" s="36"/>
      <c r="Z823" s="36"/>
    </row>
    <row r="824" ht="15.75" customHeight="1">
      <c r="A824" s="96" t="str">
        <f t="array" ref="A824">IF(B824="","",INDEX('Bán nhanh'!$A$4:$A$103,INT((ROW()-4)/10)+1))</f>
        <v/>
      </c>
      <c r="B824" s="36" t="str">
        <f t="array" ref="B824">IF(OR(INDEX('Bán nhanh'!$D$3:$M$3,1,MOD(ROW()-4,10)+1)="",INDEX('Bán nhanh'!$D$4:$M$103,INT((ROW()-4)/10)+1,MOD(ROW()-4,10)+1)&lt;=0),"",INDEX('Bán nhanh'!$D$3:$M$3,1,MOD(ROW()-4,10)+1))</f>
        <v/>
      </c>
      <c r="C824" s="36" t="str">
        <f t="array" ref="C824">IFERROR(INDEX('Sản phẩm'!$A$4:$A$103,MATCH(B824,'Sản phẩm'!$D$4:$D$103,0)),"")</f>
        <v/>
      </c>
      <c r="D824" s="36" t="str">
        <f t="array" ref="D824">IF(B824="","",INDEX('Bán nhanh'!$B$4:$B$103,INT((ROW()-4)/10)+1))</f>
        <v/>
      </c>
      <c r="E824" s="36" t="str">
        <f t="array" ref="E824">IFERROR(INDEX('Mẻ sữa'!$B$4:$B$203,MATCH(D824,'Mẻ sữa'!$C$4:$C$203,0)),"")</f>
        <v/>
      </c>
      <c r="F824" s="82">
        <f t="array" ref="F824">IF(B824="",0,INDEX('Bán nhanh'!$D$4:$M$103,INT((ROW()-4)/10)+1,MOD(ROW()-4,10)+1))</f>
        <v>0</v>
      </c>
      <c r="G824" s="83">
        <f t="array" ref="G824">IFERROR(INDEX('Sản phẩm'!$F$4:$F$103,MATCH(B824,'Sản phẩm'!$D$4:$D$103,0)),0)</f>
        <v>0</v>
      </c>
      <c r="H824" s="83">
        <f t="shared" si="5"/>
        <v>0</v>
      </c>
      <c r="I824" s="83">
        <f t="shared" si="1"/>
        <v>0</v>
      </c>
      <c r="J824" s="83">
        <f t="array" ref="J824">IFERROR(INDEX('Sản phẩm'!$G$4:$G$103,MATCH(B824,'Sản phẩm'!$D$4:$D$103,0)),0)</f>
        <v>0</v>
      </c>
      <c r="K824" s="83">
        <f t="array" ref="K824">IFERROR(J824*INDEX('Mẻ sữa'!$N$4:$N$203,MATCH(D824,'Mẻ sữa'!$C$4:$C$203,0)),0)</f>
        <v>0</v>
      </c>
      <c r="L824" s="83">
        <f t="array" ref="L824">IFERROR(INDEX('Sản phẩm'!$I$4:$I$103,MATCH(B824,'Sản phẩm'!$D$4:$D$103,0)),0)</f>
        <v>0</v>
      </c>
      <c r="M824" s="97" t="str">
        <f t="array" ref="M824">IFERROR(INDEX('Sản phẩm'!$J$4:$J$103,MATCH(B824,'Sản phẩm'!$D$4:$D$103,0)),0)</f>
        <v/>
      </c>
      <c r="N824" s="83">
        <f>IF(B824="",0,(K824+L824+M824)*'Thiết lập'!$B$8)</f>
        <v>0</v>
      </c>
      <c r="O824" s="83">
        <f t="shared" si="2"/>
        <v>0</v>
      </c>
      <c r="P824" s="83">
        <f t="shared" si="3"/>
        <v>0</v>
      </c>
      <c r="Q824" s="83">
        <f t="shared" si="4"/>
        <v>0</v>
      </c>
      <c r="R824" s="36" t="str">
        <f t="array" ref="R824">IF(B824="","",INDEX('Bán nhanh'!$C$4:$C$103,INT((ROW()-4)/10)+1))</f>
        <v/>
      </c>
      <c r="S824" s="36" t="str">
        <f t="array" ref="S824">IF(B824="","",INDEX('Bán nhanh'!$P$4:$P$103,INT((ROW()-4)/10)+1))</f>
        <v/>
      </c>
      <c r="T824" s="36"/>
      <c r="U824" s="36"/>
      <c r="V824" s="36"/>
      <c r="W824" s="36"/>
      <c r="X824" s="36"/>
      <c r="Y824" s="36"/>
      <c r="Z824" s="36"/>
    </row>
    <row r="825" ht="15.75" customHeight="1">
      <c r="A825" s="96" t="str">
        <f t="array" ref="A825">IF(B825="","",INDEX('Bán nhanh'!$A$4:$A$103,INT((ROW()-4)/10)+1))</f>
        <v/>
      </c>
      <c r="B825" s="36" t="str">
        <f t="array" ref="B825">IF(OR(INDEX('Bán nhanh'!$D$3:$M$3,1,MOD(ROW()-4,10)+1)="",INDEX('Bán nhanh'!$D$4:$M$103,INT((ROW()-4)/10)+1,MOD(ROW()-4,10)+1)&lt;=0),"",INDEX('Bán nhanh'!$D$3:$M$3,1,MOD(ROW()-4,10)+1))</f>
        <v/>
      </c>
      <c r="C825" s="36" t="str">
        <f t="array" ref="C825">IFERROR(INDEX('Sản phẩm'!$A$4:$A$103,MATCH(B825,'Sản phẩm'!$D$4:$D$103,0)),"")</f>
        <v/>
      </c>
      <c r="D825" s="36" t="str">
        <f t="array" ref="D825">IF(B825="","",INDEX('Bán nhanh'!$B$4:$B$103,INT((ROW()-4)/10)+1))</f>
        <v/>
      </c>
      <c r="E825" s="36" t="str">
        <f t="array" ref="E825">IFERROR(INDEX('Mẻ sữa'!$B$4:$B$203,MATCH(D825,'Mẻ sữa'!$C$4:$C$203,0)),"")</f>
        <v/>
      </c>
      <c r="F825" s="82">
        <f t="array" ref="F825">IF(B825="",0,INDEX('Bán nhanh'!$D$4:$M$103,INT((ROW()-4)/10)+1,MOD(ROW()-4,10)+1))</f>
        <v>0</v>
      </c>
      <c r="G825" s="83">
        <f t="array" ref="G825">IFERROR(INDEX('Sản phẩm'!$F$4:$F$103,MATCH(B825,'Sản phẩm'!$D$4:$D$103,0)),0)</f>
        <v>0</v>
      </c>
      <c r="H825" s="83">
        <f t="shared" si="5"/>
        <v>0</v>
      </c>
      <c r="I825" s="83">
        <f t="shared" si="1"/>
        <v>0</v>
      </c>
      <c r="J825" s="83">
        <f t="array" ref="J825">IFERROR(INDEX('Sản phẩm'!$G$4:$G$103,MATCH(B825,'Sản phẩm'!$D$4:$D$103,0)),0)</f>
        <v>0</v>
      </c>
      <c r="K825" s="83">
        <f t="array" ref="K825">IFERROR(J825*INDEX('Mẻ sữa'!$N$4:$N$203,MATCH(D825,'Mẻ sữa'!$C$4:$C$203,0)),0)</f>
        <v>0</v>
      </c>
      <c r="L825" s="83">
        <f t="array" ref="L825">IFERROR(INDEX('Sản phẩm'!$I$4:$I$103,MATCH(B825,'Sản phẩm'!$D$4:$D$103,0)),0)</f>
        <v>0</v>
      </c>
      <c r="M825" s="97" t="str">
        <f t="array" ref="M825">IFERROR(INDEX('Sản phẩm'!$J$4:$J$103,MATCH(B825,'Sản phẩm'!$D$4:$D$103,0)),0)</f>
        <v/>
      </c>
      <c r="N825" s="83">
        <f>IF(B825="",0,(K825+L825+M825)*'Thiết lập'!$B$8)</f>
        <v>0</v>
      </c>
      <c r="O825" s="83">
        <f t="shared" si="2"/>
        <v>0</v>
      </c>
      <c r="P825" s="83">
        <f t="shared" si="3"/>
        <v>0</v>
      </c>
      <c r="Q825" s="83">
        <f t="shared" si="4"/>
        <v>0</v>
      </c>
      <c r="R825" s="36" t="str">
        <f t="array" ref="R825">IF(B825="","",INDEX('Bán nhanh'!$C$4:$C$103,INT((ROW()-4)/10)+1))</f>
        <v/>
      </c>
      <c r="S825" s="36" t="str">
        <f t="array" ref="S825">IF(B825="","",INDEX('Bán nhanh'!$P$4:$P$103,INT((ROW()-4)/10)+1))</f>
        <v/>
      </c>
      <c r="T825" s="36"/>
      <c r="U825" s="36"/>
      <c r="V825" s="36"/>
      <c r="W825" s="36"/>
      <c r="X825" s="36"/>
      <c r="Y825" s="36"/>
      <c r="Z825" s="36"/>
    </row>
    <row r="826" ht="15.75" customHeight="1">
      <c r="A826" s="96" t="str">
        <f t="array" ref="A826">IF(B826="","",INDEX('Bán nhanh'!$A$4:$A$103,INT((ROW()-4)/10)+1))</f>
        <v/>
      </c>
      <c r="B826" s="36" t="str">
        <f t="array" ref="B826">IF(OR(INDEX('Bán nhanh'!$D$3:$M$3,1,MOD(ROW()-4,10)+1)="",INDEX('Bán nhanh'!$D$4:$M$103,INT((ROW()-4)/10)+1,MOD(ROW()-4,10)+1)&lt;=0),"",INDEX('Bán nhanh'!$D$3:$M$3,1,MOD(ROW()-4,10)+1))</f>
        <v/>
      </c>
      <c r="C826" s="36" t="str">
        <f t="array" ref="C826">IFERROR(INDEX('Sản phẩm'!$A$4:$A$103,MATCH(B826,'Sản phẩm'!$D$4:$D$103,0)),"")</f>
        <v/>
      </c>
      <c r="D826" s="36" t="str">
        <f t="array" ref="D826">IF(B826="","",INDEX('Bán nhanh'!$B$4:$B$103,INT((ROW()-4)/10)+1))</f>
        <v/>
      </c>
      <c r="E826" s="36" t="str">
        <f t="array" ref="E826">IFERROR(INDEX('Mẻ sữa'!$B$4:$B$203,MATCH(D826,'Mẻ sữa'!$C$4:$C$203,0)),"")</f>
        <v/>
      </c>
      <c r="F826" s="82">
        <f t="array" ref="F826">IF(B826="",0,INDEX('Bán nhanh'!$D$4:$M$103,INT((ROW()-4)/10)+1,MOD(ROW()-4,10)+1))</f>
        <v>0</v>
      </c>
      <c r="G826" s="83">
        <f t="array" ref="G826">IFERROR(INDEX('Sản phẩm'!$F$4:$F$103,MATCH(B826,'Sản phẩm'!$D$4:$D$103,0)),0)</f>
        <v>0</v>
      </c>
      <c r="H826" s="83">
        <f t="shared" si="5"/>
        <v>0</v>
      </c>
      <c r="I826" s="83">
        <f t="shared" si="1"/>
        <v>0</v>
      </c>
      <c r="J826" s="83">
        <f t="array" ref="J826">IFERROR(INDEX('Sản phẩm'!$G$4:$G$103,MATCH(B826,'Sản phẩm'!$D$4:$D$103,0)),0)</f>
        <v>0</v>
      </c>
      <c r="K826" s="83">
        <f t="array" ref="K826">IFERROR(J826*INDEX('Mẻ sữa'!$N$4:$N$203,MATCH(D826,'Mẻ sữa'!$C$4:$C$203,0)),0)</f>
        <v>0</v>
      </c>
      <c r="L826" s="83">
        <f t="array" ref="L826">IFERROR(INDEX('Sản phẩm'!$I$4:$I$103,MATCH(B826,'Sản phẩm'!$D$4:$D$103,0)),0)</f>
        <v>0</v>
      </c>
      <c r="M826" s="97" t="str">
        <f t="array" ref="M826">IFERROR(INDEX('Sản phẩm'!$J$4:$J$103,MATCH(B826,'Sản phẩm'!$D$4:$D$103,0)),0)</f>
        <v/>
      </c>
      <c r="N826" s="83">
        <f>IF(B826="",0,(K826+L826+M826)*'Thiết lập'!$B$8)</f>
        <v>0</v>
      </c>
      <c r="O826" s="83">
        <f t="shared" si="2"/>
        <v>0</v>
      </c>
      <c r="P826" s="83">
        <f t="shared" si="3"/>
        <v>0</v>
      </c>
      <c r="Q826" s="83">
        <f t="shared" si="4"/>
        <v>0</v>
      </c>
      <c r="R826" s="36" t="str">
        <f t="array" ref="R826">IF(B826="","",INDEX('Bán nhanh'!$C$4:$C$103,INT((ROW()-4)/10)+1))</f>
        <v/>
      </c>
      <c r="S826" s="36" t="str">
        <f t="array" ref="S826">IF(B826="","",INDEX('Bán nhanh'!$P$4:$P$103,INT((ROW()-4)/10)+1))</f>
        <v/>
      </c>
      <c r="T826" s="36"/>
      <c r="U826" s="36"/>
      <c r="V826" s="36"/>
      <c r="W826" s="36"/>
      <c r="X826" s="36"/>
      <c r="Y826" s="36"/>
      <c r="Z826" s="36"/>
    </row>
    <row r="827" ht="15.75" customHeight="1">
      <c r="A827" s="96" t="str">
        <f t="array" ref="A827">IF(B827="","",INDEX('Bán nhanh'!$A$4:$A$103,INT((ROW()-4)/10)+1))</f>
        <v/>
      </c>
      <c r="B827" s="36" t="str">
        <f t="array" ref="B827">IF(OR(INDEX('Bán nhanh'!$D$3:$M$3,1,MOD(ROW()-4,10)+1)="",INDEX('Bán nhanh'!$D$4:$M$103,INT((ROW()-4)/10)+1,MOD(ROW()-4,10)+1)&lt;=0),"",INDEX('Bán nhanh'!$D$3:$M$3,1,MOD(ROW()-4,10)+1))</f>
        <v/>
      </c>
      <c r="C827" s="36" t="str">
        <f t="array" ref="C827">IFERROR(INDEX('Sản phẩm'!$A$4:$A$103,MATCH(B827,'Sản phẩm'!$D$4:$D$103,0)),"")</f>
        <v/>
      </c>
      <c r="D827" s="36" t="str">
        <f t="array" ref="D827">IF(B827="","",INDEX('Bán nhanh'!$B$4:$B$103,INT((ROW()-4)/10)+1))</f>
        <v/>
      </c>
      <c r="E827" s="36" t="str">
        <f t="array" ref="E827">IFERROR(INDEX('Mẻ sữa'!$B$4:$B$203,MATCH(D827,'Mẻ sữa'!$C$4:$C$203,0)),"")</f>
        <v/>
      </c>
      <c r="F827" s="82">
        <f t="array" ref="F827">IF(B827="",0,INDEX('Bán nhanh'!$D$4:$M$103,INT((ROW()-4)/10)+1,MOD(ROW()-4,10)+1))</f>
        <v>0</v>
      </c>
      <c r="G827" s="83">
        <f t="array" ref="G827">IFERROR(INDEX('Sản phẩm'!$F$4:$F$103,MATCH(B827,'Sản phẩm'!$D$4:$D$103,0)),0)</f>
        <v>0</v>
      </c>
      <c r="H827" s="83">
        <f t="shared" si="5"/>
        <v>0</v>
      </c>
      <c r="I827" s="83">
        <f t="shared" si="1"/>
        <v>0</v>
      </c>
      <c r="J827" s="83">
        <f t="array" ref="J827">IFERROR(INDEX('Sản phẩm'!$G$4:$G$103,MATCH(B827,'Sản phẩm'!$D$4:$D$103,0)),0)</f>
        <v>0</v>
      </c>
      <c r="K827" s="83">
        <f t="array" ref="K827">IFERROR(J827*INDEX('Mẻ sữa'!$N$4:$N$203,MATCH(D827,'Mẻ sữa'!$C$4:$C$203,0)),0)</f>
        <v>0</v>
      </c>
      <c r="L827" s="83">
        <f t="array" ref="L827">IFERROR(INDEX('Sản phẩm'!$I$4:$I$103,MATCH(B827,'Sản phẩm'!$D$4:$D$103,0)),0)</f>
        <v>0</v>
      </c>
      <c r="M827" s="97" t="str">
        <f t="array" ref="M827">IFERROR(INDEX('Sản phẩm'!$J$4:$J$103,MATCH(B827,'Sản phẩm'!$D$4:$D$103,0)),0)</f>
        <v/>
      </c>
      <c r="N827" s="83">
        <f>IF(B827="",0,(K827+L827+M827)*'Thiết lập'!$B$8)</f>
        <v>0</v>
      </c>
      <c r="O827" s="83">
        <f t="shared" si="2"/>
        <v>0</v>
      </c>
      <c r="P827" s="83">
        <f t="shared" si="3"/>
        <v>0</v>
      </c>
      <c r="Q827" s="83">
        <f t="shared" si="4"/>
        <v>0</v>
      </c>
      <c r="R827" s="36" t="str">
        <f t="array" ref="R827">IF(B827="","",INDEX('Bán nhanh'!$C$4:$C$103,INT((ROW()-4)/10)+1))</f>
        <v/>
      </c>
      <c r="S827" s="36" t="str">
        <f t="array" ref="S827">IF(B827="","",INDEX('Bán nhanh'!$P$4:$P$103,INT((ROW()-4)/10)+1))</f>
        <v/>
      </c>
      <c r="T827" s="36"/>
      <c r="U827" s="36"/>
      <c r="V827" s="36"/>
      <c r="W827" s="36"/>
      <c r="X827" s="36"/>
      <c r="Y827" s="36"/>
      <c r="Z827" s="36"/>
    </row>
    <row r="828" ht="15.75" customHeight="1">
      <c r="A828" s="96" t="str">
        <f t="array" ref="A828">IF(B828="","",INDEX('Bán nhanh'!$A$4:$A$103,INT((ROW()-4)/10)+1))</f>
        <v/>
      </c>
      <c r="B828" s="36" t="str">
        <f t="array" ref="B828">IF(OR(INDEX('Bán nhanh'!$D$3:$M$3,1,MOD(ROW()-4,10)+1)="",INDEX('Bán nhanh'!$D$4:$M$103,INT((ROW()-4)/10)+1,MOD(ROW()-4,10)+1)&lt;=0),"",INDEX('Bán nhanh'!$D$3:$M$3,1,MOD(ROW()-4,10)+1))</f>
        <v/>
      </c>
      <c r="C828" s="36" t="str">
        <f t="array" ref="C828">IFERROR(INDEX('Sản phẩm'!$A$4:$A$103,MATCH(B828,'Sản phẩm'!$D$4:$D$103,0)),"")</f>
        <v/>
      </c>
      <c r="D828" s="36" t="str">
        <f t="array" ref="D828">IF(B828="","",INDEX('Bán nhanh'!$B$4:$B$103,INT((ROW()-4)/10)+1))</f>
        <v/>
      </c>
      <c r="E828" s="36" t="str">
        <f t="array" ref="E828">IFERROR(INDEX('Mẻ sữa'!$B$4:$B$203,MATCH(D828,'Mẻ sữa'!$C$4:$C$203,0)),"")</f>
        <v/>
      </c>
      <c r="F828" s="82">
        <f t="array" ref="F828">IF(B828="",0,INDEX('Bán nhanh'!$D$4:$M$103,INT((ROW()-4)/10)+1,MOD(ROW()-4,10)+1))</f>
        <v>0</v>
      </c>
      <c r="G828" s="83">
        <f t="array" ref="G828">IFERROR(INDEX('Sản phẩm'!$F$4:$F$103,MATCH(B828,'Sản phẩm'!$D$4:$D$103,0)),0)</f>
        <v>0</v>
      </c>
      <c r="H828" s="83">
        <f t="shared" si="5"/>
        <v>0</v>
      </c>
      <c r="I828" s="83">
        <f t="shared" si="1"/>
        <v>0</v>
      </c>
      <c r="J828" s="83">
        <f t="array" ref="J828">IFERROR(INDEX('Sản phẩm'!$G$4:$G$103,MATCH(B828,'Sản phẩm'!$D$4:$D$103,0)),0)</f>
        <v>0</v>
      </c>
      <c r="K828" s="83">
        <f t="array" ref="K828">IFERROR(J828*INDEX('Mẻ sữa'!$N$4:$N$203,MATCH(D828,'Mẻ sữa'!$C$4:$C$203,0)),0)</f>
        <v>0</v>
      </c>
      <c r="L828" s="83">
        <f t="array" ref="L828">IFERROR(INDEX('Sản phẩm'!$I$4:$I$103,MATCH(B828,'Sản phẩm'!$D$4:$D$103,0)),0)</f>
        <v>0</v>
      </c>
      <c r="M828" s="97" t="str">
        <f t="array" ref="M828">IFERROR(INDEX('Sản phẩm'!$J$4:$J$103,MATCH(B828,'Sản phẩm'!$D$4:$D$103,0)),0)</f>
        <v/>
      </c>
      <c r="N828" s="83">
        <f>IF(B828="",0,(K828+L828+M828)*'Thiết lập'!$B$8)</f>
        <v>0</v>
      </c>
      <c r="O828" s="83">
        <f t="shared" si="2"/>
        <v>0</v>
      </c>
      <c r="P828" s="83">
        <f t="shared" si="3"/>
        <v>0</v>
      </c>
      <c r="Q828" s="83">
        <f t="shared" si="4"/>
        <v>0</v>
      </c>
      <c r="R828" s="36" t="str">
        <f t="array" ref="R828">IF(B828="","",INDEX('Bán nhanh'!$C$4:$C$103,INT((ROW()-4)/10)+1))</f>
        <v/>
      </c>
      <c r="S828" s="36" t="str">
        <f t="array" ref="S828">IF(B828="","",INDEX('Bán nhanh'!$P$4:$P$103,INT((ROW()-4)/10)+1))</f>
        <v/>
      </c>
      <c r="T828" s="36"/>
      <c r="U828" s="36"/>
      <c r="V828" s="36"/>
      <c r="W828" s="36"/>
      <c r="X828" s="36"/>
      <c r="Y828" s="36"/>
      <c r="Z828" s="36"/>
    </row>
    <row r="829" ht="15.75" customHeight="1">
      <c r="A829" s="96" t="str">
        <f t="array" ref="A829">IF(B829="","",INDEX('Bán nhanh'!$A$4:$A$103,INT((ROW()-4)/10)+1))</f>
        <v/>
      </c>
      <c r="B829" s="36" t="str">
        <f t="array" ref="B829">IF(OR(INDEX('Bán nhanh'!$D$3:$M$3,1,MOD(ROW()-4,10)+1)="",INDEX('Bán nhanh'!$D$4:$M$103,INT((ROW()-4)/10)+1,MOD(ROW()-4,10)+1)&lt;=0),"",INDEX('Bán nhanh'!$D$3:$M$3,1,MOD(ROW()-4,10)+1))</f>
        <v/>
      </c>
      <c r="C829" s="36" t="str">
        <f t="array" ref="C829">IFERROR(INDEX('Sản phẩm'!$A$4:$A$103,MATCH(B829,'Sản phẩm'!$D$4:$D$103,0)),"")</f>
        <v/>
      </c>
      <c r="D829" s="36" t="str">
        <f t="array" ref="D829">IF(B829="","",INDEX('Bán nhanh'!$B$4:$B$103,INT((ROW()-4)/10)+1))</f>
        <v/>
      </c>
      <c r="E829" s="36" t="str">
        <f t="array" ref="E829">IFERROR(INDEX('Mẻ sữa'!$B$4:$B$203,MATCH(D829,'Mẻ sữa'!$C$4:$C$203,0)),"")</f>
        <v/>
      </c>
      <c r="F829" s="82">
        <f t="array" ref="F829">IF(B829="",0,INDEX('Bán nhanh'!$D$4:$M$103,INT((ROW()-4)/10)+1,MOD(ROW()-4,10)+1))</f>
        <v>0</v>
      </c>
      <c r="G829" s="83">
        <f t="array" ref="G829">IFERROR(INDEX('Sản phẩm'!$F$4:$F$103,MATCH(B829,'Sản phẩm'!$D$4:$D$103,0)),0)</f>
        <v>0</v>
      </c>
      <c r="H829" s="83">
        <f t="shared" si="5"/>
        <v>0</v>
      </c>
      <c r="I829" s="83">
        <f t="shared" si="1"/>
        <v>0</v>
      </c>
      <c r="J829" s="83">
        <f t="array" ref="J829">IFERROR(INDEX('Sản phẩm'!$G$4:$G$103,MATCH(B829,'Sản phẩm'!$D$4:$D$103,0)),0)</f>
        <v>0</v>
      </c>
      <c r="K829" s="83">
        <f t="array" ref="K829">IFERROR(J829*INDEX('Mẻ sữa'!$N$4:$N$203,MATCH(D829,'Mẻ sữa'!$C$4:$C$203,0)),0)</f>
        <v>0</v>
      </c>
      <c r="L829" s="83">
        <f t="array" ref="L829">IFERROR(INDEX('Sản phẩm'!$I$4:$I$103,MATCH(B829,'Sản phẩm'!$D$4:$D$103,0)),0)</f>
        <v>0</v>
      </c>
      <c r="M829" s="97" t="str">
        <f t="array" ref="M829">IFERROR(INDEX('Sản phẩm'!$J$4:$J$103,MATCH(B829,'Sản phẩm'!$D$4:$D$103,0)),0)</f>
        <v/>
      </c>
      <c r="N829" s="83">
        <f>IF(B829="",0,(K829+L829+M829)*'Thiết lập'!$B$8)</f>
        <v>0</v>
      </c>
      <c r="O829" s="83">
        <f t="shared" si="2"/>
        <v>0</v>
      </c>
      <c r="P829" s="83">
        <f t="shared" si="3"/>
        <v>0</v>
      </c>
      <c r="Q829" s="83">
        <f t="shared" si="4"/>
        <v>0</v>
      </c>
      <c r="R829" s="36" t="str">
        <f t="array" ref="R829">IF(B829="","",INDEX('Bán nhanh'!$C$4:$C$103,INT((ROW()-4)/10)+1))</f>
        <v/>
      </c>
      <c r="S829" s="36" t="str">
        <f t="array" ref="S829">IF(B829="","",INDEX('Bán nhanh'!$P$4:$P$103,INT((ROW()-4)/10)+1))</f>
        <v/>
      </c>
      <c r="T829" s="36"/>
      <c r="U829" s="36"/>
      <c r="V829" s="36"/>
      <c r="W829" s="36"/>
      <c r="X829" s="36"/>
      <c r="Y829" s="36"/>
      <c r="Z829" s="36"/>
    </row>
    <row r="830" ht="15.75" customHeight="1">
      <c r="A830" s="96" t="str">
        <f t="array" ref="A830">IF(B830="","",INDEX('Bán nhanh'!$A$4:$A$103,INT((ROW()-4)/10)+1))</f>
        <v/>
      </c>
      <c r="B830" s="36" t="str">
        <f t="array" ref="B830">IF(OR(INDEX('Bán nhanh'!$D$3:$M$3,1,MOD(ROW()-4,10)+1)="",INDEX('Bán nhanh'!$D$4:$M$103,INT((ROW()-4)/10)+1,MOD(ROW()-4,10)+1)&lt;=0),"",INDEX('Bán nhanh'!$D$3:$M$3,1,MOD(ROW()-4,10)+1))</f>
        <v/>
      </c>
      <c r="C830" s="36" t="str">
        <f t="array" ref="C830">IFERROR(INDEX('Sản phẩm'!$A$4:$A$103,MATCH(B830,'Sản phẩm'!$D$4:$D$103,0)),"")</f>
        <v/>
      </c>
      <c r="D830" s="36" t="str">
        <f t="array" ref="D830">IF(B830="","",INDEX('Bán nhanh'!$B$4:$B$103,INT((ROW()-4)/10)+1))</f>
        <v/>
      </c>
      <c r="E830" s="36" t="str">
        <f t="array" ref="E830">IFERROR(INDEX('Mẻ sữa'!$B$4:$B$203,MATCH(D830,'Mẻ sữa'!$C$4:$C$203,0)),"")</f>
        <v/>
      </c>
      <c r="F830" s="82">
        <f t="array" ref="F830">IF(B830="",0,INDEX('Bán nhanh'!$D$4:$M$103,INT((ROW()-4)/10)+1,MOD(ROW()-4,10)+1))</f>
        <v>0</v>
      </c>
      <c r="G830" s="83">
        <f t="array" ref="G830">IFERROR(INDEX('Sản phẩm'!$F$4:$F$103,MATCH(B830,'Sản phẩm'!$D$4:$D$103,0)),0)</f>
        <v>0</v>
      </c>
      <c r="H830" s="83">
        <f t="shared" si="5"/>
        <v>0</v>
      </c>
      <c r="I830" s="83">
        <f t="shared" si="1"/>
        <v>0</v>
      </c>
      <c r="J830" s="83">
        <f t="array" ref="J830">IFERROR(INDEX('Sản phẩm'!$G$4:$G$103,MATCH(B830,'Sản phẩm'!$D$4:$D$103,0)),0)</f>
        <v>0</v>
      </c>
      <c r="K830" s="83">
        <f t="array" ref="K830">IFERROR(J830*INDEX('Mẻ sữa'!$N$4:$N$203,MATCH(D830,'Mẻ sữa'!$C$4:$C$203,0)),0)</f>
        <v>0</v>
      </c>
      <c r="L830" s="83">
        <f t="array" ref="L830">IFERROR(INDEX('Sản phẩm'!$I$4:$I$103,MATCH(B830,'Sản phẩm'!$D$4:$D$103,0)),0)</f>
        <v>0</v>
      </c>
      <c r="M830" s="97" t="str">
        <f t="array" ref="M830">IFERROR(INDEX('Sản phẩm'!$J$4:$J$103,MATCH(B830,'Sản phẩm'!$D$4:$D$103,0)),0)</f>
        <v/>
      </c>
      <c r="N830" s="83">
        <f>IF(B830="",0,(K830+L830+M830)*'Thiết lập'!$B$8)</f>
        <v>0</v>
      </c>
      <c r="O830" s="83">
        <f t="shared" si="2"/>
        <v>0</v>
      </c>
      <c r="P830" s="83">
        <f t="shared" si="3"/>
        <v>0</v>
      </c>
      <c r="Q830" s="83">
        <f t="shared" si="4"/>
        <v>0</v>
      </c>
      <c r="R830" s="36" t="str">
        <f t="array" ref="R830">IF(B830="","",INDEX('Bán nhanh'!$C$4:$C$103,INT((ROW()-4)/10)+1))</f>
        <v/>
      </c>
      <c r="S830" s="36" t="str">
        <f t="array" ref="S830">IF(B830="","",INDEX('Bán nhanh'!$P$4:$P$103,INT((ROW()-4)/10)+1))</f>
        <v/>
      </c>
      <c r="T830" s="36"/>
      <c r="U830" s="36"/>
      <c r="V830" s="36"/>
      <c r="W830" s="36"/>
      <c r="X830" s="36"/>
      <c r="Y830" s="36"/>
      <c r="Z830" s="36"/>
    </row>
    <row r="831" ht="15.75" customHeight="1">
      <c r="A831" s="96" t="str">
        <f t="array" ref="A831">IF(B831="","",INDEX('Bán nhanh'!$A$4:$A$103,INT((ROW()-4)/10)+1))</f>
        <v/>
      </c>
      <c r="B831" s="36" t="str">
        <f t="array" ref="B831">IF(OR(INDEX('Bán nhanh'!$D$3:$M$3,1,MOD(ROW()-4,10)+1)="",INDEX('Bán nhanh'!$D$4:$M$103,INT((ROW()-4)/10)+1,MOD(ROW()-4,10)+1)&lt;=0),"",INDEX('Bán nhanh'!$D$3:$M$3,1,MOD(ROW()-4,10)+1))</f>
        <v/>
      </c>
      <c r="C831" s="36" t="str">
        <f t="array" ref="C831">IFERROR(INDEX('Sản phẩm'!$A$4:$A$103,MATCH(B831,'Sản phẩm'!$D$4:$D$103,0)),"")</f>
        <v/>
      </c>
      <c r="D831" s="36" t="str">
        <f t="array" ref="D831">IF(B831="","",INDEX('Bán nhanh'!$B$4:$B$103,INT((ROW()-4)/10)+1))</f>
        <v/>
      </c>
      <c r="E831" s="36" t="str">
        <f t="array" ref="E831">IFERROR(INDEX('Mẻ sữa'!$B$4:$B$203,MATCH(D831,'Mẻ sữa'!$C$4:$C$203,0)),"")</f>
        <v/>
      </c>
      <c r="F831" s="82">
        <f t="array" ref="F831">IF(B831="",0,INDEX('Bán nhanh'!$D$4:$M$103,INT((ROW()-4)/10)+1,MOD(ROW()-4,10)+1))</f>
        <v>0</v>
      </c>
      <c r="G831" s="83">
        <f t="array" ref="G831">IFERROR(INDEX('Sản phẩm'!$F$4:$F$103,MATCH(B831,'Sản phẩm'!$D$4:$D$103,0)),0)</f>
        <v>0</v>
      </c>
      <c r="H831" s="83">
        <f t="shared" si="5"/>
        <v>0</v>
      </c>
      <c r="I831" s="83">
        <f t="shared" si="1"/>
        <v>0</v>
      </c>
      <c r="J831" s="83">
        <f t="array" ref="J831">IFERROR(INDEX('Sản phẩm'!$G$4:$G$103,MATCH(B831,'Sản phẩm'!$D$4:$D$103,0)),0)</f>
        <v>0</v>
      </c>
      <c r="K831" s="83">
        <f t="array" ref="K831">IFERROR(J831*INDEX('Mẻ sữa'!$N$4:$N$203,MATCH(D831,'Mẻ sữa'!$C$4:$C$203,0)),0)</f>
        <v>0</v>
      </c>
      <c r="L831" s="83">
        <f t="array" ref="L831">IFERROR(INDEX('Sản phẩm'!$I$4:$I$103,MATCH(B831,'Sản phẩm'!$D$4:$D$103,0)),0)</f>
        <v>0</v>
      </c>
      <c r="M831" s="97" t="str">
        <f t="array" ref="M831">IFERROR(INDEX('Sản phẩm'!$J$4:$J$103,MATCH(B831,'Sản phẩm'!$D$4:$D$103,0)),0)</f>
        <v/>
      </c>
      <c r="N831" s="83">
        <f>IF(B831="",0,(K831+L831+M831)*'Thiết lập'!$B$8)</f>
        <v>0</v>
      </c>
      <c r="O831" s="83">
        <f t="shared" si="2"/>
        <v>0</v>
      </c>
      <c r="P831" s="83">
        <f t="shared" si="3"/>
        <v>0</v>
      </c>
      <c r="Q831" s="83">
        <f t="shared" si="4"/>
        <v>0</v>
      </c>
      <c r="R831" s="36" t="str">
        <f t="array" ref="R831">IF(B831="","",INDEX('Bán nhanh'!$C$4:$C$103,INT((ROW()-4)/10)+1))</f>
        <v/>
      </c>
      <c r="S831" s="36" t="str">
        <f t="array" ref="S831">IF(B831="","",INDEX('Bán nhanh'!$P$4:$P$103,INT((ROW()-4)/10)+1))</f>
        <v/>
      </c>
      <c r="T831" s="36"/>
      <c r="U831" s="36"/>
      <c r="V831" s="36"/>
      <c r="W831" s="36"/>
      <c r="X831" s="36"/>
      <c r="Y831" s="36"/>
      <c r="Z831" s="36"/>
    </row>
    <row r="832" ht="15.75" customHeight="1">
      <c r="A832" s="96" t="str">
        <f t="array" ref="A832">IF(B832="","",INDEX('Bán nhanh'!$A$4:$A$103,INT((ROW()-4)/10)+1))</f>
        <v/>
      </c>
      <c r="B832" s="36" t="str">
        <f t="array" ref="B832">IF(OR(INDEX('Bán nhanh'!$D$3:$M$3,1,MOD(ROW()-4,10)+1)="",INDEX('Bán nhanh'!$D$4:$M$103,INT((ROW()-4)/10)+1,MOD(ROW()-4,10)+1)&lt;=0),"",INDEX('Bán nhanh'!$D$3:$M$3,1,MOD(ROW()-4,10)+1))</f>
        <v/>
      </c>
      <c r="C832" s="36" t="str">
        <f t="array" ref="C832">IFERROR(INDEX('Sản phẩm'!$A$4:$A$103,MATCH(B832,'Sản phẩm'!$D$4:$D$103,0)),"")</f>
        <v/>
      </c>
      <c r="D832" s="36" t="str">
        <f t="array" ref="D832">IF(B832="","",INDEX('Bán nhanh'!$B$4:$B$103,INT((ROW()-4)/10)+1))</f>
        <v/>
      </c>
      <c r="E832" s="36" t="str">
        <f t="array" ref="E832">IFERROR(INDEX('Mẻ sữa'!$B$4:$B$203,MATCH(D832,'Mẻ sữa'!$C$4:$C$203,0)),"")</f>
        <v/>
      </c>
      <c r="F832" s="82">
        <f t="array" ref="F832">IF(B832="",0,INDEX('Bán nhanh'!$D$4:$M$103,INT((ROW()-4)/10)+1,MOD(ROW()-4,10)+1))</f>
        <v>0</v>
      </c>
      <c r="G832" s="83">
        <f t="array" ref="G832">IFERROR(INDEX('Sản phẩm'!$F$4:$F$103,MATCH(B832,'Sản phẩm'!$D$4:$D$103,0)),0)</f>
        <v>0</v>
      </c>
      <c r="H832" s="83">
        <f t="shared" si="5"/>
        <v>0</v>
      </c>
      <c r="I832" s="83">
        <f t="shared" si="1"/>
        <v>0</v>
      </c>
      <c r="J832" s="83">
        <f t="array" ref="J832">IFERROR(INDEX('Sản phẩm'!$G$4:$G$103,MATCH(B832,'Sản phẩm'!$D$4:$D$103,0)),0)</f>
        <v>0</v>
      </c>
      <c r="K832" s="83">
        <f t="array" ref="K832">IFERROR(J832*INDEX('Mẻ sữa'!$N$4:$N$203,MATCH(D832,'Mẻ sữa'!$C$4:$C$203,0)),0)</f>
        <v>0</v>
      </c>
      <c r="L832" s="83">
        <f t="array" ref="L832">IFERROR(INDEX('Sản phẩm'!$I$4:$I$103,MATCH(B832,'Sản phẩm'!$D$4:$D$103,0)),0)</f>
        <v>0</v>
      </c>
      <c r="M832" s="97" t="str">
        <f t="array" ref="M832">IFERROR(INDEX('Sản phẩm'!$J$4:$J$103,MATCH(B832,'Sản phẩm'!$D$4:$D$103,0)),0)</f>
        <v/>
      </c>
      <c r="N832" s="83">
        <f>IF(B832="",0,(K832+L832+M832)*'Thiết lập'!$B$8)</f>
        <v>0</v>
      </c>
      <c r="O832" s="83">
        <f t="shared" si="2"/>
        <v>0</v>
      </c>
      <c r="P832" s="83">
        <f t="shared" si="3"/>
        <v>0</v>
      </c>
      <c r="Q832" s="83">
        <f t="shared" si="4"/>
        <v>0</v>
      </c>
      <c r="R832" s="36" t="str">
        <f t="array" ref="R832">IF(B832="","",INDEX('Bán nhanh'!$C$4:$C$103,INT((ROW()-4)/10)+1))</f>
        <v/>
      </c>
      <c r="S832" s="36" t="str">
        <f t="array" ref="S832">IF(B832="","",INDEX('Bán nhanh'!$P$4:$P$103,INT((ROW()-4)/10)+1))</f>
        <v/>
      </c>
      <c r="T832" s="36"/>
      <c r="U832" s="36"/>
      <c r="V832" s="36"/>
      <c r="W832" s="36"/>
      <c r="X832" s="36"/>
      <c r="Y832" s="36"/>
      <c r="Z832" s="36"/>
    </row>
    <row r="833" ht="15.75" customHeight="1">
      <c r="A833" s="96" t="str">
        <f t="array" ref="A833">IF(B833="","",INDEX('Bán nhanh'!$A$4:$A$103,INT((ROW()-4)/10)+1))</f>
        <v/>
      </c>
      <c r="B833" s="36" t="str">
        <f t="array" ref="B833">IF(OR(INDEX('Bán nhanh'!$D$3:$M$3,1,MOD(ROW()-4,10)+1)="",INDEX('Bán nhanh'!$D$4:$M$103,INT((ROW()-4)/10)+1,MOD(ROW()-4,10)+1)&lt;=0),"",INDEX('Bán nhanh'!$D$3:$M$3,1,MOD(ROW()-4,10)+1))</f>
        <v/>
      </c>
      <c r="C833" s="36" t="str">
        <f t="array" ref="C833">IFERROR(INDEX('Sản phẩm'!$A$4:$A$103,MATCH(B833,'Sản phẩm'!$D$4:$D$103,0)),"")</f>
        <v/>
      </c>
      <c r="D833" s="36" t="str">
        <f t="array" ref="D833">IF(B833="","",INDEX('Bán nhanh'!$B$4:$B$103,INT((ROW()-4)/10)+1))</f>
        <v/>
      </c>
      <c r="E833" s="36" t="str">
        <f t="array" ref="E833">IFERROR(INDEX('Mẻ sữa'!$B$4:$B$203,MATCH(D833,'Mẻ sữa'!$C$4:$C$203,0)),"")</f>
        <v/>
      </c>
      <c r="F833" s="82">
        <f t="array" ref="F833">IF(B833="",0,INDEX('Bán nhanh'!$D$4:$M$103,INT((ROW()-4)/10)+1,MOD(ROW()-4,10)+1))</f>
        <v>0</v>
      </c>
      <c r="G833" s="83">
        <f t="array" ref="G833">IFERROR(INDEX('Sản phẩm'!$F$4:$F$103,MATCH(B833,'Sản phẩm'!$D$4:$D$103,0)),0)</f>
        <v>0</v>
      </c>
      <c r="H833" s="83">
        <f t="shared" si="5"/>
        <v>0</v>
      </c>
      <c r="I833" s="83">
        <f t="shared" si="1"/>
        <v>0</v>
      </c>
      <c r="J833" s="83">
        <f t="array" ref="J833">IFERROR(INDEX('Sản phẩm'!$G$4:$G$103,MATCH(B833,'Sản phẩm'!$D$4:$D$103,0)),0)</f>
        <v>0</v>
      </c>
      <c r="K833" s="83">
        <f t="array" ref="K833">IFERROR(J833*INDEX('Mẻ sữa'!$N$4:$N$203,MATCH(D833,'Mẻ sữa'!$C$4:$C$203,0)),0)</f>
        <v>0</v>
      </c>
      <c r="L833" s="83">
        <f t="array" ref="L833">IFERROR(INDEX('Sản phẩm'!$I$4:$I$103,MATCH(B833,'Sản phẩm'!$D$4:$D$103,0)),0)</f>
        <v>0</v>
      </c>
      <c r="M833" s="97" t="str">
        <f t="array" ref="M833">IFERROR(INDEX('Sản phẩm'!$J$4:$J$103,MATCH(B833,'Sản phẩm'!$D$4:$D$103,0)),0)</f>
        <v/>
      </c>
      <c r="N833" s="83">
        <f>IF(B833="",0,(K833+L833+M833)*'Thiết lập'!$B$8)</f>
        <v>0</v>
      </c>
      <c r="O833" s="83">
        <f t="shared" si="2"/>
        <v>0</v>
      </c>
      <c r="P833" s="83">
        <f t="shared" si="3"/>
        <v>0</v>
      </c>
      <c r="Q833" s="83">
        <f t="shared" si="4"/>
        <v>0</v>
      </c>
      <c r="R833" s="36" t="str">
        <f t="array" ref="R833">IF(B833="","",INDEX('Bán nhanh'!$C$4:$C$103,INT((ROW()-4)/10)+1))</f>
        <v/>
      </c>
      <c r="S833" s="36" t="str">
        <f t="array" ref="S833">IF(B833="","",INDEX('Bán nhanh'!$P$4:$P$103,INT((ROW()-4)/10)+1))</f>
        <v/>
      </c>
      <c r="T833" s="36"/>
      <c r="U833" s="36"/>
      <c r="V833" s="36"/>
      <c r="W833" s="36"/>
      <c r="X833" s="36"/>
      <c r="Y833" s="36"/>
      <c r="Z833" s="36"/>
    </row>
    <row r="834" ht="15.75" customHeight="1">
      <c r="A834" s="96" t="str">
        <f t="array" ref="A834">IF(B834="","",INDEX('Bán nhanh'!$A$4:$A$103,INT((ROW()-4)/10)+1))</f>
        <v/>
      </c>
      <c r="B834" s="36" t="str">
        <f t="array" ref="B834">IF(OR(INDEX('Bán nhanh'!$D$3:$M$3,1,MOD(ROW()-4,10)+1)="",INDEX('Bán nhanh'!$D$4:$M$103,INT((ROW()-4)/10)+1,MOD(ROW()-4,10)+1)&lt;=0),"",INDEX('Bán nhanh'!$D$3:$M$3,1,MOD(ROW()-4,10)+1))</f>
        <v/>
      </c>
      <c r="C834" s="36" t="str">
        <f t="array" ref="C834">IFERROR(INDEX('Sản phẩm'!$A$4:$A$103,MATCH(B834,'Sản phẩm'!$D$4:$D$103,0)),"")</f>
        <v/>
      </c>
      <c r="D834" s="36" t="str">
        <f t="array" ref="D834">IF(B834="","",INDEX('Bán nhanh'!$B$4:$B$103,INT((ROW()-4)/10)+1))</f>
        <v/>
      </c>
      <c r="E834" s="36" t="str">
        <f t="array" ref="E834">IFERROR(INDEX('Mẻ sữa'!$B$4:$B$203,MATCH(D834,'Mẻ sữa'!$C$4:$C$203,0)),"")</f>
        <v/>
      </c>
      <c r="F834" s="82">
        <f t="array" ref="F834">IF(B834="",0,INDEX('Bán nhanh'!$D$4:$M$103,INT((ROW()-4)/10)+1,MOD(ROW()-4,10)+1))</f>
        <v>0</v>
      </c>
      <c r="G834" s="83">
        <f t="array" ref="G834">IFERROR(INDEX('Sản phẩm'!$F$4:$F$103,MATCH(B834,'Sản phẩm'!$D$4:$D$103,0)),0)</f>
        <v>0</v>
      </c>
      <c r="H834" s="83">
        <f t="shared" si="5"/>
        <v>0</v>
      </c>
      <c r="I834" s="83">
        <f t="shared" si="1"/>
        <v>0</v>
      </c>
      <c r="J834" s="83">
        <f t="array" ref="J834">IFERROR(INDEX('Sản phẩm'!$G$4:$G$103,MATCH(B834,'Sản phẩm'!$D$4:$D$103,0)),0)</f>
        <v>0</v>
      </c>
      <c r="K834" s="83">
        <f t="array" ref="K834">IFERROR(J834*INDEX('Mẻ sữa'!$N$4:$N$203,MATCH(D834,'Mẻ sữa'!$C$4:$C$203,0)),0)</f>
        <v>0</v>
      </c>
      <c r="L834" s="83">
        <f t="array" ref="L834">IFERROR(INDEX('Sản phẩm'!$I$4:$I$103,MATCH(B834,'Sản phẩm'!$D$4:$D$103,0)),0)</f>
        <v>0</v>
      </c>
      <c r="M834" s="97" t="str">
        <f t="array" ref="M834">IFERROR(INDEX('Sản phẩm'!$J$4:$J$103,MATCH(B834,'Sản phẩm'!$D$4:$D$103,0)),0)</f>
        <v/>
      </c>
      <c r="N834" s="83">
        <f>IF(B834="",0,(K834+L834+M834)*'Thiết lập'!$B$8)</f>
        <v>0</v>
      </c>
      <c r="O834" s="83">
        <f t="shared" si="2"/>
        <v>0</v>
      </c>
      <c r="P834" s="83">
        <f t="shared" si="3"/>
        <v>0</v>
      </c>
      <c r="Q834" s="83">
        <f t="shared" si="4"/>
        <v>0</v>
      </c>
      <c r="R834" s="36" t="str">
        <f t="array" ref="R834">IF(B834="","",INDEX('Bán nhanh'!$C$4:$C$103,INT((ROW()-4)/10)+1))</f>
        <v/>
      </c>
      <c r="S834" s="36" t="str">
        <f t="array" ref="S834">IF(B834="","",INDEX('Bán nhanh'!$P$4:$P$103,INT((ROW()-4)/10)+1))</f>
        <v/>
      </c>
      <c r="T834" s="36"/>
      <c r="U834" s="36"/>
      <c r="V834" s="36"/>
      <c r="W834" s="36"/>
      <c r="X834" s="36"/>
      <c r="Y834" s="36"/>
      <c r="Z834" s="36"/>
    </row>
    <row r="835" ht="15.75" customHeight="1">
      <c r="A835" s="96" t="str">
        <f t="array" ref="A835">IF(B835="","",INDEX('Bán nhanh'!$A$4:$A$103,INT((ROW()-4)/10)+1))</f>
        <v/>
      </c>
      <c r="B835" s="36" t="str">
        <f t="array" ref="B835">IF(OR(INDEX('Bán nhanh'!$D$3:$M$3,1,MOD(ROW()-4,10)+1)="",INDEX('Bán nhanh'!$D$4:$M$103,INT((ROW()-4)/10)+1,MOD(ROW()-4,10)+1)&lt;=0),"",INDEX('Bán nhanh'!$D$3:$M$3,1,MOD(ROW()-4,10)+1))</f>
        <v/>
      </c>
      <c r="C835" s="36" t="str">
        <f t="array" ref="C835">IFERROR(INDEX('Sản phẩm'!$A$4:$A$103,MATCH(B835,'Sản phẩm'!$D$4:$D$103,0)),"")</f>
        <v/>
      </c>
      <c r="D835" s="36" t="str">
        <f t="array" ref="D835">IF(B835="","",INDEX('Bán nhanh'!$B$4:$B$103,INT((ROW()-4)/10)+1))</f>
        <v/>
      </c>
      <c r="E835" s="36" t="str">
        <f t="array" ref="E835">IFERROR(INDEX('Mẻ sữa'!$B$4:$B$203,MATCH(D835,'Mẻ sữa'!$C$4:$C$203,0)),"")</f>
        <v/>
      </c>
      <c r="F835" s="82">
        <f t="array" ref="F835">IF(B835="",0,INDEX('Bán nhanh'!$D$4:$M$103,INT((ROW()-4)/10)+1,MOD(ROW()-4,10)+1))</f>
        <v>0</v>
      </c>
      <c r="G835" s="83">
        <f t="array" ref="G835">IFERROR(INDEX('Sản phẩm'!$F$4:$F$103,MATCH(B835,'Sản phẩm'!$D$4:$D$103,0)),0)</f>
        <v>0</v>
      </c>
      <c r="H835" s="83">
        <f t="shared" si="5"/>
        <v>0</v>
      </c>
      <c r="I835" s="83">
        <f t="shared" si="1"/>
        <v>0</v>
      </c>
      <c r="J835" s="83">
        <f t="array" ref="J835">IFERROR(INDEX('Sản phẩm'!$G$4:$G$103,MATCH(B835,'Sản phẩm'!$D$4:$D$103,0)),0)</f>
        <v>0</v>
      </c>
      <c r="K835" s="83">
        <f t="array" ref="K835">IFERROR(J835*INDEX('Mẻ sữa'!$N$4:$N$203,MATCH(D835,'Mẻ sữa'!$C$4:$C$203,0)),0)</f>
        <v>0</v>
      </c>
      <c r="L835" s="83">
        <f t="array" ref="L835">IFERROR(INDEX('Sản phẩm'!$I$4:$I$103,MATCH(B835,'Sản phẩm'!$D$4:$D$103,0)),0)</f>
        <v>0</v>
      </c>
      <c r="M835" s="97" t="str">
        <f t="array" ref="M835">IFERROR(INDEX('Sản phẩm'!$J$4:$J$103,MATCH(B835,'Sản phẩm'!$D$4:$D$103,0)),0)</f>
        <v/>
      </c>
      <c r="N835" s="83">
        <f>IF(B835="",0,(K835+L835+M835)*'Thiết lập'!$B$8)</f>
        <v>0</v>
      </c>
      <c r="O835" s="83">
        <f t="shared" si="2"/>
        <v>0</v>
      </c>
      <c r="P835" s="83">
        <f t="shared" si="3"/>
        <v>0</v>
      </c>
      <c r="Q835" s="83">
        <f t="shared" si="4"/>
        <v>0</v>
      </c>
      <c r="R835" s="36" t="str">
        <f t="array" ref="R835">IF(B835="","",INDEX('Bán nhanh'!$C$4:$C$103,INT((ROW()-4)/10)+1))</f>
        <v/>
      </c>
      <c r="S835" s="36" t="str">
        <f t="array" ref="S835">IF(B835="","",INDEX('Bán nhanh'!$P$4:$P$103,INT((ROW()-4)/10)+1))</f>
        <v/>
      </c>
      <c r="T835" s="36"/>
      <c r="U835" s="36"/>
      <c r="V835" s="36"/>
      <c r="W835" s="36"/>
      <c r="X835" s="36"/>
      <c r="Y835" s="36"/>
      <c r="Z835" s="36"/>
    </row>
    <row r="836" ht="15.75" customHeight="1">
      <c r="A836" s="96" t="str">
        <f t="array" ref="A836">IF(B836="","",INDEX('Bán nhanh'!$A$4:$A$103,INT((ROW()-4)/10)+1))</f>
        <v/>
      </c>
      <c r="B836" s="36" t="str">
        <f t="array" ref="B836">IF(OR(INDEX('Bán nhanh'!$D$3:$M$3,1,MOD(ROW()-4,10)+1)="",INDEX('Bán nhanh'!$D$4:$M$103,INT((ROW()-4)/10)+1,MOD(ROW()-4,10)+1)&lt;=0),"",INDEX('Bán nhanh'!$D$3:$M$3,1,MOD(ROW()-4,10)+1))</f>
        <v/>
      </c>
      <c r="C836" s="36" t="str">
        <f t="array" ref="C836">IFERROR(INDEX('Sản phẩm'!$A$4:$A$103,MATCH(B836,'Sản phẩm'!$D$4:$D$103,0)),"")</f>
        <v/>
      </c>
      <c r="D836" s="36" t="str">
        <f t="array" ref="D836">IF(B836="","",INDEX('Bán nhanh'!$B$4:$B$103,INT((ROW()-4)/10)+1))</f>
        <v/>
      </c>
      <c r="E836" s="36" t="str">
        <f t="array" ref="E836">IFERROR(INDEX('Mẻ sữa'!$B$4:$B$203,MATCH(D836,'Mẻ sữa'!$C$4:$C$203,0)),"")</f>
        <v/>
      </c>
      <c r="F836" s="82">
        <f t="array" ref="F836">IF(B836="",0,INDEX('Bán nhanh'!$D$4:$M$103,INT((ROW()-4)/10)+1,MOD(ROW()-4,10)+1))</f>
        <v>0</v>
      </c>
      <c r="G836" s="83">
        <f t="array" ref="G836">IFERROR(INDEX('Sản phẩm'!$F$4:$F$103,MATCH(B836,'Sản phẩm'!$D$4:$D$103,0)),0)</f>
        <v>0</v>
      </c>
      <c r="H836" s="83">
        <f t="shared" si="5"/>
        <v>0</v>
      </c>
      <c r="I836" s="83">
        <f t="shared" si="1"/>
        <v>0</v>
      </c>
      <c r="J836" s="83">
        <f t="array" ref="J836">IFERROR(INDEX('Sản phẩm'!$G$4:$G$103,MATCH(B836,'Sản phẩm'!$D$4:$D$103,0)),0)</f>
        <v>0</v>
      </c>
      <c r="K836" s="83">
        <f t="array" ref="K836">IFERROR(J836*INDEX('Mẻ sữa'!$N$4:$N$203,MATCH(D836,'Mẻ sữa'!$C$4:$C$203,0)),0)</f>
        <v>0</v>
      </c>
      <c r="L836" s="83">
        <f t="array" ref="L836">IFERROR(INDEX('Sản phẩm'!$I$4:$I$103,MATCH(B836,'Sản phẩm'!$D$4:$D$103,0)),0)</f>
        <v>0</v>
      </c>
      <c r="M836" s="97" t="str">
        <f t="array" ref="M836">IFERROR(INDEX('Sản phẩm'!$J$4:$J$103,MATCH(B836,'Sản phẩm'!$D$4:$D$103,0)),0)</f>
        <v/>
      </c>
      <c r="N836" s="83">
        <f>IF(B836="",0,(K836+L836+M836)*'Thiết lập'!$B$8)</f>
        <v>0</v>
      </c>
      <c r="O836" s="83">
        <f t="shared" si="2"/>
        <v>0</v>
      </c>
      <c r="P836" s="83">
        <f t="shared" si="3"/>
        <v>0</v>
      </c>
      <c r="Q836" s="83">
        <f t="shared" si="4"/>
        <v>0</v>
      </c>
      <c r="R836" s="36" t="str">
        <f t="array" ref="R836">IF(B836="","",INDEX('Bán nhanh'!$C$4:$C$103,INT((ROW()-4)/10)+1))</f>
        <v/>
      </c>
      <c r="S836" s="36" t="str">
        <f t="array" ref="S836">IF(B836="","",INDEX('Bán nhanh'!$P$4:$P$103,INT((ROW()-4)/10)+1))</f>
        <v/>
      </c>
      <c r="T836" s="36"/>
      <c r="U836" s="36"/>
      <c r="V836" s="36"/>
      <c r="W836" s="36"/>
      <c r="X836" s="36"/>
      <c r="Y836" s="36"/>
      <c r="Z836" s="36"/>
    </row>
    <row r="837" ht="15.75" customHeight="1">
      <c r="A837" s="96" t="str">
        <f t="array" ref="A837">IF(B837="","",INDEX('Bán nhanh'!$A$4:$A$103,INT((ROW()-4)/10)+1))</f>
        <v/>
      </c>
      <c r="B837" s="36" t="str">
        <f t="array" ref="B837">IF(OR(INDEX('Bán nhanh'!$D$3:$M$3,1,MOD(ROW()-4,10)+1)="",INDEX('Bán nhanh'!$D$4:$M$103,INT((ROW()-4)/10)+1,MOD(ROW()-4,10)+1)&lt;=0),"",INDEX('Bán nhanh'!$D$3:$M$3,1,MOD(ROW()-4,10)+1))</f>
        <v/>
      </c>
      <c r="C837" s="36" t="str">
        <f t="array" ref="C837">IFERROR(INDEX('Sản phẩm'!$A$4:$A$103,MATCH(B837,'Sản phẩm'!$D$4:$D$103,0)),"")</f>
        <v/>
      </c>
      <c r="D837" s="36" t="str">
        <f t="array" ref="D837">IF(B837="","",INDEX('Bán nhanh'!$B$4:$B$103,INT((ROW()-4)/10)+1))</f>
        <v/>
      </c>
      <c r="E837" s="36" t="str">
        <f t="array" ref="E837">IFERROR(INDEX('Mẻ sữa'!$B$4:$B$203,MATCH(D837,'Mẻ sữa'!$C$4:$C$203,0)),"")</f>
        <v/>
      </c>
      <c r="F837" s="82">
        <f t="array" ref="F837">IF(B837="",0,INDEX('Bán nhanh'!$D$4:$M$103,INT((ROW()-4)/10)+1,MOD(ROW()-4,10)+1))</f>
        <v>0</v>
      </c>
      <c r="G837" s="83">
        <f t="array" ref="G837">IFERROR(INDEX('Sản phẩm'!$F$4:$F$103,MATCH(B837,'Sản phẩm'!$D$4:$D$103,0)),0)</f>
        <v>0</v>
      </c>
      <c r="H837" s="83">
        <f t="shared" si="5"/>
        <v>0</v>
      </c>
      <c r="I837" s="83">
        <f t="shared" si="1"/>
        <v>0</v>
      </c>
      <c r="J837" s="83">
        <f t="array" ref="J837">IFERROR(INDEX('Sản phẩm'!$G$4:$G$103,MATCH(B837,'Sản phẩm'!$D$4:$D$103,0)),0)</f>
        <v>0</v>
      </c>
      <c r="K837" s="83">
        <f t="array" ref="K837">IFERROR(J837*INDEX('Mẻ sữa'!$N$4:$N$203,MATCH(D837,'Mẻ sữa'!$C$4:$C$203,0)),0)</f>
        <v>0</v>
      </c>
      <c r="L837" s="83">
        <f t="array" ref="L837">IFERROR(INDEX('Sản phẩm'!$I$4:$I$103,MATCH(B837,'Sản phẩm'!$D$4:$D$103,0)),0)</f>
        <v>0</v>
      </c>
      <c r="M837" s="97" t="str">
        <f t="array" ref="M837">IFERROR(INDEX('Sản phẩm'!$J$4:$J$103,MATCH(B837,'Sản phẩm'!$D$4:$D$103,0)),0)</f>
        <v/>
      </c>
      <c r="N837" s="83">
        <f>IF(B837="",0,(K837+L837+M837)*'Thiết lập'!$B$8)</f>
        <v>0</v>
      </c>
      <c r="O837" s="83">
        <f t="shared" si="2"/>
        <v>0</v>
      </c>
      <c r="P837" s="83">
        <f t="shared" si="3"/>
        <v>0</v>
      </c>
      <c r="Q837" s="83">
        <f t="shared" si="4"/>
        <v>0</v>
      </c>
      <c r="R837" s="36" t="str">
        <f t="array" ref="R837">IF(B837="","",INDEX('Bán nhanh'!$C$4:$C$103,INT((ROW()-4)/10)+1))</f>
        <v/>
      </c>
      <c r="S837" s="36" t="str">
        <f t="array" ref="S837">IF(B837="","",INDEX('Bán nhanh'!$P$4:$P$103,INT((ROW()-4)/10)+1))</f>
        <v/>
      </c>
      <c r="T837" s="36"/>
      <c r="U837" s="36"/>
      <c r="V837" s="36"/>
      <c r="W837" s="36"/>
      <c r="X837" s="36"/>
      <c r="Y837" s="36"/>
      <c r="Z837" s="36"/>
    </row>
    <row r="838" ht="15.75" customHeight="1">
      <c r="A838" s="96" t="str">
        <f t="array" ref="A838">IF(B838="","",INDEX('Bán nhanh'!$A$4:$A$103,INT((ROW()-4)/10)+1))</f>
        <v/>
      </c>
      <c r="B838" s="36" t="str">
        <f t="array" ref="B838">IF(OR(INDEX('Bán nhanh'!$D$3:$M$3,1,MOD(ROW()-4,10)+1)="",INDEX('Bán nhanh'!$D$4:$M$103,INT((ROW()-4)/10)+1,MOD(ROW()-4,10)+1)&lt;=0),"",INDEX('Bán nhanh'!$D$3:$M$3,1,MOD(ROW()-4,10)+1))</f>
        <v/>
      </c>
      <c r="C838" s="36" t="str">
        <f t="array" ref="C838">IFERROR(INDEX('Sản phẩm'!$A$4:$A$103,MATCH(B838,'Sản phẩm'!$D$4:$D$103,0)),"")</f>
        <v/>
      </c>
      <c r="D838" s="36" t="str">
        <f t="array" ref="D838">IF(B838="","",INDEX('Bán nhanh'!$B$4:$B$103,INT((ROW()-4)/10)+1))</f>
        <v/>
      </c>
      <c r="E838" s="36" t="str">
        <f t="array" ref="E838">IFERROR(INDEX('Mẻ sữa'!$B$4:$B$203,MATCH(D838,'Mẻ sữa'!$C$4:$C$203,0)),"")</f>
        <v/>
      </c>
      <c r="F838" s="82">
        <f t="array" ref="F838">IF(B838="",0,INDEX('Bán nhanh'!$D$4:$M$103,INT((ROW()-4)/10)+1,MOD(ROW()-4,10)+1))</f>
        <v>0</v>
      </c>
      <c r="G838" s="83">
        <f t="array" ref="G838">IFERROR(INDEX('Sản phẩm'!$F$4:$F$103,MATCH(B838,'Sản phẩm'!$D$4:$D$103,0)),0)</f>
        <v>0</v>
      </c>
      <c r="H838" s="83">
        <f t="shared" si="5"/>
        <v>0</v>
      </c>
      <c r="I838" s="83">
        <f t="shared" si="1"/>
        <v>0</v>
      </c>
      <c r="J838" s="83">
        <f t="array" ref="J838">IFERROR(INDEX('Sản phẩm'!$G$4:$G$103,MATCH(B838,'Sản phẩm'!$D$4:$D$103,0)),0)</f>
        <v>0</v>
      </c>
      <c r="K838" s="83">
        <f t="array" ref="K838">IFERROR(J838*INDEX('Mẻ sữa'!$N$4:$N$203,MATCH(D838,'Mẻ sữa'!$C$4:$C$203,0)),0)</f>
        <v>0</v>
      </c>
      <c r="L838" s="83">
        <f t="array" ref="L838">IFERROR(INDEX('Sản phẩm'!$I$4:$I$103,MATCH(B838,'Sản phẩm'!$D$4:$D$103,0)),0)</f>
        <v>0</v>
      </c>
      <c r="M838" s="97" t="str">
        <f t="array" ref="M838">IFERROR(INDEX('Sản phẩm'!$J$4:$J$103,MATCH(B838,'Sản phẩm'!$D$4:$D$103,0)),0)</f>
        <v/>
      </c>
      <c r="N838" s="83">
        <f>IF(B838="",0,(K838+L838+M838)*'Thiết lập'!$B$8)</f>
        <v>0</v>
      </c>
      <c r="O838" s="83">
        <f t="shared" si="2"/>
        <v>0</v>
      </c>
      <c r="P838" s="83">
        <f t="shared" si="3"/>
        <v>0</v>
      </c>
      <c r="Q838" s="83">
        <f t="shared" si="4"/>
        <v>0</v>
      </c>
      <c r="R838" s="36" t="str">
        <f t="array" ref="R838">IF(B838="","",INDEX('Bán nhanh'!$C$4:$C$103,INT((ROW()-4)/10)+1))</f>
        <v/>
      </c>
      <c r="S838" s="36" t="str">
        <f t="array" ref="S838">IF(B838="","",INDEX('Bán nhanh'!$P$4:$P$103,INT((ROW()-4)/10)+1))</f>
        <v/>
      </c>
      <c r="T838" s="36"/>
      <c r="U838" s="36"/>
      <c r="V838" s="36"/>
      <c r="W838" s="36"/>
      <c r="X838" s="36"/>
      <c r="Y838" s="36"/>
      <c r="Z838" s="36"/>
    </row>
    <row r="839" ht="15.75" customHeight="1">
      <c r="A839" s="96" t="str">
        <f t="array" ref="A839">IF(B839="","",INDEX('Bán nhanh'!$A$4:$A$103,INT((ROW()-4)/10)+1))</f>
        <v/>
      </c>
      <c r="B839" s="36" t="str">
        <f t="array" ref="B839">IF(OR(INDEX('Bán nhanh'!$D$3:$M$3,1,MOD(ROW()-4,10)+1)="",INDEX('Bán nhanh'!$D$4:$M$103,INT((ROW()-4)/10)+1,MOD(ROW()-4,10)+1)&lt;=0),"",INDEX('Bán nhanh'!$D$3:$M$3,1,MOD(ROW()-4,10)+1))</f>
        <v/>
      </c>
      <c r="C839" s="36" t="str">
        <f t="array" ref="C839">IFERROR(INDEX('Sản phẩm'!$A$4:$A$103,MATCH(B839,'Sản phẩm'!$D$4:$D$103,0)),"")</f>
        <v/>
      </c>
      <c r="D839" s="36" t="str">
        <f t="array" ref="D839">IF(B839="","",INDEX('Bán nhanh'!$B$4:$B$103,INT((ROW()-4)/10)+1))</f>
        <v/>
      </c>
      <c r="E839" s="36" t="str">
        <f t="array" ref="E839">IFERROR(INDEX('Mẻ sữa'!$B$4:$B$203,MATCH(D839,'Mẻ sữa'!$C$4:$C$203,0)),"")</f>
        <v/>
      </c>
      <c r="F839" s="82">
        <f t="array" ref="F839">IF(B839="",0,INDEX('Bán nhanh'!$D$4:$M$103,INT((ROW()-4)/10)+1,MOD(ROW()-4,10)+1))</f>
        <v>0</v>
      </c>
      <c r="G839" s="83">
        <f t="array" ref="G839">IFERROR(INDEX('Sản phẩm'!$F$4:$F$103,MATCH(B839,'Sản phẩm'!$D$4:$D$103,0)),0)</f>
        <v>0</v>
      </c>
      <c r="H839" s="83">
        <f t="shared" si="5"/>
        <v>0</v>
      </c>
      <c r="I839" s="83">
        <f t="shared" si="1"/>
        <v>0</v>
      </c>
      <c r="J839" s="83">
        <f t="array" ref="J839">IFERROR(INDEX('Sản phẩm'!$G$4:$G$103,MATCH(B839,'Sản phẩm'!$D$4:$D$103,0)),0)</f>
        <v>0</v>
      </c>
      <c r="K839" s="83">
        <f t="array" ref="K839">IFERROR(J839*INDEX('Mẻ sữa'!$N$4:$N$203,MATCH(D839,'Mẻ sữa'!$C$4:$C$203,0)),0)</f>
        <v>0</v>
      </c>
      <c r="L839" s="83">
        <f t="array" ref="L839">IFERROR(INDEX('Sản phẩm'!$I$4:$I$103,MATCH(B839,'Sản phẩm'!$D$4:$D$103,0)),0)</f>
        <v>0</v>
      </c>
      <c r="M839" s="97" t="str">
        <f t="array" ref="M839">IFERROR(INDEX('Sản phẩm'!$J$4:$J$103,MATCH(B839,'Sản phẩm'!$D$4:$D$103,0)),0)</f>
        <v/>
      </c>
      <c r="N839" s="83">
        <f>IF(B839="",0,(K839+L839+M839)*'Thiết lập'!$B$8)</f>
        <v>0</v>
      </c>
      <c r="O839" s="83">
        <f t="shared" si="2"/>
        <v>0</v>
      </c>
      <c r="P839" s="83">
        <f t="shared" si="3"/>
        <v>0</v>
      </c>
      <c r="Q839" s="83">
        <f t="shared" si="4"/>
        <v>0</v>
      </c>
      <c r="R839" s="36" t="str">
        <f t="array" ref="R839">IF(B839="","",INDEX('Bán nhanh'!$C$4:$C$103,INT((ROW()-4)/10)+1))</f>
        <v/>
      </c>
      <c r="S839" s="36" t="str">
        <f t="array" ref="S839">IF(B839="","",INDEX('Bán nhanh'!$P$4:$P$103,INT((ROW()-4)/10)+1))</f>
        <v/>
      </c>
      <c r="T839" s="36"/>
      <c r="U839" s="36"/>
      <c r="V839" s="36"/>
      <c r="W839" s="36"/>
      <c r="X839" s="36"/>
      <c r="Y839" s="36"/>
      <c r="Z839" s="36"/>
    </row>
    <row r="840" ht="15.75" customHeight="1">
      <c r="A840" s="96" t="str">
        <f t="array" ref="A840">IF(B840="","",INDEX('Bán nhanh'!$A$4:$A$103,INT((ROW()-4)/10)+1))</f>
        <v/>
      </c>
      <c r="B840" s="36" t="str">
        <f t="array" ref="B840">IF(OR(INDEX('Bán nhanh'!$D$3:$M$3,1,MOD(ROW()-4,10)+1)="",INDEX('Bán nhanh'!$D$4:$M$103,INT((ROW()-4)/10)+1,MOD(ROW()-4,10)+1)&lt;=0),"",INDEX('Bán nhanh'!$D$3:$M$3,1,MOD(ROW()-4,10)+1))</f>
        <v/>
      </c>
      <c r="C840" s="36" t="str">
        <f t="array" ref="C840">IFERROR(INDEX('Sản phẩm'!$A$4:$A$103,MATCH(B840,'Sản phẩm'!$D$4:$D$103,0)),"")</f>
        <v/>
      </c>
      <c r="D840" s="36" t="str">
        <f t="array" ref="D840">IF(B840="","",INDEX('Bán nhanh'!$B$4:$B$103,INT((ROW()-4)/10)+1))</f>
        <v/>
      </c>
      <c r="E840" s="36" t="str">
        <f t="array" ref="E840">IFERROR(INDEX('Mẻ sữa'!$B$4:$B$203,MATCH(D840,'Mẻ sữa'!$C$4:$C$203,0)),"")</f>
        <v/>
      </c>
      <c r="F840" s="82">
        <f t="array" ref="F840">IF(B840="",0,INDEX('Bán nhanh'!$D$4:$M$103,INT((ROW()-4)/10)+1,MOD(ROW()-4,10)+1))</f>
        <v>0</v>
      </c>
      <c r="G840" s="83">
        <f t="array" ref="G840">IFERROR(INDEX('Sản phẩm'!$F$4:$F$103,MATCH(B840,'Sản phẩm'!$D$4:$D$103,0)),0)</f>
        <v>0</v>
      </c>
      <c r="H840" s="83">
        <f t="shared" si="5"/>
        <v>0</v>
      </c>
      <c r="I840" s="83">
        <f t="shared" si="1"/>
        <v>0</v>
      </c>
      <c r="J840" s="83">
        <f t="array" ref="J840">IFERROR(INDEX('Sản phẩm'!$G$4:$G$103,MATCH(B840,'Sản phẩm'!$D$4:$D$103,0)),0)</f>
        <v>0</v>
      </c>
      <c r="K840" s="83">
        <f t="array" ref="K840">IFERROR(J840*INDEX('Mẻ sữa'!$N$4:$N$203,MATCH(D840,'Mẻ sữa'!$C$4:$C$203,0)),0)</f>
        <v>0</v>
      </c>
      <c r="L840" s="83">
        <f t="array" ref="L840">IFERROR(INDEX('Sản phẩm'!$I$4:$I$103,MATCH(B840,'Sản phẩm'!$D$4:$D$103,0)),0)</f>
        <v>0</v>
      </c>
      <c r="M840" s="97" t="str">
        <f t="array" ref="M840">IFERROR(INDEX('Sản phẩm'!$J$4:$J$103,MATCH(B840,'Sản phẩm'!$D$4:$D$103,0)),0)</f>
        <v/>
      </c>
      <c r="N840" s="83">
        <f>IF(B840="",0,(K840+L840+M840)*'Thiết lập'!$B$8)</f>
        <v>0</v>
      </c>
      <c r="O840" s="83">
        <f t="shared" si="2"/>
        <v>0</v>
      </c>
      <c r="P840" s="83">
        <f t="shared" si="3"/>
        <v>0</v>
      </c>
      <c r="Q840" s="83">
        <f t="shared" si="4"/>
        <v>0</v>
      </c>
      <c r="R840" s="36" t="str">
        <f t="array" ref="R840">IF(B840="","",INDEX('Bán nhanh'!$C$4:$C$103,INT((ROW()-4)/10)+1))</f>
        <v/>
      </c>
      <c r="S840" s="36" t="str">
        <f t="array" ref="S840">IF(B840="","",INDEX('Bán nhanh'!$P$4:$P$103,INT((ROW()-4)/10)+1))</f>
        <v/>
      </c>
      <c r="T840" s="36"/>
      <c r="U840" s="36"/>
      <c r="V840" s="36"/>
      <c r="W840" s="36"/>
      <c r="X840" s="36"/>
      <c r="Y840" s="36"/>
      <c r="Z840" s="36"/>
    </row>
    <row r="841" ht="15.75" customHeight="1">
      <c r="A841" s="96" t="str">
        <f t="array" ref="A841">IF(B841="","",INDEX('Bán nhanh'!$A$4:$A$103,INT((ROW()-4)/10)+1))</f>
        <v/>
      </c>
      <c r="B841" s="36" t="str">
        <f t="array" ref="B841">IF(OR(INDEX('Bán nhanh'!$D$3:$M$3,1,MOD(ROW()-4,10)+1)="",INDEX('Bán nhanh'!$D$4:$M$103,INT((ROW()-4)/10)+1,MOD(ROW()-4,10)+1)&lt;=0),"",INDEX('Bán nhanh'!$D$3:$M$3,1,MOD(ROW()-4,10)+1))</f>
        <v/>
      </c>
      <c r="C841" s="36" t="str">
        <f t="array" ref="C841">IFERROR(INDEX('Sản phẩm'!$A$4:$A$103,MATCH(B841,'Sản phẩm'!$D$4:$D$103,0)),"")</f>
        <v/>
      </c>
      <c r="D841" s="36" t="str">
        <f t="array" ref="D841">IF(B841="","",INDEX('Bán nhanh'!$B$4:$B$103,INT((ROW()-4)/10)+1))</f>
        <v/>
      </c>
      <c r="E841" s="36" t="str">
        <f t="array" ref="E841">IFERROR(INDEX('Mẻ sữa'!$B$4:$B$203,MATCH(D841,'Mẻ sữa'!$C$4:$C$203,0)),"")</f>
        <v/>
      </c>
      <c r="F841" s="82">
        <f t="array" ref="F841">IF(B841="",0,INDEX('Bán nhanh'!$D$4:$M$103,INT((ROW()-4)/10)+1,MOD(ROW()-4,10)+1))</f>
        <v>0</v>
      </c>
      <c r="G841" s="83">
        <f t="array" ref="G841">IFERROR(INDEX('Sản phẩm'!$F$4:$F$103,MATCH(B841,'Sản phẩm'!$D$4:$D$103,0)),0)</f>
        <v>0</v>
      </c>
      <c r="H841" s="83">
        <f t="shared" si="5"/>
        <v>0</v>
      </c>
      <c r="I841" s="83">
        <f t="shared" si="1"/>
        <v>0</v>
      </c>
      <c r="J841" s="83">
        <f t="array" ref="J841">IFERROR(INDEX('Sản phẩm'!$G$4:$G$103,MATCH(B841,'Sản phẩm'!$D$4:$D$103,0)),0)</f>
        <v>0</v>
      </c>
      <c r="K841" s="83">
        <f t="array" ref="K841">IFERROR(J841*INDEX('Mẻ sữa'!$N$4:$N$203,MATCH(D841,'Mẻ sữa'!$C$4:$C$203,0)),0)</f>
        <v>0</v>
      </c>
      <c r="L841" s="83">
        <f t="array" ref="L841">IFERROR(INDEX('Sản phẩm'!$I$4:$I$103,MATCH(B841,'Sản phẩm'!$D$4:$D$103,0)),0)</f>
        <v>0</v>
      </c>
      <c r="M841" s="97" t="str">
        <f t="array" ref="M841">IFERROR(INDEX('Sản phẩm'!$J$4:$J$103,MATCH(B841,'Sản phẩm'!$D$4:$D$103,0)),0)</f>
        <v/>
      </c>
      <c r="N841" s="83">
        <f>IF(B841="",0,(K841+L841+M841)*'Thiết lập'!$B$8)</f>
        <v>0</v>
      </c>
      <c r="O841" s="83">
        <f t="shared" si="2"/>
        <v>0</v>
      </c>
      <c r="P841" s="83">
        <f t="shared" si="3"/>
        <v>0</v>
      </c>
      <c r="Q841" s="83">
        <f t="shared" si="4"/>
        <v>0</v>
      </c>
      <c r="R841" s="36" t="str">
        <f t="array" ref="R841">IF(B841="","",INDEX('Bán nhanh'!$C$4:$C$103,INT((ROW()-4)/10)+1))</f>
        <v/>
      </c>
      <c r="S841" s="36" t="str">
        <f t="array" ref="S841">IF(B841="","",INDEX('Bán nhanh'!$P$4:$P$103,INT((ROW()-4)/10)+1))</f>
        <v/>
      </c>
      <c r="T841" s="36"/>
      <c r="U841" s="36"/>
      <c r="V841" s="36"/>
      <c r="W841" s="36"/>
      <c r="X841" s="36"/>
      <c r="Y841" s="36"/>
      <c r="Z841" s="36"/>
    </row>
    <row r="842" ht="15.75" customHeight="1">
      <c r="A842" s="96" t="str">
        <f t="array" ref="A842">IF(B842="","",INDEX('Bán nhanh'!$A$4:$A$103,INT((ROW()-4)/10)+1))</f>
        <v/>
      </c>
      <c r="B842" s="36" t="str">
        <f t="array" ref="B842">IF(OR(INDEX('Bán nhanh'!$D$3:$M$3,1,MOD(ROW()-4,10)+1)="",INDEX('Bán nhanh'!$D$4:$M$103,INT((ROW()-4)/10)+1,MOD(ROW()-4,10)+1)&lt;=0),"",INDEX('Bán nhanh'!$D$3:$M$3,1,MOD(ROW()-4,10)+1))</f>
        <v/>
      </c>
      <c r="C842" s="36" t="str">
        <f t="array" ref="C842">IFERROR(INDEX('Sản phẩm'!$A$4:$A$103,MATCH(B842,'Sản phẩm'!$D$4:$D$103,0)),"")</f>
        <v/>
      </c>
      <c r="D842" s="36" t="str">
        <f t="array" ref="D842">IF(B842="","",INDEX('Bán nhanh'!$B$4:$B$103,INT((ROW()-4)/10)+1))</f>
        <v/>
      </c>
      <c r="E842" s="36" t="str">
        <f t="array" ref="E842">IFERROR(INDEX('Mẻ sữa'!$B$4:$B$203,MATCH(D842,'Mẻ sữa'!$C$4:$C$203,0)),"")</f>
        <v/>
      </c>
      <c r="F842" s="82">
        <f t="array" ref="F842">IF(B842="",0,INDEX('Bán nhanh'!$D$4:$M$103,INT((ROW()-4)/10)+1,MOD(ROW()-4,10)+1))</f>
        <v>0</v>
      </c>
      <c r="G842" s="83">
        <f t="array" ref="G842">IFERROR(INDEX('Sản phẩm'!$F$4:$F$103,MATCH(B842,'Sản phẩm'!$D$4:$D$103,0)),0)</f>
        <v>0</v>
      </c>
      <c r="H842" s="83">
        <f t="shared" si="5"/>
        <v>0</v>
      </c>
      <c r="I842" s="83">
        <f t="shared" si="1"/>
        <v>0</v>
      </c>
      <c r="J842" s="83">
        <f t="array" ref="J842">IFERROR(INDEX('Sản phẩm'!$G$4:$G$103,MATCH(B842,'Sản phẩm'!$D$4:$D$103,0)),0)</f>
        <v>0</v>
      </c>
      <c r="K842" s="83">
        <f t="array" ref="K842">IFERROR(J842*INDEX('Mẻ sữa'!$N$4:$N$203,MATCH(D842,'Mẻ sữa'!$C$4:$C$203,0)),0)</f>
        <v>0</v>
      </c>
      <c r="L842" s="83">
        <f t="array" ref="L842">IFERROR(INDEX('Sản phẩm'!$I$4:$I$103,MATCH(B842,'Sản phẩm'!$D$4:$D$103,0)),0)</f>
        <v>0</v>
      </c>
      <c r="M842" s="97" t="str">
        <f t="array" ref="M842">IFERROR(INDEX('Sản phẩm'!$J$4:$J$103,MATCH(B842,'Sản phẩm'!$D$4:$D$103,0)),0)</f>
        <v/>
      </c>
      <c r="N842" s="83">
        <f>IF(B842="",0,(K842+L842+M842)*'Thiết lập'!$B$8)</f>
        <v>0</v>
      </c>
      <c r="O842" s="83">
        <f t="shared" si="2"/>
        <v>0</v>
      </c>
      <c r="P842" s="83">
        <f t="shared" si="3"/>
        <v>0</v>
      </c>
      <c r="Q842" s="83">
        <f t="shared" si="4"/>
        <v>0</v>
      </c>
      <c r="R842" s="36" t="str">
        <f t="array" ref="R842">IF(B842="","",INDEX('Bán nhanh'!$C$4:$C$103,INT((ROW()-4)/10)+1))</f>
        <v/>
      </c>
      <c r="S842" s="36" t="str">
        <f t="array" ref="S842">IF(B842="","",INDEX('Bán nhanh'!$P$4:$P$103,INT((ROW()-4)/10)+1))</f>
        <v/>
      </c>
      <c r="T842" s="36"/>
      <c r="U842" s="36"/>
      <c r="V842" s="36"/>
      <c r="W842" s="36"/>
      <c r="X842" s="36"/>
      <c r="Y842" s="36"/>
      <c r="Z842" s="36"/>
    </row>
    <row r="843" ht="15.75" customHeight="1">
      <c r="A843" s="96" t="str">
        <f t="array" ref="A843">IF(B843="","",INDEX('Bán nhanh'!$A$4:$A$103,INT((ROW()-4)/10)+1))</f>
        <v/>
      </c>
      <c r="B843" s="36" t="str">
        <f t="array" ref="B843">IF(OR(INDEX('Bán nhanh'!$D$3:$M$3,1,MOD(ROW()-4,10)+1)="",INDEX('Bán nhanh'!$D$4:$M$103,INT((ROW()-4)/10)+1,MOD(ROW()-4,10)+1)&lt;=0),"",INDEX('Bán nhanh'!$D$3:$M$3,1,MOD(ROW()-4,10)+1))</f>
        <v/>
      </c>
      <c r="C843" s="36" t="str">
        <f t="array" ref="C843">IFERROR(INDEX('Sản phẩm'!$A$4:$A$103,MATCH(B843,'Sản phẩm'!$D$4:$D$103,0)),"")</f>
        <v/>
      </c>
      <c r="D843" s="36" t="str">
        <f t="array" ref="D843">IF(B843="","",INDEX('Bán nhanh'!$B$4:$B$103,INT((ROW()-4)/10)+1))</f>
        <v/>
      </c>
      <c r="E843" s="36" t="str">
        <f t="array" ref="E843">IFERROR(INDEX('Mẻ sữa'!$B$4:$B$203,MATCH(D843,'Mẻ sữa'!$C$4:$C$203,0)),"")</f>
        <v/>
      </c>
      <c r="F843" s="82">
        <f t="array" ref="F843">IF(B843="",0,INDEX('Bán nhanh'!$D$4:$M$103,INT((ROW()-4)/10)+1,MOD(ROW()-4,10)+1))</f>
        <v>0</v>
      </c>
      <c r="G843" s="83">
        <f t="array" ref="G843">IFERROR(INDEX('Sản phẩm'!$F$4:$F$103,MATCH(B843,'Sản phẩm'!$D$4:$D$103,0)),0)</f>
        <v>0</v>
      </c>
      <c r="H843" s="83">
        <f t="shared" si="5"/>
        <v>0</v>
      </c>
      <c r="I843" s="83">
        <f t="shared" si="1"/>
        <v>0</v>
      </c>
      <c r="J843" s="83">
        <f t="array" ref="J843">IFERROR(INDEX('Sản phẩm'!$G$4:$G$103,MATCH(B843,'Sản phẩm'!$D$4:$D$103,0)),0)</f>
        <v>0</v>
      </c>
      <c r="K843" s="83">
        <f t="array" ref="K843">IFERROR(J843*INDEX('Mẻ sữa'!$N$4:$N$203,MATCH(D843,'Mẻ sữa'!$C$4:$C$203,0)),0)</f>
        <v>0</v>
      </c>
      <c r="L843" s="83">
        <f t="array" ref="L843">IFERROR(INDEX('Sản phẩm'!$I$4:$I$103,MATCH(B843,'Sản phẩm'!$D$4:$D$103,0)),0)</f>
        <v>0</v>
      </c>
      <c r="M843" s="97" t="str">
        <f t="array" ref="M843">IFERROR(INDEX('Sản phẩm'!$J$4:$J$103,MATCH(B843,'Sản phẩm'!$D$4:$D$103,0)),0)</f>
        <v/>
      </c>
      <c r="N843" s="83">
        <f>IF(B843="",0,(K843+L843+M843)*'Thiết lập'!$B$8)</f>
        <v>0</v>
      </c>
      <c r="O843" s="83">
        <f t="shared" si="2"/>
        <v>0</v>
      </c>
      <c r="P843" s="83">
        <f t="shared" si="3"/>
        <v>0</v>
      </c>
      <c r="Q843" s="83">
        <f t="shared" si="4"/>
        <v>0</v>
      </c>
      <c r="R843" s="36" t="str">
        <f t="array" ref="R843">IF(B843="","",INDEX('Bán nhanh'!$C$4:$C$103,INT((ROW()-4)/10)+1))</f>
        <v/>
      </c>
      <c r="S843" s="36" t="str">
        <f t="array" ref="S843">IF(B843="","",INDEX('Bán nhanh'!$P$4:$P$103,INT((ROW()-4)/10)+1))</f>
        <v/>
      </c>
      <c r="T843" s="36"/>
      <c r="U843" s="36"/>
      <c r="V843" s="36"/>
      <c r="W843" s="36"/>
      <c r="X843" s="36"/>
      <c r="Y843" s="36"/>
      <c r="Z843" s="36"/>
    </row>
    <row r="844" ht="15.75" customHeight="1">
      <c r="A844" s="96" t="str">
        <f t="array" ref="A844">IF(B844="","",INDEX('Bán nhanh'!$A$4:$A$103,INT((ROW()-4)/10)+1))</f>
        <v/>
      </c>
      <c r="B844" s="36" t="str">
        <f t="array" ref="B844">IF(OR(INDEX('Bán nhanh'!$D$3:$M$3,1,MOD(ROW()-4,10)+1)="",INDEX('Bán nhanh'!$D$4:$M$103,INT((ROW()-4)/10)+1,MOD(ROW()-4,10)+1)&lt;=0),"",INDEX('Bán nhanh'!$D$3:$M$3,1,MOD(ROW()-4,10)+1))</f>
        <v/>
      </c>
      <c r="C844" s="36" t="str">
        <f t="array" ref="C844">IFERROR(INDEX('Sản phẩm'!$A$4:$A$103,MATCH(B844,'Sản phẩm'!$D$4:$D$103,0)),"")</f>
        <v/>
      </c>
      <c r="D844" s="36" t="str">
        <f t="array" ref="D844">IF(B844="","",INDEX('Bán nhanh'!$B$4:$B$103,INT((ROW()-4)/10)+1))</f>
        <v/>
      </c>
      <c r="E844" s="36" t="str">
        <f t="array" ref="E844">IFERROR(INDEX('Mẻ sữa'!$B$4:$B$203,MATCH(D844,'Mẻ sữa'!$C$4:$C$203,0)),"")</f>
        <v/>
      </c>
      <c r="F844" s="82">
        <f t="array" ref="F844">IF(B844="",0,INDEX('Bán nhanh'!$D$4:$M$103,INT((ROW()-4)/10)+1,MOD(ROW()-4,10)+1))</f>
        <v>0</v>
      </c>
      <c r="G844" s="83">
        <f t="array" ref="G844">IFERROR(INDEX('Sản phẩm'!$F$4:$F$103,MATCH(B844,'Sản phẩm'!$D$4:$D$103,0)),0)</f>
        <v>0</v>
      </c>
      <c r="H844" s="83">
        <f t="shared" si="5"/>
        <v>0</v>
      </c>
      <c r="I844" s="83">
        <f t="shared" si="1"/>
        <v>0</v>
      </c>
      <c r="J844" s="83">
        <f t="array" ref="J844">IFERROR(INDEX('Sản phẩm'!$G$4:$G$103,MATCH(B844,'Sản phẩm'!$D$4:$D$103,0)),0)</f>
        <v>0</v>
      </c>
      <c r="K844" s="83">
        <f t="array" ref="K844">IFERROR(J844*INDEX('Mẻ sữa'!$N$4:$N$203,MATCH(D844,'Mẻ sữa'!$C$4:$C$203,0)),0)</f>
        <v>0</v>
      </c>
      <c r="L844" s="83">
        <f t="array" ref="L844">IFERROR(INDEX('Sản phẩm'!$I$4:$I$103,MATCH(B844,'Sản phẩm'!$D$4:$D$103,0)),0)</f>
        <v>0</v>
      </c>
      <c r="M844" s="97" t="str">
        <f t="array" ref="M844">IFERROR(INDEX('Sản phẩm'!$J$4:$J$103,MATCH(B844,'Sản phẩm'!$D$4:$D$103,0)),0)</f>
        <v/>
      </c>
      <c r="N844" s="83">
        <f>IF(B844="",0,(K844+L844+M844)*'Thiết lập'!$B$8)</f>
        <v>0</v>
      </c>
      <c r="O844" s="83">
        <f t="shared" si="2"/>
        <v>0</v>
      </c>
      <c r="P844" s="83">
        <f t="shared" si="3"/>
        <v>0</v>
      </c>
      <c r="Q844" s="83">
        <f t="shared" si="4"/>
        <v>0</v>
      </c>
      <c r="R844" s="36" t="str">
        <f t="array" ref="R844">IF(B844="","",INDEX('Bán nhanh'!$C$4:$C$103,INT((ROW()-4)/10)+1))</f>
        <v/>
      </c>
      <c r="S844" s="36" t="str">
        <f t="array" ref="S844">IF(B844="","",INDEX('Bán nhanh'!$P$4:$P$103,INT((ROW()-4)/10)+1))</f>
        <v/>
      </c>
      <c r="T844" s="36"/>
      <c r="U844" s="36"/>
      <c r="V844" s="36"/>
      <c r="W844" s="36"/>
      <c r="X844" s="36"/>
      <c r="Y844" s="36"/>
      <c r="Z844" s="36"/>
    </row>
    <row r="845" ht="15.75" customHeight="1">
      <c r="A845" s="96" t="str">
        <f t="array" ref="A845">IF(B845="","",INDEX('Bán nhanh'!$A$4:$A$103,INT((ROW()-4)/10)+1))</f>
        <v/>
      </c>
      <c r="B845" s="36" t="str">
        <f t="array" ref="B845">IF(OR(INDEX('Bán nhanh'!$D$3:$M$3,1,MOD(ROW()-4,10)+1)="",INDEX('Bán nhanh'!$D$4:$M$103,INT((ROW()-4)/10)+1,MOD(ROW()-4,10)+1)&lt;=0),"",INDEX('Bán nhanh'!$D$3:$M$3,1,MOD(ROW()-4,10)+1))</f>
        <v/>
      </c>
      <c r="C845" s="36" t="str">
        <f t="array" ref="C845">IFERROR(INDEX('Sản phẩm'!$A$4:$A$103,MATCH(B845,'Sản phẩm'!$D$4:$D$103,0)),"")</f>
        <v/>
      </c>
      <c r="D845" s="36" t="str">
        <f t="array" ref="D845">IF(B845="","",INDEX('Bán nhanh'!$B$4:$B$103,INT((ROW()-4)/10)+1))</f>
        <v/>
      </c>
      <c r="E845" s="36" t="str">
        <f t="array" ref="E845">IFERROR(INDEX('Mẻ sữa'!$B$4:$B$203,MATCH(D845,'Mẻ sữa'!$C$4:$C$203,0)),"")</f>
        <v/>
      </c>
      <c r="F845" s="82">
        <f t="array" ref="F845">IF(B845="",0,INDEX('Bán nhanh'!$D$4:$M$103,INT((ROW()-4)/10)+1,MOD(ROW()-4,10)+1))</f>
        <v>0</v>
      </c>
      <c r="G845" s="83">
        <f t="array" ref="G845">IFERROR(INDEX('Sản phẩm'!$F$4:$F$103,MATCH(B845,'Sản phẩm'!$D$4:$D$103,0)),0)</f>
        <v>0</v>
      </c>
      <c r="H845" s="83">
        <f t="shared" si="5"/>
        <v>0</v>
      </c>
      <c r="I845" s="83">
        <f t="shared" si="1"/>
        <v>0</v>
      </c>
      <c r="J845" s="83">
        <f t="array" ref="J845">IFERROR(INDEX('Sản phẩm'!$G$4:$G$103,MATCH(B845,'Sản phẩm'!$D$4:$D$103,0)),0)</f>
        <v>0</v>
      </c>
      <c r="K845" s="83">
        <f t="array" ref="K845">IFERROR(J845*INDEX('Mẻ sữa'!$N$4:$N$203,MATCH(D845,'Mẻ sữa'!$C$4:$C$203,0)),0)</f>
        <v>0</v>
      </c>
      <c r="L845" s="83">
        <f t="array" ref="L845">IFERROR(INDEX('Sản phẩm'!$I$4:$I$103,MATCH(B845,'Sản phẩm'!$D$4:$D$103,0)),0)</f>
        <v>0</v>
      </c>
      <c r="M845" s="97" t="str">
        <f t="array" ref="M845">IFERROR(INDEX('Sản phẩm'!$J$4:$J$103,MATCH(B845,'Sản phẩm'!$D$4:$D$103,0)),0)</f>
        <v/>
      </c>
      <c r="N845" s="83">
        <f>IF(B845="",0,(K845+L845+M845)*'Thiết lập'!$B$8)</f>
        <v>0</v>
      </c>
      <c r="O845" s="83">
        <f t="shared" si="2"/>
        <v>0</v>
      </c>
      <c r="P845" s="83">
        <f t="shared" si="3"/>
        <v>0</v>
      </c>
      <c r="Q845" s="83">
        <f t="shared" si="4"/>
        <v>0</v>
      </c>
      <c r="R845" s="36" t="str">
        <f t="array" ref="R845">IF(B845="","",INDEX('Bán nhanh'!$C$4:$C$103,INT((ROW()-4)/10)+1))</f>
        <v/>
      </c>
      <c r="S845" s="36" t="str">
        <f t="array" ref="S845">IF(B845="","",INDEX('Bán nhanh'!$P$4:$P$103,INT((ROW()-4)/10)+1))</f>
        <v/>
      </c>
      <c r="T845" s="36"/>
      <c r="U845" s="36"/>
      <c r="V845" s="36"/>
      <c r="W845" s="36"/>
      <c r="X845" s="36"/>
      <c r="Y845" s="36"/>
      <c r="Z845" s="36"/>
    </row>
    <row r="846" ht="15.75" customHeight="1">
      <c r="A846" s="96" t="str">
        <f t="array" ref="A846">IF(B846="","",INDEX('Bán nhanh'!$A$4:$A$103,INT((ROW()-4)/10)+1))</f>
        <v/>
      </c>
      <c r="B846" s="36" t="str">
        <f t="array" ref="B846">IF(OR(INDEX('Bán nhanh'!$D$3:$M$3,1,MOD(ROW()-4,10)+1)="",INDEX('Bán nhanh'!$D$4:$M$103,INT((ROW()-4)/10)+1,MOD(ROW()-4,10)+1)&lt;=0),"",INDEX('Bán nhanh'!$D$3:$M$3,1,MOD(ROW()-4,10)+1))</f>
        <v/>
      </c>
      <c r="C846" s="36" t="str">
        <f t="array" ref="C846">IFERROR(INDEX('Sản phẩm'!$A$4:$A$103,MATCH(B846,'Sản phẩm'!$D$4:$D$103,0)),"")</f>
        <v/>
      </c>
      <c r="D846" s="36" t="str">
        <f t="array" ref="D846">IF(B846="","",INDEX('Bán nhanh'!$B$4:$B$103,INT((ROW()-4)/10)+1))</f>
        <v/>
      </c>
      <c r="E846" s="36" t="str">
        <f t="array" ref="E846">IFERROR(INDEX('Mẻ sữa'!$B$4:$B$203,MATCH(D846,'Mẻ sữa'!$C$4:$C$203,0)),"")</f>
        <v/>
      </c>
      <c r="F846" s="82">
        <f t="array" ref="F846">IF(B846="",0,INDEX('Bán nhanh'!$D$4:$M$103,INT((ROW()-4)/10)+1,MOD(ROW()-4,10)+1))</f>
        <v>0</v>
      </c>
      <c r="G846" s="83">
        <f t="array" ref="G846">IFERROR(INDEX('Sản phẩm'!$F$4:$F$103,MATCH(B846,'Sản phẩm'!$D$4:$D$103,0)),0)</f>
        <v>0</v>
      </c>
      <c r="H846" s="83">
        <f t="shared" si="5"/>
        <v>0</v>
      </c>
      <c r="I846" s="83">
        <f t="shared" si="1"/>
        <v>0</v>
      </c>
      <c r="J846" s="83">
        <f t="array" ref="J846">IFERROR(INDEX('Sản phẩm'!$G$4:$G$103,MATCH(B846,'Sản phẩm'!$D$4:$D$103,0)),0)</f>
        <v>0</v>
      </c>
      <c r="K846" s="83">
        <f t="array" ref="K846">IFERROR(J846*INDEX('Mẻ sữa'!$N$4:$N$203,MATCH(D846,'Mẻ sữa'!$C$4:$C$203,0)),0)</f>
        <v>0</v>
      </c>
      <c r="L846" s="83">
        <f t="array" ref="L846">IFERROR(INDEX('Sản phẩm'!$I$4:$I$103,MATCH(B846,'Sản phẩm'!$D$4:$D$103,0)),0)</f>
        <v>0</v>
      </c>
      <c r="M846" s="97" t="str">
        <f t="array" ref="M846">IFERROR(INDEX('Sản phẩm'!$J$4:$J$103,MATCH(B846,'Sản phẩm'!$D$4:$D$103,0)),0)</f>
        <v/>
      </c>
      <c r="N846" s="83">
        <f>IF(B846="",0,(K846+L846+M846)*'Thiết lập'!$B$8)</f>
        <v>0</v>
      </c>
      <c r="O846" s="83">
        <f t="shared" si="2"/>
        <v>0</v>
      </c>
      <c r="P846" s="83">
        <f t="shared" si="3"/>
        <v>0</v>
      </c>
      <c r="Q846" s="83">
        <f t="shared" si="4"/>
        <v>0</v>
      </c>
      <c r="R846" s="36" t="str">
        <f t="array" ref="R846">IF(B846="","",INDEX('Bán nhanh'!$C$4:$C$103,INT((ROW()-4)/10)+1))</f>
        <v/>
      </c>
      <c r="S846" s="36" t="str">
        <f t="array" ref="S846">IF(B846="","",INDEX('Bán nhanh'!$P$4:$P$103,INT((ROW()-4)/10)+1))</f>
        <v/>
      </c>
      <c r="T846" s="36"/>
      <c r="U846" s="36"/>
      <c r="V846" s="36"/>
      <c r="W846" s="36"/>
      <c r="X846" s="36"/>
      <c r="Y846" s="36"/>
      <c r="Z846" s="36"/>
    </row>
    <row r="847" ht="15.75" customHeight="1">
      <c r="A847" s="96" t="str">
        <f t="array" ref="A847">IF(B847="","",INDEX('Bán nhanh'!$A$4:$A$103,INT((ROW()-4)/10)+1))</f>
        <v/>
      </c>
      <c r="B847" s="36" t="str">
        <f t="array" ref="B847">IF(OR(INDEX('Bán nhanh'!$D$3:$M$3,1,MOD(ROW()-4,10)+1)="",INDEX('Bán nhanh'!$D$4:$M$103,INT((ROW()-4)/10)+1,MOD(ROW()-4,10)+1)&lt;=0),"",INDEX('Bán nhanh'!$D$3:$M$3,1,MOD(ROW()-4,10)+1))</f>
        <v/>
      </c>
      <c r="C847" s="36" t="str">
        <f t="array" ref="C847">IFERROR(INDEX('Sản phẩm'!$A$4:$A$103,MATCH(B847,'Sản phẩm'!$D$4:$D$103,0)),"")</f>
        <v/>
      </c>
      <c r="D847" s="36" t="str">
        <f t="array" ref="D847">IF(B847="","",INDEX('Bán nhanh'!$B$4:$B$103,INT((ROW()-4)/10)+1))</f>
        <v/>
      </c>
      <c r="E847" s="36" t="str">
        <f t="array" ref="E847">IFERROR(INDEX('Mẻ sữa'!$B$4:$B$203,MATCH(D847,'Mẻ sữa'!$C$4:$C$203,0)),"")</f>
        <v/>
      </c>
      <c r="F847" s="82">
        <f t="array" ref="F847">IF(B847="",0,INDEX('Bán nhanh'!$D$4:$M$103,INT((ROW()-4)/10)+1,MOD(ROW()-4,10)+1))</f>
        <v>0</v>
      </c>
      <c r="G847" s="83">
        <f t="array" ref="G847">IFERROR(INDEX('Sản phẩm'!$F$4:$F$103,MATCH(B847,'Sản phẩm'!$D$4:$D$103,0)),0)</f>
        <v>0</v>
      </c>
      <c r="H847" s="83">
        <f t="shared" si="5"/>
        <v>0</v>
      </c>
      <c r="I847" s="83">
        <f t="shared" si="1"/>
        <v>0</v>
      </c>
      <c r="J847" s="83">
        <f t="array" ref="J847">IFERROR(INDEX('Sản phẩm'!$G$4:$G$103,MATCH(B847,'Sản phẩm'!$D$4:$D$103,0)),0)</f>
        <v>0</v>
      </c>
      <c r="K847" s="83">
        <f t="array" ref="K847">IFERROR(J847*INDEX('Mẻ sữa'!$N$4:$N$203,MATCH(D847,'Mẻ sữa'!$C$4:$C$203,0)),0)</f>
        <v>0</v>
      </c>
      <c r="L847" s="83">
        <f t="array" ref="L847">IFERROR(INDEX('Sản phẩm'!$I$4:$I$103,MATCH(B847,'Sản phẩm'!$D$4:$D$103,0)),0)</f>
        <v>0</v>
      </c>
      <c r="M847" s="97" t="str">
        <f t="array" ref="M847">IFERROR(INDEX('Sản phẩm'!$J$4:$J$103,MATCH(B847,'Sản phẩm'!$D$4:$D$103,0)),0)</f>
        <v/>
      </c>
      <c r="N847" s="83">
        <f>IF(B847="",0,(K847+L847+M847)*'Thiết lập'!$B$8)</f>
        <v>0</v>
      </c>
      <c r="O847" s="83">
        <f t="shared" si="2"/>
        <v>0</v>
      </c>
      <c r="P847" s="83">
        <f t="shared" si="3"/>
        <v>0</v>
      </c>
      <c r="Q847" s="83">
        <f t="shared" si="4"/>
        <v>0</v>
      </c>
      <c r="R847" s="36" t="str">
        <f t="array" ref="R847">IF(B847="","",INDEX('Bán nhanh'!$C$4:$C$103,INT((ROW()-4)/10)+1))</f>
        <v/>
      </c>
      <c r="S847" s="36" t="str">
        <f t="array" ref="S847">IF(B847="","",INDEX('Bán nhanh'!$P$4:$P$103,INT((ROW()-4)/10)+1))</f>
        <v/>
      </c>
      <c r="T847" s="36"/>
      <c r="U847" s="36"/>
      <c r="V847" s="36"/>
      <c r="W847" s="36"/>
      <c r="X847" s="36"/>
      <c r="Y847" s="36"/>
      <c r="Z847" s="36"/>
    </row>
    <row r="848" ht="15.75" customHeight="1">
      <c r="A848" s="96" t="str">
        <f t="array" ref="A848">IF(B848="","",INDEX('Bán nhanh'!$A$4:$A$103,INT((ROW()-4)/10)+1))</f>
        <v/>
      </c>
      <c r="B848" s="36" t="str">
        <f t="array" ref="B848">IF(OR(INDEX('Bán nhanh'!$D$3:$M$3,1,MOD(ROW()-4,10)+1)="",INDEX('Bán nhanh'!$D$4:$M$103,INT((ROW()-4)/10)+1,MOD(ROW()-4,10)+1)&lt;=0),"",INDEX('Bán nhanh'!$D$3:$M$3,1,MOD(ROW()-4,10)+1))</f>
        <v/>
      </c>
      <c r="C848" s="36" t="str">
        <f t="array" ref="C848">IFERROR(INDEX('Sản phẩm'!$A$4:$A$103,MATCH(B848,'Sản phẩm'!$D$4:$D$103,0)),"")</f>
        <v/>
      </c>
      <c r="D848" s="36" t="str">
        <f t="array" ref="D848">IF(B848="","",INDEX('Bán nhanh'!$B$4:$B$103,INT((ROW()-4)/10)+1))</f>
        <v/>
      </c>
      <c r="E848" s="36" t="str">
        <f t="array" ref="E848">IFERROR(INDEX('Mẻ sữa'!$B$4:$B$203,MATCH(D848,'Mẻ sữa'!$C$4:$C$203,0)),"")</f>
        <v/>
      </c>
      <c r="F848" s="82">
        <f t="array" ref="F848">IF(B848="",0,INDEX('Bán nhanh'!$D$4:$M$103,INT((ROW()-4)/10)+1,MOD(ROW()-4,10)+1))</f>
        <v>0</v>
      </c>
      <c r="G848" s="83">
        <f t="array" ref="G848">IFERROR(INDEX('Sản phẩm'!$F$4:$F$103,MATCH(B848,'Sản phẩm'!$D$4:$D$103,0)),0)</f>
        <v>0</v>
      </c>
      <c r="H848" s="83">
        <f t="shared" si="5"/>
        <v>0</v>
      </c>
      <c r="I848" s="83">
        <f t="shared" si="1"/>
        <v>0</v>
      </c>
      <c r="J848" s="83">
        <f t="array" ref="J848">IFERROR(INDEX('Sản phẩm'!$G$4:$G$103,MATCH(B848,'Sản phẩm'!$D$4:$D$103,0)),0)</f>
        <v>0</v>
      </c>
      <c r="K848" s="83">
        <f t="array" ref="K848">IFERROR(J848*INDEX('Mẻ sữa'!$N$4:$N$203,MATCH(D848,'Mẻ sữa'!$C$4:$C$203,0)),0)</f>
        <v>0</v>
      </c>
      <c r="L848" s="83">
        <f t="array" ref="L848">IFERROR(INDEX('Sản phẩm'!$I$4:$I$103,MATCH(B848,'Sản phẩm'!$D$4:$D$103,0)),0)</f>
        <v>0</v>
      </c>
      <c r="M848" s="97" t="str">
        <f t="array" ref="M848">IFERROR(INDEX('Sản phẩm'!$J$4:$J$103,MATCH(B848,'Sản phẩm'!$D$4:$D$103,0)),0)</f>
        <v/>
      </c>
      <c r="N848" s="83">
        <f>IF(B848="",0,(K848+L848+M848)*'Thiết lập'!$B$8)</f>
        <v>0</v>
      </c>
      <c r="O848" s="83">
        <f t="shared" si="2"/>
        <v>0</v>
      </c>
      <c r="P848" s="83">
        <f t="shared" si="3"/>
        <v>0</v>
      </c>
      <c r="Q848" s="83">
        <f t="shared" si="4"/>
        <v>0</v>
      </c>
      <c r="R848" s="36" t="str">
        <f t="array" ref="R848">IF(B848="","",INDEX('Bán nhanh'!$C$4:$C$103,INT((ROW()-4)/10)+1))</f>
        <v/>
      </c>
      <c r="S848" s="36" t="str">
        <f t="array" ref="S848">IF(B848="","",INDEX('Bán nhanh'!$P$4:$P$103,INT((ROW()-4)/10)+1))</f>
        <v/>
      </c>
      <c r="T848" s="36"/>
      <c r="U848" s="36"/>
      <c r="V848" s="36"/>
      <c r="W848" s="36"/>
      <c r="X848" s="36"/>
      <c r="Y848" s="36"/>
      <c r="Z848" s="36"/>
    </row>
    <row r="849" ht="15.75" customHeight="1">
      <c r="A849" s="96" t="str">
        <f t="array" ref="A849">IF(B849="","",INDEX('Bán nhanh'!$A$4:$A$103,INT((ROW()-4)/10)+1))</f>
        <v/>
      </c>
      <c r="B849" s="36" t="str">
        <f t="array" ref="B849">IF(OR(INDEX('Bán nhanh'!$D$3:$M$3,1,MOD(ROW()-4,10)+1)="",INDEX('Bán nhanh'!$D$4:$M$103,INT((ROW()-4)/10)+1,MOD(ROW()-4,10)+1)&lt;=0),"",INDEX('Bán nhanh'!$D$3:$M$3,1,MOD(ROW()-4,10)+1))</f>
        <v/>
      </c>
      <c r="C849" s="36" t="str">
        <f t="array" ref="C849">IFERROR(INDEX('Sản phẩm'!$A$4:$A$103,MATCH(B849,'Sản phẩm'!$D$4:$D$103,0)),"")</f>
        <v/>
      </c>
      <c r="D849" s="36" t="str">
        <f t="array" ref="D849">IF(B849="","",INDEX('Bán nhanh'!$B$4:$B$103,INT((ROW()-4)/10)+1))</f>
        <v/>
      </c>
      <c r="E849" s="36" t="str">
        <f t="array" ref="E849">IFERROR(INDEX('Mẻ sữa'!$B$4:$B$203,MATCH(D849,'Mẻ sữa'!$C$4:$C$203,0)),"")</f>
        <v/>
      </c>
      <c r="F849" s="82">
        <f t="array" ref="F849">IF(B849="",0,INDEX('Bán nhanh'!$D$4:$M$103,INT((ROW()-4)/10)+1,MOD(ROW()-4,10)+1))</f>
        <v>0</v>
      </c>
      <c r="G849" s="83">
        <f t="array" ref="G849">IFERROR(INDEX('Sản phẩm'!$F$4:$F$103,MATCH(B849,'Sản phẩm'!$D$4:$D$103,0)),0)</f>
        <v>0</v>
      </c>
      <c r="H849" s="83">
        <f t="shared" si="5"/>
        <v>0</v>
      </c>
      <c r="I849" s="83">
        <f t="shared" si="1"/>
        <v>0</v>
      </c>
      <c r="J849" s="83">
        <f t="array" ref="J849">IFERROR(INDEX('Sản phẩm'!$G$4:$G$103,MATCH(B849,'Sản phẩm'!$D$4:$D$103,0)),0)</f>
        <v>0</v>
      </c>
      <c r="K849" s="83">
        <f t="array" ref="K849">IFERROR(J849*INDEX('Mẻ sữa'!$N$4:$N$203,MATCH(D849,'Mẻ sữa'!$C$4:$C$203,0)),0)</f>
        <v>0</v>
      </c>
      <c r="L849" s="83">
        <f t="array" ref="L849">IFERROR(INDEX('Sản phẩm'!$I$4:$I$103,MATCH(B849,'Sản phẩm'!$D$4:$D$103,0)),0)</f>
        <v>0</v>
      </c>
      <c r="M849" s="97" t="str">
        <f t="array" ref="M849">IFERROR(INDEX('Sản phẩm'!$J$4:$J$103,MATCH(B849,'Sản phẩm'!$D$4:$D$103,0)),0)</f>
        <v/>
      </c>
      <c r="N849" s="83">
        <f>IF(B849="",0,(K849+L849+M849)*'Thiết lập'!$B$8)</f>
        <v>0</v>
      </c>
      <c r="O849" s="83">
        <f t="shared" si="2"/>
        <v>0</v>
      </c>
      <c r="P849" s="83">
        <f t="shared" si="3"/>
        <v>0</v>
      </c>
      <c r="Q849" s="83">
        <f t="shared" si="4"/>
        <v>0</v>
      </c>
      <c r="R849" s="36" t="str">
        <f t="array" ref="R849">IF(B849="","",INDEX('Bán nhanh'!$C$4:$C$103,INT((ROW()-4)/10)+1))</f>
        <v/>
      </c>
      <c r="S849" s="36" t="str">
        <f t="array" ref="S849">IF(B849="","",INDEX('Bán nhanh'!$P$4:$P$103,INT((ROW()-4)/10)+1))</f>
        <v/>
      </c>
      <c r="T849" s="36"/>
      <c r="U849" s="36"/>
      <c r="V849" s="36"/>
      <c r="W849" s="36"/>
      <c r="X849" s="36"/>
      <c r="Y849" s="36"/>
      <c r="Z849" s="36"/>
    </row>
    <row r="850" ht="15.75" customHeight="1">
      <c r="A850" s="96" t="str">
        <f t="array" ref="A850">IF(B850="","",INDEX('Bán nhanh'!$A$4:$A$103,INT((ROW()-4)/10)+1))</f>
        <v/>
      </c>
      <c r="B850" s="36" t="str">
        <f t="array" ref="B850">IF(OR(INDEX('Bán nhanh'!$D$3:$M$3,1,MOD(ROW()-4,10)+1)="",INDEX('Bán nhanh'!$D$4:$M$103,INT((ROW()-4)/10)+1,MOD(ROW()-4,10)+1)&lt;=0),"",INDEX('Bán nhanh'!$D$3:$M$3,1,MOD(ROW()-4,10)+1))</f>
        <v/>
      </c>
      <c r="C850" s="36" t="str">
        <f t="array" ref="C850">IFERROR(INDEX('Sản phẩm'!$A$4:$A$103,MATCH(B850,'Sản phẩm'!$D$4:$D$103,0)),"")</f>
        <v/>
      </c>
      <c r="D850" s="36" t="str">
        <f t="array" ref="D850">IF(B850="","",INDEX('Bán nhanh'!$B$4:$B$103,INT((ROW()-4)/10)+1))</f>
        <v/>
      </c>
      <c r="E850" s="36" t="str">
        <f t="array" ref="E850">IFERROR(INDEX('Mẻ sữa'!$B$4:$B$203,MATCH(D850,'Mẻ sữa'!$C$4:$C$203,0)),"")</f>
        <v/>
      </c>
      <c r="F850" s="82">
        <f t="array" ref="F850">IF(B850="",0,INDEX('Bán nhanh'!$D$4:$M$103,INT((ROW()-4)/10)+1,MOD(ROW()-4,10)+1))</f>
        <v>0</v>
      </c>
      <c r="G850" s="83">
        <f t="array" ref="G850">IFERROR(INDEX('Sản phẩm'!$F$4:$F$103,MATCH(B850,'Sản phẩm'!$D$4:$D$103,0)),0)</f>
        <v>0</v>
      </c>
      <c r="H850" s="83">
        <f t="shared" si="5"/>
        <v>0</v>
      </c>
      <c r="I850" s="83">
        <f t="shared" si="1"/>
        <v>0</v>
      </c>
      <c r="J850" s="83">
        <f t="array" ref="J850">IFERROR(INDEX('Sản phẩm'!$G$4:$G$103,MATCH(B850,'Sản phẩm'!$D$4:$D$103,0)),0)</f>
        <v>0</v>
      </c>
      <c r="K850" s="83">
        <f t="array" ref="K850">IFERROR(J850*INDEX('Mẻ sữa'!$N$4:$N$203,MATCH(D850,'Mẻ sữa'!$C$4:$C$203,0)),0)</f>
        <v>0</v>
      </c>
      <c r="L850" s="83">
        <f t="array" ref="L850">IFERROR(INDEX('Sản phẩm'!$I$4:$I$103,MATCH(B850,'Sản phẩm'!$D$4:$D$103,0)),0)</f>
        <v>0</v>
      </c>
      <c r="M850" s="97" t="str">
        <f t="array" ref="M850">IFERROR(INDEX('Sản phẩm'!$J$4:$J$103,MATCH(B850,'Sản phẩm'!$D$4:$D$103,0)),0)</f>
        <v/>
      </c>
      <c r="N850" s="83">
        <f>IF(B850="",0,(K850+L850+M850)*'Thiết lập'!$B$8)</f>
        <v>0</v>
      </c>
      <c r="O850" s="83">
        <f t="shared" si="2"/>
        <v>0</v>
      </c>
      <c r="P850" s="83">
        <f t="shared" si="3"/>
        <v>0</v>
      </c>
      <c r="Q850" s="83">
        <f t="shared" si="4"/>
        <v>0</v>
      </c>
      <c r="R850" s="36" t="str">
        <f t="array" ref="R850">IF(B850="","",INDEX('Bán nhanh'!$C$4:$C$103,INT((ROW()-4)/10)+1))</f>
        <v/>
      </c>
      <c r="S850" s="36" t="str">
        <f t="array" ref="S850">IF(B850="","",INDEX('Bán nhanh'!$P$4:$P$103,INT((ROW()-4)/10)+1))</f>
        <v/>
      </c>
      <c r="T850" s="36"/>
      <c r="U850" s="36"/>
      <c r="V850" s="36"/>
      <c r="W850" s="36"/>
      <c r="X850" s="36"/>
      <c r="Y850" s="36"/>
      <c r="Z850" s="36"/>
    </row>
    <row r="851" ht="15.75" customHeight="1">
      <c r="A851" s="96" t="str">
        <f t="array" ref="A851">IF(B851="","",INDEX('Bán nhanh'!$A$4:$A$103,INT((ROW()-4)/10)+1))</f>
        <v/>
      </c>
      <c r="B851" s="36" t="str">
        <f t="array" ref="B851">IF(OR(INDEX('Bán nhanh'!$D$3:$M$3,1,MOD(ROW()-4,10)+1)="",INDEX('Bán nhanh'!$D$4:$M$103,INT((ROW()-4)/10)+1,MOD(ROW()-4,10)+1)&lt;=0),"",INDEX('Bán nhanh'!$D$3:$M$3,1,MOD(ROW()-4,10)+1))</f>
        <v/>
      </c>
      <c r="C851" s="36" t="str">
        <f t="array" ref="C851">IFERROR(INDEX('Sản phẩm'!$A$4:$A$103,MATCH(B851,'Sản phẩm'!$D$4:$D$103,0)),"")</f>
        <v/>
      </c>
      <c r="D851" s="36" t="str">
        <f t="array" ref="D851">IF(B851="","",INDEX('Bán nhanh'!$B$4:$B$103,INT((ROW()-4)/10)+1))</f>
        <v/>
      </c>
      <c r="E851" s="36" t="str">
        <f t="array" ref="E851">IFERROR(INDEX('Mẻ sữa'!$B$4:$B$203,MATCH(D851,'Mẻ sữa'!$C$4:$C$203,0)),"")</f>
        <v/>
      </c>
      <c r="F851" s="82">
        <f t="array" ref="F851">IF(B851="",0,INDEX('Bán nhanh'!$D$4:$M$103,INT((ROW()-4)/10)+1,MOD(ROW()-4,10)+1))</f>
        <v>0</v>
      </c>
      <c r="G851" s="83">
        <f t="array" ref="G851">IFERROR(INDEX('Sản phẩm'!$F$4:$F$103,MATCH(B851,'Sản phẩm'!$D$4:$D$103,0)),0)</f>
        <v>0</v>
      </c>
      <c r="H851" s="83">
        <f t="shared" si="5"/>
        <v>0</v>
      </c>
      <c r="I851" s="83">
        <f t="shared" si="1"/>
        <v>0</v>
      </c>
      <c r="J851" s="83">
        <f t="array" ref="J851">IFERROR(INDEX('Sản phẩm'!$G$4:$G$103,MATCH(B851,'Sản phẩm'!$D$4:$D$103,0)),0)</f>
        <v>0</v>
      </c>
      <c r="K851" s="83">
        <f t="array" ref="K851">IFERROR(J851*INDEX('Mẻ sữa'!$N$4:$N$203,MATCH(D851,'Mẻ sữa'!$C$4:$C$203,0)),0)</f>
        <v>0</v>
      </c>
      <c r="L851" s="83">
        <f t="array" ref="L851">IFERROR(INDEX('Sản phẩm'!$I$4:$I$103,MATCH(B851,'Sản phẩm'!$D$4:$D$103,0)),0)</f>
        <v>0</v>
      </c>
      <c r="M851" s="97" t="str">
        <f t="array" ref="M851">IFERROR(INDEX('Sản phẩm'!$J$4:$J$103,MATCH(B851,'Sản phẩm'!$D$4:$D$103,0)),0)</f>
        <v/>
      </c>
      <c r="N851" s="83">
        <f>IF(B851="",0,(K851+L851+M851)*'Thiết lập'!$B$8)</f>
        <v>0</v>
      </c>
      <c r="O851" s="83">
        <f t="shared" si="2"/>
        <v>0</v>
      </c>
      <c r="P851" s="83">
        <f t="shared" si="3"/>
        <v>0</v>
      </c>
      <c r="Q851" s="83">
        <f t="shared" si="4"/>
        <v>0</v>
      </c>
      <c r="R851" s="36" t="str">
        <f t="array" ref="R851">IF(B851="","",INDEX('Bán nhanh'!$C$4:$C$103,INT((ROW()-4)/10)+1))</f>
        <v/>
      </c>
      <c r="S851" s="36" t="str">
        <f t="array" ref="S851">IF(B851="","",INDEX('Bán nhanh'!$P$4:$P$103,INT((ROW()-4)/10)+1))</f>
        <v/>
      </c>
      <c r="T851" s="36"/>
      <c r="U851" s="36"/>
      <c r="V851" s="36"/>
      <c r="W851" s="36"/>
      <c r="X851" s="36"/>
      <c r="Y851" s="36"/>
      <c r="Z851" s="36"/>
    </row>
    <row r="852" ht="15.75" customHeight="1">
      <c r="A852" s="96" t="str">
        <f t="array" ref="A852">IF(B852="","",INDEX('Bán nhanh'!$A$4:$A$103,INT((ROW()-4)/10)+1))</f>
        <v/>
      </c>
      <c r="B852" s="36" t="str">
        <f t="array" ref="B852">IF(OR(INDEX('Bán nhanh'!$D$3:$M$3,1,MOD(ROW()-4,10)+1)="",INDEX('Bán nhanh'!$D$4:$M$103,INT((ROW()-4)/10)+1,MOD(ROW()-4,10)+1)&lt;=0),"",INDEX('Bán nhanh'!$D$3:$M$3,1,MOD(ROW()-4,10)+1))</f>
        <v/>
      </c>
      <c r="C852" s="36" t="str">
        <f t="array" ref="C852">IFERROR(INDEX('Sản phẩm'!$A$4:$A$103,MATCH(B852,'Sản phẩm'!$D$4:$D$103,0)),"")</f>
        <v/>
      </c>
      <c r="D852" s="36" t="str">
        <f t="array" ref="D852">IF(B852="","",INDEX('Bán nhanh'!$B$4:$B$103,INT((ROW()-4)/10)+1))</f>
        <v/>
      </c>
      <c r="E852" s="36" t="str">
        <f t="array" ref="E852">IFERROR(INDEX('Mẻ sữa'!$B$4:$B$203,MATCH(D852,'Mẻ sữa'!$C$4:$C$203,0)),"")</f>
        <v/>
      </c>
      <c r="F852" s="82">
        <f t="array" ref="F852">IF(B852="",0,INDEX('Bán nhanh'!$D$4:$M$103,INT((ROW()-4)/10)+1,MOD(ROW()-4,10)+1))</f>
        <v>0</v>
      </c>
      <c r="G852" s="83">
        <f t="array" ref="G852">IFERROR(INDEX('Sản phẩm'!$F$4:$F$103,MATCH(B852,'Sản phẩm'!$D$4:$D$103,0)),0)</f>
        <v>0</v>
      </c>
      <c r="H852" s="83">
        <f t="shared" si="5"/>
        <v>0</v>
      </c>
      <c r="I852" s="83">
        <f t="shared" si="1"/>
        <v>0</v>
      </c>
      <c r="J852" s="83">
        <f t="array" ref="J852">IFERROR(INDEX('Sản phẩm'!$G$4:$G$103,MATCH(B852,'Sản phẩm'!$D$4:$D$103,0)),0)</f>
        <v>0</v>
      </c>
      <c r="K852" s="83">
        <f t="array" ref="K852">IFERROR(J852*INDEX('Mẻ sữa'!$N$4:$N$203,MATCH(D852,'Mẻ sữa'!$C$4:$C$203,0)),0)</f>
        <v>0</v>
      </c>
      <c r="L852" s="83">
        <f t="array" ref="L852">IFERROR(INDEX('Sản phẩm'!$I$4:$I$103,MATCH(B852,'Sản phẩm'!$D$4:$D$103,0)),0)</f>
        <v>0</v>
      </c>
      <c r="M852" s="97" t="str">
        <f t="array" ref="M852">IFERROR(INDEX('Sản phẩm'!$J$4:$J$103,MATCH(B852,'Sản phẩm'!$D$4:$D$103,0)),0)</f>
        <v/>
      </c>
      <c r="N852" s="83">
        <f>IF(B852="",0,(K852+L852+M852)*'Thiết lập'!$B$8)</f>
        <v>0</v>
      </c>
      <c r="O852" s="83">
        <f t="shared" si="2"/>
        <v>0</v>
      </c>
      <c r="P852" s="83">
        <f t="shared" si="3"/>
        <v>0</v>
      </c>
      <c r="Q852" s="83">
        <f t="shared" si="4"/>
        <v>0</v>
      </c>
      <c r="R852" s="36" t="str">
        <f t="array" ref="R852">IF(B852="","",INDEX('Bán nhanh'!$C$4:$C$103,INT((ROW()-4)/10)+1))</f>
        <v/>
      </c>
      <c r="S852" s="36" t="str">
        <f t="array" ref="S852">IF(B852="","",INDEX('Bán nhanh'!$P$4:$P$103,INT((ROW()-4)/10)+1))</f>
        <v/>
      </c>
      <c r="T852" s="36"/>
      <c r="U852" s="36"/>
      <c r="V852" s="36"/>
      <c r="W852" s="36"/>
      <c r="X852" s="36"/>
      <c r="Y852" s="36"/>
      <c r="Z852" s="36"/>
    </row>
    <row r="853" ht="15.75" customHeight="1">
      <c r="A853" s="96" t="str">
        <f t="array" ref="A853">IF(B853="","",INDEX('Bán nhanh'!$A$4:$A$103,INT((ROW()-4)/10)+1))</f>
        <v/>
      </c>
      <c r="B853" s="36" t="str">
        <f t="array" ref="B853">IF(OR(INDEX('Bán nhanh'!$D$3:$M$3,1,MOD(ROW()-4,10)+1)="",INDEX('Bán nhanh'!$D$4:$M$103,INT((ROW()-4)/10)+1,MOD(ROW()-4,10)+1)&lt;=0),"",INDEX('Bán nhanh'!$D$3:$M$3,1,MOD(ROW()-4,10)+1))</f>
        <v/>
      </c>
      <c r="C853" s="36" t="str">
        <f t="array" ref="C853">IFERROR(INDEX('Sản phẩm'!$A$4:$A$103,MATCH(B853,'Sản phẩm'!$D$4:$D$103,0)),"")</f>
        <v/>
      </c>
      <c r="D853" s="36" t="str">
        <f t="array" ref="D853">IF(B853="","",INDEX('Bán nhanh'!$B$4:$B$103,INT((ROW()-4)/10)+1))</f>
        <v/>
      </c>
      <c r="E853" s="36" t="str">
        <f t="array" ref="E853">IFERROR(INDEX('Mẻ sữa'!$B$4:$B$203,MATCH(D853,'Mẻ sữa'!$C$4:$C$203,0)),"")</f>
        <v/>
      </c>
      <c r="F853" s="82">
        <f t="array" ref="F853">IF(B853="",0,INDEX('Bán nhanh'!$D$4:$M$103,INT((ROW()-4)/10)+1,MOD(ROW()-4,10)+1))</f>
        <v>0</v>
      </c>
      <c r="G853" s="83">
        <f t="array" ref="G853">IFERROR(INDEX('Sản phẩm'!$F$4:$F$103,MATCH(B853,'Sản phẩm'!$D$4:$D$103,0)),0)</f>
        <v>0</v>
      </c>
      <c r="H853" s="83">
        <f t="shared" si="5"/>
        <v>0</v>
      </c>
      <c r="I853" s="83">
        <f t="shared" si="1"/>
        <v>0</v>
      </c>
      <c r="J853" s="83">
        <f t="array" ref="J853">IFERROR(INDEX('Sản phẩm'!$G$4:$G$103,MATCH(B853,'Sản phẩm'!$D$4:$D$103,0)),0)</f>
        <v>0</v>
      </c>
      <c r="K853" s="83">
        <f t="array" ref="K853">IFERROR(J853*INDEX('Mẻ sữa'!$N$4:$N$203,MATCH(D853,'Mẻ sữa'!$C$4:$C$203,0)),0)</f>
        <v>0</v>
      </c>
      <c r="L853" s="83">
        <f t="array" ref="L853">IFERROR(INDEX('Sản phẩm'!$I$4:$I$103,MATCH(B853,'Sản phẩm'!$D$4:$D$103,0)),0)</f>
        <v>0</v>
      </c>
      <c r="M853" s="97" t="str">
        <f t="array" ref="M853">IFERROR(INDEX('Sản phẩm'!$J$4:$J$103,MATCH(B853,'Sản phẩm'!$D$4:$D$103,0)),0)</f>
        <v/>
      </c>
      <c r="N853" s="83">
        <f>IF(B853="",0,(K853+L853+M853)*'Thiết lập'!$B$8)</f>
        <v>0</v>
      </c>
      <c r="O853" s="83">
        <f t="shared" si="2"/>
        <v>0</v>
      </c>
      <c r="P853" s="83">
        <f t="shared" si="3"/>
        <v>0</v>
      </c>
      <c r="Q853" s="83">
        <f t="shared" si="4"/>
        <v>0</v>
      </c>
      <c r="R853" s="36" t="str">
        <f t="array" ref="R853">IF(B853="","",INDEX('Bán nhanh'!$C$4:$C$103,INT((ROW()-4)/10)+1))</f>
        <v/>
      </c>
      <c r="S853" s="36" t="str">
        <f t="array" ref="S853">IF(B853="","",INDEX('Bán nhanh'!$P$4:$P$103,INT((ROW()-4)/10)+1))</f>
        <v/>
      </c>
      <c r="T853" s="36"/>
      <c r="U853" s="36"/>
      <c r="V853" s="36"/>
      <c r="W853" s="36"/>
      <c r="X853" s="36"/>
      <c r="Y853" s="36"/>
      <c r="Z853" s="36"/>
    </row>
    <row r="854" ht="15.75" customHeight="1">
      <c r="A854" s="96" t="str">
        <f t="array" ref="A854">IF(B854="","",INDEX('Bán nhanh'!$A$4:$A$103,INT((ROW()-4)/10)+1))</f>
        <v/>
      </c>
      <c r="B854" s="36" t="str">
        <f t="array" ref="B854">IF(OR(INDEX('Bán nhanh'!$D$3:$M$3,1,MOD(ROW()-4,10)+1)="",INDEX('Bán nhanh'!$D$4:$M$103,INT((ROW()-4)/10)+1,MOD(ROW()-4,10)+1)&lt;=0),"",INDEX('Bán nhanh'!$D$3:$M$3,1,MOD(ROW()-4,10)+1))</f>
        <v/>
      </c>
      <c r="C854" s="36" t="str">
        <f t="array" ref="C854">IFERROR(INDEX('Sản phẩm'!$A$4:$A$103,MATCH(B854,'Sản phẩm'!$D$4:$D$103,0)),"")</f>
        <v/>
      </c>
      <c r="D854" s="36" t="str">
        <f t="array" ref="D854">IF(B854="","",INDEX('Bán nhanh'!$B$4:$B$103,INT((ROW()-4)/10)+1))</f>
        <v/>
      </c>
      <c r="E854" s="36" t="str">
        <f t="array" ref="E854">IFERROR(INDEX('Mẻ sữa'!$B$4:$B$203,MATCH(D854,'Mẻ sữa'!$C$4:$C$203,0)),"")</f>
        <v/>
      </c>
      <c r="F854" s="82">
        <f t="array" ref="F854">IF(B854="",0,INDEX('Bán nhanh'!$D$4:$M$103,INT((ROW()-4)/10)+1,MOD(ROW()-4,10)+1))</f>
        <v>0</v>
      </c>
      <c r="G854" s="83">
        <f t="array" ref="G854">IFERROR(INDEX('Sản phẩm'!$F$4:$F$103,MATCH(B854,'Sản phẩm'!$D$4:$D$103,0)),0)</f>
        <v>0</v>
      </c>
      <c r="H854" s="83">
        <f t="shared" si="5"/>
        <v>0</v>
      </c>
      <c r="I854" s="83">
        <f t="shared" si="1"/>
        <v>0</v>
      </c>
      <c r="J854" s="83">
        <f t="array" ref="J854">IFERROR(INDEX('Sản phẩm'!$G$4:$G$103,MATCH(B854,'Sản phẩm'!$D$4:$D$103,0)),0)</f>
        <v>0</v>
      </c>
      <c r="K854" s="83">
        <f t="array" ref="K854">IFERROR(J854*INDEX('Mẻ sữa'!$N$4:$N$203,MATCH(D854,'Mẻ sữa'!$C$4:$C$203,0)),0)</f>
        <v>0</v>
      </c>
      <c r="L854" s="83">
        <f t="array" ref="L854">IFERROR(INDEX('Sản phẩm'!$I$4:$I$103,MATCH(B854,'Sản phẩm'!$D$4:$D$103,0)),0)</f>
        <v>0</v>
      </c>
      <c r="M854" s="97" t="str">
        <f t="array" ref="M854">IFERROR(INDEX('Sản phẩm'!$J$4:$J$103,MATCH(B854,'Sản phẩm'!$D$4:$D$103,0)),0)</f>
        <v/>
      </c>
      <c r="N854" s="83">
        <f>IF(B854="",0,(K854+L854+M854)*'Thiết lập'!$B$8)</f>
        <v>0</v>
      </c>
      <c r="O854" s="83">
        <f t="shared" si="2"/>
        <v>0</v>
      </c>
      <c r="P854" s="83">
        <f t="shared" si="3"/>
        <v>0</v>
      </c>
      <c r="Q854" s="83">
        <f t="shared" si="4"/>
        <v>0</v>
      </c>
      <c r="R854" s="36" t="str">
        <f t="array" ref="R854">IF(B854="","",INDEX('Bán nhanh'!$C$4:$C$103,INT((ROW()-4)/10)+1))</f>
        <v/>
      </c>
      <c r="S854" s="36" t="str">
        <f t="array" ref="S854">IF(B854="","",INDEX('Bán nhanh'!$P$4:$P$103,INT((ROW()-4)/10)+1))</f>
        <v/>
      </c>
      <c r="T854" s="36"/>
      <c r="U854" s="36"/>
      <c r="V854" s="36"/>
      <c r="W854" s="36"/>
      <c r="X854" s="36"/>
      <c r="Y854" s="36"/>
      <c r="Z854" s="36"/>
    </row>
    <row r="855" ht="15.75" customHeight="1">
      <c r="A855" s="96" t="str">
        <f t="array" ref="A855">IF(B855="","",INDEX('Bán nhanh'!$A$4:$A$103,INT((ROW()-4)/10)+1))</f>
        <v/>
      </c>
      <c r="B855" s="36" t="str">
        <f t="array" ref="B855">IF(OR(INDEX('Bán nhanh'!$D$3:$M$3,1,MOD(ROW()-4,10)+1)="",INDEX('Bán nhanh'!$D$4:$M$103,INT((ROW()-4)/10)+1,MOD(ROW()-4,10)+1)&lt;=0),"",INDEX('Bán nhanh'!$D$3:$M$3,1,MOD(ROW()-4,10)+1))</f>
        <v/>
      </c>
      <c r="C855" s="36" t="str">
        <f t="array" ref="C855">IFERROR(INDEX('Sản phẩm'!$A$4:$A$103,MATCH(B855,'Sản phẩm'!$D$4:$D$103,0)),"")</f>
        <v/>
      </c>
      <c r="D855" s="36" t="str">
        <f t="array" ref="D855">IF(B855="","",INDEX('Bán nhanh'!$B$4:$B$103,INT((ROW()-4)/10)+1))</f>
        <v/>
      </c>
      <c r="E855" s="36" t="str">
        <f t="array" ref="E855">IFERROR(INDEX('Mẻ sữa'!$B$4:$B$203,MATCH(D855,'Mẻ sữa'!$C$4:$C$203,0)),"")</f>
        <v/>
      </c>
      <c r="F855" s="82">
        <f t="array" ref="F855">IF(B855="",0,INDEX('Bán nhanh'!$D$4:$M$103,INT((ROW()-4)/10)+1,MOD(ROW()-4,10)+1))</f>
        <v>0</v>
      </c>
      <c r="G855" s="83">
        <f t="array" ref="G855">IFERROR(INDEX('Sản phẩm'!$F$4:$F$103,MATCH(B855,'Sản phẩm'!$D$4:$D$103,0)),0)</f>
        <v>0</v>
      </c>
      <c r="H855" s="83">
        <f t="shared" si="5"/>
        <v>0</v>
      </c>
      <c r="I855" s="83">
        <f t="shared" si="1"/>
        <v>0</v>
      </c>
      <c r="J855" s="83">
        <f t="array" ref="J855">IFERROR(INDEX('Sản phẩm'!$G$4:$G$103,MATCH(B855,'Sản phẩm'!$D$4:$D$103,0)),0)</f>
        <v>0</v>
      </c>
      <c r="K855" s="83">
        <f t="array" ref="K855">IFERROR(J855*INDEX('Mẻ sữa'!$N$4:$N$203,MATCH(D855,'Mẻ sữa'!$C$4:$C$203,0)),0)</f>
        <v>0</v>
      </c>
      <c r="L855" s="83">
        <f t="array" ref="L855">IFERROR(INDEX('Sản phẩm'!$I$4:$I$103,MATCH(B855,'Sản phẩm'!$D$4:$D$103,0)),0)</f>
        <v>0</v>
      </c>
      <c r="M855" s="97" t="str">
        <f t="array" ref="M855">IFERROR(INDEX('Sản phẩm'!$J$4:$J$103,MATCH(B855,'Sản phẩm'!$D$4:$D$103,0)),0)</f>
        <v/>
      </c>
      <c r="N855" s="83">
        <f>IF(B855="",0,(K855+L855+M855)*'Thiết lập'!$B$8)</f>
        <v>0</v>
      </c>
      <c r="O855" s="83">
        <f t="shared" si="2"/>
        <v>0</v>
      </c>
      <c r="P855" s="83">
        <f t="shared" si="3"/>
        <v>0</v>
      </c>
      <c r="Q855" s="83">
        <f t="shared" si="4"/>
        <v>0</v>
      </c>
      <c r="R855" s="36" t="str">
        <f t="array" ref="R855">IF(B855="","",INDEX('Bán nhanh'!$C$4:$C$103,INT((ROW()-4)/10)+1))</f>
        <v/>
      </c>
      <c r="S855" s="36" t="str">
        <f t="array" ref="S855">IF(B855="","",INDEX('Bán nhanh'!$P$4:$P$103,INT((ROW()-4)/10)+1))</f>
        <v/>
      </c>
      <c r="T855" s="36"/>
      <c r="U855" s="36"/>
      <c r="V855" s="36"/>
      <c r="W855" s="36"/>
      <c r="X855" s="36"/>
      <c r="Y855" s="36"/>
      <c r="Z855" s="36"/>
    </row>
    <row r="856" ht="15.75" customHeight="1">
      <c r="A856" s="96" t="str">
        <f t="array" ref="A856">IF(B856="","",INDEX('Bán nhanh'!$A$4:$A$103,INT((ROW()-4)/10)+1))</f>
        <v/>
      </c>
      <c r="B856" s="36" t="str">
        <f t="array" ref="B856">IF(OR(INDEX('Bán nhanh'!$D$3:$M$3,1,MOD(ROW()-4,10)+1)="",INDEX('Bán nhanh'!$D$4:$M$103,INT((ROW()-4)/10)+1,MOD(ROW()-4,10)+1)&lt;=0),"",INDEX('Bán nhanh'!$D$3:$M$3,1,MOD(ROW()-4,10)+1))</f>
        <v/>
      </c>
      <c r="C856" s="36" t="str">
        <f t="array" ref="C856">IFERROR(INDEX('Sản phẩm'!$A$4:$A$103,MATCH(B856,'Sản phẩm'!$D$4:$D$103,0)),"")</f>
        <v/>
      </c>
      <c r="D856" s="36" t="str">
        <f t="array" ref="D856">IF(B856="","",INDEX('Bán nhanh'!$B$4:$B$103,INT((ROW()-4)/10)+1))</f>
        <v/>
      </c>
      <c r="E856" s="36" t="str">
        <f t="array" ref="E856">IFERROR(INDEX('Mẻ sữa'!$B$4:$B$203,MATCH(D856,'Mẻ sữa'!$C$4:$C$203,0)),"")</f>
        <v/>
      </c>
      <c r="F856" s="82">
        <f t="array" ref="F856">IF(B856="",0,INDEX('Bán nhanh'!$D$4:$M$103,INT((ROW()-4)/10)+1,MOD(ROW()-4,10)+1))</f>
        <v>0</v>
      </c>
      <c r="G856" s="83">
        <f t="array" ref="G856">IFERROR(INDEX('Sản phẩm'!$F$4:$F$103,MATCH(B856,'Sản phẩm'!$D$4:$D$103,0)),0)</f>
        <v>0</v>
      </c>
      <c r="H856" s="83">
        <f t="shared" si="5"/>
        <v>0</v>
      </c>
      <c r="I856" s="83">
        <f t="shared" si="1"/>
        <v>0</v>
      </c>
      <c r="J856" s="83">
        <f t="array" ref="J856">IFERROR(INDEX('Sản phẩm'!$G$4:$G$103,MATCH(B856,'Sản phẩm'!$D$4:$D$103,0)),0)</f>
        <v>0</v>
      </c>
      <c r="K856" s="83">
        <f t="array" ref="K856">IFERROR(J856*INDEX('Mẻ sữa'!$N$4:$N$203,MATCH(D856,'Mẻ sữa'!$C$4:$C$203,0)),0)</f>
        <v>0</v>
      </c>
      <c r="L856" s="83">
        <f t="array" ref="L856">IFERROR(INDEX('Sản phẩm'!$I$4:$I$103,MATCH(B856,'Sản phẩm'!$D$4:$D$103,0)),0)</f>
        <v>0</v>
      </c>
      <c r="M856" s="97" t="str">
        <f t="array" ref="M856">IFERROR(INDEX('Sản phẩm'!$J$4:$J$103,MATCH(B856,'Sản phẩm'!$D$4:$D$103,0)),0)</f>
        <v/>
      </c>
      <c r="N856" s="83">
        <f>IF(B856="",0,(K856+L856+M856)*'Thiết lập'!$B$8)</f>
        <v>0</v>
      </c>
      <c r="O856" s="83">
        <f t="shared" si="2"/>
        <v>0</v>
      </c>
      <c r="P856" s="83">
        <f t="shared" si="3"/>
        <v>0</v>
      </c>
      <c r="Q856" s="83">
        <f t="shared" si="4"/>
        <v>0</v>
      </c>
      <c r="R856" s="36" t="str">
        <f t="array" ref="R856">IF(B856="","",INDEX('Bán nhanh'!$C$4:$C$103,INT((ROW()-4)/10)+1))</f>
        <v/>
      </c>
      <c r="S856" s="36" t="str">
        <f t="array" ref="S856">IF(B856="","",INDEX('Bán nhanh'!$P$4:$P$103,INT((ROW()-4)/10)+1))</f>
        <v/>
      </c>
      <c r="T856" s="36"/>
      <c r="U856" s="36"/>
      <c r="V856" s="36"/>
      <c r="W856" s="36"/>
      <c r="X856" s="36"/>
      <c r="Y856" s="36"/>
      <c r="Z856" s="36"/>
    </row>
    <row r="857" ht="15.75" customHeight="1">
      <c r="A857" s="96" t="str">
        <f t="array" ref="A857">IF(B857="","",INDEX('Bán nhanh'!$A$4:$A$103,INT((ROW()-4)/10)+1))</f>
        <v/>
      </c>
      <c r="B857" s="36" t="str">
        <f t="array" ref="B857">IF(OR(INDEX('Bán nhanh'!$D$3:$M$3,1,MOD(ROW()-4,10)+1)="",INDEX('Bán nhanh'!$D$4:$M$103,INT((ROW()-4)/10)+1,MOD(ROW()-4,10)+1)&lt;=0),"",INDEX('Bán nhanh'!$D$3:$M$3,1,MOD(ROW()-4,10)+1))</f>
        <v/>
      </c>
      <c r="C857" s="36" t="str">
        <f t="array" ref="C857">IFERROR(INDEX('Sản phẩm'!$A$4:$A$103,MATCH(B857,'Sản phẩm'!$D$4:$D$103,0)),"")</f>
        <v/>
      </c>
      <c r="D857" s="36" t="str">
        <f t="array" ref="D857">IF(B857="","",INDEX('Bán nhanh'!$B$4:$B$103,INT((ROW()-4)/10)+1))</f>
        <v/>
      </c>
      <c r="E857" s="36" t="str">
        <f t="array" ref="E857">IFERROR(INDEX('Mẻ sữa'!$B$4:$B$203,MATCH(D857,'Mẻ sữa'!$C$4:$C$203,0)),"")</f>
        <v/>
      </c>
      <c r="F857" s="82">
        <f t="array" ref="F857">IF(B857="",0,INDEX('Bán nhanh'!$D$4:$M$103,INT((ROW()-4)/10)+1,MOD(ROW()-4,10)+1))</f>
        <v>0</v>
      </c>
      <c r="G857" s="83">
        <f t="array" ref="G857">IFERROR(INDEX('Sản phẩm'!$F$4:$F$103,MATCH(B857,'Sản phẩm'!$D$4:$D$103,0)),0)</f>
        <v>0</v>
      </c>
      <c r="H857" s="83">
        <f t="shared" si="5"/>
        <v>0</v>
      </c>
      <c r="I857" s="83">
        <f t="shared" si="1"/>
        <v>0</v>
      </c>
      <c r="J857" s="83">
        <f t="array" ref="J857">IFERROR(INDEX('Sản phẩm'!$G$4:$G$103,MATCH(B857,'Sản phẩm'!$D$4:$D$103,0)),0)</f>
        <v>0</v>
      </c>
      <c r="K857" s="83">
        <f t="array" ref="K857">IFERROR(J857*INDEX('Mẻ sữa'!$N$4:$N$203,MATCH(D857,'Mẻ sữa'!$C$4:$C$203,0)),0)</f>
        <v>0</v>
      </c>
      <c r="L857" s="83">
        <f t="array" ref="L857">IFERROR(INDEX('Sản phẩm'!$I$4:$I$103,MATCH(B857,'Sản phẩm'!$D$4:$D$103,0)),0)</f>
        <v>0</v>
      </c>
      <c r="M857" s="97" t="str">
        <f t="array" ref="M857">IFERROR(INDEX('Sản phẩm'!$J$4:$J$103,MATCH(B857,'Sản phẩm'!$D$4:$D$103,0)),0)</f>
        <v/>
      </c>
      <c r="N857" s="83">
        <f>IF(B857="",0,(K857+L857+M857)*'Thiết lập'!$B$8)</f>
        <v>0</v>
      </c>
      <c r="O857" s="83">
        <f t="shared" si="2"/>
        <v>0</v>
      </c>
      <c r="P857" s="83">
        <f t="shared" si="3"/>
        <v>0</v>
      </c>
      <c r="Q857" s="83">
        <f t="shared" si="4"/>
        <v>0</v>
      </c>
      <c r="R857" s="36" t="str">
        <f t="array" ref="R857">IF(B857="","",INDEX('Bán nhanh'!$C$4:$C$103,INT((ROW()-4)/10)+1))</f>
        <v/>
      </c>
      <c r="S857" s="36" t="str">
        <f t="array" ref="S857">IF(B857="","",INDEX('Bán nhanh'!$P$4:$P$103,INT((ROW()-4)/10)+1))</f>
        <v/>
      </c>
      <c r="T857" s="36"/>
      <c r="U857" s="36"/>
      <c r="V857" s="36"/>
      <c r="W857" s="36"/>
      <c r="X857" s="36"/>
      <c r="Y857" s="36"/>
      <c r="Z857" s="36"/>
    </row>
    <row r="858" ht="15.75" customHeight="1">
      <c r="A858" s="96" t="str">
        <f t="array" ref="A858">IF(B858="","",INDEX('Bán nhanh'!$A$4:$A$103,INT((ROW()-4)/10)+1))</f>
        <v/>
      </c>
      <c r="B858" s="36" t="str">
        <f t="array" ref="B858">IF(OR(INDEX('Bán nhanh'!$D$3:$M$3,1,MOD(ROW()-4,10)+1)="",INDEX('Bán nhanh'!$D$4:$M$103,INT((ROW()-4)/10)+1,MOD(ROW()-4,10)+1)&lt;=0),"",INDEX('Bán nhanh'!$D$3:$M$3,1,MOD(ROW()-4,10)+1))</f>
        <v/>
      </c>
      <c r="C858" s="36" t="str">
        <f t="array" ref="C858">IFERROR(INDEX('Sản phẩm'!$A$4:$A$103,MATCH(B858,'Sản phẩm'!$D$4:$D$103,0)),"")</f>
        <v/>
      </c>
      <c r="D858" s="36" t="str">
        <f t="array" ref="D858">IF(B858="","",INDEX('Bán nhanh'!$B$4:$B$103,INT((ROW()-4)/10)+1))</f>
        <v/>
      </c>
      <c r="E858" s="36" t="str">
        <f t="array" ref="E858">IFERROR(INDEX('Mẻ sữa'!$B$4:$B$203,MATCH(D858,'Mẻ sữa'!$C$4:$C$203,0)),"")</f>
        <v/>
      </c>
      <c r="F858" s="82">
        <f t="array" ref="F858">IF(B858="",0,INDEX('Bán nhanh'!$D$4:$M$103,INT((ROW()-4)/10)+1,MOD(ROW()-4,10)+1))</f>
        <v>0</v>
      </c>
      <c r="G858" s="83">
        <f t="array" ref="G858">IFERROR(INDEX('Sản phẩm'!$F$4:$F$103,MATCH(B858,'Sản phẩm'!$D$4:$D$103,0)),0)</f>
        <v>0</v>
      </c>
      <c r="H858" s="83">
        <f t="shared" si="5"/>
        <v>0</v>
      </c>
      <c r="I858" s="83">
        <f t="shared" si="1"/>
        <v>0</v>
      </c>
      <c r="J858" s="83">
        <f t="array" ref="J858">IFERROR(INDEX('Sản phẩm'!$G$4:$G$103,MATCH(B858,'Sản phẩm'!$D$4:$D$103,0)),0)</f>
        <v>0</v>
      </c>
      <c r="K858" s="83">
        <f t="array" ref="K858">IFERROR(J858*INDEX('Mẻ sữa'!$N$4:$N$203,MATCH(D858,'Mẻ sữa'!$C$4:$C$203,0)),0)</f>
        <v>0</v>
      </c>
      <c r="L858" s="83">
        <f t="array" ref="L858">IFERROR(INDEX('Sản phẩm'!$I$4:$I$103,MATCH(B858,'Sản phẩm'!$D$4:$D$103,0)),0)</f>
        <v>0</v>
      </c>
      <c r="M858" s="97" t="str">
        <f t="array" ref="M858">IFERROR(INDEX('Sản phẩm'!$J$4:$J$103,MATCH(B858,'Sản phẩm'!$D$4:$D$103,0)),0)</f>
        <v/>
      </c>
      <c r="N858" s="83">
        <f>IF(B858="",0,(K858+L858+M858)*'Thiết lập'!$B$8)</f>
        <v>0</v>
      </c>
      <c r="O858" s="83">
        <f t="shared" si="2"/>
        <v>0</v>
      </c>
      <c r="P858" s="83">
        <f t="shared" si="3"/>
        <v>0</v>
      </c>
      <c r="Q858" s="83">
        <f t="shared" si="4"/>
        <v>0</v>
      </c>
      <c r="R858" s="36" t="str">
        <f t="array" ref="R858">IF(B858="","",INDEX('Bán nhanh'!$C$4:$C$103,INT((ROW()-4)/10)+1))</f>
        <v/>
      </c>
      <c r="S858" s="36" t="str">
        <f t="array" ref="S858">IF(B858="","",INDEX('Bán nhanh'!$P$4:$P$103,INT((ROW()-4)/10)+1))</f>
        <v/>
      </c>
      <c r="T858" s="36"/>
      <c r="U858" s="36"/>
      <c r="V858" s="36"/>
      <c r="W858" s="36"/>
      <c r="X858" s="36"/>
      <c r="Y858" s="36"/>
      <c r="Z858" s="36"/>
    </row>
    <row r="859" ht="15.75" customHeight="1">
      <c r="A859" s="96" t="str">
        <f t="array" ref="A859">IF(B859="","",INDEX('Bán nhanh'!$A$4:$A$103,INT((ROW()-4)/10)+1))</f>
        <v/>
      </c>
      <c r="B859" s="36" t="str">
        <f t="array" ref="B859">IF(OR(INDEX('Bán nhanh'!$D$3:$M$3,1,MOD(ROW()-4,10)+1)="",INDEX('Bán nhanh'!$D$4:$M$103,INT((ROW()-4)/10)+1,MOD(ROW()-4,10)+1)&lt;=0),"",INDEX('Bán nhanh'!$D$3:$M$3,1,MOD(ROW()-4,10)+1))</f>
        <v/>
      </c>
      <c r="C859" s="36" t="str">
        <f t="array" ref="C859">IFERROR(INDEX('Sản phẩm'!$A$4:$A$103,MATCH(B859,'Sản phẩm'!$D$4:$D$103,0)),"")</f>
        <v/>
      </c>
      <c r="D859" s="36" t="str">
        <f t="array" ref="D859">IF(B859="","",INDEX('Bán nhanh'!$B$4:$B$103,INT((ROW()-4)/10)+1))</f>
        <v/>
      </c>
      <c r="E859" s="36" t="str">
        <f t="array" ref="E859">IFERROR(INDEX('Mẻ sữa'!$B$4:$B$203,MATCH(D859,'Mẻ sữa'!$C$4:$C$203,0)),"")</f>
        <v/>
      </c>
      <c r="F859" s="82">
        <f t="array" ref="F859">IF(B859="",0,INDEX('Bán nhanh'!$D$4:$M$103,INT((ROW()-4)/10)+1,MOD(ROW()-4,10)+1))</f>
        <v>0</v>
      </c>
      <c r="G859" s="83">
        <f t="array" ref="G859">IFERROR(INDEX('Sản phẩm'!$F$4:$F$103,MATCH(B859,'Sản phẩm'!$D$4:$D$103,0)),0)</f>
        <v>0</v>
      </c>
      <c r="H859" s="83">
        <f t="shared" si="5"/>
        <v>0</v>
      </c>
      <c r="I859" s="83">
        <f t="shared" si="1"/>
        <v>0</v>
      </c>
      <c r="J859" s="83">
        <f t="array" ref="J859">IFERROR(INDEX('Sản phẩm'!$G$4:$G$103,MATCH(B859,'Sản phẩm'!$D$4:$D$103,0)),0)</f>
        <v>0</v>
      </c>
      <c r="K859" s="83">
        <f t="array" ref="K859">IFERROR(J859*INDEX('Mẻ sữa'!$N$4:$N$203,MATCH(D859,'Mẻ sữa'!$C$4:$C$203,0)),0)</f>
        <v>0</v>
      </c>
      <c r="L859" s="83">
        <f t="array" ref="L859">IFERROR(INDEX('Sản phẩm'!$I$4:$I$103,MATCH(B859,'Sản phẩm'!$D$4:$D$103,0)),0)</f>
        <v>0</v>
      </c>
      <c r="M859" s="97" t="str">
        <f t="array" ref="M859">IFERROR(INDEX('Sản phẩm'!$J$4:$J$103,MATCH(B859,'Sản phẩm'!$D$4:$D$103,0)),0)</f>
        <v/>
      </c>
      <c r="N859" s="83">
        <f>IF(B859="",0,(K859+L859+M859)*'Thiết lập'!$B$8)</f>
        <v>0</v>
      </c>
      <c r="O859" s="83">
        <f t="shared" si="2"/>
        <v>0</v>
      </c>
      <c r="P859" s="83">
        <f t="shared" si="3"/>
        <v>0</v>
      </c>
      <c r="Q859" s="83">
        <f t="shared" si="4"/>
        <v>0</v>
      </c>
      <c r="R859" s="36" t="str">
        <f t="array" ref="R859">IF(B859="","",INDEX('Bán nhanh'!$C$4:$C$103,INT((ROW()-4)/10)+1))</f>
        <v/>
      </c>
      <c r="S859" s="36" t="str">
        <f t="array" ref="S859">IF(B859="","",INDEX('Bán nhanh'!$P$4:$P$103,INT((ROW()-4)/10)+1))</f>
        <v/>
      </c>
      <c r="T859" s="36"/>
      <c r="U859" s="36"/>
      <c r="V859" s="36"/>
      <c r="W859" s="36"/>
      <c r="X859" s="36"/>
      <c r="Y859" s="36"/>
      <c r="Z859" s="36"/>
    </row>
    <row r="860" ht="15.75" customHeight="1">
      <c r="A860" s="96" t="str">
        <f t="array" ref="A860">IF(B860="","",INDEX('Bán nhanh'!$A$4:$A$103,INT((ROW()-4)/10)+1))</f>
        <v/>
      </c>
      <c r="B860" s="36" t="str">
        <f t="array" ref="B860">IF(OR(INDEX('Bán nhanh'!$D$3:$M$3,1,MOD(ROW()-4,10)+1)="",INDEX('Bán nhanh'!$D$4:$M$103,INT((ROW()-4)/10)+1,MOD(ROW()-4,10)+1)&lt;=0),"",INDEX('Bán nhanh'!$D$3:$M$3,1,MOD(ROW()-4,10)+1))</f>
        <v/>
      </c>
      <c r="C860" s="36" t="str">
        <f t="array" ref="C860">IFERROR(INDEX('Sản phẩm'!$A$4:$A$103,MATCH(B860,'Sản phẩm'!$D$4:$D$103,0)),"")</f>
        <v/>
      </c>
      <c r="D860" s="36" t="str">
        <f t="array" ref="D860">IF(B860="","",INDEX('Bán nhanh'!$B$4:$B$103,INT((ROW()-4)/10)+1))</f>
        <v/>
      </c>
      <c r="E860" s="36" t="str">
        <f t="array" ref="E860">IFERROR(INDEX('Mẻ sữa'!$B$4:$B$203,MATCH(D860,'Mẻ sữa'!$C$4:$C$203,0)),"")</f>
        <v/>
      </c>
      <c r="F860" s="82">
        <f t="array" ref="F860">IF(B860="",0,INDEX('Bán nhanh'!$D$4:$M$103,INT((ROW()-4)/10)+1,MOD(ROW()-4,10)+1))</f>
        <v>0</v>
      </c>
      <c r="G860" s="83">
        <f t="array" ref="G860">IFERROR(INDEX('Sản phẩm'!$F$4:$F$103,MATCH(B860,'Sản phẩm'!$D$4:$D$103,0)),0)</f>
        <v>0</v>
      </c>
      <c r="H860" s="83">
        <f t="shared" si="5"/>
        <v>0</v>
      </c>
      <c r="I860" s="83">
        <f t="shared" si="1"/>
        <v>0</v>
      </c>
      <c r="J860" s="83">
        <f t="array" ref="J860">IFERROR(INDEX('Sản phẩm'!$G$4:$G$103,MATCH(B860,'Sản phẩm'!$D$4:$D$103,0)),0)</f>
        <v>0</v>
      </c>
      <c r="K860" s="83">
        <f t="array" ref="K860">IFERROR(J860*INDEX('Mẻ sữa'!$N$4:$N$203,MATCH(D860,'Mẻ sữa'!$C$4:$C$203,0)),0)</f>
        <v>0</v>
      </c>
      <c r="L860" s="83">
        <f t="array" ref="L860">IFERROR(INDEX('Sản phẩm'!$I$4:$I$103,MATCH(B860,'Sản phẩm'!$D$4:$D$103,0)),0)</f>
        <v>0</v>
      </c>
      <c r="M860" s="97" t="str">
        <f t="array" ref="M860">IFERROR(INDEX('Sản phẩm'!$J$4:$J$103,MATCH(B860,'Sản phẩm'!$D$4:$D$103,0)),0)</f>
        <v/>
      </c>
      <c r="N860" s="83">
        <f>IF(B860="",0,(K860+L860+M860)*'Thiết lập'!$B$8)</f>
        <v>0</v>
      </c>
      <c r="O860" s="83">
        <f t="shared" si="2"/>
        <v>0</v>
      </c>
      <c r="P860" s="83">
        <f t="shared" si="3"/>
        <v>0</v>
      </c>
      <c r="Q860" s="83">
        <f t="shared" si="4"/>
        <v>0</v>
      </c>
      <c r="R860" s="36" t="str">
        <f t="array" ref="R860">IF(B860="","",INDEX('Bán nhanh'!$C$4:$C$103,INT((ROW()-4)/10)+1))</f>
        <v/>
      </c>
      <c r="S860" s="36" t="str">
        <f t="array" ref="S860">IF(B860="","",INDEX('Bán nhanh'!$P$4:$P$103,INT((ROW()-4)/10)+1))</f>
        <v/>
      </c>
      <c r="T860" s="36"/>
      <c r="U860" s="36"/>
      <c r="V860" s="36"/>
      <c r="W860" s="36"/>
      <c r="X860" s="36"/>
      <c r="Y860" s="36"/>
      <c r="Z860" s="36"/>
    </row>
    <row r="861" ht="15.75" customHeight="1">
      <c r="A861" s="96" t="str">
        <f t="array" ref="A861">IF(B861="","",INDEX('Bán nhanh'!$A$4:$A$103,INT((ROW()-4)/10)+1))</f>
        <v/>
      </c>
      <c r="B861" s="36" t="str">
        <f t="array" ref="B861">IF(OR(INDEX('Bán nhanh'!$D$3:$M$3,1,MOD(ROW()-4,10)+1)="",INDEX('Bán nhanh'!$D$4:$M$103,INT((ROW()-4)/10)+1,MOD(ROW()-4,10)+1)&lt;=0),"",INDEX('Bán nhanh'!$D$3:$M$3,1,MOD(ROW()-4,10)+1))</f>
        <v/>
      </c>
      <c r="C861" s="36" t="str">
        <f t="array" ref="C861">IFERROR(INDEX('Sản phẩm'!$A$4:$A$103,MATCH(B861,'Sản phẩm'!$D$4:$D$103,0)),"")</f>
        <v/>
      </c>
      <c r="D861" s="36" t="str">
        <f t="array" ref="D861">IF(B861="","",INDEX('Bán nhanh'!$B$4:$B$103,INT((ROW()-4)/10)+1))</f>
        <v/>
      </c>
      <c r="E861" s="36" t="str">
        <f t="array" ref="E861">IFERROR(INDEX('Mẻ sữa'!$B$4:$B$203,MATCH(D861,'Mẻ sữa'!$C$4:$C$203,0)),"")</f>
        <v/>
      </c>
      <c r="F861" s="82">
        <f t="array" ref="F861">IF(B861="",0,INDEX('Bán nhanh'!$D$4:$M$103,INT((ROW()-4)/10)+1,MOD(ROW()-4,10)+1))</f>
        <v>0</v>
      </c>
      <c r="G861" s="83">
        <f t="array" ref="G861">IFERROR(INDEX('Sản phẩm'!$F$4:$F$103,MATCH(B861,'Sản phẩm'!$D$4:$D$103,0)),0)</f>
        <v>0</v>
      </c>
      <c r="H861" s="83">
        <f t="shared" si="5"/>
        <v>0</v>
      </c>
      <c r="I861" s="83">
        <f t="shared" si="1"/>
        <v>0</v>
      </c>
      <c r="J861" s="83">
        <f t="array" ref="J861">IFERROR(INDEX('Sản phẩm'!$G$4:$G$103,MATCH(B861,'Sản phẩm'!$D$4:$D$103,0)),0)</f>
        <v>0</v>
      </c>
      <c r="K861" s="83">
        <f t="array" ref="K861">IFERROR(J861*INDEX('Mẻ sữa'!$N$4:$N$203,MATCH(D861,'Mẻ sữa'!$C$4:$C$203,0)),0)</f>
        <v>0</v>
      </c>
      <c r="L861" s="83">
        <f t="array" ref="L861">IFERROR(INDEX('Sản phẩm'!$I$4:$I$103,MATCH(B861,'Sản phẩm'!$D$4:$D$103,0)),0)</f>
        <v>0</v>
      </c>
      <c r="M861" s="97" t="str">
        <f t="array" ref="M861">IFERROR(INDEX('Sản phẩm'!$J$4:$J$103,MATCH(B861,'Sản phẩm'!$D$4:$D$103,0)),0)</f>
        <v/>
      </c>
      <c r="N861" s="83">
        <f>IF(B861="",0,(K861+L861+M861)*'Thiết lập'!$B$8)</f>
        <v>0</v>
      </c>
      <c r="O861" s="83">
        <f t="shared" si="2"/>
        <v>0</v>
      </c>
      <c r="P861" s="83">
        <f t="shared" si="3"/>
        <v>0</v>
      </c>
      <c r="Q861" s="83">
        <f t="shared" si="4"/>
        <v>0</v>
      </c>
      <c r="R861" s="36" t="str">
        <f t="array" ref="R861">IF(B861="","",INDEX('Bán nhanh'!$C$4:$C$103,INT((ROW()-4)/10)+1))</f>
        <v/>
      </c>
      <c r="S861" s="36" t="str">
        <f t="array" ref="S861">IF(B861="","",INDEX('Bán nhanh'!$P$4:$P$103,INT((ROW()-4)/10)+1))</f>
        <v/>
      </c>
      <c r="T861" s="36"/>
      <c r="U861" s="36"/>
      <c r="V861" s="36"/>
      <c r="W861" s="36"/>
      <c r="X861" s="36"/>
      <c r="Y861" s="36"/>
      <c r="Z861" s="36"/>
    </row>
    <row r="862" ht="15.75" customHeight="1">
      <c r="A862" s="96" t="str">
        <f t="array" ref="A862">IF(B862="","",INDEX('Bán nhanh'!$A$4:$A$103,INT((ROW()-4)/10)+1))</f>
        <v/>
      </c>
      <c r="B862" s="36" t="str">
        <f t="array" ref="B862">IF(OR(INDEX('Bán nhanh'!$D$3:$M$3,1,MOD(ROW()-4,10)+1)="",INDEX('Bán nhanh'!$D$4:$M$103,INT((ROW()-4)/10)+1,MOD(ROW()-4,10)+1)&lt;=0),"",INDEX('Bán nhanh'!$D$3:$M$3,1,MOD(ROW()-4,10)+1))</f>
        <v/>
      </c>
      <c r="C862" s="36" t="str">
        <f t="array" ref="C862">IFERROR(INDEX('Sản phẩm'!$A$4:$A$103,MATCH(B862,'Sản phẩm'!$D$4:$D$103,0)),"")</f>
        <v/>
      </c>
      <c r="D862" s="36" t="str">
        <f t="array" ref="D862">IF(B862="","",INDEX('Bán nhanh'!$B$4:$B$103,INT((ROW()-4)/10)+1))</f>
        <v/>
      </c>
      <c r="E862" s="36" t="str">
        <f t="array" ref="E862">IFERROR(INDEX('Mẻ sữa'!$B$4:$B$203,MATCH(D862,'Mẻ sữa'!$C$4:$C$203,0)),"")</f>
        <v/>
      </c>
      <c r="F862" s="82">
        <f t="array" ref="F862">IF(B862="",0,INDEX('Bán nhanh'!$D$4:$M$103,INT((ROW()-4)/10)+1,MOD(ROW()-4,10)+1))</f>
        <v>0</v>
      </c>
      <c r="G862" s="83">
        <f t="array" ref="G862">IFERROR(INDEX('Sản phẩm'!$F$4:$F$103,MATCH(B862,'Sản phẩm'!$D$4:$D$103,0)),0)</f>
        <v>0</v>
      </c>
      <c r="H862" s="83">
        <f t="shared" si="5"/>
        <v>0</v>
      </c>
      <c r="I862" s="83">
        <f t="shared" si="1"/>
        <v>0</v>
      </c>
      <c r="J862" s="83">
        <f t="array" ref="J862">IFERROR(INDEX('Sản phẩm'!$G$4:$G$103,MATCH(B862,'Sản phẩm'!$D$4:$D$103,0)),0)</f>
        <v>0</v>
      </c>
      <c r="K862" s="83">
        <f t="array" ref="K862">IFERROR(J862*INDEX('Mẻ sữa'!$N$4:$N$203,MATCH(D862,'Mẻ sữa'!$C$4:$C$203,0)),0)</f>
        <v>0</v>
      </c>
      <c r="L862" s="83">
        <f t="array" ref="L862">IFERROR(INDEX('Sản phẩm'!$I$4:$I$103,MATCH(B862,'Sản phẩm'!$D$4:$D$103,0)),0)</f>
        <v>0</v>
      </c>
      <c r="M862" s="97" t="str">
        <f t="array" ref="M862">IFERROR(INDEX('Sản phẩm'!$J$4:$J$103,MATCH(B862,'Sản phẩm'!$D$4:$D$103,0)),0)</f>
        <v/>
      </c>
      <c r="N862" s="83">
        <f>IF(B862="",0,(K862+L862+M862)*'Thiết lập'!$B$8)</f>
        <v>0</v>
      </c>
      <c r="O862" s="83">
        <f t="shared" si="2"/>
        <v>0</v>
      </c>
      <c r="P862" s="83">
        <f t="shared" si="3"/>
        <v>0</v>
      </c>
      <c r="Q862" s="83">
        <f t="shared" si="4"/>
        <v>0</v>
      </c>
      <c r="R862" s="36" t="str">
        <f t="array" ref="R862">IF(B862="","",INDEX('Bán nhanh'!$C$4:$C$103,INT((ROW()-4)/10)+1))</f>
        <v/>
      </c>
      <c r="S862" s="36" t="str">
        <f t="array" ref="S862">IF(B862="","",INDEX('Bán nhanh'!$P$4:$P$103,INT((ROW()-4)/10)+1))</f>
        <v/>
      </c>
      <c r="T862" s="36"/>
      <c r="U862" s="36"/>
      <c r="V862" s="36"/>
      <c r="W862" s="36"/>
      <c r="X862" s="36"/>
      <c r="Y862" s="36"/>
      <c r="Z862" s="36"/>
    </row>
    <row r="863" ht="15.75" customHeight="1">
      <c r="A863" s="96" t="str">
        <f t="array" ref="A863">IF(B863="","",INDEX('Bán nhanh'!$A$4:$A$103,INT((ROW()-4)/10)+1))</f>
        <v/>
      </c>
      <c r="B863" s="36" t="str">
        <f t="array" ref="B863">IF(OR(INDEX('Bán nhanh'!$D$3:$M$3,1,MOD(ROW()-4,10)+1)="",INDEX('Bán nhanh'!$D$4:$M$103,INT((ROW()-4)/10)+1,MOD(ROW()-4,10)+1)&lt;=0),"",INDEX('Bán nhanh'!$D$3:$M$3,1,MOD(ROW()-4,10)+1))</f>
        <v/>
      </c>
      <c r="C863" s="36" t="str">
        <f t="array" ref="C863">IFERROR(INDEX('Sản phẩm'!$A$4:$A$103,MATCH(B863,'Sản phẩm'!$D$4:$D$103,0)),"")</f>
        <v/>
      </c>
      <c r="D863" s="36" t="str">
        <f t="array" ref="D863">IF(B863="","",INDEX('Bán nhanh'!$B$4:$B$103,INT((ROW()-4)/10)+1))</f>
        <v/>
      </c>
      <c r="E863" s="36" t="str">
        <f t="array" ref="E863">IFERROR(INDEX('Mẻ sữa'!$B$4:$B$203,MATCH(D863,'Mẻ sữa'!$C$4:$C$203,0)),"")</f>
        <v/>
      </c>
      <c r="F863" s="82">
        <f t="array" ref="F863">IF(B863="",0,INDEX('Bán nhanh'!$D$4:$M$103,INT((ROW()-4)/10)+1,MOD(ROW()-4,10)+1))</f>
        <v>0</v>
      </c>
      <c r="G863" s="83">
        <f t="array" ref="G863">IFERROR(INDEX('Sản phẩm'!$F$4:$F$103,MATCH(B863,'Sản phẩm'!$D$4:$D$103,0)),0)</f>
        <v>0</v>
      </c>
      <c r="H863" s="83">
        <f t="shared" si="5"/>
        <v>0</v>
      </c>
      <c r="I863" s="83">
        <f t="shared" si="1"/>
        <v>0</v>
      </c>
      <c r="J863" s="83">
        <f t="array" ref="J863">IFERROR(INDEX('Sản phẩm'!$G$4:$G$103,MATCH(B863,'Sản phẩm'!$D$4:$D$103,0)),0)</f>
        <v>0</v>
      </c>
      <c r="K863" s="83">
        <f t="array" ref="K863">IFERROR(J863*INDEX('Mẻ sữa'!$N$4:$N$203,MATCH(D863,'Mẻ sữa'!$C$4:$C$203,0)),0)</f>
        <v>0</v>
      </c>
      <c r="L863" s="83">
        <f t="array" ref="L863">IFERROR(INDEX('Sản phẩm'!$I$4:$I$103,MATCH(B863,'Sản phẩm'!$D$4:$D$103,0)),0)</f>
        <v>0</v>
      </c>
      <c r="M863" s="97" t="str">
        <f t="array" ref="M863">IFERROR(INDEX('Sản phẩm'!$J$4:$J$103,MATCH(B863,'Sản phẩm'!$D$4:$D$103,0)),0)</f>
        <v/>
      </c>
      <c r="N863" s="83">
        <f>IF(B863="",0,(K863+L863+M863)*'Thiết lập'!$B$8)</f>
        <v>0</v>
      </c>
      <c r="O863" s="83">
        <f t="shared" si="2"/>
        <v>0</v>
      </c>
      <c r="P863" s="83">
        <f t="shared" si="3"/>
        <v>0</v>
      </c>
      <c r="Q863" s="83">
        <f t="shared" si="4"/>
        <v>0</v>
      </c>
      <c r="R863" s="36" t="str">
        <f t="array" ref="R863">IF(B863="","",INDEX('Bán nhanh'!$C$4:$C$103,INT((ROW()-4)/10)+1))</f>
        <v/>
      </c>
      <c r="S863" s="36" t="str">
        <f t="array" ref="S863">IF(B863="","",INDEX('Bán nhanh'!$P$4:$P$103,INT((ROW()-4)/10)+1))</f>
        <v/>
      </c>
      <c r="T863" s="36"/>
      <c r="U863" s="36"/>
      <c r="V863" s="36"/>
      <c r="W863" s="36"/>
      <c r="X863" s="36"/>
      <c r="Y863" s="36"/>
      <c r="Z863" s="36"/>
    </row>
    <row r="864" ht="15.75" customHeight="1">
      <c r="A864" s="96" t="str">
        <f t="array" ref="A864">IF(B864="","",INDEX('Bán nhanh'!$A$4:$A$103,INT((ROW()-4)/10)+1))</f>
        <v/>
      </c>
      <c r="B864" s="36" t="str">
        <f t="array" ref="B864">IF(OR(INDEX('Bán nhanh'!$D$3:$M$3,1,MOD(ROW()-4,10)+1)="",INDEX('Bán nhanh'!$D$4:$M$103,INT((ROW()-4)/10)+1,MOD(ROW()-4,10)+1)&lt;=0),"",INDEX('Bán nhanh'!$D$3:$M$3,1,MOD(ROW()-4,10)+1))</f>
        <v/>
      </c>
      <c r="C864" s="36" t="str">
        <f t="array" ref="C864">IFERROR(INDEX('Sản phẩm'!$A$4:$A$103,MATCH(B864,'Sản phẩm'!$D$4:$D$103,0)),"")</f>
        <v/>
      </c>
      <c r="D864" s="36" t="str">
        <f t="array" ref="D864">IF(B864="","",INDEX('Bán nhanh'!$B$4:$B$103,INT((ROW()-4)/10)+1))</f>
        <v/>
      </c>
      <c r="E864" s="36" t="str">
        <f t="array" ref="E864">IFERROR(INDEX('Mẻ sữa'!$B$4:$B$203,MATCH(D864,'Mẻ sữa'!$C$4:$C$203,0)),"")</f>
        <v/>
      </c>
      <c r="F864" s="82">
        <f t="array" ref="F864">IF(B864="",0,INDEX('Bán nhanh'!$D$4:$M$103,INT((ROW()-4)/10)+1,MOD(ROW()-4,10)+1))</f>
        <v>0</v>
      </c>
      <c r="G864" s="83">
        <f t="array" ref="G864">IFERROR(INDEX('Sản phẩm'!$F$4:$F$103,MATCH(B864,'Sản phẩm'!$D$4:$D$103,0)),0)</f>
        <v>0</v>
      </c>
      <c r="H864" s="83">
        <f t="shared" si="5"/>
        <v>0</v>
      </c>
      <c r="I864" s="83">
        <f t="shared" si="1"/>
        <v>0</v>
      </c>
      <c r="J864" s="83">
        <f t="array" ref="J864">IFERROR(INDEX('Sản phẩm'!$G$4:$G$103,MATCH(B864,'Sản phẩm'!$D$4:$D$103,0)),0)</f>
        <v>0</v>
      </c>
      <c r="K864" s="83">
        <f t="array" ref="K864">IFERROR(J864*INDEX('Mẻ sữa'!$N$4:$N$203,MATCH(D864,'Mẻ sữa'!$C$4:$C$203,0)),0)</f>
        <v>0</v>
      </c>
      <c r="L864" s="83">
        <f t="array" ref="L864">IFERROR(INDEX('Sản phẩm'!$I$4:$I$103,MATCH(B864,'Sản phẩm'!$D$4:$D$103,0)),0)</f>
        <v>0</v>
      </c>
      <c r="M864" s="97" t="str">
        <f t="array" ref="M864">IFERROR(INDEX('Sản phẩm'!$J$4:$J$103,MATCH(B864,'Sản phẩm'!$D$4:$D$103,0)),0)</f>
        <v/>
      </c>
      <c r="N864" s="83">
        <f>IF(B864="",0,(K864+L864+M864)*'Thiết lập'!$B$8)</f>
        <v>0</v>
      </c>
      <c r="O864" s="83">
        <f t="shared" si="2"/>
        <v>0</v>
      </c>
      <c r="P864" s="83">
        <f t="shared" si="3"/>
        <v>0</v>
      </c>
      <c r="Q864" s="83">
        <f t="shared" si="4"/>
        <v>0</v>
      </c>
      <c r="R864" s="36" t="str">
        <f t="array" ref="R864">IF(B864="","",INDEX('Bán nhanh'!$C$4:$C$103,INT((ROW()-4)/10)+1))</f>
        <v/>
      </c>
      <c r="S864" s="36" t="str">
        <f t="array" ref="S864">IF(B864="","",INDEX('Bán nhanh'!$P$4:$P$103,INT((ROW()-4)/10)+1))</f>
        <v/>
      </c>
      <c r="T864" s="36"/>
      <c r="U864" s="36"/>
      <c r="V864" s="36"/>
      <c r="W864" s="36"/>
      <c r="X864" s="36"/>
      <c r="Y864" s="36"/>
      <c r="Z864" s="36"/>
    </row>
    <row r="865" ht="15.75" customHeight="1">
      <c r="A865" s="96" t="str">
        <f t="array" ref="A865">IF(B865="","",INDEX('Bán nhanh'!$A$4:$A$103,INT((ROW()-4)/10)+1))</f>
        <v/>
      </c>
      <c r="B865" s="36" t="str">
        <f t="array" ref="B865">IF(OR(INDEX('Bán nhanh'!$D$3:$M$3,1,MOD(ROW()-4,10)+1)="",INDEX('Bán nhanh'!$D$4:$M$103,INT((ROW()-4)/10)+1,MOD(ROW()-4,10)+1)&lt;=0),"",INDEX('Bán nhanh'!$D$3:$M$3,1,MOD(ROW()-4,10)+1))</f>
        <v/>
      </c>
      <c r="C865" s="36" t="str">
        <f t="array" ref="C865">IFERROR(INDEX('Sản phẩm'!$A$4:$A$103,MATCH(B865,'Sản phẩm'!$D$4:$D$103,0)),"")</f>
        <v/>
      </c>
      <c r="D865" s="36" t="str">
        <f t="array" ref="D865">IF(B865="","",INDEX('Bán nhanh'!$B$4:$B$103,INT((ROW()-4)/10)+1))</f>
        <v/>
      </c>
      <c r="E865" s="36" t="str">
        <f t="array" ref="E865">IFERROR(INDEX('Mẻ sữa'!$B$4:$B$203,MATCH(D865,'Mẻ sữa'!$C$4:$C$203,0)),"")</f>
        <v/>
      </c>
      <c r="F865" s="82">
        <f t="array" ref="F865">IF(B865="",0,INDEX('Bán nhanh'!$D$4:$M$103,INT((ROW()-4)/10)+1,MOD(ROW()-4,10)+1))</f>
        <v>0</v>
      </c>
      <c r="G865" s="83">
        <f t="array" ref="G865">IFERROR(INDEX('Sản phẩm'!$F$4:$F$103,MATCH(B865,'Sản phẩm'!$D$4:$D$103,0)),0)</f>
        <v>0</v>
      </c>
      <c r="H865" s="83">
        <f t="shared" si="5"/>
        <v>0</v>
      </c>
      <c r="I865" s="83">
        <f t="shared" si="1"/>
        <v>0</v>
      </c>
      <c r="J865" s="83">
        <f t="array" ref="J865">IFERROR(INDEX('Sản phẩm'!$G$4:$G$103,MATCH(B865,'Sản phẩm'!$D$4:$D$103,0)),0)</f>
        <v>0</v>
      </c>
      <c r="K865" s="83">
        <f t="array" ref="K865">IFERROR(J865*INDEX('Mẻ sữa'!$N$4:$N$203,MATCH(D865,'Mẻ sữa'!$C$4:$C$203,0)),0)</f>
        <v>0</v>
      </c>
      <c r="L865" s="83">
        <f t="array" ref="L865">IFERROR(INDEX('Sản phẩm'!$I$4:$I$103,MATCH(B865,'Sản phẩm'!$D$4:$D$103,0)),0)</f>
        <v>0</v>
      </c>
      <c r="M865" s="97" t="str">
        <f t="array" ref="M865">IFERROR(INDEX('Sản phẩm'!$J$4:$J$103,MATCH(B865,'Sản phẩm'!$D$4:$D$103,0)),0)</f>
        <v/>
      </c>
      <c r="N865" s="83">
        <f>IF(B865="",0,(K865+L865+M865)*'Thiết lập'!$B$8)</f>
        <v>0</v>
      </c>
      <c r="O865" s="83">
        <f t="shared" si="2"/>
        <v>0</v>
      </c>
      <c r="P865" s="83">
        <f t="shared" si="3"/>
        <v>0</v>
      </c>
      <c r="Q865" s="83">
        <f t="shared" si="4"/>
        <v>0</v>
      </c>
      <c r="R865" s="36" t="str">
        <f t="array" ref="R865">IF(B865="","",INDEX('Bán nhanh'!$C$4:$C$103,INT((ROW()-4)/10)+1))</f>
        <v/>
      </c>
      <c r="S865" s="36" t="str">
        <f t="array" ref="S865">IF(B865="","",INDEX('Bán nhanh'!$P$4:$P$103,INT((ROW()-4)/10)+1))</f>
        <v/>
      </c>
      <c r="T865" s="36"/>
      <c r="U865" s="36"/>
      <c r="V865" s="36"/>
      <c r="W865" s="36"/>
      <c r="X865" s="36"/>
      <c r="Y865" s="36"/>
      <c r="Z865" s="36"/>
    </row>
    <row r="866" ht="15.75" customHeight="1">
      <c r="A866" s="96" t="str">
        <f t="array" ref="A866">IF(B866="","",INDEX('Bán nhanh'!$A$4:$A$103,INT((ROW()-4)/10)+1))</f>
        <v/>
      </c>
      <c r="B866" s="36" t="str">
        <f t="array" ref="B866">IF(OR(INDEX('Bán nhanh'!$D$3:$M$3,1,MOD(ROW()-4,10)+1)="",INDEX('Bán nhanh'!$D$4:$M$103,INT((ROW()-4)/10)+1,MOD(ROW()-4,10)+1)&lt;=0),"",INDEX('Bán nhanh'!$D$3:$M$3,1,MOD(ROW()-4,10)+1))</f>
        <v/>
      </c>
      <c r="C866" s="36" t="str">
        <f t="array" ref="C866">IFERROR(INDEX('Sản phẩm'!$A$4:$A$103,MATCH(B866,'Sản phẩm'!$D$4:$D$103,0)),"")</f>
        <v/>
      </c>
      <c r="D866" s="36" t="str">
        <f t="array" ref="D866">IF(B866="","",INDEX('Bán nhanh'!$B$4:$B$103,INT((ROW()-4)/10)+1))</f>
        <v/>
      </c>
      <c r="E866" s="36" t="str">
        <f t="array" ref="E866">IFERROR(INDEX('Mẻ sữa'!$B$4:$B$203,MATCH(D866,'Mẻ sữa'!$C$4:$C$203,0)),"")</f>
        <v/>
      </c>
      <c r="F866" s="82">
        <f t="array" ref="F866">IF(B866="",0,INDEX('Bán nhanh'!$D$4:$M$103,INT((ROW()-4)/10)+1,MOD(ROW()-4,10)+1))</f>
        <v>0</v>
      </c>
      <c r="G866" s="83">
        <f t="array" ref="G866">IFERROR(INDEX('Sản phẩm'!$F$4:$F$103,MATCH(B866,'Sản phẩm'!$D$4:$D$103,0)),0)</f>
        <v>0</v>
      </c>
      <c r="H866" s="83">
        <f t="shared" si="5"/>
        <v>0</v>
      </c>
      <c r="I866" s="83">
        <f t="shared" si="1"/>
        <v>0</v>
      </c>
      <c r="J866" s="83">
        <f t="array" ref="J866">IFERROR(INDEX('Sản phẩm'!$G$4:$G$103,MATCH(B866,'Sản phẩm'!$D$4:$D$103,0)),0)</f>
        <v>0</v>
      </c>
      <c r="K866" s="83">
        <f t="array" ref="K866">IFERROR(J866*INDEX('Mẻ sữa'!$N$4:$N$203,MATCH(D866,'Mẻ sữa'!$C$4:$C$203,0)),0)</f>
        <v>0</v>
      </c>
      <c r="L866" s="83">
        <f t="array" ref="L866">IFERROR(INDEX('Sản phẩm'!$I$4:$I$103,MATCH(B866,'Sản phẩm'!$D$4:$D$103,0)),0)</f>
        <v>0</v>
      </c>
      <c r="M866" s="97" t="str">
        <f t="array" ref="M866">IFERROR(INDEX('Sản phẩm'!$J$4:$J$103,MATCH(B866,'Sản phẩm'!$D$4:$D$103,0)),0)</f>
        <v/>
      </c>
      <c r="N866" s="83">
        <f>IF(B866="",0,(K866+L866+M866)*'Thiết lập'!$B$8)</f>
        <v>0</v>
      </c>
      <c r="O866" s="83">
        <f t="shared" si="2"/>
        <v>0</v>
      </c>
      <c r="P866" s="83">
        <f t="shared" si="3"/>
        <v>0</v>
      </c>
      <c r="Q866" s="83">
        <f t="shared" si="4"/>
        <v>0</v>
      </c>
      <c r="R866" s="36" t="str">
        <f t="array" ref="R866">IF(B866="","",INDEX('Bán nhanh'!$C$4:$C$103,INT((ROW()-4)/10)+1))</f>
        <v/>
      </c>
      <c r="S866" s="36" t="str">
        <f t="array" ref="S866">IF(B866="","",INDEX('Bán nhanh'!$P$4:$P$103,INT((ROW()-4)/10)+1))</f>
        <v/>
      </c>
      <c r="T866" s="36"/>
      <c r="U866" s="36"/>
      <c r="V866" s="36"/>
      <c r="W866" s="36"/>
      <c r="X866" s="36"/>
      <c r="Y866" s="36"/>
      <c r="Z866" s="36"/>
    </row>
    <row r="867" ht="15.75" customHeight="1">
      <c r="A867" s="96" t="str">
        <f t="array" ref="A867">IF(B867="","",INDEX('Bán nhanh'!$A$4:$A$103,INT((ROW()-4)/10)+1))</f>
        <v/>
      </c>
      <c r="B867" s="36" t="str">
        <f t="array" ref="B867">IF(OR(INDEX('Bán nhanh'!$D$3:$M$3,1,MOD(ROW()-4,10)+1)="",INDEX('Bán nhanh'!$D$4:$M$103,INT((ROW()-4)/10)+1,MOD(ROW()-4,10)+1)&lt;=0),"",INDEX('Bán nhanh'!$D$3:$M$3,1,MOD(ROW()-4,10)+1))</f>
        <v/>
      </c>
      <c r="C867" s="36" t="str">
        <f t="array" ref="C867">IFERROR(INDEX('Sản phẩm'!$A$4:$A$103,MATCH(B867,'Sản phẩm'!$D$4:$D$103,0)),"")</f>
        <v/>
      </c>
      <c r="D867" s="36" t="str">
        <f t="array" ref="D867">IF(B867="","",INDEX('Bán nhanh'!$B$4:$B$103,INT((ROW()-4)/10)+1))</f>
        <v/>
      </c>
      <c r="E867" s="36" t="str">
        <f t="array" ref="E867">IFERROR(INDEX('Mẻ sữa'!$B$4:$B$203,MATCH(D867,'Mẻ sữa'!$C$4:$C$203,0)),"")</f>
        <v/>
      </c>
      <c r="F867" s="82">
        <f t="array" ref="F867">IF(B867="",0,INDEX('Bán nhanh'!$D$4:$M$103,INT((ROW()-4)/10)+1,MOD(ROW()-4,10)+1))</f>
        <v>0</v>
      </c>
      <c r="G867" s="83">
        <f t="array" ref="G867">IFERROR(INDEX('Sản phẩm'!$F$4:$F$103,MATCH(B867,'Sản phẩm'!$D$4:$D$103,0)),0)</f>
        <v>0</v>
      </c>
      <c r="H867" s="83">
        <f t="shared" si="5"/>
        <v>0</v>
      </c>
      <c r="I867" s="83">
        <f t="shared" si="1"/>
        <v>0</v>
      </c>
      <c r="J867" s="83">
        <f t="array" ref="J867">IFERROR(INDEX('Sản phẩm'!$G$4:$G$103,MATCH(B867,'Sản phẩm'!$D$4:$D$103,0)),0)</f>
        <v>0</v>
      </c>
      <c r="K867" s="83">
        <f t="array" ref="K867">IFERROR(J867*INDEX('Mẻ sữa'!$N$4:$N$203,MATCH(D867,'Mẻ sữa'!$C$4:$C$203,0)),0)</f>
        <v>0</v>
      </c>
      <c r="L867" s="83">
        <f t="array" ref="L867">IFERROR(INDEX('Sản phẩm'!$I$4:$I$103,MATCH(B867,'Sản phẩm'!$D$4:$D$103,0)),0)</f>
        <v>0</v>
      </c>
      <c r="M867" s="97" t="str">
        <f t="array" ref="M867">IFERROR(INDEX('Sản phẩm'!$J$4:$J$103,MATCH(B867,'Sản phẩm'!$D$4:$D$103,0)),0)</f>
        <v/>
      </c>
      <c r="N867" s="83">
        <f>IF(B867="",0,(K867+L867+M867)*'Thiết lập'!$B$8)</f>
        <v>0</v>
      </c>
      <c r="O867" s="83">
        <f t="shared" si="2"/>
        <v>0</v>
      </c>
      <c r="P867" s="83">
        <f t="shared" si="3"/>
        <v>0</v>
      </c>
      <c r="Q867" s="83">
        <f t="shared" si="4"/>
        <v>0</v>
      </c>
      <c r="R867" s="36" t="str">
        <f t="array" ref="R867">IF(B867="","",INDEX('Bán nhanh'!$C$4:$C$103,INT((ROW()-4)/10)+1))</f>
        <v/>
      </c>
      <c r="S867" s="36" t="str">
        <f t="array" ref="S867">IF(B867="","",INDEX('Bán nhanh'!$P$4:$P$103,INT((ROW()-4)/10)+1))</f>
        <v/>
      </c>
      <c r="T867" s="36"/>
      <c r="U867" s="36"/>
      <c r="V867" s="36"/>
      <c r="W867" s="36"/>
      <c r="X867" s="36"/>
      <c r="Y867" s="36"/>
      <c r="Z867" s="36"/>
    </row>
    <row r="868" ht="15.75" customHeight="1">
      <c r="A868" s="96" t="str">
        <f t="array" ref="A868">IF(B868="","",INDEX('Bán nhanh'!$A$4:$A$103,INT((ROW()-4)/10)+1))</f>
        <v/>
      </c>
      <c r="B868" s="36" t="str">
        <f t="array" ref="B868">IF(OR(INDEX('Bán nhanh'!$D$3:$M$3,1,MOD(ROW()-4,10)+1)="",INDEX('Bán nhanh'!$D$4:$M$103,INT((ROW()-4)/10)+1,MOD(ROW()-4,10)+1)&lt;=0),"",INDEX('Bán nhanh'!$D$3:$M$3,1,MOD(ROW()-4,10)+1))</f>
        <v/>
      </c>
      <c r="C868" s="36" t="str">
        <f t="array" ref="C868">IFERROR(INDEX('Sản phẩm'!$A$4:$A$103,MATCH(B868,'Sản phẩm'!$D$4:$D$103,0)),"")</f>
        <v/>
      </c>
      <c r="D868" s="36" t="str">
        <f t="array" ref="D868">IF(B868="","",INDEX('Bán nhanh'!$B$4:$B$103,INT((ROW()-4)/10)+1))</f>
        <v/>
      </c>
      <c r="E868" s="36" t="str">
        <f t="array" ref="E868">IFERROR(INDEX('Mẻ sữa'!$B$4:$B$203,MATCH(D868,'Mẻ sữa'!$C$4:$C$203,0)),"")</f>
        <v/>
      </c>
      <c r="F868" s="82">
        <f t="array" ref="F868">IF(B868="",0,INDEX('Bán nhanh'!$D$4:$M$103,INT((ROW()-4)/10)+1,MOD(ROW()-4,10)+1))</f>
        <v>0</v>
      </c>
      <c r="G868" s="83">
        <f t="array" ref="G868">IFERROR(INDEX('Sản phẩm'!$F$4:$F$103,MATCH(B868,'Sản phẩm'!$D$4:$D$103,0)),0)</f>
        <v>0</v>
      </c>
      <c r="H868" s="83">
        <f t="shared" si="5"/>
        <v>0</v>
      </c>
      <c r="I868" s="83">
        <f t="shared" si="1"/>
        <v>0</v>
      </c>
      <c r="J868" s="83">
        <f t="array" ref="J868">IFERROR(INDEX('Sản phẩm'!$G$4:$G$103,MATCH(B868,'Sản phẩm'!$D$4:$D$103,0)),0)</f>
        <v>0</v>
      </c>
      <c r="K868" s="83">
        <f t="array" ref="K868">IFERROR(J868*INDEX('Mẻ sữa'!$N$4:$N$203,MATCH(D868,'Mẻ sữa'!$C$4:$C$203,0)),0)</f>
        <v>0</v>
      </c>
      <c r="L868" s="83">
        <f t="array" ref="L868">IFERROR(INDEX('Sản phẩm'!$I$4:$I$103,MATCH(B868,'Sản phẩm'!$D$4:$D$103,0)),0)</f>
        <v>0</v>
      </c>
      <c r="M868" s="97" t="str">
        <f t="array" ref="M868">IFERROR(INDEX('Sản phẩm'!$J$4:$J$103,MATCH(B868,'Sản phẩm'!$D$4:$D$103,0)),0)</f>
        <v/>
      </c>
      <c r="N868" s="83">
        <f>IF(B868="",0,(K868+L868+M868)*'Thiết lập'!$B$8)</f>
        <v>0</v>
      </c>
      <c r="O868" s="83">
        <f t="shared" si="2"/>
        <v>0</v>
      </c>
      <c r="P868" s="83">
        <f t="shared" si="3"/>
        <v>0</v>
      </c>
      <c r="Q868" s="83">
        <f t="shared" si="4"/>
        <v>0</v>
      </c>
      <c r="R868" s="36" t="str">
        <f t="array" ref="R868">IF(B868="","",INDEX('Bán nhanh'!$C$4:$C$103,INT((ROW()-4)/10)+1))</f>
        <v/>
      </c>
      <c r="S868" s="36" t="str">
        <f t="array" ref="S868">IF(B868="","",INDEX('Bán nhanh'!$P$4:$P$103,INT((ROW()-4)/10)+1))</f>
        <v/>
      </c>
      <c r="T868" s="36"/>
      <c r="U868" s="36"/>
      <c r="V868" s="36"/>
      <c r="W868" s="36"/>
      <c r="X868" s="36"/>
      <c r="Y868" s="36"/>
      <c r="Z868" s="36"/>
    </row>
    <row r="869" ht="15.75" customHeight="1">
      <c r="A869" s="96" t="str">
        <f t="array" ref="A869">IF(B869="","",INDEX('Bán nhanh'!$A$4:$A$103,INT((ROW()-4)/10)+1))</f>
        <v/>
      </c>
      <c r="B869" s="36" t="str">
        <f t="array" ref="B869">IF(OR(INDEX('Bán nhanh'!$D$3:$M$3,1,MOD(ROW()-4,10)+1)="",INDEX('Bán nhanh'!$D$4:$M$103,INT((ROW()-4)/10)+1,MOD(ROW()-4,10)+1)&lt;=0),"",INDEX('Bán nhanh'!$D$3:$M$3,1,MOD(ROW()-4,10)+1))</f>
        <v/>
      </c>
      <c r="C869" s="36" t="str">
        <f t="array" ref="C869">IFERROR(INDEX('Sản phẩm'!$A$4:$A$103,MATCH(B869,'Sản phẩm'!$D$4:$D$103,0)),"")</f>
        <v/>
      </c>
      <c r="D869" s="36" t="str">
        <f t="array" ref="D869">IF(B869="","",INDEX('Bán nhanh'!$B$4:$B$103,INT((ROW()-4)/10)+1))</f>
        <v/>
      </c>
      <c r="E869" s="36" t="str">
        <f t="array" ref="E869">IFERROR(INDEX('Mẻ sữa'!$B$4:$B$203,MATCH(D869,'Mẻ sữa'!$C$4:$C$203,0)),"")</f>
        <v/>
      </c>
      <c r="F869" s="82">
        <f t="array" ref="F869">IF(B869="",0,INDEX('Bán nhanh'!$D$4:$M$103,INT((ROW()-4)/10)+1,MOD(ROW()-4,10)+1))</f>
        <v>0</v>
      </c>
      <c r="G869" s="83">
        <f t="array" ref="G869">IFERROR(INDEX('Sản phẩm'!$F$4:$F$103,MATCH(B869,'Sản phẩm'!$D$4:$D$103,0)),0)</f>
        <v>0</v>
      </c>
      <c r="H869" s="83">
        <f t="shared" si="5"/>
        <v>0</v>
      </c>
      <c r="I869" s="83">
        <f t="shared" si="1"/>
        <v>0</v>
      </c>
      <c r="J869" s="83">
        <f t="array" ref="J869">IFERROR(INDEX('Sản phẩm'!$G$4:$G$103,MATCH(B869,'Sản phẩm'!$D$4:$D$103,0)),0)</f>
        <v>0</v>
      </c>
      <c r="K869" s="83">
        <f t="array" ref="K869">IFERROR(J869*INDEX('Mẻ sữa'!$N$4:$N$203,MATCH(D869,'Mẻ sữa'!$C$4:$C$203,0)),0)</f>
        <v>0</v>
      </c>
      <c r="L869" s="83">
        <f t="array" ref="L869">IFERROR(INDEX('Sản phẩm'!$I$4:$I$103,MATCH(B869,'Sản phẩm'!$D$4:$D$103,0)),0)</f>
        <v>0</v>
      </c>
      <c r="M869" s="97" t="str">
        <f t="array" ref="M869">IFERROR(INDEX('Sản phẩm'!$J$4:$J$103,MATCH(B869,'Sản phẩm'!$D$4:$D$103,0)),0)</f>
        <v/>
      </c>
      <c r="N869" s="83">
        <f>IF(B869="",0,(K869+L869+M869)*'Thiết lập'!$B$8)</f>
        <v>0</v>
      </c>
      <c r="O869" s="83">
        <f t="shared" si="2"/>
        <v>0</v>
      </c>
      <c r="P869" s="83">
        <f t="shared" si="3"/>
        <v>0</v>
      </c>
      <c r="Q869" s="83">
        <f t="shared" si="4"/>
        <v>0</v>
      </c>
      <c r="R869" s="36" t="str">
        <f t="array" ref="R869">IF(B869="","",INDEX('Bán nhanh'!$C$4:$C$103,INT((ROW()-4)/10)+1))</f>
        <v/>
      </c>
      <c r="S869" s="36" t="str">
        <f t="array" ref="S869">IF(B869="","",INDEX('Bán nhanh'!$P$4:$P$103,INT((ROW()-4)/10)+1))</f>
        <v/>
      </c>
      <c r="T869" s="36"/>
      <c r="U869" s="36"/>
      <c r="V869" s="36"/>
      <c r="W869" s="36"/>
      <c r="X869" s="36"/>
      <c r="Y869" s="36"/>
      <c r="Z869" s="36"/>
    </row>
    <row r="870" ht="15.75" customHeight="1">
      <c r="A870" s="96" t="str">
        <f t="array" ref="A870">IF(B870="","",INDEX('Bán nhanh'!$A$4:$A$103,INT((ROW()-4)/10)+1))</f>
        <v/>
      </c>
      <c r="B870" s="36" t="str">
        <f t="array" ref="B870">IF(OR(INDEX('Bán nhanh'!$D$3:$M$3,1,MOD(ROW()-4,10)+1)="",INDEX('Bán nhanh'!$D$4:$M$103,INT((ROW()-4)/10)+1,MOD(ROW()-4,10)+1)&lt;=0),"",INDEX('Bán nhanh'!$D$3:$M$3,1,MOD(ROW()-4,10)+1))</f>
        <v/>
      </c>
      <c r="C870" s="36" t="str">
        <f t="array" ref="C870">IFERROR(INDEX('Sản phẩm'!$A$4:$A$103,MATCH(B870,'Sản phẩm'!$D$4:$D$103,0)),"")</f>
        <v/>
      </c>
      <c r="D870" s="36" t="str">
        <f t="array" ref="D870">IF(B870="","",INDEX('Bán nhanh'!$B$4:$B$103,INT((ROW()-4)/10)+1))</f>
        <v/>
      </c>
      <c r="E870" s="36" t="str">
        <f t="array" ref="E870">IFERROR(INDEX('Mẻ sữa'!$B$4:$B$203,MATCH(D870,'Mẻ sữa'!$C$4:$C$203,0)),"")</f>
        <v/>
      </c>
      <c r="F870" s="82">
        <f t="array" ref="F870">IF(B870="",0,INDEX('Bán nhanh'!$D$4:$M$103,INT((ROW()-4)/10)+1,MOD(ROW()-4,10)+1))</f>
        <v>0</v>
      </c>
      <c r="G870" s="83">
        <f t="array" ref="G870">IFERROR(INDEX('Sản phẩm'!$F$4:$F$103,MATCH(B870,'Sản phẩm'!$D$4:$D$103,0)),0)</f>
        <v>0</v>
      </c>
      <c r="H870" s="83">
        <f t="shared" si="5"/>
        <v>0</v>
      </c>
      <c r="I870" s="83">
        <f t="shared" si="1"/>
        <v>0</v>
      </c>
      <c r="J870" s="83">
        <f t="array" ref="J870">IFERROR(INDEX('Sản phẩm'!$G$4:$G$103,MATCH(B870,'Sản phẩm'!$D$4:$D$103,0)),0)</f>
        <v>0</v>
      </c>
      <c r="K870" s="83">
        <f t="array" ref="K870">IFERROR(J870*INDEX('Mẻ sữa'!$N$4:$N$203,MATCH(D870,'Mẻ sữa'!$C$4:$C$203,0)),0)</f>
        <v>0</v>
      </c>
      <c r="L870" s="83">
        <f t="array" ref="L870">IFERROR(INDEX('Sản phẩm'!$I$4:$I$103,MATCH(B870,'Sản phẩm'!$D$4:$D$103,0)),0)</f>
        <v>0</v>
      </c>
      <c r="M870" s="97" t="str">
        <f t="array" ref="M870">IFERROR(INDEX('Sản phẩm'!$J$4:$J$103,MATCH(B870,'Sản phẩm'!$D$4:$D$103,0)),0)</f>
        <v/>
      </c>
      <c r="N870" s="83">
        <f>IF(B870="",0,(K870+L870+M870)*'Thiết lập'!$B$8)</f>
        <v>0</v>
      </c>
      <c r="O870" s="83">
        <f t="shared" si="2"/>
        <v>0</v>
      </c>
      <c r="P870" s="83">
        <f t="shared" si="3"/>
        <v>0</v>
      </c>
      <c r="Q870" s="83">
        <f t="shared" si="4"/>
        <v>0</v>
      </c>
      <c r="R870" s="36" t="str">
        <f t="array" ref="R870">IF(B870="","",INDEX('Bán nhanh'!$C$4:$C$103,INT((ROW()-4)/10)+1))</f>
        <v/>
      </c>
      <c r="S870" s="36" t="str">
        <f t="array" ref="S870">IF(B870="","",INDEX('Bán nhanh'!$P$4:$P$103,INT((ROW()-4)/10)+1))</f>
        <v/>
      </c>
      <c r="T870" s="36"/>
      <c r="U870" s="36"/>
      <c r="V870" s="36"/>
      <c r="W870" s="36"/>
      <c r="X870" s="36"/>
      <c r="Y870" s="36"/>
      <c r="Z870" s="36"/>
    </row>
    <row r="871" ht="15.75" customHeight="1">
      <c r="A871" s="96" t="str">
        <f t="array" ref="A871">IF(B871="","",INDEX('Bán nhanh'!$A$4:$A$103,INT((ROW()-4)/10)+1))</f>
        <v/>
      </c>
      <c r="B871" s="36" t="str">
        <f t="array" ref="B871">IF(OR(INDEX('Bán nhanh'!$D$3:$M$3,1,MOD(ROW()-4,10)+1)="",INDEX('Bán nhanh'!$D$4:$M$103,INT((ROW()-4)/10)+1,MOD(ROW()-4,10)+1)&lt;=0),"",INDEX('Bán nhanh'!$D$3:$M$3,1,MOD(ROW()-4,10)+1))</f>
        <v/>
      </c>
      <c r="C871" s="36" t="str">
        <f t="array" ref="C871">IFERROR(INDEX('Sản phẩm'!$A$4:$A$103,MATCH(B871,'Sản phẩm'!$D$4:$D$103,0)),"")</f>
        <v/>
      </c>
      <c r="D871" s="36" t="str">
        <f t="array" ref="D871">IF(B871="","",INDEX('Bán nhanh'!$B$4:$B$103,INT((ROW()-4)/10)+1))</f>
        <v/>
      </c>
      <c r="E871" s="36" t="str">
        <f t="array" ref="E871">IFERROR(INDEX('Mẻ sữa'!$B$4:$B$203,MATCH(D871,'Mẻ sữa'!$C$4:$C$203,0)),"")</f>
        <v/>
      </c>
      <c r="F871" s="82">
        <f t="array" ref="F871">IF(B871="",0,INDEX('Bán nhanh'!$D$4:$M$103,INT((ROW()-4)/10)+1,MOD(ROW()-4,10)+1))</f>
        <v>0</v>
      </c>
      <c r="G871" s="83">
        <f t="array" ref="G871">IFERROR(INDEX('Sản phẩm'!$F$4:$F$103,MATCH(B871,'Sản phẩm'!$D$4:$D$103,0)),0)</f>
        <v>0</v>
      </c>
      <c r="H871" s="83">
        <f t="shared" si="5"/>
        <v>0</v>
      </c>
      <c r="I871" s="83">
        <f t="shared" si="1"/>
        <v>0</v>
      </c>
      <c r="J871" s="83">
        <f t="array" ref="J871">IFERROR(INDEX('Sản phẩm'!$G$4:$G$103,MATCH(B871,'Sản phẩm'!$D$4:$D$103,0)),0)</f>
        <v>0</v>
      </c>
      <c r="K871" s="83">
        <f t="array" ref="K871">IFERROR(J871*INDEX('Mẻ sữa'!$N$4:$N$203,MATCH(D871,'Mẻ sữa'!$C$4:$C$203,0)),0)</f>
        <v>0</v>
      </c>
      <c r="L871" s="83">
        <f t="array" ref="L871">IFERROR(INDEX('Sản phẩm'!$I$4:$I$103,MATCH(B871,'Sản phẩm'!$D$4:$D$103,0)),0)</f>
        <v>0</v>
      </c>
      <c r="M871" s="97" t="str">
        <f t="array" ref="M871">IFERROR(INDEX('Sản phẩm'!$J$4:$J$103,MATCH(B871,'Sản phẩm'!$D$4:$D$103,0)),0)</f>
        <v/>
      </c>
      <c r="N871" s="83">
        <f>IF(B871="",0,(K871+L871+M871)*'Thiết lập'!$B$8)</f>
        <v>0</v>
      </c>
      <c r="O871" s="83">
        <f t="shared" si="2"/>
        <v>0</v>
      </c>
      <c r="P871" s="83">
        <f t="shared" si="3"/>
        <v>0</v>
      </c>
      <c r="Q871" s="83">
        <f t="shared" si="4"/>
        <v>0</v>
      </c>
      <c r="R871" s="36" t="str">
        <f t="array" ref="R871">IF(B871="","",INDEX('Bán nhanh'!$C$4:$C$103,INT((ROW()-4)/10)+1))</f>
        <v/>
      </c>
      <c r="S871" s="36" t="str">
        <f t="array" ref="S871">IF(B871="","",INDEX('Bán nhanh'!$P$4:$P$103,INT((ROW()-4)/10)+1))</f>
        <v/>
      </c>
      <c r="T871" s="36"/>
      <c r="U871" s="36"/>
      <c r="V871" s="36"/>
      <c r="W871" s="36"/>
      <c r="X871" s="36"/>
      <c r="Y871" s="36"/>
      <c r="Z871" s="36"/>
    </row>
    <row r="872" ht="15.75" customHeight="1">
      <c r="A872" s="96" t="str">
        <f t="array" ref="A872">IF(B872="","",INDEX('Bán nhanh'!$A$4:$A$103,INT((ROW()-4)/10)+1))</f>
        <v/>
      </c>
      <c r="B872" s="36" t="str">
        <f t="array" ref="B872">IF(OR(INDEX('Bán nhanh'!$D$3:$M$3,1,MOD(ROW()-4,10)+1)="",INDEX('Bán nhanh'!$D$4:$M$103,INT((ROW()-4)/10)+1,MOD(ROW()-4,10)+1)&lt;=0),"",INDEX('Bán nhanh'!$D$3:$M$3,1,MOD(ROW()-4,10)+1))</f>
        <v/>
      </c>
      <c r="C872" s="36" t="str">
        <f t="array" ref="C872">IFERROR(INDEX('Sản phẩm'!$A$4:$A$103,MATCH(B872,'Sản phẩm'!$D$4:$D$103,0)),"")</f>
        <v/>
      </c>
      <c r="D872" s="36" t="str">
        <f t="array" ref="D872">IF(B872="","",INDEX('Bán nhanh'!$B$4:$B$103,INT((ROW()-4)/10)+1))</f>
        <v/>
      </c>
      <c r="E872" s="36" t="str">
        <f t="array" ref="E872">IFERROR(INDEX('Mẻ sữa'!$B$4:$B$203,MATCH(D872,'Mẻ sữa'!$C$4:$C$203,0)),"")</f>
        <v/>
      </c>
      <c r="F872" s="82">
        <f t="array" ref="F872">IF(B872="",0,INDEX('Bán nhanh'!$D$4:$M$103,INT((ROW()-4)/10)+1,MOD(ROW()-4,10)+1))</f>
        <v>0</v>
      </c>
      <c r="G872" s="83">
        <f t="array" ref="G872">IFERROR(INDEX('Sản phẩm'!$F$4:$F$103,MATCH(B872,'Sản phẩm'!$D$4:$D$103,0)),0)</f>
        <v>0</v>
      </c>
      <c r="H872" s="83">
        <f t="shared" si="5"/>
        <v>0</v>
      </c>
      <c r="I872" s="83">
        <f t="shared" si="1"/>
        <v>0</v>
      </c>
      <c r="J872" s="83">
        <f t="array" ref="J872">IFERROR(INDEX('Sản phẩm'!$G$4:$G$103,MATCH(B872,'Sản phẩm'!$D$4:$D$103,0)),0)</f>
        <v>0</v>
      </c>
      <c r="K872" s="83">
        <f t="array" ref="K872">IFERROR(J872*INDEX('Mẻ sữa'!$N$4:$N$203,MATCH(D872,'Mẻ sữa'!$C$4:$C$203,0)),0)</f>
        <v>0</v>
      </c>
      <c r="L872" s="83">
        <f t="array" ref="L872">IFERROR(INDEX('Sản phẩm'!$I$4:$I$103,MATCH(B872,'Sản phẩm'!$D$4:$D$103,0)),0)</f>
        <v>0</v>
      </c>
      <c r="M872" s="97" t="str">
        <f t="array" ref="M872">IFERROR(INDEX('Sản phẩm'!$J$4:$J$103,MATCH(B872,'Sản phẩm'!$D$4:$D$103,0)),0)</f>
        <v/>
      </c>
      <c r="N872" s="83">
        <f>IF(B872="",0,(K872+L872+M872)*'Thiết lập'!$B$8)</f>
        <v>0</v>
      </c>
      <c r="O872" s="83">
        <f t="shared" si="2"/>
        <v>0</v>
      </c>
      <c r="P872" s="83">
        <f t="shared" si="3"/>
        <v>0</v>
      </c>
      <c r="Q872" s="83">
        <f t="shared" si="4"/>
        <v>0</v>
      </c>
      <c r="R872" s="36" t="str">
        <f t="array" ref="R872">IF(B872="","",INDEX('Bán nhanh'!$C$4:$C$103,INT((ROW()-4)/10)+1))</f>
        <v/>
      </c>
      <c r="S872" s="36" t="str">
        <f t="array" ref="S872">IF(B872="","",INDEX('Bán nhanh'!$P$4:$P$103,INT((ROW()-4)/10)+1))</f>
        <v/>
      </c>
      <c r="T872" s="36"/>
      <c r="U872" s="36"/>
      <c r="V872" s="36"/>
      <c r="W872" s="36"/>
      <c r="X872" s="36"/>
      <c r="Y872" s="36"/>
      <c r="Z872" s="36"/>
    </row>
    <row r="873" ht="15.75" customHeight="1">
      <c r="A873" s="96" t="str">
        <f t="array" ref="A873">IF(B873="","",INDEX('Bán nhanh'!$A$4:$A$103,INT((ROW()-4)/10)+1))</f>
        <v/>
      </c>
      <c r="B873" s="36" t="str">
        <f t="array" ref="B873">IF(OR(INDEX('Bán nhanh'!$D$3:$M$3,1,MOD(ROW()-4,10)+1)="",INDEX('Bán nhanh'!$D$4:$M$103,INT((ROW()-4)/10)+1,MOD(ROW()-4,10)+1)&lt;=0),"",INDEX('Bán nhanh'!$D$3:$M$3,1,MOD(ROW()-4,10)+1))</f>
        <v/>
      </c>
      <c r="C873" s="36" t="str">
        <f t="array" ref="C873">IFERROR(INDEX('Sản phẩm'!$A$4:$A$103,MATCH(B873,'Sản phẩm'!$D$4:$D$103,0)),"")</f>
        <v/>
      </c>
      <c r="D873" s="36" t="str">
        <f t="array" ref="D873">IF(B873="","",INDEX('Bán nhanh'!$B$4:$B$103,INT((ROW()-4)/10)+1))</f>
        <v/>
      </c>
      <c r="E873" s="36" t="str">
        <f t="array" ref="E873">IFERROR(INDEX('Mẻ sữa'!$B$4:$B$203,MATCH(D873,'Mẻ sữa'!$C$4:$C$203,0)),"")</f>
        <v/>
      </c>
      <c r="F873" s="82">
        <f t="array" ref="F873">IF(B873="",0,INDEX('Bán nhanh'!$D$4:$M$103,INT((ROW()-4)/10)+1,MOD(ROW()-4,10)+1))</f>
        <v>0</v>
      </c>
      <c r="G873" s="83">
        <f t="array" ref="G873">IFERROR(INDEX('Sản phẩm'!$F$4:$F$103,MATCH(B873,'Sản phẩm'!$D$4:$D$103,0)),0)</f>
        <v>0</v>
      </c>
      <c r="H873" s="83">
        <f t="shared" si="5"/>
        <v>0</v>
      </c>
      <c r="I873" s="83">
        <f t="shared" si="1"/>
        <v>0</v>
      </c>
      <c r="J873" s="83">
        <f t="array" ref="J873">IFERROR(INDEX('Sản phẩm'!$G$4:$G$103,MATCH(B873,'Sản phẩm'!$D$4:$D$103,0)),0)</f>
        <v>0</v>
      </c>
      <c r="K873" s="83">
        <f t="array" ref="K873">IFERROR(J873*INDEX('Mẻ sữa'!$N$4:$N$203,MATCH(D873,'Mẻ sữa'!$C$4:$C$203,0)),0)</f>
        <v>0</v>
      </c>
      <c r="L873" s="83">
        <f t="array" ref="L873">IFERROR(INDEX('Sản phẩm'!$I$4:$I$103,MATCH(B873,'Sản phẩm'!$D$4:$D$103,0)),0)</f>
        <v>0</v>
      </c>
      <c r="M873" s="97" t="str">
        <f t="array" ref="M873">IFERROR(INDEX('Sản phẩm'!$J$4:$J$103,MATCH(B873,'Sản phẩm'!$D$4:$D$103,0)),0)</f>
        <v/>
      </c>
      <c r="N873" s="83">
        <f>IF(B873="",0,(K873+L873+M873)*'Thiết lập'!$B$8)</f>
        <v>0</v>
      </c>
      <c r="O873" s="83">
        <f t="shared" si="2"/>
        <v>0</v>
      </c>
      <c r="P873" s="83">
        <f t="shared" si="3"/>
        <v>0</v>
      </c>
      <c r="Q873" s="83">
        <f t="shared" si="4"/>
        <v>0</v>
      </c>
      <c r="R873" s="36" t="str">
        <f t="array" ref="R873">IF(B873="","",INDEX('Bán nhanh'!$C$4:$C$103,INT((ROW()-4)/10)+1))</f>
        <v/>
      </c>
      <c r="S873" s="36" t="str">
        <f t="array" ref="S873">IF(B873="","",INDEX('Bán nhanh'!$P$4:$P$103,INT((ROW()-4)/10)+1))</f>
        <v/>
      </c>
      <c r="T873" s="36"/>
      <c r="U873" s="36"/>
      <c r="V873" s="36"/>
      <c r="W873" s="36"/>
      <c r="X873" s="36"/>
      <c r="Y873" s="36"/>
      <c r="Z873" s="36"/>
    </row>
    <row r="874" ht="15.75" customHeight="1">
      <c r="A874" s="96" t="str">
        <f t="array" ref="A874">IF(B874="","",INDEX('Bán nhanh'!$A$4:$A$103,INT((ROW()-4)/10)+1))</f>
        <v/>
      </c>
      <c r="B874" s="36" t="str">
        <f t="array" ref="B874">IF(OR(INDEX('Bán nhanh'!$D$3:$M$3,1,MOD(ROW()-4,10)+1)="",INDEX('Bán nhanh'!$D$4:$M$103,INT((ROW()-4)/10)+1,MOD(ROW()-4,10)+1)&lt;=0),"",INDEX('Bán nhanh'!$D$3:$M$3,1,MOD(ROW()-4,10)+1))</f>
        <v/>
      </c>
      <c r="C874" s="36" t="str">
        <f t="array" ref="C874">IFERROR(INDEX('Sản phẩm'!$A$4:$A$103,MATCH(B874,'Sản phẩm'!$D$4:$D$103,0)),"")</f>
        <v/>
      </c>
      <c r="D874" s="36" t="str">
        <f t="array" ref="D874">IF(B874="","",INDEX('Bán nhanh'!$B$4:$B$103,INT((ROW()-4)/10)+1))</f>
        <v/>
      </c>
      <c r="E874" s="36" t="str">
        <f t="array" ref="E874">IFERROR(INDEX('Mẻ sữa'!$B$4:$B$203,MATCH(D874,'Mẻ sữa'!$C$4:$C$203,0)),"")</f>
        <v/>
      </c>
      <c r="F874" s="82">
        <f t="array" ref="F874">IF(B874="",0,INDEX('Bán nhanh'!$D$4:$M$103,INT((ROW()-4)/10)+1,MOD(ROW()-4,10)+1))</f>
        <v>0</v>
      </c>
      <c r="G874" s="83">
        <f t="array" ref="G874">IFERROR(INDEX('Sản phẩm'!$F$4:$F$103,MATCH(B874,'Sản phẩm'!$D$4:$D$103,0)),0)</f>
        <v>0</v>
      </c>
      <c r="H874" s="83">
        <f t="shared" si="5"/>
        <v>0</v>
      </c>
      <c r="I874" s="83">
        <f t="shared" si="1"/>
        <v>0</v>
      </c>
      <c r="J874" s="83">
        <f t="array" ref="J874">IFERROR(INDEX('Sản phẩm'!$G$4:$G$103,MATCH(B874,'Sản phẩm'!$D$4:$D$103,0)),0)</f>
        <v>0</v>
      </c>
      <c r="K874" s="83">
        <f t="array" ref="K874">IFERROR(J874*INDEX('Mẻ sữa'!$N$4:$N$203,MATCH(D874,'Mẻ sữa'!$C$4:$C$203,0)),0)</f>
        <v>0</v>
      </c>
      <c r="L874" s="83">
        <f t="array" ref="L874">IFERROR(INDEX('Sản phẩm'!$I$4:$I$103,MATCH(B874,'Sản phẩm'!$D$4:$D$103,0)),0)</f>
        <v>0</v>
      </c>
      <c r="M874" s="97" t="str">
        <f t="array" ref="M874">IFERROR(INDEX('Sản phẩm'!$J$4:$J$103,MATCH(B874,'Sản phẩm'!$D$4:$D$103,0)),0)</f>
        <v/>
      </c>
      <c r="N874" s="83">
        <f>IF(B874="",0,(K874+L874+M874)*'Thiết lập'!$B$8)</f>
        <v>0</v>
      </c>
      <c r="O874" s="83">
        <f t="shared" si="2"/>
        <v>0</v>
      </c>
      <c r="P874" s="83">
        <f t="shared" si="3"/>
        <v>0</v>
      </c>
      <c r="Q874" s="83">
        <f t="shared" si="4"/>
        <v>0</v>
      </c>
      <c r="R874" s="36" t="str">
        <f t="array" ref="R874">IF(B874="","",INDEX('Bán nhanh'!$C$4:$C$103,INT((ROW()-4)/10)+1))</f>
        <v/>
      </c>
      <c r="S874" s="36" t="str">
        <f t="array" ref="S874">IF(B874="","",INDEX('Bán nhanh'!$P$4:$P$103,INT((ROW()-4)/10)+1))</f>
        <v/>
      </c>
      <c r="T874" s="36"/>
      <c r="U874" s="36"/>
      <c r="V874" s="36"/>
      <c r="W874" s="36"/>
      <c r="X874" s="36"/>
      <c r="Y874" s="36"/>
      <c r="Z874" s="36"/>
    </row>
    <row r="875" ht="15.75" customHeight="1">
      <c r="A875" s="96" t="str">
        <f t="array" ref="A875">IF(B875="","",INDEX('Bán nhanh'!$A$4:$A$103,INT((ROW()-4)/10)+1))</f>
        <v/>
      </c>
      <c r="B875" s="36" t="str">
        <f t="array" ref="B875">IF(OR(INDEX('Bán nhanh'!$D$3:$M$3,1,MOD(ROW()-4,10)+1)="",INDEX('Bán nhanh'!$D$4:$M$103,INT((ROW()-4)/10)+1,MOD(ROW()-4,10)+1)&lt;=0),"",INDEX('Bán nhanh'!$D$3:$M$3,1,MOD(ROW()-4,10)+1))</f>
        <v/>
      </c>
      <c r="C875" s="36" t="str">
        <f t="array" ref="C875">IFERROR(INDEX('Sản phẩm'!$A$4:$A$103,MATCH(B875,'Sản phẩm'!$D$4:$D$103,0)),"")</f>
        <v/>
      </c>
      <c r="D875" s="36" t="str">
        <f t="array" ref="D875">IF(B875="","",INDEX('Bán nhanh'!$B$4:$B$103,INT((ROW()-4)/10)+1))</f>
        <v/>
      </c>
      <c r="E875" s="36" t="str">
        <f t="array" ref="E875">IFERROR(INDEX('Mẻ sữa'!$B$4:$B$203,MATCH(D875,'Mẻ sữa'!$C$4:$C$203,0)),"")</f>
        <v/>
      </c>
      <c r="F875" s="82">
        <f t="array" ref="F875">IF(B875="",0,INDEX('Bán nhanh'!$D$4:$M$103,INT((ROW()-4)/10)+1,MOD(ROW()-4,10)+1))</f>
        <v>0</v>
      </c>
      <c r="G875" s="83">
        <f t="array" ref="G875">IFERROR(INDEX('Sản phẩm'!$F$4:$F$103,MATCH(B875,'Sản phẩm'!$D$4:$D$103,0)),0)</f>
        <v>0</v>
      </c>
      <c r="H875" s="83">
        <f t="shared" si="5"/>
        <v>0</v>
      </c>
      <c r="I875" s="83">
        <f t="shared" si="1"/>
        <v>0</v>
      </c>
      <c r="J875" s="83">
        <f t="array" ref="J875">IFERROR(INDEX('Sản phẩm'!$G$4:$G$103,MATCH(B875,'Sản phẩm'!$D$4:$D$103,0)),0)</f>
        <v>0</v>
      </c>
      <c r="K875" s="83">
        <f t="array" ref="K875">IFERROR(J875*INDEX('Mẻ sữa'!$N$4:$N$203,MATCH(D875,'Mẻ sữa'!$C$4:$C$203,0)),0)</f>
        <v>0</v>
      </c>
      <c r="L875" s="83">
        <f t="array" ref="L875">IFERROR(INDEX('Sản phẩm'!$I$4:$I$103,MATCH(B875,'Sản phẩm'!$D$4:$D$103,0)),0)</f>
        <v>0</v>
      </c>
      <c r="M875" s="97" t="str">
        <f t="array" ref="M875">IFERROR(INDEX('Sản phẩm'!$J$4:$J$103,MATCH(B875,'Sản phẩm'!$D$4:$D$103,0)),0)</f>
        <v/>
      </c>
      <c r="N875" s="83">
        <f>IF(B875="",0,(K875+L875+M875)*'Thiết lập'!$B$8)</f>
        <v>0</v>
      </c>
      <c r="O875" s="83">
        <f t="shared" si="2"/>
        <v>0</v>
      </c>
      <c r="P875" s="83">
        <f t="shared" si="3"/>
        <v>0</v>
      </c>
      <c r="Q875" s="83">
        <f t="shared" si="4"/>
        <v>0</v>
      </c>
      <c r="R875" s="36" t="str">
        <f t="array" ref="R875">IF(B875="","",INDEX('Bán nhanh'!$C$4:$C$103,INT((ROW()-4)/10)+1))</f>
        <v/>
      </c>
      <c r="S875" s="36" t="str">
        <f t="array" ref="S875">IF(B875="","",INDEX('Bán nhanh'!$P$4:$P$103,INT((ROW()-4)/10)+1))</f>
        <v/>
      </c>
      <c r="T875" s="36"/>
      <c r="U875" s="36"/>
      <c r="V875" s="36"/>
      <c r="W875" s="36"/>
      <c r="X875" s="36"/>
      <c r="Y875" s="36"/>
      <c r="Z875" s="36"/>
    </row>
    <row r="876" ht="15.75" customHeight="1">
      <c r="A876" s="96" t="str">
        <f t="array" ref="A876">IF(B876="","",INDEX('Bán nhanh'!$A$4:$A$103,INT((ROW()-4)/10)+1))</f>
        <v/>
      </c>
      <c r="B876" s="36" t="str">
        <f t="array" ref="B876">IF(OR(INDEX('Bán nhanh'!$D$3:$M$3,1,MOD(ROW()-4,10)+1)="",INDEX('Bán nhanh'!$D$4:$M$103,INT((ROW()-4)/10)+1,MOD(ROW()-4,10)+1)&lt;=0),"",INDEX('Bán nhanh'!$D$3:$M$3,1,MOD(ROW()-4,10)+1))</f>
        <v/>
      </c>
      <c r="C876" s="36" t="str">
        <f t="array" ref="C876">IFERROR(INDEX('Sản phẩm'!$A$4:$A$103,MATCH(B876,'Sản phẩm'!$D$4:$D$103,0)),"")</f>
        <v/>
      </c>
      <c r="D876" s="36" t="str">
        <f t="array" ref="D876">IF(B876="","",INDEX('Bán nhanh'!$B$4:$B$103,INT((ROW()-4)/10)+1))</f>
        <v/>
      </c>
      <c r="E876" s="36" t="str">
        <f t="array" ref="E876">IFERROR(INDEX('Mẻ sữa'!$B$4:$B$203,MATCH(D876,'Mẻ sữa'!$C$4:$C$203,0)),"")</f>
        <v/>
      </c>
      <c r="F876" s="82">
        <f t="array" ref="F876">IF(B876="",0,INDEX('Bán nhanh'!$D$4:$M$103,INT((ROW()-4)/10)+1,MOD(ROW()-4,10)+1))</f>
        <v>0</v>
      </c>
      <c r="G876" s="83">
        <f t="array" ref="G876">IFERROR(INDEX('Sản phẩm'!$F$4:$F$103,MATCH(B876,'Sản phẩm'!$D$4:$D$103,0)),0)</f>
        <v>0</v>
      </c>
      <c r="H876" s="83">
        <f t="shared" si="5"/>
        <v>0</v>
      </c>
      <c r="I876" s="83">
        <f t="shared" si="1"/>
        <v>0</v>
      </c>
      <c r="J876" s="83">
        <f t="array" ref="J876">IFERROR(INDEX('Sản phẩm'!$G$4:$G$103,MATCH(B876,'Sản phẩm'!$D$4:$D$103,0)),0)</f>
        <v>0</v>
      </c>
      <c r="K876" s="83">
        <f t="array" ref="K876">IFERROR(J876*INDEX('Mẻ sữa'!$N$4:$N$203,MATCH(D876,'Mẻ sữa'!$C$4:$C$203,0)),0)</f>
        <v>0</v>
      </c>
      <c r="L876" s="83">
        <f t="array" ref="L876">IFERROR(INDEX('Sản phẩm'!$I$4:$I$103,MATCH(B876,'Sản phẩm'!$D$4:$D$103,0)),0)</f>
        <v>0</v>
      </c>
      <c r="M876" s="97" t="str">
        <f t="array" ref="M876">IFERROR(INDEX('Sản phẩm'!$J$4:$J$103,MATCH(B876,'Sản phẩm'!$D$4:$D$103,0)),0)</f>
        <v/>
      </c>
      <c r="N876" s="83">
        <f>IF(B876="",0,(K876+L876+M876)*'Thiết lập'!$B$8)</f>
        <v>0</v>
      </c>
      <c r="O876" s="83">
        <f t="shared" si="2"/>
        <v>0</v>
      </c>
      <c r="P876" s="83">
        <f t="shared" si="3"/>
        <v>0</v>
      </c>
      <c r="Q876" s="83">
        <f t="shared" si="4"/>
        <v>0</v>
      </c>
      <c r="R876" s="36" t="str">
        <f t="array" ref="R876">IF(B876="","",INDEX('Bán nhanh'!$C$4:$C$103,INT((ROW()-4)/10)+1))</f>
        <v/>
      </c>
      <c r="S876" s="36" t="str">
        <f t="array" ref="S876">IF(B876="","",INDEX('Bán nhanh'!$P$4:$P$103,INT((ROW()-4)/10)+1))</f>
        <v/>
      </c>
      <c r="T876" s="36"/>
      <c r="U876" s="36"/>
      <c r="V876" s="36"/>
      <c r="W876" s="36"/>
      <c r="X876" s="36"/>
      <c r="Y876" s="36"/>
      <c r="Z876" s="36"/>
    </row>
    <row r="877" ht="15.75" customHeight="1">
      <c r="A877" s="96" t="str">
        <f t="array" ref="A877">IF(B877="","",INDEX('Bán nhanh'!$A$4:$A$103,INT((ROW()-4)/10)+1))</f>
        <v/>
      </c>
      <c r="B877" s="36" t="str">
        <f t="array" ref="B877">IF(OR(INDEX('Bán nhanh'!$D$3:$M$3,1,MOD(ROW()-4,10)+1)="",INDEX('Bán nhanh'!$D$4:$M$103,INT((ROW()-4)/10)+1,MOD(ROW()-4,10)+1)&lt;=0),"",INDEX('Bán nhanh'!$D$3:$M$3,1,MOD(ROW()-4,10)+1))</f>
        <v/>
      </c>
      <c r="C877" s="36" t="str">
        <f t="array" ref="C877">IFERROR(INDEX('Sản phẩm'!$A$4:$A$103,MATCH(B877,'Sản phẩm'!$D$4:$D$103,0)),"")</f>
        <v/>
      </c>
      <c r="D877" s="36" t="str">
        <f t="array" ref="D877">IF(B877="","",INDEX('Bán nhanh'!$B$4:$B$103,INT((ROW()-4)/10)+1))</f>
        <v/>
      </c>
      <c r="E877" s="36" t="str">
        <f t="array" ref="E877">IFERROR(INDEX('Mẻ sữa'!$B$4:$B$203,MATCH(D877,'Mẻ sữa'!$C$4:$C$203,0)),"")</f>
        <v/>
      </c>
      <c r="F877" s="82">
        <f t="array" ref="F877">IF(B877="",0,INDEX('Bán nhanh'!$D$4:$M$103,INT((ROW()-4)/10)+1,MOD(ROW()-4,10)+1))</f>
        <v>0</v>
      </c>
      <c r="G877" s="83">
        <f t="array" ref="G877">IFERROR(INDEX('Sản phẩm'!$F$4:$F$103,MATCH(B877,'Sản phẩm'!$D$4:$D$103,0)),0)</f>
        <v>0</v>
      </c>
      <c r="H877" s="83">
        <f t="shared" si="5"/>
        <v>0</v>
      </c>
      <c r="I877" s="83">
        <f t="shared" si="1"/>
        <v>0</v>
      </c>
      <c r="J877" s="83">
        <f t="array" ref="J877">IFERROR(INDEX('Sản phẩm'!$G$4:$G$103,MATCH(B877,'Sản phẩm'!$D$4:$D$103,0)),0)</f>
        <v>0</v>
      </c>
      <c r="K877" s="83">
        <f t="array" ref="K877">IFERROR(J877*INDEX('Mẻ sữa'!$N$4:$N$203,MATCH(D877,'Mẻ sữa'!$C$4:$C$203,0)),0)</f>
        <v>0</v>
      </c>
      <c r="L877" s="83">
        <f t="array" ref="L877">IFERROR(INDEX('Sản phẩm'!$I$4:$I$103,MATCH(B877,'Sản phẩm'!$D$4:$D$103,0)),0)</f>
        <v>0</v>
      </c>
      <c r="M877" s="97" t="str">
        <f t="array" ref="M877">IFERROR(INDEX('Sản phẩm'!$J$4:$J$103,MATCH(B877,'Sản phẩm'!$D$4:$D$103,0)),0)</f>
        <v/>
      </c>
      <c r="N877" s="83">
        <f>IF(B877="",0,(K877+L877+M877)*'Thiết lập'!$B$8)</f>
        <v>0</v>
      </c>
      <c r="O877" s="83">
        <f t="shared" si="2"/>
        <v>0</v>
      </c>
      <c r="P877" s="83">
        <f t="shared" si="3"/>
        <v>0</v>
      </c>
      <c r="Q877" s="83">
        <f t="shared" si="4"/>
        <v>0</v>
      </c>
      <c r="R877" s="36" t="str">
        <f t="array" ref="R877">IF(B877="","",INDEX('Bán nhanh'!$C$4:$C$103,INT((ROW()-4)/10)+1))</f>
        <v/>
      </c>
      <c r="S877" s="36" t="str">
        <f t="array" ref="S877">IF(B877="","",INDEX('Bán nhanh'!$P$4:$P$103,INT((ROW()-4)/10)+1))</f>
        <v/>
      </c>
      <c r="T877" s="36"/>
      <c r="U877" s="36"/>
      <c r="V877" s="36"/>
      <c r="W877" s="36"/>
      <c r="X877" s="36"/>
      <c r="Y877" s="36"/>
      <c r="Z877" s="36"/>
    </row>
    <row r="878" ht="15.75" customHeight="1">
      <c r="A878" s="96" t="str">
        <f t="array" ref="A878">IF(B878="","",INDEX('Bán nhanh'!$A$4:$A$103,INT((ROW()-4)/10)+1))</f>
        <v/>
      </c>
      <c r="B878" s="36" t="str">
        <f t="array" ref="B878">IF(OR(INDEX('Bán nhanh'!$D$3:$M$3,1,MOD(ROW()-4,10)+1)="",INDEX('Bán nhanh'!$D$4:$M$103,INT((ROW()-4)/10)+1,MOD(ROW()-4,10)+1)&lt;=0),"",INDEX('Bán nhanh'!$D$3:$M$3,1,MOD(ROW()-4,10)+1))</f>
        <v/>
      </c>
      <c r="C878" s="36" t="str">
        <f t="array" ref="C878">IFERROR(INDEX('Sản phẩm'!$A$4:$A$103,MATCH(B878,'Sản phẩm'!$D$4:$D$103,0)),"")</f>
        <v/>
      </c>
      <c r="D878" s="36" t="str">
        <f t="array" ref="D878">IF(B878="","",INDEX('Bán nhanh'!$B$4:$B$103,INT((ROW()-4)/10)+1))</f>
        <v/>
      </c>
      <c r="E878" s="36" t="str">
        <f t="array" ref="E878">IFERROR(INDEX('Mẻ sữa'!$B$4:$B$203,MATCH(D878,'Mẻ sữa'!$C$4:$C$203,0)),"")</f>
        <v/>
      </c>
      <c r="F878" s="82">
        <f t="array" ref="F878">IF(B878="",0,INDEX('Bán nhanh'!$D$4:$M$103,INT((ROW()-4)/10)+1,MOD(ROW()-4,10)+1))</f>
        <v>0</v>
      </c>
      <c r="G878" s="83">
        <f t="array" ref="G878">IFERROR(INDEX('Sản phẩm'!$F$4:$F$103,MATCH(B878,'Sản phẩm'!$D$4:$D$103,0)),0)</f>
        <v>0</v>
      </c>
      <c r="H878" s="83">
        <f t="shared" si="5"/>
        <v>0</v>
      </c>
      <c r="I878" s="83">
        <f t="shared" si="1"/>
        <v>0</v>
      </c>
      <c r="J878" s="83">
        <f t="array" ref="J878">IFERROR(INDEX('Sản phẩm'!$G$4:$G$103,MATCH(B878,'Sản phẩm'!$D$4:$D$103,0)),0)</f>
        <v>0</v>
      </c>
      <c r="K878" s="83">
        <f t="array" ref="K878">IFERROR(J878*INDEX('Mẻ sữa'!$N$4:$N$203,MATCH(D878,'Mẻ sữa'!$C$4:$C$203,0)),0)</f>
        <v>0</v>
      </c>
      <c r="L878" s="83">
        <f t="array" ref="L878">IFERROR(INDEX('Sản phẩm'!$I$4:$I$103,MATCH(B878,'Sản phẩm'!$D$4:$D$103,0)),0)</f>
        <v>0</v>
      </c>
      <c r="M878" s="97" t="str">
        <f t="array" ref="M878">IFERROR(INDEX('Sản phẩm'!$J$4:$J$103,MATCH(B878,'Sản phẩm'!$D$4:$D$103,0)),0)</f>
        <v/>
      </c>
      <c r="N878" s="83">
        <f>IF(B878="",0,(K878+L878+M878)*'Thiết lập'!$B$8)</f>
        <v>0</v>
      </c>
      <c r="O878" s="83">
        <f t="shared" si="2"/>
        <v>0</v>
      </c>
      <c r="P878" s="83">
        <f t="shared" si="3"/>
        <v>0</v>
      </c>
      <c r="Q878" s="83">
        <f t="shared" si="4"/>
        <v>0</v>
      </c>
      <c r="R878" s="36" t="str">
        <f t="array" ref="R878">IF(B878="","",INDEX('Bán nhanh'!$C$4:$C$103,INT((ROW()-4)/10)+1))</f>
        <v/>
      </c>
      <c r="S878" s="36" t="str">
        <f t="array" ref="S878">IF(B878="","",INDEX('Bán nhanh'!$P$4:$P$103,INT((ROW()-4)/10)+1))</f>
        <v/>
      </c>
      <c r="T878" s="36"/>
      <c r="U878" s="36"/>
      <c r="V878" s="36"/>
      <c r="W878" s="36"/>
      <c r="X878" s="36"/>
      <c r="Y878" s="36"/>
      <c r="Z878" s="36"/>
    </row>
    <row r="879" ht="15.75" customHeight="1">
      <c r="A879" s="96" t="str">
        <f t="array" ref="A879">IF(B879="","",INDEX('Bán nhanh'!$A$4:$A$103,INT((ROW()-4)/10)+1))</f>
        <v/>
      </c>
      <c r="B879" s="36" t="str">
        <f t="array" ref="B879">IF(OR(INDEX('Bán nhanh'!$D$3:$M$3,1,MOD(ROW()-4,10)+1)="",INDEX('Bán nhanh'!$D$4:$M$103,INT((ROW()-4)/10)+1,MOD(ROW()-4,10)+1)&lt;=0),"",INDEX('Bán nhanh'!$D$3:$M$3,1,MOD(ROW()-4,10)+1))</f>
        <v/>
      </c>
      <c r="C879" s="36" t="str">
        <f t="array" ref="C879">IFERROR(INDEX('Sản phẩm'!$A$4:$A$103,MATCH(B879,'Sản phẩm'!$D$4:$D$103,0)),"")</f>
        <v/>
      </c>
      <c r="D879" s="36" t="str">
        <f t="array" ref="D879">IF(B879="","",INDEX('Bán nhanh'!$B$4:$B$103,INT((ROW()-4)/10)+1))</f>
        <v/>
      </c>
      <c r="E879" s="36" t="str">
        <f t="array" ref="E879">IFERROR(INDEX('Mẻ sữa'!$B$4:$B$203,MATCH(D879,'Mẻ sữa'!$C$4:$C$203,0)),"")</f>
        <v/>
      </c>
      <c r="F879" s="82">
        <f t="array" ref="F879">IF(B879="",0,INDEX('Bán nhanh'!$D$4:$M$103,INT((ROW()-4)/10)+1,MOD(ROW()-4,10)+1))</f>
        <v>0</v>
      </c>
      <c r="G879" s="83">
        <f t="array" ref="G879">IFERROR(INDEX('Sản phẩm'!$F$4:$F$103,MATCH(B879,'Sản phẩm'!$D$4:$D$103,0)),0)</f>
        <v>0</v>
      </c>
      <c r="H879" s="83">
        <f t="shared" si="5"/>
        <v>0</v>
      </c>
      <c r="I879" s="83">
        <f t="shared" si="1"/>
        <v>0</v>
      </c>
      <c r="J879" s="83">
        <f t="array" ref="J879">IFERROR(INDEX('Sản phẩm'!$G$4:$G$103,MATCH(B879,'Sản phẩm'!$D$4:$D$103,0)),0)</f>
        <v>0</v>
      </c>
      <c r="K879" s="83">
        <f t="array" ref="K879">IFERROR(J879*INDEX('Mẻ sữa'!$N$4:$N$203,MATCH(D879,'Mẻ sữa'!$C$4:$C$203,0)),0)</f>
        <v>0</v>
      </c>
      <c r="L879" s="83">
        <f t="array" ref="L879">IFERROR(INDEX('Sản phẩm'!$I$4:$I$103,MATCH(B879,'Sản phẩm'!$D$4:$D$103,0)),0)</f>
        <v>0</v>
      </c>
      <c r="M879" s="97" t="str">
        <f t="array" ref="M879">IFERROR(INDEX('Sản phẩm'!$J$4:$J$103,MATCH(B879,'Sản phẩm'!$D$4:$D$103,0)),0)</f>
        <v/>
      </c>
      <c r="N879" s="83">
        <f>IF(B879="",0,(K879+L879+M879)*'Thiết lập'!$B$8)</f>
        <v>0</v>
      </c>
      <c r="O879" s="83">
        <f t="shared" si="2"/>
        <v>0</v>
      </c>
      <c r="P879" s="83">
        <f t="shared" si="3"/>
        <v>0</v>
      </c>
      <c r="Q879" s="83">
        <f t="shared" si="4"/>
        <v>0</v>
      </c>
      <c r="R879" s="36" t="str">
        <f t="array" ref="R879">IF(B879="","",INDEX('Bán nhanh'!$C$4:$C$103,INT((ROW()-4)/10)+1))</f>
        <v/>
      </c>
      <c r="S879" s="36" t="str">
        <f t="array" ref="S879">IF(B879="","",INDEX('Bán nhanh'!$P$4:$P$103,INT((ROW()-4)/10)+1))</f>
        <v/>
      </c>
      <c r="T879" s="36"/>
      <c r="U879" s="36"/>
      <c r="V879" s="36"/>
      <c r="W879" s="36"/>
      <c r="X879" s="36"/>
      <c r="Y879" s="36"/>
      <c r="Z879" s="36"/>
    </row>
    <row r="880" ht="15.75" customHeight="1">
      <c r="A880" s="96" t="str">
        <f t="array" ref="A880">IF(B880="","",INDEX('Bán nhanh'!$A$4:$A$103,INT((ROW()-4)/10)+1))</f>
        <v/>
      </c>
      <c r="B880" s="36" t="str">
        <f t="array" ref="B880">IF(OR(INDEX('Bán nhanh'!$D$3:$M$3,1,MOD(ROW()-4,10)+1)="",INDEX('Bán nhanh'!$D$4:$M$103,INT((ROW()-4)/10)+1,MOD(ROW()-4,10)+1)&lt;=0),"",INDEX('Bán nhanh'!$D$3:$M$3,1,MOD(ROW()-4,10)+1))</f>
        <v/>
      </c>
      <c r="C880" s="36" t="str">
        <f t="array" ref="C880">IFERROR(INDEX('Sản phẩm'!$A$4:$A$103,MATCH(B880,'Sản phẩm'!$D$4:$D$103,0)),"")</f>
        <v/>
      </c>
      <c r="D880" s="36" t="str">
        <f t="array" ref="D880">IF(B880="","",INDEX('Bán nhanh'!$B$4:$B$103,INT((ROW()-4)/10)+1))</f>
        <v/>
      </c>
      <c r="E880" s="36" t="str">
        <f t="array" ref="E880">IFERROR(INDEX('Mẻ sữa'!$B$4:$B$203,MATCH(D880,'Mẻ sữa'!$C$4:$C$203,0)),"")</f>
        <v/>
      </c>
      <c r="F880" s="82">
        <f t="array" ref="F880">IF(B880="",0,INDEX('Bán nhanh'!$D$4:$M$103,INT((ROW()-4)/10)+1,MOD(ROW()-4,10)+1))</f>
        <v>0</v>
      </c>
      <c r="G880" s="83">
        <f t="array" ref="G880">IFERROR(INDEX('Sản phẩm'!$F$4:$F$103,MATCH(B880,'Sản phẩm'!$D$4:$D$103,0)),0)</f>
        <v>0</v>
      </c>
      <c r="H880" s="83">
        <f t="shared" si="5"/>
        <v>0</v>
      </c>
      <c r="I880" s="83">
        <f t="shared" si="1"/>
        <v>0</v>
      </c>
      <c r="J880" s="83">
        <f t="array" ref="J880">IFERROR(INDEX('Sản phẩm'!$G$4:$G$103,MATCH(B880,'Sản phẩm'!$D$4:$D$103,0)),0)</f>
        <v>0</v>
      </c>
      <c r="K880" s="83">
        <f t="array" ref="K880">IFERROR(J880*INDEX('Mẻ sữa'!$N$4:$N$203,MATCH(D880,'Mẻ sữa'!$C$4:$C$203,0)),0)</f>
        <v>0</v>
      </c>
      <c r="L880" s="83">
        <f t="array" ref="L880">IFERROR(INDEX('Sản phẩm'!$I$4:$I$103,MATCH(B880,'Sản phẩm'!$D$4:$D$103,0)),0)</f>
        <v>0</v>
      </c>
      <c r="M880" s="97" t="str">
        <f t="array" ref="M880">IFERROR(INDEX('Sản phẩm'!$J$4:$J$103,MATCH(B880,'Sản phẩm'!$D$4:$D$103,0)),0)</f>
        <v/>
      </c>
      <c r="N880" s="83">
        <f>IF(B880="",0,(K880+L880+M880)*'Thiết lập'!$B$8)</f>
        <v>0</v>
      </c>
      <c r="O880" s="83">
        <f t="shared" si="2"/>
        <v>0</v>
      </c>
      <c r="P880" s="83">
        <f t="shared" si="3"/>
        <v>0</v>
      </c>
      <c r="Q880" s="83">
        <f t="shared" si="4"/>
        <v>0</v>
      </c>
      <c r="R880" s="36" t="str">
        <f t="array" ref="R880">IF(B880="","",INDEX('Bán nhanh'!$C$4:$C$103,INT((ROW()-4)/10)+1))</f>
        <v/>
      </c>
      <c r="S880" s="36" t="str">
        <f t="array" ref="S880">IF(B880="","",INDEX('Bán nhanh'!$P$4:$P$103,INT((ROW()-4)/10)+1))</f>
        <v/>
      </c>
      <c r="T880" s="36"/>
      <c r="U880" s="36"/>
      <c r="V880" s="36"/>
      <c r="W880" s="36"/>
      <c r="X880" s="36"/>
      <c r="Y880" s="36"/>
      <c r="Z880" s="36"/>
    </row>
    <row r="881" ht="15.75" customHeight="1">
      <c r="A881" s="96" t="str">
        <f t="array" ref="A881">IF(B881="","",INDEX('Bán nhanh'!$A$4:$A$103,INT((ROW()-4)/10)+1))</f>
        <v/>
      </c>
      <c r="B881" s="36" t="str">
        <f t="array" ref="B881">IF(OR(INDEX('Bán nhanh'!$D$3:$M$3,1,MOD(ROW()-4,10)+1)="",INDEX('Bán nhanh'!$D$4:$M$103,INT((ROW()-4)/10)+1,MOD(ROW()-4,10)+1)&lt;=0),"",INDEX('Bán nhanh'!$D$3:$M$3,1,MOD(ROW()-4,10)+1))</f>
        <v/>
      </c>
      <c r="C881" s="36" t="str">
        <f t="array" ref="C881">IFERROR(INDEX('Sản phẩm'!$A$4:$A$103,MATCH(B881,'Sản phẩm'!$D$4:$D$103,0)),"")</f>
        <v/>
      </c>
      <c r="D881" s="36" t="str">
        <f t="array" ref="D881">IF(B881="","",INDEX('Bán nhanh'!$B$4:$B$103,INT((ROW()-4)/10)+1))</f>
        <v/>
      </c>
      <c r="E881" s="36" t="str">
        <f t="array" ref="E881">IFERROR(INDEX('Mẻ sữa'!$B$4:$B$203,MATCH(D881,'Mẻ sữa'!$C$4:$C$203,0)),"")</f>
        <v/>
      </c>
      <c r="F881" s="82">
        <f t="array" ref="F881">IF(B881="",0,INDEX('Bán nhanh'!$D$4:$M$103,INT((ROW()-4)/10)+1,MOD(ROW()-4,10)+1))</f>
        <v>0</v>
      </c>
      <c r="G881" s="83">
        <f t="array" ref="G881">IFERROR(INDEX('Sản phẩm'!$F$4:$F$103,MATCH(B881,'Sản phẩm'!$D$4:$D$103,0)),0)</f>
        <v>0</v>
      </c>
      <c r="H881" s="83">
        <f t="shared" si="5"/>
        <v>0</v>
      </c>
      <c r="I881" s="83">
        <f t="shared" si="1"/>
        <v>0</v>
      </c>
      <c r="J881" s="83">
        <f t="array" ref="J881">IFERROR(INDEX('Sản phẩm'!$G$4:$G$103,MATCH(B881,'Sản phẩm'!$D$4:$D$103,0)),0)</f>
        <v>0</v>
      </c>
      <c r="K881" s="83">
        <f t="array" ref="K881">IFERROR(J881*INDEX('Mẻ sữa'!$N$4:$N$203,MATCH(D881,'Mẻ sữa'!$C$4:$C$203,0)),0)</f>
        <v>0</v>
      </c>
      <c r="L881" s="83">
        <f t="array" ref="L881">IFERROR(INDEX('Sản phẩm'!$I$4:$I$103,MATCH(B881,'Sản phẩm'!$D$4:$D$103,0)),0)</f>
        <v>0</v>
      </c>
      <c r="M881" s="97" t="str">
        <f t="array" ref="M881">IFERROR(INDEX('Sản phẩm'!$J$4:$J$103,MATCH(B881,'Sản phẩm'!$D$4:$D$103,0)),0)</f>
        <v/>
      </c>
      <c r="N881" s="83">
        <f>IF(B881="",0,(K881+L881+M881)*'Thiết lập'!$B$8)</f>
        <v>0</v>
      </c>
      <c r="O881" s="83">
        <f t="shared" si="2"/>
        <v>0</v>
      </c>
      <c r="P881" s="83">
        <f t="shared" si="3"/>
        <v>0</v>
      </c>
      <c r="Q881" s="83">
        <f t="shared" si="4"/>
        <v>0</v>
      </c>
      <c r="R881" s="36" t="str">
        <f t="array" ref="R881">IF(B881="","",INDEX('Bán nhanh'!$C$4:$C$103,INT((ROW()-4)/10)+1))</f>
        <v/>
      </c>
      <c r="S881" s="36" t="str">
        <f t="array" ref="S881">IF(B881="","",INDEX('Bán nhanh'!$P$4:$P$103,INT((ROW()-4)/10)+1))</f>
        <v/>
      </c>
      <c r="T881" s="36"/>
      <c r="U881" s="36"/>
      <c r="V881" s="36"/>
      <c r="W881" s="36"/>
      <c r="X881" s="36"/>
      <c r="Y881" s="36"/>
      <c r="Z881" s="36"/>
    </row>
    <row r="882" ht="15.75" customHeight="1">
      <c r="A882" s="96" t="str">
        <f t="array" ref="A882">IF(B882="","",INDEX('Bán nhanh'!$A$4:$A$103,INT((ROW()-4)/10)+1))</f>
        <v/>
      </c>
      <c r="B882" s="36" t="str">
        <f t="array" ref="B882">IF(OR(INDEX('Bán nhanh'!$D$3:$M$3,1,MOD(ROW()-4,10)+1)="",INDEX('Bán nhanh'!$D$4:$M$103,INT((ROW()-4)/10)+1,MOD(ROW()-4,10)+1)&lt;=0),"",INDEX('Bán nhanh'!$D$3:$M$3,1,MOD(ROW()-4,10)+1))</f>
        <v/>
      </c>
      <c r="C882" s="36" t="str">
        <f t="array" ref="C882">IFERROR(INDEX('Sản phẩm'!$A$4:$A$103,MATCH(B882,'Sản phẩm'!$D$4:$D$103,0)),"")</f>
        <v/>
      </c>
      <c r="D882" s="36" t="str">
        <f t="array" ref="D882">IF(B882="","",INDEX('Bán nhanh'!$B$4:$B$103,INT((ROW()-4)/10)+1))</f>
        <v/>
      </c>
      <c r="E882" s="36" t="str">
        <f t="array" ref="E882">IFERROR(INDEX('Mẻ sữa'!$B$4:$B$203,MATCH(D882,'Mẻ sữa'!$C$4:$C$203,0)),"")</f>
        <v/>
      </c>
      <c r="F882" s="82">
        <f t="array" ref="F882">IF(B882="",0,INDEX('Bán nhanh'!$D$4:$M$103,INT((ROW()-4)/10)+1,MOD(ROW()-4,10)+1))</f>
        <v>0</v>
      </c>
      <c r="G882" s="83">
        <f t="array" ref="G882">IFERROR(INDEX('Sản phẩm'!$F$4:$F$103,MATCH(B882,'Sản phẩm'!$D$4:$D$103,0)),0)</f>
        <v>0</v>
      </c>
      <c r="H882" s="83">
        <f t="shared" si="5"/>
        <v>0</v>
      </c>
      <c r="I882" s="83">
        <f t="shared" si="1"/>
        <v>0</v>
      </c>
      <c r="J882" s="83">
        <f t="array" ref="J882">IFERROR(INDEX('Sản phẩm'!$G$4:$G$103,MATCH(B882,'Sản phẩm'!$D$4:$D$103,0)),0)</f>
        <v>0</v>
      </c>
      <c r="K882" s="83">
        <f t="array" ref="K882">IFERROR(J882*INDEX('Mẻ sữa'!$N$4:$N$203,MATCH(D882,'Mẻ sữa'!$C$4:$C$203,0)),0)</f>
        <v>0</v>
      </c>
      <c r="L882" s="83">
        <f t="array" ref="L882">IFERROR(INDEX('Sản phẩm'!$I$4:$I$103,MATCH(B882,'Sản phẩm'!$D$4:$D$103,0)),0)</f>
        <v>0</v>
      </c>
      <c r="M882" s="97" t="str">
        <f t="array" ref="M882">IFERROR(INDEX('Sản phẩm'!$J$4:$J$103,MATCH(B882,'Sản phẩm'!$D$4:$D$103,0)),0)</f>
        <v/>
      </c>
      <c r="N882" s="83">
        <f>IF(B882="",0,(K882+L882+M882)*'Thiết lập'!$B$8)</f>
        <v>0</v>
      </c>
      <c r="O882" s="83">
        <f t="shared" si="2"/>
        <v>0</v>
      </c>
      <c r="P882" s="83">
        <f t="shared" si="3"/>
        <v>0</v>
      </c>
      <c r="Q882" s="83">
        <f t="shared" si="4"/>
        <v>0</v>
      </c>
      <c r="R882" s="36" t="str">
        <f t="array" ref="R882">IF(B882="","",INDEX('Bán nhanh'!$C$4:$C$103,INT((ROW()-4)/10)+1))</f>
        <v/>
      </c>
      <c r="S882" s="36" t="str">
        <f t="array" ref="S882">IF(B882="","",INDEX('Bán nhanh'!$P$4:$P$103,INT((ROW()-4)/10)+1))</f>
        <v/>
      </c>
      <c r="T882" s="36"/>
      <c r="U882" s="36"/>
      <c r="V882" s="36"/>
      <c r="W882" s="36"/>
      <c r="X882" s="36"/>
      <c r="Y882" s="36"/>
      <c r="Z882" s="36"/>
    </row>
    <row r="883" ht="15.75" customHeight="1">
      <c r="A883" s="96" t="str">
        <f t="array" ref="A883">IF(B883="","",INDEX('Bán nhanh'!$A$4:$A$103,INT((ROW()-4)/10)+1))</f>
        <v/>
      </c>
      <c r="B883" s="36" t="str">
        <f t="array" ref="B883">IF(OR(INDEX('Bán nhanh'!$D$3:$M$3,1,MOD(ROW()-4,10)+1)="",INDEX('Bán nhanh'!$D$4:$M$103,INT((ROW()-4)/10)+1,MOD(ROW()-4,10)+1)&lt;=0),"",INDEX('Bán nhanh'!$D$3:$M$3,1,MOD(ROW()-4,10)+1))</f>
        <v/>
      </c>
      <c r="C883" s="36" t="str">
        <f t="array" ref="C883">IFERROR(INDEX('Sản phẩm'!$A$4:$A$103,MATCH(B883,'Sản phẩm'!$D$4:$D$103,0)),"")</f>
        <v/>
      </c>
      <c r="D883" s="36" t="str">
        <f t="array" ref="D883">IF(B883="","",INDEX('Bán nhanh'!$B$4:$B$103,INT((ROW()-4)/10)+1))</f>
        <v/>
      </c>
      <c r="E883" s="36" t="str">
        <f t="array" ref="E883">IFERROR(INDEX('Mẻ sữa'!$B$4:$B$203,MATCH(D883,'Mẻ sữa'!$C$4:$C$203,0)),"")</f>
        <v/>
      </c>
      <c r="F883" s="82">
        <f t="array" ref="F883">IF(B883="",0,INDEX('Bán nhanh'!$D$4:$M$103,INT((ROW()-4)/10)+1,MOD(ROW()-4,10)+1))</f>
        <v>0</v>
      </c>
      <c r="G883" s="83">
        <f t="array" ref="G883">IFERROR(INDEX('Sản phẩm'!$F$4:$F$103,MATCH(B883,'Sản phẩm'!$D$4:$D$103,0)),0)</f>
        <v>0</v>
      </c>
      <c r="H883" s="83">
        <f t="shared" si="5"/>
        <v>0</v>
      </c>
      <c r="I883" s="83">
        <f t="shared" si="1"/>
        <v>0</v>
      </c>
      <c r="J883" s="83">
        <f t="array" ref="J883">IFERROR(INDEX('Sản phẩm'!$G$4:$G$103,MATCH(B883,'Sản phẩm'!$D$4:$D$103,0)),0)</f>
        <v>0</v>
      </c>
      <c r="K883" s="83">
        <f t="array" ref="K883">IFERROR(J883*INDEX('Mẻ sữa'!$N$4:$N$203,MATCH(D883,'Mẻ sữa'!$C$4:$C$203,0)),0)</f>
        <v>0</v>
      </c>
      <c r="L883" s="83">
        <f t="array" ref="L883">IFERROR(INDEX('Sản phẩm'!$I$4:$I$103,MATCH(B883,'Sản phẩm'!$D$4:$D$103,0)),0)</f>
        <v>0</v>
      </c>
      <c r="M883" s="97" t="str">
        <f t="array" ref="M883">IFERROR(INDEX('Sản phẩm'!$J$4:$J$103,MATCH(B883,'Sản phẩm'!$D$4:$D$103,0)),0)</f>
        <v/>
      </c>
      <c r="N883" s="83">
        <f>IF(B883="",0,(K883+L883+M883)*'Thiết lập'!$B$8)</f>
        <v>0</v>
      </c>
      <c r="O883" s="83">
        <f t="shared" si="2"/>
        <v>0</v>
      </c>
      <c r="P883" s="83">
        <f t="shared" si="3"/>
        <v>0</v>
      </c>
      <c r="Q883" s="83">
        <f t="shared" si="4"/>
        <v>0</v>
      </c>
      <c r="R883" s="36" t="str">
        <f t="array" ref="R883">IF(B883="","",INDEX('Bán nhanh'!$C$4:$C$103,INT((ROW()-4)/10)+1))</f>
        <v/>
      </c>
      <c r="S883" s="36" t="str">
        <f t="array" ref="S883">IF(B883="","",INDEX('Bán nhanh'!$P$4:$P$103,INT((ROW()-4)/10)+1))</f>
        <v/>
      </c>
      <c r="T883" s="36"/>
      <c r="U883" s="36"/>
      <c r="V883" s="36"/>
      <c r="W883" s="36"/>
      <c r="X883" s="36"/>
      <c r="Y883" s="36"/>
      <c r="Z883" s="36"/>
    </row>
    <row r="884" ht="15.75" customHeight="1">
      <c r="A884" s="96" t="str">
        <f t="array" ref="A884">IF(B884="","",INDEX('Bán nhanh'!$A$4:$A$103,INT((ROW()-4)/10)+1))</f>
        <v/>
      </c>
      <c r="B884" s="36" t="str">
        <f t="array" ref="B884">IF(OR(INDEX('Bán nhanh'!$D$3:$M$3,1,MOD(ROW()-4,10)+1)="",INDEX('Bán nhanh'!$D$4:$M$103,INT((ROW()-4)/10)+1,MOD(ROW()-4,10)+1)&lt;=0),"",INDEX('Bán nhanh'!$D$3:$M$3,1,MOD(ROW()-4,10)+1))</f>
        <v/>
      </c>
      <c r="C884" s="36" t="str">
        <f t="array" ref="C884">IFERROR(INDEX('Sản phẩm'!$A$4:$A$103,MATCH(B884,'Sản phẩm'!$D$4:$D$103,0)),"")</f>
        <v/>
      </c>
      <c r="D884" s="36" t="str">
        <f t="array" ref="D884">IF(B884="","",INDEX('Bán nhanh'!$B$4:$B$103,INT((ROW()-4)/10)+1))</f>
        <v/>
      </c>
      <c r="E884" s="36" t="str">
        <f t="array" ref="E884">IFERROR(INDEX('Mẻ sữa'!$B$4:$B$203,MATCH(D884,'Mẻ sữa'!$C$4:$C$203,0)),"")</f>
        <v/>
      </c>
      <c r="F884" s="82">
        <f t="array" ref="F884">IF(B884="",0,INDEX('Bán nhanh'!$D$4:$M$103,INT((ROW()-4)/10)+1,MOD(ROW()-4,10)+1))</f>
        <v>0</v>
      </c>
      <c r="G884" s="83">
        <f t="array" ref="G884">IFERROR(INDEX('Sản phẩm'!$F$4:$F$103,MATCH(B884,'Sản phẩm'!$D$4:$D$103,0)),0)</f>
        <v>0</v>
      </c>
      <c r="H884" s="83">
        <f t="shared" si="5"/>
        <v>0</v>
      </c>
      <c r="I884" s="83">
        <f t="shared" si="1"/>
        <v>0</v>
      </c>
      <c r="J884" s="83">
        <f t="array" ref="J884">IFERROR(INDEX('Sản phẩm'!$G$4:$G$103,MATCH(B884,'Sản phẩm'!$D$4:$D$103,0)),0)</f>
        <v>0</v>
      </c>
      <c r="K884" s="83">
        <f t="array" ref="K884">IFERROR(J884*INDEX('Mẻ sữa'!$N$4:$N$203,MATCH(D884,'Mẻ sữa'!$C$4:$C$203,0)),0)</f>
        <v>0</v>
      </c>
      <c r="L884" s="83">
        <f t="array" ref="L884">IFERROR(INDEX('Sản phẩm'!$I$4:$I$103,MATCH(B884,'Sản phẩm'!$D$4:$D$103,0)),0)</f>
        <v>0</v>
      </c>
      <c r="M884" s="97" t="str">
        <f t="array" ref="M884">IFERROR(INDEX('Sản phẩm'!$J$4:$J$103,MATCH(B884,'Sản phẩm'!$D$4:$D$103,0)),0)</f>
        <v/>
      </c>
      <c r="N884" s="83">
        <f>IF(B884="",0,(K884+L884+M884)*'Thiết lập'!$B$8)</f>
        <v>0</v>
      </c>
      <c r="O884" s="83">
        <f t="shared" si="2"/>
        <v>0</v>
      </c>
      <c r="P884" s="83">
        <f t="shared" si="3"/>
        <v>0</v>
      </c>
      <c r="Q884" s="83">
        <f t="shared" si="4"/>
        <v>0</v>
      </c>
      <c r="R884" s="36" t="str">
        <f t="array" ref="R884">IF(B884="","",INDEX('Bán nhanh'!$C$4:$C$103,INT((ROW()-4)/10)+1))</f>
        <v/>
      </c>
      <c r="S884" s="36" t="str">
        <f t="array" ref="S884">IF(B884="","",INDEX('Bán nhanh'!$P$4:$P$103,INT((ROW()-4)/10)+1))</f>
        <v/>
      </c>
      <c r="T884" s="36"/>
      <c r="U884" s="36"/>
      <c r="V884" s="36"/>
      <c r="W884" s="36"/>
      <c r="X884" s="36"/>
      <c r="Y884" s="36"/>
      <c r="Z884" s="36"/>
    </row>
    <row r="885" ht="15.75" customHeight="1">
      <c r="A885" s="96" t="str">
        <f t="array" ref="A885">IF(B885="","",INDEX('Bán nhanh'!$A$4:$A$103,INT((ROW()-4)/10)+1))</f>
        <v/>
      </c>
      <c r="B885" s="36" t="str">
        <f t="array" ref="B885">IF(OR(INDEX('Bán nhanh'!$D$3:$M$3,1,MOD(ROW()-4,10)+1)="",INDEX('Bán nhanh'!$D$4:$M$103,INT((ROW()-4)/10)+1,MOD(ROW()-4,10)+1)&lt;=0),"",INDEX('Bán nhanh'!$D$3:$M$3,1,MOD(ROW()-4,10)+1))</f>
        <v/>
      </c>
      <c r="C885" s="36" t="str">
        <f t="array" ref="C885">IFERROR(INDEX('Sản phẩm'!$A$4:$A$103,MATCH(B885,'Sản phẩm'!$D$4:$D$103,0)),"")</f>
        <v/>
      </c>
      <c r="D885" s="36" t="str">
        <f t="array" ref="D885">IF(B885="","",INDEX('Bán nhanh'!$B$4:$B$103,INT((ROW()-4)/10)+1))</f>
        <v/>
      </c>
      <c r="E885" s="36" t="str">
        <f t="array" ref="E885">IFERROR(INDEX('Mẻ sữa'!$B$4:$B$203,MATCH(D885,'Mẻ sữa'!$C$4:$C$203,0)),"")</f>
        <v/>
      </c>
      <c r="F885" s="82">
        <f t="array" ref="F885">IF(B885="",0,INDEX('Bán nhanh'!$D$4:$M$103,INT((ROW()-4)/10)+1,MOD(ROW()-4,10)+1))</f>
        <v>0</v>
      </c>
      <c r="G885" s="83">
        <f t="array" ref="G885">IFERROR(INDEX('Sản phẩm'!$F$4:$F$103,MATCH(B885,'Sản phẩm'!$D$4:$D$103,0)),0)</f>
        <v>0</v>
      </c>
      <c r="H885" s="83">
        <f t="shared" si="5"/>
        <v>0</v>
      </c>
      <c r="I885" s="83">
        <f t="shared" si="1"/>
        <v>0</v>
      </c>
      <c r="J885" s="83">
        <f t="array" ref="J885">IFERROR(INDEX('Sản phẩm'!$G$4:$G$103,MATCH(B885,'Sản phẩm'!$D$4:$D$103,0)),0)</f>
        <v>0</v>
      </c>
      <c r="K885" s="83">
        <f t="array" ref="K885">IFERROR(J885*INDEX('Mẻ sữa'!$N$4:$N$203,MATCH(D885,'Mẻ sữa'!$C$4:$C$203,0)),0)</f>
        <v>0</v>
      </c>
      <c r="L885" s="83">
        <f t="array" ref="L885">IFERROR(INDEX('Sản phẩm'!$I$4:$I$103,MATCH(B885,'Sản phẩm'!$D$4:$D$103,0)),0)</f>
        <v>0</v>
      </c>
      <c r="M885" s="97" t="str">
        <f t="array" ref="M885">IFERROR(INDEX('Sản phẩm'!$J$4:$J$103,MATCH(B885,'Sản phẩm'!$D$4:$D$103,0)),0)</f>
        <v/>
      </c>
      <c r="N885" s="83">
        <f>IF(B885="",0,(K885+L885+M885)*'Thiết lập'!$B$8)</f>
        <v>0</v>
      </c>
      <c r="O885" s="83">
        <f t="shared" si="2"/>
        <v>0</v>
      </c>
      <c r="P885" s="83">
        <f t="shared" si="3"/>
        <v>0</v>
      </c>
      <c r="Q885" s="83">
        <f t="shared" si="4"/>
        <v>0</v>
      </c>
      <c r="R885" s="36" t="str">
        <f t="array" ref="R885">IF(B885="","",INDEX('Bán nhanh'!$C$4:$C$103,INT((ROW()-4)/10)+1))</f>
        <v/>
      </c>
      <c r="S885" s="36" t="str">
        <f t="array" ref="S885">IF(B885="","",INDEX('Bán nhanh'!$P$4:$P$103,INT((ROW()-4)/10)+1))</f>
        <v/>
      </c>
      <c r="T885" s="36"/>
      <c r="U885" s="36"/>
      <c r="V885" s="36"/>
      <c r="W885" s="36"/>
      <c r="X885" s="36"/>
      <c r="Y885" s="36"/>
      <c r="Z885" s="36"/>
    </row>
    <row r="886" ht="15.75" customHeight="1">
      <c r="A886" s="96" t="str">
        <f t="array" ref="A886">IF(B886="","",INDEX('Bán nhanh'!$A$4:$A$103,INT((ROW()-4)/10)+1))</f>
        <v/>
      </c>
      <c r="B886" s="36" t="str">
        <f t="array" ref="B886">IF(OR(INDEX('Bán nhanh'!$D$3:$M$3,1,MOD(ROW()-4,10)+1)="",INDEX('Bán nhanh'!$D$4:$M$103,INT((ROW()-4)/10)+1,MOD(ROW()-4,10)+1)&lt;=0),"",INDEX('Bán nhanh'!$D$3:$M$3,1,MOD(ROW()-4,10)+1))</f>
        <v/>
      </c>
      <c r="C886" s="36" t="str">
        <f t="array" ref="C886">IFERROR(INDEX('Sản phẩm'!$A$4:$A$103,MATCH(B886,'Sản phẩm'!$D$4:$D$103,0)),"")</f>
        <v/>
      </c>
      <c r="D886" s="36" t="str">
        <f t="array" ref="D886">IF(B886="","",INDEX('Bán nhanh'!$B$4:$B$103,INT((ROW()-4)/10)+1))</f>
        <v/>
      </c>
      <c r="E886" s="36" t="str">
        <f t="array" ref="E886">IFERROR(INDEX('Mẻ sữa'!$B$4:$B$203,MATCH(D886,'Mẻ sữa'!$C$4:$C$203,0)),"")</f>
        <v/>
      </c>
      <c r="F886" s="82">
        <f t="array" ref="F886">IF(B886="",0,INDEX('Bán nhanh'!$D$4:$M$103,INT((ROW()-4)/10)+1,MOD(ROW()-4,10)+1))</f>
        <v>0</v>
      </c>
      <c r="G886" s="83">
        <f t="array" ref="G886">IFERROR(INDEX('Sản phẩm'!$F$4:$F$103,MATCH(B886,'Sản phẩm'!$D$4:$D$103,0)),0)</f>
        <v>0</v>
      </c>
      <c r="H886" s="83">
        <f t="shared" si="5"/>
        <v>0</v>
      </c>
      <c r="I886" s="83">
        <f t="shared" si="1"/>
        <v>0</v>
      </c>
      <c r="J886" s="83">
        <f t="array" ref="J886">IFERROR(INDEX('Sản phẩm'!$G$4:$G$103,MATCH(B886,'Sản phẩm'!$D$4:$D$103,0)),0)</f>
        <v>0</v>
      </c>
      <c r="K886" s="83">
        <f t="array" ref="K886">IFERROR(J886*INDEX('Mẻ sữa'!$N$4:$N$203,MATCH(D886,'Mẻ sữa'!$C$4:$C$203,0)),0)</f>
        <v>0</v>
      </c>
      <c r="L886" s="83">
        <f t="array" ref="L886">IFERROR(INDEX('Sản phẩm'!$I$4:$I$103,MATCH(B886,'Sản phẩm'!$D$4:$D$103,0)),0)</f>
        <v>0</v>
      </c>
      <c r="M886" s="97" t="str">
        <f t="array" ref="M886">IFERROR(INDEX('Sản phẩm'!$J$4:$J$103,MATCH(B886,'Sản phẩm'!$D$4:$D$103,0)),0)</f>
        <v/>
      </c>
      <c r="N886" s="83">
        <f>IF(B886="",0,(K886+L886+M886)*'Thiết lập'!$B$8)</f>
        <v>0</v>
      </c>
      <c r="O886" s="83">
        <f t="shared" si="2"/>
        <v>0</v>
      </c>
      <c r="P886" s="83">
        <f t="shared" si="3"/>
        <v>0</v>
      </c>
      <c r="Q886" s="83">
        <f t="shared" si="4"/>
        <v>0</v>
      </c>
      <c r="R886" s="36" t="str">
        <f t="array" ref="R886">IF(B886="","",INDEX('Bán nhanh'!$C$4:$C$103,INT((ROW()-4)/10)+1))</f>
        <v/>
      </c>
      <c r="S886" s="36" t="str">
        <f t="array" ref="S886">IF(B886="","",INDEX('Bán nhanh'!$P$4:$P$103,INT((ROW()-4)/10)+1))</f>
        <v/>
      </c>
      <c r="T886" s="36"/>
      <c r="U886" s="36"/>
      <c r="V886" s="36"/>
      <c r="W886" s="36"/>
      <c r="X886" s="36"/>
      <c r="Y886" s="36"/>
      <c r="Z886" s="36"/>
    </row>
    <row r="887" ht="15.75" customHeight="1">
      <c r="A887" s="96" t="str">
        <f t="array" ref="A887">IF(B887="","",INDEX('Bán nhanh'!$A$4:$A$103,INT((ROW()-4)/10)+1))</f>
        <v/>
      </c>
      <c r="B887" s="36" t="str">
        <f t="array" ref="B887">IF(OR(INDEX('Bán nhanh'!$D$3:$M$3,1,MOD(ROW()-4,10)+1)="",INDEX('Bán nhanh'!$D$4:$M$103,INT((ROW()-4)/10)+1,MOD(ROW()-4,10)+1)&lt;=0),"",INDEX('Bán nhanh'!$D$3:$M$3,1,MOD(ROW()-4,10)+1))</f>
        <v/>
      </c>
      <c r="C887" s="36" t="str">
        <f t="array" ref="C887">IFERROR(INDEX('Sản phẩm'!$A$4:$A$103,MATCH(B887,'Sản phẩm'!$D$4:$D$103,0)),"")</f>
        <v/>
      </c>
      <c r="D887" s="36" t="str">
        <f t="array" ref="D887">IF(B887="","",INDEX('Bán nhanh'!$B$4:$B$103,INT((ROW()-4)/10)+1))</f>
        <v/>
      </c>
      <c r="E887" s="36" t="str">
        <f t="array" ref="E887">IFERROR(INDEX('Mẻ sữa'!$B$4:$B$203,MATCH(D887,'Mẻ sữa'!$C$4:$C$203,0)),"")</f>
        <v/>
      </c>
      <c r="F887" s="82">
        <f t="array" ref="F887">IF(B887="",0,INDEX('Bán nhanh'!$D$4:$M$103,INT((ROW()-4)/10)+1,MOD(ROW()-4,10)+1))</f>
        <v>0</v>
      </c>
      <c r="G887" s="83">
        <f t="array" ref="G887">IFERROR(INDEX('Sản phẩm'!$F$4:$F$103,MATCH(B887,'Sản phẩm'!$D$4:$D$103,0)),0)</f>
        <v>0</v>
      </c>
      <c r="H887" s="83">
        <f t="shared" si="5"/>
        <v>0</v>
      </c>
      <c r="I887" s="83">
        <f t="shared" si="1"/>
        <v>0</v>
      </c>
      <c r="J887" s="83">
        <f t="array" ref="J887">IFERROR(INDEX('Sản phẩm'!$G$4:$G$103,MATCH(B887,'Sản phẩm'!$D$4:$D$103,0)),0)</f>
        <v>0</v>
      </c>
      <c r="K887" s="83">
        <f t="array" ref="K887">IFERROR(J887*INDEX('Mẻ sữa'!$N$4:$N$203,MATCH(D887,'Mẻ sữa'!$C$4:$C$203,0)),0)</f>
        <v>0</v>
      </c>
      <c r="L887" s="83">
        <f t="array" ref="L887">IFERROR(INDEX('Sản phẩm'!$I$4:$I$103,MATCH(B887,'Sản phẩm'!$D$4:$D$103,0)),0)</f>
        <v>0</v>
      </c>
      <c r="M887" s="97" t="str">
        <f t="array" ref="M887">IFERROR(INDEX('Sản phẩm'!$J$4:$J$103,MATCH(B887,'Sản phẩm'!$D$4:$D$103,0)),0)</f>
        <v/>
      </c>
      <c r="N887" s="83">
        <f>IF(B887="",0,(K887+L887+M887)*'Thiết lập'!$B$8)</f>
        <v>0</v>
      </c>
      <c r="O887" s="83">
        <f t="shared" si="2"/>
        <v>0</v>
      </c>
      <c r="P887" s="83">
        <f t="shared" si="3"/>
        <v>0</v>
      </c>
      <c r="Q887" s="83">
        <f t="shared" si="4"/>
        <v>0</v>
      </c>
      <c r="R887" s="36" t="str">
        <f t="array" ref="R887">IF(B887="","",INDEX('Bán nhanh'!$C$4:$C$103,INT((ROW()-4)/10)+1))</f>
        <v/>
      </c>
      <c r="S887" s="36" t="str">
        <f t="array" ref="S887">IF(B887="","",INDEX('Bán nhanh'!$P$4:$P$103,INT((ROW()-4)/10)+1))</f>
        <v/>
      </c>
      <c r="T887" s="36"/>
      <c r="U887" s="36"/>
      <c r="V887" s="36"/>
      <c r="W887" s="36"/>
      <c r="X887" s="36"/>
      <c r="Y887" s="36"/>
      <c r="Z887" s="36"/>
    </row>
    <row r="888" ht="15.75" customHeight="1">
      <c r="A888" s="96" t="str">
        <f t="array" ref="A888">IF(B888="","",INDEX('Bán nhanh'!$A$4:$A$103,INT((ROW()-4)/10)+1))</f>
        <v/>
      </c>
      <c r="B888" s="36" t="str">
        <f t="array" ref="B888">IF(OR(INDEX('Bán nhanh'!$D$3:$M$3,1,MOD(ROW()-4,10)+1)="",INDEX('Bán nhanh'!$D$4:$M$103,INT((ROW()-4)/10)+1,MOD(ROW()-4,10)+1)&lt;=0),"",INDEX('Bán nhanh'!$D$3:$M$3,1,MOD(ROW()-4,10)+1))</f>
        <v/>
      </c>
      <c r="C888" s="36" t="str">
        <f t="array" ref="C888">IFERROR(INDEX('Sản phẩm'!$A$4:$A$103,MATCH(B888,'Sản phẩm'!$D$4:$D$103,0)),"")</f>
        <v/>
      </c>
      <c r="D888" s="36" t="str">
        <f t="array" ref="D888">IF(B888="","",INDEX('Bán nhanh'!$B$4:$B$103,INT((ROW()-4)/10)+1))</f>
        <v/>
      </c>
      <c r="E888" s="36" t="str">
        <f t="array" ref="E888">IFERROR(INDEX('Mẻ sữa'!$B$4:$B$203,MATCH(D888,'Mẻ sữa'!$C$4:$C$203,0)),"")</f>
        <v/>
      </c>
      <c r="F888" s="82">
        <f t="array" ref="F888">IF(B888="",0,INDEX('Bán nhanh'!$D$4:$M$103,INT((ROW()-4)/10)+1,MOD(ROW()-4,10)+1))</f>
        <v>0</v>
      </c>
      <c r="G888" s="83">
        <f t="array" ref="G888">IFERROR(INDEX('Sản phẩm'!$F$4:$F$103,MATCH(B888,'Sản phẩm'!$D$4:$D$103,0)),0)</f>
        <v>0</v>
      </c>
      <c r="H888" s="83">
        <f t="shared" si="5"/>
        <v>0</v>
      </c>
      <c r="I888" s="83">
        <f t="shared" si="1"/>
        <v>0</v>
      </c>
      <c r="J888" s="83">
        <f t="array" ref="J888">IFERROR(INDEX('Sản phẩm'!$G$4:$G$103,MATCH(B888,'Sản phẩm'!$D$4:$D$103,0)),0)</f>
        <v>0</v>
      </c>
      <c r="K888" s="83">
        <f t="array" ref="K888">IFERROR(J888*INDEX('Mẻ sữa'!$N$4:$N$203,MATCH(D888,'Mẻ sữa'!$C$4:$C$203,0)),0)</f>
        <v>0</v>
      </c>
      <c r="L888" s="83">
        <f t="array" ref="L888">IFERROR(INDEX('Sản phẩm'!$I$4:$I$103,MATCH(B888,'Sản phẩm'!$D$4:$D$103,0)),0)</f>
        <v>0</v>
      </c>
      <c r="M888" s="97" t="str">
        <f t="array" ref="M888">IFERROR(INDEX('Sản phẩm'!$J$4:$J$103,MATCH(B888,'Sản phẩm'!$D$4:$D$103,0)),0)</f>
        <v/>
      </c>
      <c r="N888" s="83">
        <f>IF(B888="",0,(K888+L888+M888)*'Thiết lập'!$B$8)</f>
        <v>0</v>
      </c>
      <c r="O888" s="83">
        <f t="shared" si="2"/>
        <v>0</v>
      </c>
      <c r="P888" s="83">
        <f t="shared" si="3"/>
        <v>0</v>
      </c>
      <c r="Q888" s="83">
        <f t="shared" si="4"/>
        <v>0</v>
      </c>
      <c r="R888" s="36" t="str">
        <f t="array" ref="R888">IF(B888="","",INDEX('Bán nhanh'!$C$4:$C$103,INT((ROW()-4)/10)+1))</f>
        <v/>
      </c>
      <c r="S888" s="36" t="str">
        <f t="array" ref="S888">IF(B888="","",INDEX('Bán nhanh'!$P$4:$P$103,INT((ROW()-4)/10)+1))</f>
        <v/>
      </c>
      <c r="T888" s="36"/>
      <c r="U888" s="36"/>
      <c r="V888" s="36"/>
      <c r="W888" s="36"/>
      <c r="X888" s="36"/>
      <c r="Y888" s="36"/>
      <c r="Z888" s="36"/>
    </row>
    <row r="889" ht="15.75" customHeight="1">
      <c r="A889" s="96" t="str">
        <f t="array" ref="A889">IF(B889="","",INDEX('Bán nhanh'!$A$4:$A$103,INT((ROW()-4)/10)+1))</f>
        <v/>
      </c>
      <c r="B889" s="36" t="str">
        <f t="array" ref="B889">IF(OR(INDEX('Bán nhanh'!$D$3:$M$3,1,MOD(ROW()-4,10)+1)="",INDEX('Bán nhanh'!$D$4:$M$103,INT((ROW()-4)/10)+1,MOD(ROW()-4,10)+1)&lt;=0),"",INDEX('Bán nhanh'!$D$3:$M$3,1,MOD(ROW()-4,10)+1))</f>
        <v/>
      </c>
      <c r="C889" s="36" t="str">
        <f t="array" ref="C889">IFERROR(INDEX('Sản phẩm'!$A$4:$A$103,MATCH(B889,'Sản phẩm'!$D$4:$D$103,0)),"")</f>
        <v/>
      </c>
      <c r="D889" s="36" t="str">
        <f t="array" ref="D889">IF(B889="","",INDEX('Bán nhanh'!$B$4:$B$103,INT((ROW()-4)/10)+1))</f>
        <v/>
      </c>
      <c r="E889" s="36" t="str">
        <f t="array" ref="E889">IFERROR(INDEX('Mẻ sữa'!$B$4:$B$203,MATCH(D889,'Mẻ sữa'!$C$4:$C$203,0)),"")</f>
        <v/>
      </c>
      <c r="F889" s="82">
        <f t="array" ref="F889">IF(B889="",0,INDEX('Bán nhanh'!$D$4:$M$103,INT((ROW()-4)/10)+1,MOD(ROW()-4,10)+1))</f>
        <v>0</v>
      </c>
      <c r="G889" s="83">
        <f t="array" ref="G889">IFERROR(INDEX('Sản phẩm'!$F$4:$F$103,MATCH(B889,'Sản phẩm'!$D$4:$D$103,0)),0)</f>
        <v>0</v>
      </c>
      <c r="H889" s="83">
        <f t="shared" si="5"/>
        <v>0</v>
      </c>
      <c r="I889" s="83">
        <f t="shared" si="1"/>
        <v>0</v>
      </c>
      <c r="J889" s="83">
        <f t="array" ref="J889">IFERROR(INDEX('Sản phẩm'!$G$4:$G$103,MATCH(B889,'Sản phẩm'!$D$4:$D$103,0)),0)</f>
        <v>0</v>
      </c>
      <c r="K889" s="83">
        <f t="array" ref="K889">IFERROR(J889*INDEX('Mẻ sữa'!$N$4:$N$203,MATCH(D889,'Mẻ sữa'!$C$4:$C$203,0)),0)</f>
        <v>0</v>
      </c>
      <c r="L889" s="83">
        <f t="array" ref="L889">IFERROR(INDEX('Sản phẩm'!$I$4:$I$103,MATCH(B889,'Sản phẩm'!$D$4:$D$103,0)),0)</f>
        <v>0</v>
      </c>
      <c r="M889" s="97" t="str">
        <f t="array" ref="M889">IFERROR(INDEX('Sản phẩm'!$J$4:$J$103,MATCH(B889,'Sản phẩm'!$D$4:$D$103,0)),0)</f>
        <v/>
      </c>
      <c r="N889" s="83">
        <f>IF(B889="",0,(K889+L889+M889)*'Thiết lập'!$B$8)</f>
        <v>0</v>
      </c>
      <c r="O889" s="83">
        <f t="shared" si="2"/>
        <v>0</v>
      </c>
      <c r="P889" s="83">
        <f t="shared" si="3"/>
        <v>0</v>
      </c>
      <c r="Q889" s="83">
        <f t="shared" si="4"/>
        <v>0</v>
      </c>
      <c r="R889" s="36" t="str">
        <f t="array" ref="R889">IF(B889="","",INDEX('Bán nhanh'!$C$4:$C$103,INT((ROW()-4)/10)+1))</f>
        <v/>
      </c>
      <c r="S889" s="36" t="str">
        <f t="array" ref="S889">IF(B889="","",INDEX('Bán nhanh'!$P$4:$P$103,INT((ROW()-4)/10)+1))</f>
        <v/>
      </c>
      <c r="T889" s="36"/>
      <c r="U889" s="36"/>
      <c r="V889" s="36"/>
      <c r="W889" s="36"/>
      <c r="X889" s="36"/>
      <c r="Y889" s="36"/>
      <c r="Z889" s="36"/>
    </row>
    <row r="890" ht="15.75" customHeight="1">
      <c r="A890" s="96" t="str">
        <f t="array" ref="A890">IF(B890="","",INDEX('Bán nhanh'!$A$4:$A$103,INT((ROW()-4)/10)+1))</f>
        <v/>
      </c>
      <c r="B890" s="36" t="str">
        <f t="array" ref="B890">IF(OR(INDEX('Bán nhanh'!$D$3:$M$3,1,MOD(ROW()-4,10)+1)="",INDEX('Bán nhanh'!$D$4:$M$103,INT((ROW()-4)/10)+1,MOD(ROW()-4,10)+1)&lt;=0),"",INDEX('Bán nhanh'!$D$3:$M$3,1,MOD(ROW()-4,10)+1))</f>
        <v/>
      </c>
      <c r="C890" s="36" t="str">
        <f t="array" ref="C890">IFERROR(INDEX('Sản phẩm'!$A$4:$A$103,MATCH(B890,'Sản phẩm'!$D$4:$D$103,0)),"")</f>
        <v/>
      </c>
      <c r="D890" s="36" t="str">
        <f t="array" ref="D890">IF(B890="","",INDEX('Bán nhanh'!$B$4:$B$103,INT((ROW()-4)/10)+1))</f>
        <v/>
      </c>
      <c r="E890" s="36" t="str">
        <f t="array" ref="E890">IFERROR(INDEX('Mẻ sữa'!$B$4:$B$203,MATCH(D890,'Mẻ sữa'!$C$4:$C$203,0)),"")</f>
        <v/>
      </c>
      <c r="F890" s="82">
        <f t="array" ref="F890">IF(B890="",0,INDEX('Bán nhanh'!$D$4:$M$103,INT((ROW()-4)/10)+1,MOD(ROW()-4,10)+1))</f>
        <v>0</v>
      </c>
      <c r="G890" s="83">
        <f t="array" ref="G890">IFERROR(INDEX('Sản phẩm'!$F$4:$F$103,MATCH(B890,'Sản phẩm'!$D$4:$D$103,0)),0)</f>
        <v>0</v>
      </c>
      <c r="H890" s="83">
        <f t="shared" si="5"/>
        <v>0</v>
      </c>
      <c r="I890" s="83">
        <f t="shared" si="1"/>
        <v>0</v>
      </c>
      <c r="J890" s="83">
        <f t="array" ref="J890">IFERROR(INDEX('Sản phẩm'!$G$4:$G$103,MATCH(B890,'Sản phẩm'!$D$4:$D$103,0)),0)</f>
        <v>0</v>
      </c>
      <c r="K890" s="83">
        <f t="array" ref="K890">IFERROR(J890*INDEX('Mẻ sữa'!$N$4:$N$203,MATCH(D890,'Mẻ sữa'!$C$4:$C$203,0)),0)</f>
        <v>0</v>
      </c>
      <c r="L890" s="83">
        <f t="array" ref="L890">IFERROR(INDEX('Sản phẩm'!$I$4:$I$103,MATCH(B890,'Sản phẩm'!$D$4:$D$103,0)),0)</f>
        <v>0</v>
      </c>
      <c r="M890" s="97" t="str">
        <f t="array" ref="M890">IFERROR(INDEX('Sản phẩm'!$J$4:$J$103,MATCH(B890,'Sản phẩm'!$D$4:$D$103,0)),0)</f>
        <v/>
      </c>
      <c r="N890" s="83">
        <f>IF(B890="",0,(K890+L890+M890)*'Thiết lập'!$B$8)</f>
        <v>0</v>
      </c>
      <c r="O890" s="83">
        <f t="shared" si="2"/>
        <v>0</v>
      </c>
      <c r="P890" s="83">
        <f t="shared" si="3"/>
        <v>0</v>
      </c>
      <c r="Q890" s="83">
        <f t="shared" si="4"/>
        <v>0</v>
      </c>
      <c r="R890" s="36" t="str">
        <f t="array" ref="R890">IF(B890="","",INDEX('Bán nhanh'!$C$4:$C$103,INT((ROW()-4)/10)+1))</f>
        <v/>
      </c>
      <c r="S890" s="36" t="str">
        <f t="array" ref="S890">IF(B890="","",INDEX('Bán nhanh'!$P$4:$P$103,INT((ROW()-4)/10)+1))</f>
        <v/>
      </c>
      <c r="T890" s="36"/>
      <c r="U890" s="36"/>
      <c r="V890" s="36"/>
      <c r="W890" s="36"/>
      <c r="X890" s="36"/>
      <c r="Y890" s="36"/>
      <c r="Z890" s="36"/>
    </row>
    <row r="891" ht="15.75" customHeight="1">
      <c r="A891" s="96" t="str">
        <f t="array" ref="A891">IF(B891="","",INDEX('Bán nhanh'!$A$4:$A$103,INT((ROW()-4)/10)+1))</f>
        <v/>
      </c>
      <c r="B891" s="36" t="str">
        <f t="array" ref="B891">IF(OR(INDEX('Bán nhanh'!$D$3:$M$3,1,MOD(ROW()-4,10)+1)="",INDEX('Bán nhanh'!$D$4:$M$103,INT((ROW()-4)/10)+1,MOD(ROW()-4,10)+1)&lt;=0),"",INDEX('Bán nhanh'!$D$3:$M$3,1,MOD(ROW()-4,10)+1))</f>
        <v/>
      </c>
      <c r="C891" s="36" t="str">
        <f t="array" ref="C891">IFERROR(INDEX('Sản phẩm'!$A$4:$A$103,MATCH(B891,'Sản phẩm'!$D$4:$D$103,0)),"")</f>
        <v/>
      </c>
      <c r="D891" s="36" t="str">
        <f t="array" ref="D891">IF(B891="","",INDEX('Bán nhanh'!$B$4:$B$103,INT((ROW()-4)/10)+1))</f>
        <v/>
      </c>
      <c r="E891" s="36" t="str">
        <f t="array" ref="E891">IFERROR(INDEX('Mẻ sữa'!$B$4:$B$203,MATCH(D891,'Mẻ sữa'!$C$4:$C$203,0)),"")</f>
        <v/>
      </c>
      <c r="F891" s="82">
        <f t="array" ref="F891">IF(B891="",0,INDEX('Bán nhanh'!$D$4:$M$103,INT((ROW()-4)/10)+1,MOD(ROW()-4,10)+1))</f>
        <v>0</v>
      </c>
      <c r="G891" s="83">
        <f t="array" ref="G891">IFERROR(INDEX('Sản phẩm'!$F$4:$F$103,MATCH(B891,'Sản phẩm'!$D$4:$D$103,0)),0)</f>
        <v>0</v>
      </c>
      <c r="H891" s="83">
        <f t="shared" si="5"/>
        <v>0</v>
      </c>
      <c r="I891" s="83">
        <f t="shared" si="1"/>
        <v>0</v>
      </c>
      <c r="J891" s="83">
        <f t="array" ref="J891">IFERROR(INDEX('Sản phẩm'!$G$4:$G$103,MATCH(B891,'Sản phẩm'!$D$4:$D$103,0)),0)</f>
        <v>0</v>
      </c>
      <c r="K891" s="83">
        <f t="array" ref="K891">IFERROR(J891*INDEX('Mẻ sữa'!$N$4:$N$203,MATCH(D891,'Mẻ sữa'!$C$4:$C$203,0)),0)</f>
        <v>0</v>
      </c>
      <c r="L891" s="83">
        <f t="array" ref="L891">IFERROR(INDEX('Sản phẩm'!$I$4:$I$103,MATCH(B891,'Sản phẩm'!$D$4:$D$103,0)),0)</f>
        <v>0</v>
      </c>
      <c r="M891" s="97" t="str">
        <f t="array" ref="M891">IFERROR(INDEX('Sản phẩm'!$J$4:$J$103,MATCH(B891,'Sản phẩm'!$D$4:$D$103,0)),0)</f>
        <v/>
      </c>
      <c r="N891" s="83">
        <f>IF(B891="",0,(K891+L891+M891)*'Thiết lập'!$B$8)</f>
        <v>0</v>
      </c>
      <c r="O891" s="83">
        <f t="shared" si="2"/>
        <v>0</v>
      </c>
      <c r="P891" s="83">
        <f t="shared" si="3"/>
        <v>0</v>
      </c>
      <c r="Q891" s="83">
        <f t="shared" si="4"/>
        <v>0</v>
      </c>
      <c r="R891" s="36" t="str">
        <f t="array" ref="R891">IF(B891="","",INDEX('Bán nhanh'!$C$4:$C$103,INT((ROW()-4)/10)+1))</f>
        <v/>
      </c>
      <c r="S891" s="36" t="str">
        <f t="array" ref="S891">IF(B891="","",INDEX('Bán nhanh'!$P$4:$P$103,INT((ROW()-4)/10)+1))</f>
        <v/>
      </c>
      <c r="T891" s="36"/>
      <c r="U891" s="36"/>
      <c r="V891" s="36"/>
      <c r="W891" s="36"/>
      <c r="X891" s="36"/>
      <c r="Y891" s="36"/>
      <c r="Z891" s="36"/>
    </row>
    <row r="892" ht="15.75" customHeight="1">
      <c r="A892" s="96" t="str">
        <f t="array" ref="A892">IF(B892="","",INDEX('Bán nhanh'!$A$4:$A$103,INT((ROW()-4)/10)+1))</f>
        <v/>
      </c>
      <c r="B892" s="36" t="str">
        <f t="array" ref="B892">IF(OR(INDEX('Bán nhanh'!$D$3:$M$3,1,MOD(ROW()-4,10)+1)="",INDEX('Bán nhanh'!$D$4:$M$103,INT((ROW()-4)/10)+1,MOD(ROW()-4,10)+1)&lt;=0),"",INDEX('Bán nhanh'!$D$3:$M$3,1,MOD(ROW()-4,10)+1))</f>
        <v/>
      </c>
      <c r="C892" s="36" t="str">
        <f t="array" ref="C892">IFERROR(INDEX('Sản phẩm'!$A$4:$A$103,MATCH(B892,'Sản phẩm'!$D$4:$D$103,0)),"")</f>
        <v/>
      </c>
      <c r="D892" s="36" t="str">
        <f t="array" ref="D892">IF(B892="","",INDEX('Bán nhanh'!$B$4:$B$103,INT((ROW()-4)/10)+1))</f>
        <v/>
      </c>
      <c r="E892" s="36" t="str">
        <f t="array" ref="E892">IFERROR(INDEX('Mẻ sữa'!$B$4:$B$203,MATCH(D892,'Mẻ sữa'!$C$4:$C$203,0)),"")</f>
        <v/>
      </c>
      <c r="F892" s="82">
        <f t="array" ref="F892">IF(B892="",0,INDEX('Bán nhanh'!$D$4:$M$103,INT((ROW()-4)/10)+1,MOD(ROW()-4,10)+1))</f>
        <v>0</v>
      </c>
      <c r="G892" s="83">
        <f t="array" ref="G892">IFERROR(INDEX('Sản phẩm'!$F$4:$F$103,MATCH(B892,'Sản phẩm'!$D$4:$D$103,0)),0)</f>
        <v>0</v>
      </c>
      <c r="H892" s="83">
        <f t="shared" si="5"/>
        <v>0</v>
      </c>
      <c r="I892" s="83">
        <f t="shared" si="1"/>
        <v>0</v>
      </c>
      <c r="J892" s="83">
        <f t="array" ref="J892">IFERROR(INDEX('Sản phẩm'!$G$4:$G$103,MATCH(B892,'Sản phẩm'!$D$4:$D$103,0)),0)</f>
        <v>0</v>
      </c>
      <c r="K892" s="83">
        <f t="array" ref="K892">IFERROR(J892*INDEX('Mẻ sữa'!$N$4:$N$203,MATCH(D892,'Mẻ sữa'!$C$4:$C$203,0)),0)</f>
        <v>0</v>
      </c>
      <c r="L892" s="83">
        <f t="array" ref="L892">IFERROR(INDEX('Sản phẩm'!$I$4:$I$103,MATCH(B892,'Sản phẩm'!$D$4:$D$103,0)),0)</f>
        <v>0</v>
      </c>
      <c r="M892" s="97" t="str">
        <f t="array" ref="M892">IFERROR(INDEX('Sản phẩm'!$J$4:$J$103,MATCH(B892,'Sản phẩm'!$D$4:$D$103,0)),0)</f>
        <v/>
      </c>
      <c r="N892" s="83">
        <f>IF(B892="",0,(K892+L892+M892)*'Thiết lập'!$B$8)</f>
        <v>0</v>
      </c>
      <c r="O892" s="83">
        <f t="shared" si="2"/>
        <v>0</v>
      </c>
      <c r="P892" s="83">
        <f t="shared" si="3"/>
        <v>0</v>
      </c>
      <c r="Q892" s="83">
        <f t="shared" si="4"/>
        <v>0</v>
      </c>
      <c r="R892" s="36" t="str">
        <f t="array" ref="R892">IF(B892="","",INDEX('Bán nhanh'!$C$4:$C$103,INT((ROW()-4)/10)+1))</f>
        <v/>
      </c>
      <c r="S892" s="36" t="str">
        <f t="array" ref="S892">IF(B892="","",INDEX('Bán nhanh'!$P$4:$P$103,INT((ROW()-4)/10)+1))</f>
        <v/>
      </c>
      <c r="T892" s="36"/>
      <c r="U892" s="36"/>
      <c r="V892" s="36"/>
      <c r="W892" s="36"/>
      <c r="X892" s="36"/>
      <c r="Y892" s="36"/>
      <c r="Z892" s="36"/>
    </row>
    <row r="893" ht="15.75" customHeight="1">
      <c r="A893" s="96" t="str">
        <f t="array" ref="A893">IF(B893="","",INDEX('Bán nhanh'!$A$4:$A$103,INT((ROW()-4)/10)+1))</f>
        <v/>
      </c>
      <c r="B893" s="36" t="str">
        <f t="array" ref="B893">IF(OR(INDEX('Bán nhanh'!$D$3:$M$3,1,MOD(ROW()-4,10)+1)="",INDEX('Bán nhanh'!$D$4:$M$103,INT((ROW()-4)/10)+1,MOD(ROW()-4,10)+1)&lt;=0),"",INDEX('Bán nhanh'!$D$3:$M$3,1,MOD(ROW()-4,10)+1))</f>
        <v/>
      </c>
      <c r="C893" s="36" t="str">
        <f t="array" ref="C893">IFERROR(INDEX('Sản phẩm'!$A$4:$A$103,MATCH(B893,'Sản phẩm'!$D$4:$D$103,0)),"")</f>
        <v/>
      </c>
      <c r="D893" s="36" t="str">
        <f t="array" ref="D893">IF(B893="","",INDEX('Bán nhanh'!$B$4:$B$103,INT((ROW()-4)/10)+1))</f>
        <v/>
      </c>
      <c r="E893" s="36" t="str">
        <f t="array" ref="E893">IFERROR(INDEX('Mẻ sữa'!$B$4:$B$203,MATCH(D893,'Mẻ sữa'!$C$4:$C$203,0)),"")</f>
        <v/>
      </c>
      <c r="F893" s="82">
        <f t="array" ref="F893">IF(B893="",0,INDEX('Bán nhanh'!$D$4:$M$103,INT((ROW()-4)/10)+1,MOD(ROW()-4,10)+1))</f>
        <v>0</v>
      </c>
      <c r="G893" s="83">
        <f t="array" ref="G893">IFERROR(INDEX('Sản phẩm'!$F$4:$F$103,MATCH(B893,'Sản phẩm'!$D$4:$D$103,0)),0)</f>
        <v>0</v>
      </c>
      <c r="H893" s="83">
        <f t="shared" si="5"/>
        <v>0</v>
      </c>
      <c r="I893" s="83">
        <f t="shared" si="1"/>
        <v>0</v>
      </c>
      <c r="J893" s="83">
        <f t="array" ref="J893">IFERROR(INDEX('Sản phẩm'!$G$4:$G$103,MATCH(B893,'Sản phẩm'!$D$4:$D$103,0)),0)</f>
        <v>0</v>
      </c>
      <c r="K893" s="83">
        <f t="array" ref="K893">IFERROR(J893*INDEX('Mẻ sữa'!$N$4:$N$203,MATCH(D893,'Mẻ sữa'!$C$4:$C$203,0)),0)</f>
        <v>0</v>
      </c>
      <c r="L893" s="83">
        <f t="array" ref="L893">IFERROR(INDEX('Sản phẩm'!$I$4:$I$103,MATCH(B893,'Sản phẩm'!$D$4:$D$103,0)),0)</f>
        <v>0</v>
      </c>
      <c r="M893" s="97" t="str">
        <f t="array" ref="M893">IFERROR(INDEX('Sản phẩm'!$J$4:$J$103,MATCH(B893,'Sản phẩm'!$D$4:$D$103,0)),0)</f>
        <v/>
      </c>
      <c r="N893" s="83">
        <f>IF(B893="",0,(K893+L893+M893)*'Thiết lập'!$B$8)</f>
        <v>0</v>
      </c>
      <c r="O893" s="83">
        <f t="shared" si="2"/>
        <v>0</v>
      </c>
      <c r="P893" s="83">
        <f t="shared" si="3"/>
        <v>0</v>
      </c>
      <c r="Q893" s="83">
        <f t="shared" si="4"/>
        <v>0</v>
      </c>
      <c r="R893" s="36" t="str">
        <f t="array" ref="R893">IF(B893="","",INDEX('Bán nhanh'!$C$4:$C$103,INT((ROW()-4)/10)+1))</f>
        <v/>
      </c>
      <c r="S893" s="36" t="str">
        <f t="array" ref="S893">IF(B893="","",INDEX('Bán nhanh'!$P$4:$P$103,INT((ROW()-4)/10)+1))</f>
        <v/>
      </c>
      <c r="T893" s="36"/>
      <c r="U893" s="36"/>
      <c r="V893" s="36"/>
      <c r="W893" s="36"/>
      <c r="X893" s="36"/>
      <c r="Y893" s="36"/>
      <c r="Z893" s="36"/>
    </row>
    <row r="894" ht="15.75" customHeight="1">
      <c r="A894" s="96" t="str">
        <f t="array" ref="A894">IF(B894="","",INDEX('Bán nhanh'!$A$4:$A$103,INT((ROW()-4)/10)+1))</f>
        <v/>
      </c>
      <c r="B894" s="36" t="str">
        <f t="array" ref="B894">IF(OR(INDEX('Bán nhanh'!$D$3:$M$3,1,MOD(ROW()-4,10)+1)="",INDEX('Bán nhanh'!$D$4:$M$103,INT((ROW()-4)/10)+1,MOD(ROW()-4,10)+1)&lt;=0),"",INDEX('Bán nhanh'!$D$3:$M$3,1,MOD(ROW()-4,10)+1))</f>
        <v/>
      </c>
      <c r="C894" s="36" t="str">
        <f t="array" ref="C894">IFERROR(INDEX('Sản phẩm'!$A$4:$A$103,MATCH(B894,'Sản phẩm'!$D$4:$D$103,0)),"")</f>
        <v/>
      </c>
      <c r="D894" s="36" t="str">
        <f t="array" ref="D894">IF(B894="","",INDEX('Bán nhanh'!$B$4:$B$103,INT((ROW()-4)/10)+1))</f>
        <v/>
      </c>
      <c r="E894" s="36" t="str">
        <f t="array" ref="E894">IFERROR(INDEX('Mẻ sữa'!$B$4:$B$203,MATCH(D894,'Mẻ sữa'!$C$4:$C$203,0)),"")</f>
        <v/>
      </c>
      <c r="F894" s="82">
        <f t="array" ref="F894">IF(B894="",0,INDEX('Bán nhanh'!$D$4:$M$103,INT((ROW()-4)/10)+1,MOD(ROW()-4,10)+1))</f>
        <v>0</v>
      </c>
      <c r="G894" s="83">
        <f t="array" ref="G894">IFERROR(INDEX('Sản phẩm'!$F$4:$F$103,MATCH(B894,'Sản phẩm'!$D$4:$D$103,0)),0)</f>
        <v>0</v>
      </c>
      <c r="H894" s="83">
        <f t="shared" si="5"/>
        <v>0</v>
      </c>
      <c r="I894" s="83">
        <f t="shared" si="1"/>
        <v>0</v>
      </c>
      <c r="J894" s="83">
        <f t="array" ref="J894">IFERROR(INDEX('Sản phẩm'!$G$4:$G$103,MATCH(B894,'Sản phẩm'!$D$4:$D$103,0)),0)</f>
        <v>0</v>
      </c>
      <c r="K894" s="83">
        <f t="array" ref="K894">IFERROR(J894*INDEX('Mẻ sữa'!$N$4:$N$203,MATCH(D894,'Mẻ sữa'!$C$4:$C$203,0)),0)</f>
        <v>0</v>
      </c>
      <c r="L894" s="83">
        <f t="array" ref="L894">IFERROR(INDEX('Sản phẩm'!$I$4:$I$103,MATCH(B894,'Sản phẩm'!$D$4:$D$103,0)),0)</f>
        <v>0</v>
      </c>
      <c r="M894" s="97" t="str">
        <f t="array" ref="M894">IFERROR(INDEX('Sản phẩm'!$J$4:$J$103,MATCH(B894,'Sản phẩm'!$D$4:$D$103,0)),0)</f>
        <v/>
      </c>
      <c r="N894" s="83">
        <f>IF(B894="",0,(K894+L894+M894)*'Thiết lập'!$B$8)</f>
        <v>0</v>
      </c>
      <c r="O894" s="83">
        <f t="shared" si="2"/>
        <v>0</v>
      </c>
      <c r="P894" s="83">
        <f t="shared" si="3"/>
        <v>0</v>
      </c>
      <c r="Q894" s="83">
        <f t="shared" si="4"/>
        <v>0</v>
      </c>
      <c r="R894" s="36" t="str">
        <f t="array" ref="R894">IF(B894="","",INDEX('Bán nhanh'!$C$4:$C$103,INT((ROW()-4)/10)+1))</f>
        <v/>
      </c>
      <c r="S894" s="36" t="str">
        <f t="array" ref="S894">IF(B894="","",INDEX('Bán nhanh'!$P$4:$P$103,INT((ROW()-4)/10)+1))</f>
        <v/>
      </c>
      <c r="T894" s="36"/>
      <c r="U894" s="36"/>
      <c r="V894" s="36"/>
      <c r="W894" s="36"/>
      <c r="X894" s="36"/>
      <c r="Y894" s="36"/>
      <c r="Z894" s="36"/>
    </row>
    <row r="895" ht="15.75" customHeight="1">
      <c r="A895" s="96" t="str">
        <f t="array" ref="A895">IF(B895="","",INDEX('Bán nhanh'!$A$4:$A$103,INT((ROW()-4)/10)+1))</f>
        <v/>
      </c>
      <c r="B895" s="36" t="str">
        <f t="array" ref="B895">IF(OR(INDEX('Bán nhanh'!$D$3:$M$3,1,MOD(ROW()-4,10)+1)="",INDEX('Bán nhanh'!$D$4:$M$103,INT((ROW()-4)/10)+1,MOD(ROW()-4,10)+1)&lt;=0),"",INDEX('Bán nhanh'!$D$3:$M$3,1,MOD(ROW()-4,10)+1))</f>
        <v/>
      </c>
      <c r="C895" s="36" t="str">
        <f t="array" ref="C895">IFERROR(INDEX('Sản phẩm'!$A$4:$A$103,MATCH(B895,'Sản phẩm'!$D$4:$D$103,0)),"")</f>
        <v/>
      </c>
      <c r="D895" s="36" t="str">
        <f t="array" ref="D895">IF(B895="","",INDEX('Bán nhanh'!$B$4:$B$103,INT((ROW()-4)/10)+1))</f>
        <v/>
      </c>
      <c r="E895" s="36" t="str">
        <f t="array" ref="E895">IFERROR(INDEX('Mẻ sữa'!$B$4:$B$203,MATCH(D895,'Mẻ sữa'!$C$4:$C$203,0)),"")</f>
        <v/>
      </c>
      <c r="F895" s="82">
        <f t="array" ref="F895">IF(B895="",0,INDEX('Bán nhanh'!$D$4:$M$103,INT((ROW()-4)/10)+1,MOD(ROW()-4,10)+1))</f>
        <v>0</v>
      </c>
      <c r="G895" s="83">
        <f t="array" ref="G895">IFERROR(INDEX('Sản phẩm'!$F$4:$F$103,MATCH(B895,'Sản phẩm'!$D$4:$D$103,0)),0)</f>
        <v>0</v>
      </c>
      <c r="H895" s="83">
        <f t="shared" si="5"/>
        <v>0</v>
      </c>
      <c r="I895" s="83">
        <f t="shared" si="1"/>
        <v>0</v>
      </c>
      <c r="J895" s="83">
        <f t="array" ref="J895">IFERROR(INDEX('Sản phẩm'!$G$4:$G$103,MATCH(B895,'Sản phẩm'!$D$4:$D$103,0)),0)</f>
        <v>0</v>
      </c>
      <c r="K895" s="83">
        <f t="array" ref="K895">IFERROR(J895*INDEX('Mẻ sữa'!$N$4:$N$203,MATCH(D895,'Mẻ sữa'!$C$4:$C$203,0)),0)</f>
        <v>0</v>
      </c>
      <c r="L895" s="83">
        <f t="array" ref="L895">IFERROR(INDEX('Sản phẩm'!$I$4:$I$103,MATCH(B895,'Sản phẩm'!$D$4:$D$103,0)),0)</f>
        <v>0</v>
      </c>
      <c r="M895" s="97" t="str">
        <f t="array" ref="M895">IFERROR(INDEX('Sản phẩm'!$J$4:$J$103,MATCH(B895,'Sản phẩm'!$D$4:$D$103,0)),0)</f>
        <v/>
      </c>
      <c r="N895" s="83">
        <f>IF(B895="",0,(K895+L895+M895)*'Thiết lập'!$B$8)</f>
        <v>0</v>
      </c>
      <c r="O895" s="83">
        <f t="shared" si="2"/>
        <v>0</v>
      </c>
      <c r="P895" s="83">
        <f t="shared" si="3"/>
        <v>0</v>
      </c>
      <c r="Q895" s="83">
        <f t="shared" si="4"/>
        <v>0</v>
      </c>
      <c r="R895" s="36" t="str">
        <f t="array" ref="R895">IF(B895="","",INDEX('Bán nhanh'!$C$4:$C$103,INT((ROW()-4)/10)+1))</f>
        <v/>
      </c>
      <c r="S895" s="36" t="str">
        <f t="array" ref="S895">IF(B895="","",INDEX('Bán nhanh'!$P$4:$P$103,INT((ROW()-4)/10)+1))</f>
        <v/>
      </c>
      <c r="T895" s="36"/>
      <c r="U895" s="36"/>
      <c r="V895" s="36"/>
      <c r="W895" s="36"/>
      <c r="X895" s="36"/>
      <c r="Y895" s="36"/>
      <c r="Z895" s="36"/>
    </row>
    <row r="896" ht="15.75" customHeight="1">
      <c r="A896" s="96" t="str">
        <f t="array" ref="A896">IF(B896="","",INDEX('Bán nhanh'!$A$4:$A$103,INT((ROW()-4)/10)+1))</f>
        <v/>
      </c>
      <c r="B896" s="36" t="str">
        <f t="array" ref="B896">IF(OR(INDEX('Bán nhanh'!$D$3:$M$3,1,MOD(ROW()-4,10)+1)="",INDEX('Bán nhanh'!$D$4:$M$103,INT((ROW()-4)/10)+1,MOD(ROW()-4,10)+1)&lt;=0),"",INDEX('Bán nhanh'!$D$3:$M$3,1,MOD(ROW()-4,10)+1))</f>
        <v/>
      </c>
      <c r="C896" s="36" t="str">
        <f t="array" ref="C896">IFERROR(INDEX('Sản phẩm'!$A$4:$A$103,MATCH(B896,'Sản phẩm'!$D$4:$D$103,0)),"")</f>
        <v/>
      </c>
      <c r="D896" s="36" t="str">
        <f t="array" ref="D896">IF(B896="","",INDEX('Bán nhanh'!$B$4:$B$103,INT((ROW()-4)/10)+1))</f>
        <v/>
      </c>
      <c r="E896" s="36" t="str">
        <f t="array" ref="E896">IFERROR(INDEX('Mẻ sữa'!$B$4:$B$203,MATCH(D896,'Mẻ sữa'!$C$4:$C$203,0)),"")</f>
        <v/>
      </c>
      <c r="F896" s="82">
        <f t="array" ref="F896">IF(B896="",0,INDEX('Bán nhanh'!$D$4:$M$103,INT((ROW()-4)/10)+1,MOD(ROW()-4,10)+1))</f>
        <v>0</v>
      </c>
      <c r="G896" s="83">
        <f t="array" ref="G896">IFERROR(INDEX('Sản phẩm'!$F$4:$F$103,MATCH(B896,'Sản phẩm'!$D$4:$D$103,0)),0)</f>
        <v>0</v>
      </c>
      <c r="H896" s="83">
        <f t="shared" si="5"/>
        <v>0</v>
      </c>
      <c r="I896" s="83">
        <f t="shared" si="1"/>
        <v>0</v>
      </c>
      <c r="J896" s="83">
        <f t="array" ref="J896">IFERROR(INDEX('Sản phẩm'!$G$4:$G$103,MATCH(B896,'Sản phẩm'!$D$4:$D$103,0)),0)</f>
        <v>0</v>
      </c>
      <c r="K896" s="83">
        <f t="array" ref="K896">IFERROR(J896*INDEX('Mẻ sữa'!$N$4:$N$203,MATCH(D896,'Mẻ sữa'!$C$4:$C$203,0)),0)</f>
        <v>0</v>
      </c>
      <c r="L896" s="83">
        <f t="array" ref="L896">IFERROR(INDEX('Sản phẩm'!$I$4:$I$103,MATCH(B896,'Sản phẩm'!$D$4:$D$103,0)),0)</f>
        <v>0</v>
      </c>
      <c r="M896" s="97" t="str">
        <f t="array" ref="M896">IFERROR(INDEX('Sản phẩm'!$J$4:$J$103,MATCH(B896,'Sản phẩm'!$D$4:$D$103,0)),0)</f>
        <v/>
      </c>
      <c r="N896" s="83">
        <f>IF(B896="",0,(K896+L896+M896)*'Thiết lập'!$B$8)</f>
        <v>0</v>
      </c>
      <c r="O896" s="83">
        <f t="shared" si="2"/>
        <v>0</v>
      </c>
      <c r="P896" s="83">
        <f t="shared" si="3"/>
        <v>0</v>
      </c>
      <c r="Q896" s="83">
        <f t="shared" si="4"/>
        <v>0</v>
      </c>
      <c r="R896" s="36" t="str">
        <f t="array" ref="R896">IF(B896="","",INDEX('Bán nhanh'!$C$4:$C$103,INT((ROW()-4)/10)+1))</f>
        <v/>
      </c>
      <c r="S896" s="36" t="str">
        <f t="array" ref="S896">IF(B896="","",INDEX('Bán nhanh'!$P$4:$P$103,INT((ROW()-4)/10)+1))</f>
        <v/>
      </c>
      <c r="T896" s="36"/>
      <c r="U896" s="36"/>
      <c r="V896" s="36"/>
      <c r="W896" s="36"/>
      <c r="X896" s="36"/>
      <c r="Y896" s="36"/>
      <c r="Z896" s="36"/>
    </row>
    <row r="897" ht="15.75" customHeight="1">
      <c r="A897" s="96" t="str">
        <f t="array" ref="A897">IF(B897="","",INDEX('Bán nhanh'!$A$4:$A$103,INT((ROW()-4)/10)+1))</f>
        <v/>
      </c>
      <c r="B897" s="36" t="str">
        <f t="array" ref="B897">IF(OR(INDEX('Bán nhanh'!$D$3:$M$3,1,MOD(ROW()-4,10)+1)="",INDEX('Bán nhanh'!$D$4:$M$103,INT((ROW()-4)/10)+1,MOD(ROW()-4,10)+1)&lt;=0),"",INDEX('Bán nhanh'!$D$3:$M$3,1,MOD(ROW()-4,10)+1))</f>
        <v/>
      </c>
      <c r="C897" s="36" t="str">
        <f t="array" ref="C897">IFERROR(INDEX('Sản phẩm'!$A$4:$A$103,MATCH(B897,'Sản phẩm'!$D$4:$D$103,0)),"")</f>
        <v/>
      </c>
      <c r="D897" s="36" t="str">
        <f t="array" ref="D897">IF(B897="","",INDEX('Bán nhanh'!$B$4:$B$103,INT((ROW()-4)/10)+1))</f>
        <v/>
      </c>
      <c r="E897" s="36" t="str">
        <f t="array" ref="E897">IFERROR(INDEX('Mẻ sữa'!$B$4:$B$203,MATCH(D897,'Mẻ sữa'!$C$4:$C$203,0)),"")</f>
        <v/>
      </c>
      <c r="F897" s="82">
        <f t="array" ref="F897">IF(B897="",0,INDEX('Bán nhanh'!$D$4:$M$103,INT((ROW()-4)/10)+1,MOD(ROW()-4,10)+1))</f>
        <v>0</v>
      </c>
      <c r="G897" s="83">
        <f t="array" ref="G897">IFERROR(INDEX('Sản phẩm'!$F$4:$F$103,MATCH(B897,'Sản phẩm'!$D$4:$D$103,0)),0)</f>
        <v>0</v>
      </c>
      <c r="H897" s="83">
        <f t="shared" si="5"/>
        <v>0</v>
      </c>
      <c r="I897" s="83">
        <f t="shared" si="1"/>
        <v>0</v>
      </c>
      <c r="J897" s="83">
        <f t="array" ref="J897">IFERROR(INDEX('Sản phẩm'!$G$4:$G$103,MATCH(B897,'Sản phẩm'!$D$4:$D$103,0)),0)</f>
        <v>0</v>
      </c>
      <c r="K897" s="83">
        <f t="array" ref="K897">IFERROR(J897*INDEX('Mẻ sữa'!$N$4:$N$203,MATCH(D897,'Mẻ sữa'!$C$4:$C$203,0)),0)</f>
        <v>0</v>
      </c>
      <c r="L897" s="83">
        <f t="array" ref="L897">IFERROR(INDEX('Sản phẩm'!$I$4:$I$103,MATCH(B897,'Sản phẩm'!$D$4:$D$103,0)),0)</f>
        <v>0</v>
      </c>
      <c r="M897" s="97" t="str">
        <f t="array" ref="M897">IFERROR(INDEX('Sản phẩm'!$J$4:$J$103,MATCH(B897,'Sản phẩm'!$D$4:$D$103,0)),0)</f>
        <v/>
      </c>
      <c r="N897" s="83">
        <f>IF(B897="",0,(K897+L897+M897)*'Thiết lập'!$B$8)</f>
        <v>0</v>
      </c>
      <c r="O897" s="83">
        <f t="shared" si="2"/>
        <v>0</v>
      </c>
      <c r="P897" s="83">
        <f t="shared" si="3"/>
        <v>0</v>
      </c>
      <c r="Q897" s="83">
        <f t="shared" si="4"/>
        <v>0</v>
      </c>
      <c r="R897" s="36" t="str">
        <f t="array" ref="R897">IF(B897="","",INDEX('Bán nhanh'!$C$4:$C$103,INT((ROW()-4)/10)+1))</f>
        <v/>
      </c>
      <c r="S897" s="36" t="str">
        <f t="array" ref="S897">IF(B897="","",INDEX('Bán nhanh'!$P$4:$P$103,INT((ROW()-4)/10)+1))</f>
        <v/>
      </c>
      <c r="T897" s="36"/>
      <c r="U897" s="36"/>
      <c r="V897" s="36"/>
      <c r="W897" s="36"/>
      <c r="X897" s="36"/>
      <c r="Y897" s="36"/>
      <c r="Z897" s="36"/>
    </row>
    <row r="898" ht="15.75" customHeight="1">
      <c r="A898" s="96" t="str">
        <f t="array" ref="A898">IF(B898="","",INDEX('Bán nhanh'!$A$4:$A$103,INT((ROW()-4)/10)+1))</f>
        <v/>
      </c>
      <c r="B898" s="36" t="str">
        <f t="array" ref="B898">IF(OR(INDEX('Bán nhanh'!$D$3:$M$3,1,MOD(ROW()-4,10)+1)="",INDEX('Bán nhanh'!$D$4:$M$103,INT((ROW()-4)/10)+1,MOD(ROW()-4,10)+1)&lt;=0),"",INDEX('Bán nhanh'!$D$3:$M$3,1,MOD(ROW()-4,10)+1))</f>
        <v/>
      </c>
      <c r="C898" s="36" t="str">
        <f t="array" ref="C898">IFERROR(INDEX('Sản phẩm'!$A$4:$A$103,MATCH(B898,'Sản phẩm'!$D$4:$D$103,0)),"")</f>
        <v/>
      </c>
      <c r="D898" s="36" t="str">
        <f t="array" ref="D898">IF(B898="","",INDEX('Bán nhanh'!$B$4:$B$103,INT((ROW()-4)/10)+1))</f>
        <v/>
      </c>
      <c r="E898" s="36" t="str">
        <f t="array" ref="E898">IFERROR(INDEX('Mẻ sữa'!$B$4:$B$203,MATCH(D898,'Mẻ sữa'!$C$4:$C$203,0)),"")</f>
        <v/>
      </c>
      <c r="F898" s="82">
        <f t="array" ref="F898">IF(B898="",0,INDEX('Bán nhanh'!$D$4:$M$103,INT((ROW()-4)/10)+1,MOD(ROW()-4,10)+1))</f>
        <v>0</v>
      </c>
      <c r="G898" s="83">
        <f t="array" ref="G898">IFERROR(INDEX('Sản phẩm'!$F$4:$F$103,MATCH(B898,'Sản phẩm'!$D$4:$D$103,0)),0)</f>
        <v>0</v>
      </c>
      <c r="H898" s="83">
        <f t="shared" si="5"/>
        <v>0</v>
      </c>
      <c r="I898" s="83">
        <f t="shared" si="1"/>
        <v>0</v>
      </c>
      <c r="J898" s="83">
        <f t="array" ref="J898">IFERROR(INDEX('Sản phẩm'!$G$4:$G$103,MATCH(B898,'Sản phẩm'!$D$4:$D$103,0)),0)</f>
        <v>0</v>
      </c>
      <c r="K898" s="83">
        <f t="array" ref="K898">IFERROR(J898*INDEX('Mẻ sữa'!$N$4:$N$203,MATCH(D898,'Mẻ sữa'!$C$4:$C$203,0)),0)</f>
        <v>0</v>
      </c>
      <c r="L898" s="83">
        <f t="array" ref="L898">IFERROR(INDEX('Sản phẩm'!$I$4:$I$103,MATCH(B898,'Sản phẩm'!$D$4:$D$103,0)),0)</f>
        <v>0</v>
      </c>
      <c r="M898" s="97" t="str">
        <f t="array" ref="M898">IFERROR(INDEX('Sản phẩm'!$J$4:$J$103,MATCH(B898,'Sản phẩm'!$D$4:$D$103,0)),0)</f>
        <v/>
      </c>
      <c r="N898" s="83">
        <f>IF(B898="",0,(K898+L898+M898)*'Thiết lập'!$B$8)</f>
        <v>0</v>
      </c>
      <c r="O898" s="83">
        <f t="shared" si="2"/>
        <v>0</v>
      </c>
      <c r="P898" s="83">
        <f t="shared" si="3"/>
        <v>0</v>
      </c>
      <c r="Q898" s="83">
        <f t="shared" si="4"/>
        <v>0</v>
      </c>
      <c r="R898" s="36" t="str">
        <f t="array" ref="R898">IF(B898="","",INDEX('Bán nhanh'!$C$4:$C$103,INT((ROW()-4)/10)+1))</f>
        <v/>
      </c>
      <c r="S898" s="36" t="str">
        <f t="array" ref="S898">IF(B898="","",INDEX('Bán nhanh'!$P$4:$P$103,INT((ROW()-4)/10)+1))</f>
        <v/>
      </c>
      <c r="T898" s="36"/>
      <c r="U898" s="36"/>
      <c r="V898" s="36"/>
      <c r="W898" s="36"/>
      <c r="X898" s="36"/>
      <c r="Y898" s="36"/>
      <c r="Z898" s="36"/>
    </row>
    <row r="899" ht="15.75" customHeight="1">
      <c r="A899" s="96" t="str">
        <f t="array" ref="A899">IF(B899="","",INDEX('Bán nhanh'!$A$4:$A$103,INT((ROW()-4)/10)+1))</f>
        <v/>
      </c>
      <c r="B899" s="36" t="str">
        <f t="array" ref="B899">IF(OR(INDEX('Bán nhanh'!$D$3:$M$3,1,MOD(ROW()-4,10)+1)="",INDEX('Bán nhanh'!$D$4:$M$103,INT((ROW()-4)/10)+1,MOD(ROW()-4,10)+1)&lt;=0),"",INDEX('Bán nhanh'!$D$3:$M$3,1,MOD(ROW()-4,10)+1))</f>
        <v/>
      </c>
      <c r="C899" s="36" t="str">
        <f t="array" ref="C899">IFERROR(INDEX('Sản phẩm'!$A$4:$A$103,MATCH(B899,'Sản phẩm'!$D$4:$D$103,0)),"")</f>
        <v/>
      </c>
      <c r="D899" s="36" t="str">
        <f t="array" ref="D899">IF(B899="","",INDEX('Bán nhanh'!$B$4:$B$103,INT((ROW()-4)/10)+1))</f>
        <v/>
      </c>
      <c r="E899" s="36" t="str">
        <f t="array" ref="E899">IFERROR(INDEX('Mẻ sữa'!$B$4:$B$203,MATCH(D899,'Mẻ sữa'!$C$4:$C$203,0)),"")</f>
        <v/>
      </c>
      <c r="F899" s="82">
        <f t="array" ref="F899">IF(B899="",0,INDEX('Bán nhanh'!$D$4:$M$103,INT((ROW()-4)/10)+1,MOD(ROW()-4,10)+1))</f>
        <v>0</v>
      </c>
      <c r="G899" s="83">
        <f t="array" ref="G899">IFERROR(INDEX('Sản phẩm'!$F$4:$F$103,MATCH(B899,'Sản phẩm'!$D$4:$D$103,0)),0)</f>
        <v>0</v>
      </c>
      <c r="H899" s="83">
        <f t="shared" si="5"/>
        <v>0</v>
      </c>
      <c r="I899" s="83">
        <f t="shared" si="1"/>
        <v>0</v>
      </c>
      <c r="J899" s="83">
        <f t="array" ref="J899">IFERROR(INDEX('Sản phẩm'!$G$4:$G$103,MATCH(B899,'Sản phẩm'!$D$4:$D$103,0)),0)</f>
        <v>0</v>
      </c>
      <c r="K899" s="83">
        <f t="array" ref="K899">IFERROR(J899*INDEX('Mẻ sữa'!$N$4:$N$203,MATCH(D899,'Mẻ sữa'!$C$4:$C$203,0)),0)</f>
        <v>0</v>
      </c>
      <c r="L899" s="83">
        <f t="array" ref="L899">IFERROR(INDEX('Sản phẩm'!$I$4:$I$103,MATCH(B899,'Sản phẩm'!$D$4:$D$103,0)),0)</f>
        <v>0</v>
      </c>
      <c r="M899" s="97" t="str">
        <f t="array" ref="M899">IFERROR(INDEX('Sản phẩm'!$J$4:$J$103,MATCH(B899,'Sản phẩm'!$D$4:$D$103,0)),0)</f>
        <v/>
      </c>
      <c r="N899" s="83">
        <f>IF(B899="",0,(K899+L899+M899)*'Thiết lập'!$B$8)</f>
        <v>0</v>
      </c>
      <c r="O899" s="83">
        <f t="shared" si="2"/>
        <v>0</v>
      </c>
      <c r="P899" s="83">
        <f t="shared" si="3"/>
        <v>0</v>
      </c>
      <c r="Q899" s="83">
        <f t="shared" si="4"/>
        <v>0</v>
      </c>
      <c r="R899" s="36" t="str">
        <f t="array" ref="R899">IF(B899="","",INDEX('Bán nhanh'!$C$4:$C$103,INT((ROW()-4)/10)+1))</f>
        <v/>
      </c>
      <c r="S899" s="36" t="str">
        <f t="array" ref="S899">IF(B899="","",INDEX('Bán nhanh'!$P$4:$P$103,INT((ROW()-4)/10)+1))</f>
        <v/>
      </c>
      <c r="T899" s="36"/>
      <c r="U899" s="36"/>
      <c r="V899" s="36"/>
      <c r="W899" s="36"/>
      <c r="X899" s="36"/>
      <c r="Y899" s="36"/>
      <c r="Z899" s="36"/>
    </row>
    <row r="900" ht="15.75" customHeight="1">
      <c r="A900" s="96" t="str">
        <f t="array" ref="A900">IF(B900="","",INDEX('Bán nhanh'!$A$4:$A$103,INT((ROW()-4)/10)+1))</f>
        <v/>
      </c>
      <c r="B900" s="36" t="str">
        <f t="array" ref="B900">IF(OR(INDEX('Bán nhanh'!$D$3:$M$3,1,MOD(ROW()-4,10)+1)="",INDEX('Bán nhanh'!$D$4:$M$103,INT((ROW()-4)/10)+1,MOD(ROW()-4,10)+1)&lt;=0),"",INDEX('Bán nhanh'!$D$3:$M$3,1,MOD(ROW()-4,10)+1))</f>
        <v/>
      </c>
      <c r="C900" s="36" t="str">
        <f t="array" ref="C900">IFERROR(INDEX('Sản phẩm'!$A$4:$A$103,MATCH(B900,'Sản phẩm'!$D$4:$D$103,0)),"")</f>
        <v/>
      </c>
      <c r="D900" s="36" t="str">
        <f t="array" ref="D900">IF(B900="","",INDEX('Bán nhanh'!$B$4:$B$103,INT((ROW()-4)/10)+1))</f>
        <v/>
      </c>
      <c r="E900" s="36" t="str">
        <f t="array" ref="E900">IFERROR(INDEX('Mẻ sữa'!$B$4:$B$203,MATCH(D900,'Mẻ sữa'!$C$4:$C$203,0)),"")</f>
        <v/>
      </c>
      <c r="F900" s="82">
        <f t="array" ref="F900">IF(B900="",0,INDEX('Bán nhanh'!$D$4:$M$103,INT((ROW()-4)/10)+1,MOD(ROW()-4,10)+1))</f>
        <v>0</v>
      </c>
      <c r="G900" s="83">
        <f t="array" ref="G900">IFERROR(INDEX('Sản phẩm'!$F$4:$F$103,MATCH(B900,'Sản phẩm'!$D$4:$D$103,0)),0)</f>
        <v>0</v>
      </c>
      <c r="H900" s="83">
        <f t="shared" si="5"/>
        <v>0</v>
      </c>
      <c r="I900" s="83">
        <f t="shared" si="1"/>
        <v>0</v>
      </c>
      <c r="J900" s="83">
        <f t="array" ref="J900">IFERROR(INDEX('Sản phẩm'!$G$4:$G$103,MATCH(B900,'Sản phẩm'!$D$4:$D$103,0)),0)</f>
        <v>0</v>
      </c>
      <c r="K900" s="83">
        <f t="array" ref="K900">IFERROR(J900*INDEX('Mẻ sữa'!$N$4:$N$203,MATCH(D900,'Mẻ sữa'!$C$4:$C$203,0)),0)</f>
        <v>0</v>
      </c>
      <c r="L900" s="83">
        <f t="array" ref="L900">IFERROR(INDEX('Sản phẩm'!$I$4:$I$103,MATCH(B900,'Sản phẩm'!$D$4:$D$103,0)),0)</f>
        <v>0</v>
      </c>
      <c r="M900" s="97" t="str">
        <f t="array" ref="M900">IFERROR(INDEX('Sản phẩm'!$J$4:$J$103,MATCH(B900,'Sản phẩm'!$D$4:$D$103,0)),0)</f>
        <v/>
      </c>
      <c r="N900" s="83">
        <f>IF(B900="",0,(K900+L900+M900)*'Thiết lập'!$B$8)</f>
        <v>0</v>
      </c>
      <c r="O900" s="83">
        <f t="shared" si="2"/>
        <v>0</v>
      </c>
      <c r="P900" s="83">
        <f t="shared" si="3"/>
        <v>0</v>
      </c>
      <c r="Q900" s="83">
        <f t="shared" si="4"/>
        <v>0</v>
      </c>
      <c r="R900" s="36" t="str">
        <f t="array" ref="R900">IF(B900="","",INDEX('Bán nhanh'!$C$4:$C$103,INT((ROW()-4)/10)+1))</f>
        <v/>
      </c>
      <c r="S900" s="36" t="str">
        <f t="array" ref="S900">IF(B900="","",INDEX('Bán nhanh'!$P$4:$P$103,INT((ROW()-4)/10)+1))</f>
        <v/>
      </c>
      <c r="T900" s="36"/>
      <c r="U900" s="36"/>
      <c r="V900" s="36"/>
      <c r="W900" s="36"/>
      <c r="X900" s="36"/>
      <c r="Y900" s="36"/>
      <c r="Z900" s="36"/>
    </row>
    <row r="901" ht="15.75" customHeight="1">
      <c r="A901" s="96" t="str">
        <f t="array" ref="A901">IF(B901="","",INDEX('Bán nhanh'!$A$4:$A$103,INT((ROW()-4)/10)+1))</f>
        <v/>
      </c>
      <c r="B901" s="36" t="str">
        <f t="array" ref="B901">IF(OR(INDEX('Bán nhanh'!$D$3:$M$3,1,MOD(ROW()-4,10)+1)="",INDEX('Bán nhanh'!$D$4:$M$103,INT((ROW()-4)/10)+1,MOD(ROW()-4,10)+1)&lt;=0),"",INDEX('Bán nhanh'!$D$3:$M$3,1,MOD(ROW()-4,10)+1))</f>
        <v/>
      </c>
      <c r="C901" s="36" t="str">
        <f t="array" ref="C901">IFERROR(INDEX('Sản phẩm'!$A$4:$A$103,MATCH(B901,'Sản phẩm'!$D$4:$D$103,0)),"")</f>
        <v/>
      </c>
      <c r="D901" s="36" t="str">
        <f t="array" ref="D901">IF(B901="","",INDEX('Bán nhanh'!$B$4:$B$103,INT((ROW()-4)/10)+1))</f>
        <v/>
      </c>
      <c r="E901" s="36" t="str">
        <f t="array" ref="E901">IFERROR(INDEX('Mẻ sữa'!$B$4:$B$203,MATCH(D901,'Mẻ sữa'!$C$4:$C$203,0)),"")</f>
        <v/>
      </c>
      <c r="F901" s="82">
        <f t="array" ref="F901">IF(B901="",0,INDEX('Bán nhanh'!$D$4:$M$103,INT((ROW()-4)/10)+1,MOD(ROW()-4,10)+1))</f>
        <v>0</v>
      </c>
      <c r="G901" s="83">
        <f t="array" ref="G901">IFERROR(INDEX('Sản phẩm'!$F$4:$F$103,MATCH(B901,'Sản phẩm'!$D$4:$D$103,0)),0)</f>
        <v>0</v>
      </c>
      <c r="H901" s="83">
        <f t="shared" si="5"/>
        <v>0</v>
      </c>
      <c r="I901" s="83">
        <f t="shared" si="1"/>
        <v>0</v>
      </c>
      <c r="J901" s="83">
        <f t="array" ref="J901">IFERROR(INDEX('Sản phẩm'!$G$4:$G$103,MATCH(B901,'Sản phẩm'!$D$4:$D$103,0)),0)</f>
        <v>0</v>
      </c>
      <c r="K901" s="83">
        <f t="array" ref="K901">IFERROR(J901*INDEX('Mẻ sữa'!$N$4:$N$203,MATCH(D901,'Mẻ sữa'!$C$4:$C$203,0)),0)</f>
        <v>0</v>
      </c>
      <c r="L901" s="83">
        <f t="array" ref="L901">IFERROR(INDEX('Sản phẩm'!$I$4:$I$103,MATCH(B901,'Sản phẩm'!$D$4:$D$103,0)),0)</f>
        <v>0</v>
      </c>
      <c r="M901" s="97" t="str">
        <f t="array" ref="M901">IFERROR(INDEX('Sản phẩm'!$J$4:$J$103,MATCH(B901,'Sản phẩm'!$D$4:$D$103,0)),0)</f>
        <v/>
      </c>
      <c r="N901" s="83">
        <f>IF(B901="",0,(K901+L901+M901)*'Thiết lập'!$B$8)</f>
        <v>0</v>
      </c>
      <c r="O901" s="83">
        <f t="shared" si="2"/>
        <v>0</v>
      </c>
      <c r="P901" s="83">
        <f t="shared" si="3"/>
        <v>0</v>
      </c>
      <c r="Q901" s="83">
        <f t="shared" si="4"/>
        <v>0</v>
      </c>
      <c r="R901" s="36" t="str">
        <f t="array" ref="R901">IF(B901="","",INDEX('Bán nhanh'!$C$4:$C$103,INT((ROW()-4)/10)+1))</f>
        <v/>
      </c>
      <c r="S901" s="36" t="str">
        <f t="array" ref="S901">IF(B901="","",INDEX('Bán nhanh'!$P$4:$P$103,INT((ROW()-4)/10)+1))</f>
        <v/>
      </c>
      <c r="T901" s="36"/>
      <c r="U901" s="36"/>
      <c r="V901" s="36"/>
      <c r="W901" s="36"/>
      <c r="X901" s="36"/>
      <c r="Y901" s="36"/>
      <c r="Z901" s="36"/>
    </row>
    <row r="902" ht="15.75" customHeight="1">
      <c r="A902" s="96" t="str">
        <f t="array" ref="A902">IF(B902="","",INDEX('Bán nhanh'!$A$4:$A$103,INT((ROW()-4)/10)+1))</f>
        <v/>
      </c>
      <c r="B902" s="36" t="str">
        <f t="array" ref="B902">IF(OR(INDEX('Bán nhanh'!$D$3:$M$3,1,MOD(ROW()-4,10)+1)="",INDEX('Bán nhanh'!$D$4:$M$103,INT((ROW()-4)/10)+1,MOD(ROW()-4,10)+1)&lt;=0),"",INDEX('Bán nhanh'!$D$3:$M$3,1,MOD(ROW()-4,10)+1))</f>
        <v/>
      </c>
      <c r="C902" s="36" t="str">
        <f t="array" ref="C902">IFERROR(INDEX('Sản phẩm'!$A$4:$A$103,MATCH(B902,'Sản phẩm'!$D$4:$D$103,0)),"")</f>
        <v/>
      </c>
      <c r="D902" s="36" t="str">
        <f t="array" ref="D902">IF(B902="","",INDEX('Bán nhanh'!$B$4:$B$103,INT((ROW()-4)/10)+1))</f>
        <v/>
      </c>
      <c r="E902" s="36" t="str">
        <f t="array" ref="E902">IFERROR(INDEX('Mẻ sữa'!$B$4:$B$203,MATCH(D902,'Mẻ sữa'!$C$4:$C$203,0)),"")</f>
        <v/>
      </c>
      <c r="F902" s="82">
        <f t="array" ref="F902">IF(B902="",0,INDEX('Bán nhanh'!$D$4:$M$103,INT((ROW()-4)/10)+1,MOD(ROW()-4,10)+1))</f>
        <v>0</v>
      </c>
      <c r="G902" s="83">
        <f t="array" ref="G902">IFERROR(INDEX('Sản phẩm'!$F$4:$F$103,MATCH(B902,'Sản phẩm'!$D$4:$D$103,0)),0)</f>
        <v>0</v>
      </c>
      <c r="H902" s="83">
        <f t="shared" si="5"/>
        <v>0</v>
      </c>
      <c r="I902" s="83">
        <f t="shared" si="1"/>
        <v>0</v>
      </c>
      <c r="J902" s="83">
        <f t="array" ref="J902">IFERROR(INDEX('Sản phẩm'!$G$4:$G$103,MATCH(B902,'Sản phẩm'!$D$4:$D$103,0)),0)</f>
        <v>0</v>
      </c>
      <c r="K902" s="83">
        <f t="array" ref="K902">IFERROR(J902*INDEX('Mẻ sữa'!$N$4:$N$203,MATCH(D902,'Mẻ sữa'!$C$4:$C$203,0)),0)</f>
        <v>0</v>
      </c>
      <c r="L902" s="83">
        <f t="array" ref="L902">IFERROR(INDEX('Sản phẩm'!$I$4:$I$103,MATCH(B902,'Sản phẩm'!$D$4:$D$103,0)),0)</f>
        <v>0</v>
      </c>
      <c r="M902" s="97" t="str">
        <f t="array" ref="M902">IFERROR(INDEX('Sản phẩm'!$J$4:$J$103,MATCH(B902,'Sản phẩm'!$D$4:$D$103,0)),0)</f>
        <v/>
      </c>
      <c r="N902" s="83">
        <f>IF(B902="",0,(K902+L902+M902)*'Thiết lập'!$B$8)</f>
        <v>0</v>
      </c>
      <c r="O902" s="83">
        <f t="shared" si="2"/>
        <v>0</v>
      </c>
      <c r="P902" s="83">
        <f t="shared" si="3"/>
        <v>0</v>
      </c>
      <c r="Q902" s="83">
        <f t="shared" si="4"/>
        <v>0</v>
      </c>
      <c r="R902" s="36" t="str">
        <f t="array" ref="R902">IF(B902="","",INDEX('Bán nhanh'!$C$4:$C$103,INT((ROW()-4)/10)+1))</f>
        <v/>
      </c>
      <c r="S902" s="36" t="str">
        <f t="array" ref="S902">IF(B902="","",INDEX('Bán nhanh'!$P$4:$P$103,INT((ROW()-4)/10)+1))</f>
        <v/>
      </c>
      <c r="T902" s="36"/>
      <c r="U902" s="36"/>
      <c r="V902" s="36"/>
      <c r="W902" s="36"/>
      <c r="X902" s="36"/>
      <c r="Y902" s="36"/>
      <c r="Z902" s="36"/>
    </row>
    <row r="903" ht="15.75" customHeight="1">
      <c r="A903" s="96" t="str">
        <f t="array" ref="A903">IF(B903="","",INDEX('Bán nhanh'!$A$4:$A$103,INT((ROW()-4)/10)+1))</f>
        <v/>
      </c>
      <c r="B903" s="36" t="str">
        <f t="array" ref="B903">IF(OR(INDEX('Bán nhanh'!$D$3:$M$3,1,MOD(ROW()-4,10)+1)="",INDEX('Bán nhanh'!$D$4:$M$103,INT((ROW()-4)/10)+1,MOD(ROW()-4,10)+1)&lt;=0),"",INDEX('Bán nhanh'!$D$3:$M$3,1,MOD(ROW()-4,10)+1))</f>
        <v/>
      </c>
      <c r="C903" s="36" t="str">
        <f t="array" ref="C903">IFERROR(INDEX('Sản phẩm'!$A$4:$A$103,MATCH(B903,'Sản phẩm'!$D$4:$D$103,0)),"")</f>
        <v/>
      </c>
      <c r="D903" s="36" t="str">
        <f t="array" ref="D903">IF(B903="","",INDEX('Bán nhanh'!$B$4:$B$103,INT((ROW()-4)/10)+1))</f>
        <v/>
      </c>
      <c r="E903" s="36" t="str">
        <f t="array" ref="E903">IFERROR(INDEX('Mẻ sữa'!$B$4:$B$203,MATCH(D903,'Mẻ sữa'!$C$4:$C$203,0)),"")</f>
        <v/>
      </c>
      <c r="F903" s="82">
        <f t="array" ref="F903">IF(B903="",0,INDEX('Bán nhanh'!$D$4:$M$103,INT((ROW()-4)/10)+1,MOD(ROW()-4,10)+1))</f>
        <v>0</v>
      </c>
      <c r="G903" s="83">
        <f t="array" ref="G903">IFERROR(INDEX('Sản phẩm'!$F$4:$F$103,MATCH(B903,'Sản phẩm'!$D$4:$D$103,0)),0)</f>
        <v>0</v>
      </c>
      <c r="H903" s="83">
        <f t="shared" si="5"/>
        <v>0</v>
      </c>
      <c r="I903" s="83">
        <f t="shared" si="1"/>
        <v>0</v>
      </c>
      <c r="J903" s="83">
        <f t="array" ref="J903">IFERROR(INDEX('Sản phẩm'!$G$4:$G$103,MATCH(B903,'Sản phẩm'!$D$4:$D$103,0)),0)</f>
        <v>0</v>
      </c>
      <c r="K903" s="83">
        <f t="array" ref="K903">IFERROR(J903*INDEX('Mẻ sữa'!$N$4:$N$203,MATCH(D903,'Mẻ sữa'!$C$4:$C$203,0)),0)</f>
        <v>0</v>
      </c>
      <c r="L903" s="83">
        <f t="array" ref="L903">IFERROR(INDEX('Sản phẩm'!$I$4:$I$103,MATCH(B903,'Sản phẩm'!$D$4:$D$103,0)),0)</f>
        <v>0</v>
      </c>
      <c r="M903" s="97" t="str">
        <f t="array" ref="M903">IFERROR(INDEX('Sản phẩm'!$J$4:$J$103,MATCH(B903,'Sản phẩm'!$D$4:$D$103,0)),0)</f>
        <v/>
      </c>
      <c r="N903" s="83">
        <f>IF(B903="",0,(K903+L903+M903)*'Thiết lập'!$B$8)</f>
        <v>0</v>
      </c>
      <c r="O903" s="83">
        <f t="shared" si="2"/>
        <v>0</v>
      </c>
      <c r="P903" s="83">
        <f t="shared" si="3"/>
        <v>0</v>
      </c>
      <c r="Q903" s="83">
        <f t="shared" si="4"/>
        <v>0</v>
      </c>
      <c r="R903" s="36" t="str">
        <f t="array" ref="R903">IF(B903="","",INDEX('Bán nhanh'!$C$4:$C$103,INT((ROW()-4)/10)+1))</f>
        <v/>
      </c>
      <c r="S903" s="36" t="str">
        <f t="array" ref="S903">IF(B903="","",INDEX('Bán nhanh'!$P$4:$P$103,INT((ROW()-4)/10)+1))</f>
        <v/>
      </c>
      <c r="T903" s="36"/>
      <c r="U903" s="36"/>
      <c r="V903" s="36"/>
      <c r="W903" s="36"/>
      <c r="X903" s="36"/>
      <c r="Y903" s="36"/>
      <c r="Z903" s="36"/>
    </row>
    <row r="904" ht="15.75" customHeight="1">
      <c r="A904" s="96" t="str">
        <f t="array" ref="A904">IF(B904="","",INDEX('Bán nhanh'!$A$4:$A$103,INT((ROW()-4)/10)+1))</f>
        <v/>
      </c>
      <c r="B904" s="36" t="str">
        <f t="array" ref="B904">IF(OR(INDEX('Bán nhanh'!$D$3:$M$3,1,MOD(ROW()-4,10)+1)="",INDEX('Bán nhanh'!$D$4:$M$103,INT((ROW()-4)/10)+1,MOD(ROW()-4,10)+1)&lt;=0),"",INDEX('Bán nhanh'!$D$3:$M$3,1,MOD(ROW()-4,10)+1))</f>
        <v/>
      </c>
      <c r="C904" s="36" t="str">
        <f t="array" ref="C904">IFERROR(INDEX('Sản phẩm'!$A$4:$A$103,MATCH(B904,'Sản phẩm'!$D$4:$D$103,0)),"")</f>
        <v/>
      </c>
      <c r="D904" s="36" t="str">
        <f t="array" ref="D904">IF(B904="","",INDEX('Bán nhanh'!$B$4:$B$103,INT((ROW()-4)/10)+1))</f>
        <v/>
      </c>
      <c r="E904" s="36" t="str">
        <f t="array" ref="E904">IFERROR(INDEX('Mẻ sữa'!$B$4:$B$203,MATCH(D904,'Mẻ sữa'!$C$4:$C$203,0)),"")</f>
        <v/>
      </c>
      <c r="F904" s="82">
        <f t="array" ref="F904">IF(B904="",0,INDEX('Bán nhanh'!$D$4:$M$103,INT((ROW()-4)/10)+1,MOD(ROW()-4,10)+1))</f>
        <v>0</v>
      </c>
      <c r="G904" s="83">
        <f t="array" ref="G904">IFERROR(INDEX('Sản phẩm'!$F$4:$F$103,MATCH(B904,'Sản phẩm'!$D$4:$D$103,0)),0)</f>
        <v>0</v>
      </c>
      <c r="H904" s="83">
        <f t="shared" si="5"/>
        <v>0</v>
      </c>
      <c r="I904" s="83">
        <f t="shared" si="1"/>
        <v>0</v>
      </c>
      <c r="J904" s="83">
        <f t="array" ref="J904">IFERROR(INDEX('Sản phẩm'!$G$4:$G$103,MATCH(B904,'Sản phẩm'!$D$4:$D$103,0)),0)</f>
        <v>0</v>
      </c>
      <c r="K904" s="83">
        <f t="array" ref="K904">IFERROR(J904*INDEX('Mẻ sữa'!$N$4:$N$203,MATCH(D904,'Mẻ sữa'!$C$4:$C$203,0)),0)</f>
        <v>0</v>
      </c>
      <c r="L904" s="83">
        <f t="array" ref="L904">IFERROR(INDEX('Sản phẩm'!$I$4:$I$103,MATCH(B904,'Sản phẩm'!$D$4:$D$103,0)),0)</f>
        <v>0</v>
      </c>
      <c r="M904" s="97" t="str">
        <f t="array" ref="M904">IFERROR(INDEX('Sản phẩm'!$J$4:$J$103,MATCH(B904,'Sản phẩm'!$D$4:$D$103,0)),0)</f>
        <v/>
      </c>
      <c r="N904" s="83">
        <f>IF(B904="",0,(K904+L904+M904)*'Thiết lập'!$B$8)</f>
        <v>0</v>
      </c>
      <c r="O904" s="83">
        <f t="shared" si="2"/>
        <v>0</v>
      </c>
      <c r="P904" s="83">
        <f t="shared" si="3"/>
        <v>0</v>
      </c>
      <c r="Q904" s="83">
        <f t="shared" si="4"/>
        <v>0</v>
      </c>
      <c r="R904" s="36" t="str">
        <f t="array" ref="R904">IF(B904="","",INDEX('Bán nhanh'!$C$4:$C$103,INT((ROW()-4)/10)+1))</f>
        <v/>
      </c>
      <c r="S904" s="36" t="str">
        <f t="array" ref="S904">IF(B904="","",INDEX('Bán nhanh'!$P$4:$P$103,INT((ROW()-4)/10)+1))</f>
        <v/>
      </c>
      <c r="T904" s="36"/>
      <c r="U904" s="36"/>
      <c r="V904" s="36"/>
      <c r="W904" s="36"/>
      <c r="X904" s="36"/>
      <c r="Y904" s="36"/>
      <c r="Z904" s="36"/>
    </row>
    <row r="905" ht="15.75" customHeight="1">
      <c r="A905" s="96" t="str">
        <f t="array" ref="A905">IF(B905="","",INDEX('Bán nhanh'!$A$4:$A$103,INT((ROW()-4)/10)+1))</f>
        <v/>
      </c>
      <c r="B905" s="36" t="str">
        <f t="array" ref="B905">IF(OR(INDEX('Bán nhanh'!$D$3:$M$3,1,MOD(ROW()-4,10)+1)="",INDEX('Bán nhanh'!$D$4:$M$103,INT((ROW()-4)/10)+1,MOD(ROW()-4,10)+1)&lt;=0),"",INDEX('Bán nhanh'!$D$3:$M$3,1,MOD(ROW()-4,10)+1))</f>
        <v/>
      </c>
      <c r="C905" s="36" t="str">
        <f t="array" ref="C905">IFERROR(INDEX('Sản phẩm'!$A$4:$A$103,MATCH(B905,'Sản phẩm'!$D$4:$D$103,0)),"")</f>
        <v/>
      </c>
      <c r="D905" s="36" t="str">
        <f t="array" ref="D905">IF(B905="","",INDEX('Bán nhanh'!$B$4:$B$103,INT((ROW()-4)/10)+1))</f>
        <v/>
      </c>
      <c r="E905" s="36" t="str">
        <f t="array" ref="E905">IFERROR(INDEX('Mẻ sữa'!$B$4:$B$203,MATCH(D905,'Mẻ sữa'!$C$4:$C$203,0)),"")</f>
        <v/>
      </c>
      <c r="F905" s="82">
        <f t="array" ref="F905">IF(B905="",0,INDEX('Bán nhanh'!$D$4:$M$103,INT((ROW()-4)/10)+1,MOD(ROW()-4,10)+1))</f>
        <v>0</v>
      </c>
      <c r="G905" s="83">
        <f t="array" ref="G905">IFERROR(INDEX('Sản phẩm'!$F$4:$F$103,MATCH(B905,'Sản phẩm'!$D$4:$D$103,0)),0)</f>
        <v>0</v>
      </c>
      <c r="H905" s="83">
        <f t="shared" si="5"/>
        <v>0</v>
      </c>
      <c r="I905" s="83">
        <f t="shared" si="1"/>
        <v>0</v>
      </c>
      <c r="J905" s="83">
        <f t="array" ref="J905">IFERROR(INDEX('Sản phẩm'!$G$4:$G$103,MATCH(B905,'Sản phẩm'!$D$4:$D$103,0)),0)</f>
        <v>0</v>
      </c>
      <c r="K905" s="83">
        <f t="array" ref="K905">IFERROR(J905*INDEX('Mẻ sữa'!$N$4:$N$203,MATCH(D905,'Mẻ sữa'!$C$4:$C$203,0)),0)</f>
        <v>0</v>
      </c>
      <c r="L905" s="83">
        <f t="array" ref="L905">IFERROR(INDEX('Sản phẩm'!$I$4:$I$103,MATCH(B905,'Sản phẩm'!$D$4:$D$103,0)),0)</f>
        <v>0</v>
      </c>
      <c r="M905" s="97" t="str">
        <f t="array" ref="M905">IFERROR(INDEX('Sản phẩm'!$J$4:$J$103,MATCH(B905,'Sản phẩm'!$D$4:$D$103,0)),0)</f>
        <v/>
      </c>
      <c r="N905" s="83">
        <f>IF(B905="",0,(K905+L905+M905)*'Thiết lập'!$B$8)</f>
        <v>0</v>
      </c>
      <c r="O905" s="83">
        <f t="shared" si="2"/>
        <v>0</v>
      </c>
      <c r="P905" s="83">
        <f t="shared" si="3"/>
        <v>0</v>
      </c>
      <c r="Q905" s="83">
        <f t="shared" si="4"/>
        <v>0</v>
      </c>
      <c r="R905" s="36" t="str">
        <f t="array" ref="R905">IF(B905="","",INDEX('Bán nhanh'!$C$4:$C$103,INT((ROW()-4)/10)+1))</f>
        <v/>
      </c>
      <c r="S905" s="36" t="str">
        <f t="array" ref="S905">IF(B905="","",INDEX('Bán nhanh'!$P$4:$P$103,INT((ROW()-4)/10)+1))</f>
        <v/>
      </c>
      <c r="T905" s="36"/>
      <c r="U905" s="36"/>
      <c r="V905" s="36"/>
      <c r="W905" s="36"/>
      <c r="X905" s="36"/>
      <c r="Y905" s="36"/>
      <c r="Z905" s="36"/>
    </row>
    <row r="906" ht="15.75" customHeight="1">
      <c r="A906" s="96" t="str">
        <f t="array" ref="A906">IF(B906="","",INDEX('Bán nhanh'!$A$4:$A$103,INT((ROW()-4)/10)+1))</f>
        <v/>
      </c>
      <c r="B906" s="36" t="str">
        <f t="array" ref="B906">IF(OR(INDEX('Bán nhanh'!$D$3:$M$3,1,MOD(ROW()-4,10)+1)="",INDEX('Bán nhanh'!$D$4:$M$103,INT((ROW()-4)/10)+1,MOD(ROW()-4,10)+1)&lt;=0),"",INDEX('Bán nhanh'!$D$3:$M$3,1,MOD(ROW()-4,10)+1))</f>
        <v/>
      </c>
      <c r="C906" s="36" t="str">
        <f t="array" ref="C906">IFERROR(INDEX('Sản phẩm'!$A$4:$A$103,MATCH(B906,'Sản phẩm'!$D$4:$D$103,0)),"")</f>
        <v/>
      </c>
      <c r="D906" s="36" t="str">
        <f t="array" ref="D906">IF(B906="","",INDEX('Bán nhanh'!$B$4:$B$103,INT((ROW()-4)/10)+1))</f>
        <v/>
      </c>
      <c r="E906" s="36" t="str">
        <f t="array" ref="E906">IFERROR(INDEX('Mẻ sữa'!$B$4:$B$203,MATCH(D906,'Mẻ sữa'!$C$4:$C$203,0)),"")</f>
        <v/>
      </c>
      <c r="F906" s="82">
        <f t="array" ref="F906">IF(B906="",0,INDEX('Bán nhanh'!$D$4:$M$103,INT((ROW()-4)/10)+1,MOD(ROW()-4,10)+1))</f>
        <v>0</v>
      </c>
      <c r="G906" s="83">
        <f t="array" ref="G906">IFERROR(INDEX('Sản phẩm'!$F$4:$F$103,MATCH(B906,'Sản phẩm'!$D$4:$D$103,0)),0)</f>
        <v>0</v>
      </c>
      <c r="H906" s="83">
        <f t="shared" si="5"/>
        <v>0</v>
      </c>
      <c r="I906" s="83">
        <f t="shared" si="1"/>
        <v>0</v>
      </c>
      <c r="J906" s="83">
        <f t="array" ref="J906">IFERROR(INDEX('Sản phẩm'!$G$4:$G$103,MATCH(B906,'Sản phẩm'!$D$4:$D$103,0)),0)</f>
        <v>0</v>
      </c>
      <c r="K906" s="83">
        <f t="array" ref="K906">IFERROR(J906*INDEX('Mẻ sữa'!$N$4:$N$203,MATCH(D906,'Mẻ sữa'!$C$4:$C$203,0)),0)</f>
        <v>0</v>
      </c>
      <c r="L906" s="83">
        <f t="array" ref="L906">IFERROR(INDEX('Sản phẩm'!$I$4:$I$103,MATCH(B906,'Sản phẩm'!$D$4:$D$103,0)),0)</f>
        <v>0</v>
      </c>
      <c r="M906" s="97" t="str">
        <f t="array" ref="M906">IFERROR(INDEX('Sản phẩm'!$J$4:$J$103,MATCH(B906,'Sản phẩm'!$D$4:$D$103,0)),0)</f>
        <v/>
      </c>
      <c r="N906" s="83">
        <f>IF(B906="",0,(K906+L906+M906)*'Thiết lập'!$B$8)</f>
        <v>0</v>
      </c>
      <c r="O906" s="83">
        <f t="shared" si="2"/>
        <v>0</v>
      </c>
      <c r="P906" s="83">
        <f t="shared" si="3"/>
        <v>0</v>
      </c>
      <c r="Q906" s="83">
        <f t="shared" si="4"/>
        <v>0</v>
      </c>
      <c r="R906" s="36" t="str">
        <f t="array" ref="R906">IF(B906="","",INDEX('Bán nhanh'!$C$4:$C$103,INT((ROW()-4)/10)+1))</f>
        <v/>
      </c>
      <c r="S906" s="36" t="str">
        <f t="array" ref="S906">IF(B906="","",INDEX('Bán nhanh'!$P$4:$P$103,INT((ROW()-4)/10)+1))</f>
        <v/>
      </c>
      <c r="T906" s="36"/>
      <c r="U906" s="36"/>
      <c r="V906" s="36"/>
      <c r="W906" s="36"/>
      <c r="X906" s="36"/>
      <c r="Y906" s="36"/>
      <c r="Z906" s="36"/>
    </row>
    <row r="907" ht="15.75" customHeight="1">
      <c r="A907" s="96" t="str">
        <f t="array" ref="A907">IF(B907="","",INDEX('Bán nhanh'!$A$4:$A$103,INT((ROW()-4)/10)+1))</f>
        <v/>
      </c>
      <c r="B907" s="36" t="str">
        <f t="array" ref="B907">IF(OR(INDEX('Bán nhanh'!$D$3:$M$3,1,MOD(ROW()-4,10)+1)="",INDEX('Bán nhanh'!$D$4:$M$103,INT((ROW()-4)/10)+1,MOD(ROW()-4,10)+1)&lt;=0),"",INDEX('Bán nhanh'!$D$3:$M$3,1,MOD(ROW()-4,10)+1))</f>
        <v/>
      </c>
      <c r="C907" s="36" t="str">
        <f t="array" ref="C907">IFERROR(INDEX('Sản phẩm'!$A$4:$A$103,MATCH(B907,'Sản phẩm'!$D$4:$D$103,0)),"")</f>
        <v/>
      </c>
      <c r="D907" s="36" t="str">
        <f t="array" ref="D907">IF(B907="","",INDEX('Bán nhanh'!$B$4:$B$103,INT((ROW()-4)/10)+1))</f>
        <v/>
      </c>
      <c r="E907" s="36" t="str">
        <f t="array" ref="E907">IFERROR(INDEX('Mẻ sữa'!$B$4:$B$203,MATCH(D907,'Mẻ sữa'!$C$4:$C$203,0)),"")</f>
        <v/>
      </c>
      <c r="F907" s="82">
        <f t="array" ref="F907">IF(B907="",0,INDEX('Bán nhanh'!$D$4:$M$103,INT((ROW()-4)/10)+1,MOD(ROW()-4,10)+1))</f>
        <v>0</v>
      </c>
      <c r="G907" s="83">
        <f t="array" ref="G907">IFERROR(INDEX('Sản phẩm'!$F$4:$F$103,MATCH(B907,'Sản phẩm'!$D$4:$D$103,0)),0)</f>
        <v>0</v>
      </c>
      <c r="H907" s="83">
        <f t="shared" si="5"/>
        <v>0</v>
      </c>
      <c r="I907" s="83">
        <f t="shared" si="1"/>
        <v>0</v>
      </c>
      <c r="J907" s="83">
        <f t="array" ref="J907">IFERROR(INDEX('Sản phẩm'!$G$4:$G$103,MATCH(B907,'Sản phẩm'!$D$4:$D$103,0)),0)</f>
        <v>0</v>
      </c>
      <c r="K907" s="83">
        <f t="array" ref="K907">IFERROR(J907*INDEX('Mẻ sữa'!$N$4:$N$203,MATCH(D907,'Mẻ sữa'!$C$4:$C$203,0)),0)</f>
        <v>0</v>
      </c>
      <c r="L907" s="83">
        <f t="array" ref="L907">IFERROR(INDEX('Sản phẩm'!$I$4:$I$103,MATCH(B907,'Sản phẩm'!$D$4:$D$103,0)),0)</f>
        <v>0</v>
      </c>
      <c r="M907" s="97" t="str">
        <f t="array" ref="M907">IFERROR(INDEX('Sản phẩm'!$J$4:$J$103,MATCH(B907,'Sản phẩm'!$D$4:$D$103,0)),0)</f>
        <v/>
      </c>
      <c r="N907" s="83">
        <f>IF(B907="",0,(K907+L907+M907)*'Thiết lập'!$B$8)</f>
        <v>0</v>
      </c>
      <c r="O907" s="83">
        <f t="shared" si="2"/>
        <v>0</v>
      </c>
      <c r="P907" s="83">
        <f t="shared" si="3"/>
        <v>0</v>
      </c>
      <c r="Q907" s="83">
        <f t="shared" si="4"/>
        <v>0</v>
      </c>
      <c r="R907" s="36" t="str">
        <f t="array" ref="R907">IF(B907="","",INDEX('Bán nhanh'!$C$4:$C$103,INT((ROW()-4)/10)+1))</f>
        <v/>
      </c>
      <c r="S907" s="36" t="str">
        <f t="array" ref="S907">IF(B907="","",INDEX('Bán nhanh'!$P$4:$P$103,INT((ROW()-4)/10)+1))</f>
        <v/>
      </c>
      <c r="T907" s="36"/>
      <c r="U907" s="36"/>
      <c r="V907" s="36"/>
      <c r="W907" s="36"/>
      <c r="X907" s="36"/>
      <c r="Y907" s="36"/>
      <c r="Z907" s="36"/>
    </row>
    <row r="908" ht="15.75" customHeight="1">
      <c r="A908" s="96" t="str">
        <f t="array" ref="A908">IF(B908="","",INDEX('Bán nhanh'!$A$4:$A$103,INT((ROW()-4)/10)+1))</f>
        <v/>
      </c>
      <c r="B908" s="36" t="str">
        <f t="array" ref="B908">IF(OR(INDEX('Bán nhanh'!$D$3:$M$3,1,MOD(ROW()-4,10)+1)="",INDEX('Bán nhanh'!$D$4:$M$103,INT((ROW()-4)/10)+1,MOD(ROW()-4,10)+1)&lt;=0),"",INDEX('Bán nhanh'!$D$3:$M$3,1,MOD(ROW()-4,10)+1))</f>
        <v/>
      </c>
      <c r="C908" s="36" t="str">
        <f t="array" ref="C908">IFERROR(INDEX('Sản phẩm'!$A$4:$A$103,MATCH(B908,'Sản phẩm'!$D$4:$D$103,0)),"")</f>
        <v/>
      </c>
      <c r="D908" s="36" t="str">
        <f t="array" ref="D908">IF(B908="","",INDEX('Bán nhanh'!$B$4:$B$103,INT((ROW()-4)/10)+1))</f>
        <v/>
      </c>
      <c r="E908" s="36" t="str">
        <f t="array" ref="E908">IFERROR(INDEX('Mẻ sữa'!$B$4:$B$203,MATCH(D908,'Mẻ sữa'!$C$4:$C$203,0)),"")</f>
        <v/>
      </c>
      <c r="F908" s="82">
        <f t="array" ref="F908">IF(B908="",0,INDEX('Bán nhanh'!$D$4:$M$103,INT((ROW()-4)/10)+1,MOD(ROW()-4,10)+1))</f>
        <v>0</v>
      </c>
      <c r="G908" s="83">
        <f t="array" ref="G908">IFERROR(INDEX('Sản phẩm'!$F$4:$F$103,MATCH(B908,'Sản phẩm'!$D$4:$D$103,0)),0)</f>
        <v>0</v>
      </c>
      <c r="H908" s="83">
        <f t="shared" si="5"/>
        <v>0</v>
      </c>
      <c r="I908" s="83">
        <f t="shared" si="1"/>
        <v>0</v>
      </c>
      <c r="J908" s="83">
        <f t="array" ref="J908">IFERROR(INDEX('Sản phẩm'!$G$4:$G$103,MATCH(B908,'Sản phẩm'!$D$4:$D$103,0)),0)</f>
        <v>0</v>
      </c>
      <c r="K908" s="83">
        <f t="array" ref="K908">IFERROR(J908*INDEX('Mẻ sữa'!$N$4:$N$203,MATCH(D908,'Mẻ sữa'!$C$4:$C$203,0)),0)</f>
        <v>0</v>
      </c>
      <c r="L908" s="83">
        <f t="array" ref="L908">IFERROR(INDEX('Sản phẩm'!$I$4:$I$103,MATCH(B908,'Sản phẩm'!$D$4:$D$103,0)),0)</f>
        <v>0</v>
      </c>
      <c r="M908" s="97" t="str">
        <f t="array" ref="M908">IFERROR(INDEX('Sản phẩm'!$J$4:$J$103,MATCH(B908,'Sản phẩm'!$D$4:$D$103,0)),0)</f>
        <v/>
      </c>
      <c r="N908" s="83">
        <f>IF(B908="",0,(K908+L908+M908)*'Thiết lập'!$B$8)</f>
        <v>0</v>
      </c>
      <c r="O908" s="83">
        <f t="shared" si="2"/>
        <v>0</v>
      </c>
      <c r="P908" s="83">
        <f t="shared" si="3"/>
        <v>0</v>
      </c>
      <c r="Q908" s="83">
        <f t="shared" si="4"/>
        <v>0</v>
      </c>
      <c r="R908" s="36" t="str">
        <f t="array" ref="R908">IF(B908="","",INDEX('Bán nhanh'!$C$4:$C$103,INT((ROW()-4)/10)+1))</f>
        <v/>
      </c>
      <c r="S908" s="36" t="str">
        <f t="array" ref="S908">IF(B908="","",INDEX('Bán nhanh'!$P$4:$P$103,INT((ROW()-4)/10)+1))</f>
        <v/>
      </c>
      <c r="T908" s="36"/>
      <c r="U908" s="36"/>
      <c r="V908" s="36"/>
      <c r="W908" s="36"/>
      <c r="X908" s="36"/>
      <c r="Y908" s="36"/>
      <c r="Z908" s="36"/>
    </row>
    <row r="909" ht="15.75" customHeight="1">
      <c r="A909" s="96" t="str">
        <f t="array" ref="A909">IF(B909="","",INDEX('Bán nhanh'!$A$4:$A$103,INT((ROW()-4)/10)+1))</f>
        <v/>
      </c>
      <c r="B909" s="36" t="str">
        <f t="array" ref="B909">IF(OR(INDEX('Bán nhanh'!$D$3:$M$3,1,MOD(ROW()-4,10)+1)="",INDEX('Bán nhanh'!$D$4:$M$103,INT((ROW()-4)/10)+1,MOD(ROW()-4,10)+1)&lt;=0),"",INDEX('Bán nhanh'!$D$3:$M$3,1,MOD(ROW()-4,10)+1))</f>
        <v/>
      </c>
      <c r="C909" s="36" t="str">
        <f t="array" ref="C909">IFERROR(INDEX('Sản phẩm'!$A$4:$A$103,MATCH(B909,'Sản phẩm'!$D$4:$D$103,0)),"")</f>
        <v/>
      </c>
      <c r="D909" s="36" t="str">
        <f t="array" ref="D909">IF(B909="","",INDEX('Bán nhanh'!$B$4:$B$103,INT((ROW()-4)/10)+1))</f>
        <v/>
      </c>
      <c r="E909" s="36" t="str">
        <f t="array" ref="E909">IFERROR(INDEX('Mẻ sữa'!$B$4:$B$203,MATCH(D909,'Mẻ sữa'!$C$4:$C$203,0)),"")</f>
        <v/>
      </c>
      <c r="F909" s="82">
        <f t="array" ref="F909">IF(B909="",0,INDEX('Bán nhanh'!$D$4:$M$103,INT((ROW()-4)/10)+1,MOD(ROW()-4,10)+1))</f>
        <v>0</v>
      </c>
      <c r="G909" s="83">
        <f t="array" ref="G909">IFERROR(INDEX('Sản phẩm'!$F$4:$F$103,MATCH(B909,'Sản phẩm'!$D$4:$D$103,0)),0)</f>
        <v>0</v>
      </c>
      <c r="H909" s="83">
        <f t="shared" si="5"/>
        <v>0</v>
      </c>
      <c r="I909" s="83">
        <f t="shared" si="1"/>
        <v>0</v>
      </c>
      <c r="J909" s="83">
        <f t="array" ref="J909">IFERROR(INDEX('Sản phẩm'!$G$4:$G$103,MATCH(B909,'Sản phẩm'!$D$4:$D$103,0)),0)</f>
        <v>0</v>
      </c>
      <c r="K909" s="83">
        <f t="array" ref="K909">IFERROR(J909*INDEX('Mẻ sữa'!$N$4:$N$203,MATCH(D909,'Mẻ sữa'!$C$4:$C$203,0)),0)</f>
        <v>0</v>
      </c>
      <c r="L909" s="83">
        <f t="array" ref="L909">IFERROR(INDEX('Sản phẩm'!$I$4:$I$103,MATCH(B909,'Sản phẩm'!$D$4:$D$103,0)),0)</f>
        <v>0</v>
      </c>
      <c r="M909" s="97" t="str">
        <f t="array" ref="M909">IFERROR(INDEX('Sản phẩm'!$J$4:$J$103,MATCH(B909,'Sản phẩm'!$D$4:$D$103,0)),0)</f>
        <v/>
      </c>
      <c r="N909" s="83">
        <f>IF(B909="",0,(K909+L909+M909)*'Thiết lập'!$B$8)</f>
        <v>0</v>
      </c>
      <c r="O909" s="83">
        <f t="shared" si="2"/>
        <v>0</v>
      </c>
      <c r="P909" s="83">
        <f t="shared" si="3"/>
        <v>0</v>
      </c>
      <c r="Q909" s="83">
        <f t="shared" si="4"/>
        <v>0</v>
      </c>
      <c r="R909" s="36" t="str">
        <f t="array" ref="R909">IF(B909="","",INDEX('Bán nhanh'!$C$4:$C$103,INT((ROW()-4)/10)+1))</f>
        <v/>
      </c>
      <c r="S909" s="36" t="str">
        <f t="array" ref="S909">IF(B909="","",INDEX('Bán nhanh'!$P$4:$P$103,INT((ROW()-4)/10)+1))</f>
        <v/>
      </c>
      <c r="T909" s="36"/>
      <c r="U909" s="36"/>
      <c r="V909" s="36"/>
      <c r="W909" s="36"/>
      <c r="X909" s="36"/>
      <c r="Y909" s="36"/>
      <c r="Z909" s="36"/>
    </row>
    <row r="910" ht="15.75" customHeight="1">
      <c r="A910" s="96" t="str">
        <f t="array" ref="A910">IF(B910="","",INDEX('Bán nhanh'!$A$4:$A$103,INT((ROW()-4)/10)+1))</f>
        <v/>
      </c>
      <c r="B910" s="36" t="str">
        <f t="array" ref="B910">IF(OR(INDEX('Bán nhanh'!$D$3:$M$3,1,MOD(ROW()-4,10)+1)="",INDEX('Bán nhanh'!$D$4:$M$103,INT((ROW()-4)/10)+1,MOD(ROW()-4,10)+1)&lt;=0),"",INDEX('Bán nhanh'!$D$3:$M$3,1,MOD(ROW()-4,10)+1))</f>
        <v/>
      </c>
      <c r="C910" s="36" t="str">
        <f t="array" ref="C910">IFERROR(INDEX('Sản phẩm'!$A$4:$A$103,MATCH(B910,'Sản phẩm'!$D$4:$D$103,0)),"")</f>
        <v/>
      </c>
      <c r="D910" s="36" t="str">
        <f t="array" ref="D910">IF(B910="","",INDEX('Bán nhanh'!$B$4:$B$103,INT((ROW()-4)/10)+1))</f>
        <v/>
      </c>
      <c r="E910" s="36" t="str">
        <f t="array" ref="E910">IFERROR(INDEX('Mẻ sữa'!$B$4:$B$203,MATCH(D910,'Mẻ sữa'!$C$4:$C$203,0)),"")</f>
        <v/>
      </c>
      <c r="F910" s="82">
        <f t="array" ref="F910">IF(B910="",0,INDEX('Bán nhanh'!$D$4:$M$103,INT((ROW()-4)/10)+1,MOD(ROW()-4,10)+1))</f>
        <v>0</v>
      </c>
      <c r="G910" s="83">
        <f t="array" ref="G910">IFERROR(INDEX('Sản phẩm'!$F$4:$F$103,MATCH(B910,'Sản phẩm'!$D$4:$D$103,0)),0)</f>
        <v>0</v>
      </c>
      <c r="H910" s="83">
        <f t="shared" si="5"/>
        <v>0</v>
      </c>
      <c r="I910" s="83">
        <f t="shared" si="1"/>
        <v>0</v>
      </c>
      <c r="J910" s="83">
        <f t="array" ref="J910">IFERROR(INDEX('Sản phẩm'!$G$4:$G$103,MATCH(B910,'Sản phẩm'!$D$4:$D$103,0)),0)</f>
        <v>0</v>
      </c>
      <c r="K910" s="83">
        <f t="array" ref="K910">IFERROR(J910*INDEX('Mẻ sữa'!$N$4:$N$203,MATCH(D910,'Mẻ sữa'!$C$4:$C$203,0)),0)</f>
        <v>0</v>
      </c>
      <c r="L910" s="83">
        <f t="array" ref="L910">IFERROR(INDEX('Sản phẩm'!$I$4:$I$103,MATCH(B910,'Sản phẩm'!$D$4:$D$103,0)),0)</f>
        <v>0</v>
      </c>
      <c r="M910" s="97" t="str">
        <f t="array" ref="M910">IFERROR(INDEX('Sản phẩm'!$J$4:$J$103,MATCH(B910,'Sản phẩm'!$D$4:$D$103,0)),0)</f>
        <v/>
      </c>
      <c r="N910" s="83">
        <f>IF(B910="",0,(K910+L910+M910)*'Thiết lập'!$B$8)</f>
        <v>0</v>
      </c>
      <c r="O910" s="83">
        <f t="shared" si="2"/>
        <v>0</v>
      </c>
      <c r="P910" s="83">
        <f t="shared" si="3"/>
        <v>0</v>
      </c>
      <c r="Q910" s="83">
        <f t="shared" si="4"/>
        <v>0</v>
      </c>
      <c r="R910" s="36" t="str">
        <f t="array" ref="R910">IF(B910="","",INDEX('Bán nhanh'!$C$4:$C$103,INT((ROW()-4)/10)+1))</f>
        <v/>
      </c>
      <c r="S910" s="36" t="str">
        <f t="array" ref="S910">IF(B910="","",INDEX('Bán nhanh'!$P$4:$P$103,INT((ROW()-4)/10)+1))</f>
        <v/>
      </c>
      <c r="T910" s="36"/>
      <c r="U910" s="36"/>
      <c r="V910" s="36"/>
      <c r="W910" s="36"/>
      <c r="X910" s="36"/>
      <c r="Y910" s="36"/>
      <c r="Z910" s="36"/>
    </row>
    <row r="911" ht="15.75" customHeight="1">
      <c r="A911" s="96" t="str">
        <f t="array" ref="A911">IF(B911="","",INDEX('Bán nhanh'!$A$4:$A$103,INT((ROW()-4)/10)+1))</f>
        <v/>
      </c>
      <c r="B911" s="36" t="str">
        <f t="array" ref="B911">IF(OR(INDEX('Bán nhanh'!$D$3:$M$3,1,MOD(ROW()-4,10)+1)="",INDEX('Bán nhanh'!$D$4:$M$103,INT((ROW()-4)/10)+1,MOD(ROW()-4,10)+1)&lt;=0),"",INDEX('Bán nhanh'!$D$3:$M$3,1,MOD(ROW()-4,10)+1))</f>
        <v/>
      </c>
      <c r="C911" s="36" t="str">
        <f t="array" ref="C911">IFERROR(INDEX('Sản phẩm'!$A$4:$A$103,MATCH(B911,'Sản phẩm'!$D$4:$D$103,0)),"")</f>
        <v/>
      </c>
      <c r="D911" s="36" t="str">
        <f t="array" ref="D911">IF(B911="","",INDEX('Bán nhanh'!$B$4:$B$103,INT((ROW()-4)/10)+1))</f>
        <v/>
      </c>
      <c r="E911" s="36" t="str">
        <f t="array" ref="E911">IFERROR(INDEX('Mẻ sữa'!$B$4:$B$203,MATCH(D911,'Mẻ sữa'!$C$4:$C$203,0)),"")</f>
        <v/>
      </c>
      <c r="F911" s="82">
        <f t="array" ref="F911">IF(B911="",0,INDEX('Bán nhanh'!$D$4:$M$103,INT((ROW()-4)/10)+1,MOD(ROW()-4,10)+1))</f>
        <v>0</v>
      </c>
      <c r="G911" s="83">
        <f t="array" ref="G911">IFERROR(INDEX('Sản phẩm'!$F$4:$F$103,MATCH(B911,'Sản phẩm'!$D$4:$D$103,0)),0)</f>
        <v>0</v>
      </c>
      <c r="H911" s="83">
        <f t="shared" si="5"/>
        <v>0</v>
      </c>
      <c r="I911" s="83">
        <f t="shared" si="1"/>
        <v>0</v>
      </c>
      <c r="J911" s="83">
        <f t="array" ref="J911">IFERROR(INDEX('Sản phẩm'!$G$4:$G$103,MATCH(B911,'Sản phẩm'!$D$4:$D$103,0)),0)</f>
        <v>0</v>
      </c>
      <c r="K911" s="83">
        <f t="array" ref="K911">IFERROR(J911*INDEX('Mẻ sữa'!$N$4:$N$203,MATCH(D911,'Mẻ sữa'!$C$4:$C$203,0)),0)</f>
        <v>0</v>
      </c>
      <c r="L911" s="83">
        <f t="array" ref="L911">IFERROR(INDEX('Sản phẩm'!$I$4:$I$103,MATCH(B911,'Sản phẩm'!$D$4:$D$103,0)),0)</f>
        <v>0</v>
      </c>
      <c r="M911" s="97" t="str">
        <f t="array" ref="M911">IFERROR(INDEX('Sản phẩm'!$J$4:$J$103,MATCH(B911,'Sản phẩm'!$D$4:$D$103,0)),0)</f>
        <v/>
      </c>
      <c r="N911" s="83">
        <f>IF(B911="",0,(K911+L911+M911)*'Thiết lập'!$B$8)</f>
        <v>0</v>
      </c>
      <c r="O911" s="83">
        <f t="shared" si="2"/>
        <v>0</v>
      </c>
      <c r="P911" s="83">
        <f t="shared" si="3"/>
        <v>0</v>
      </c>
      <c r="Q911" s="83">
        <f t="shared" si="4"/>
        <v>0</v>
      </c>
      <c r="R911" s="36" t="str">
        <f t="array" ref="R911">IF(B911="","",INDEX('Bán nhanh'!$C$4:$C$103,INT((ROW()-4)/10)+1))</f>
        <v/>
      </c>
      <c r="S911" s="36" t="str">
        <f t="array" ref="S911">IF(B911="","",INDEX('Bán nhanh'!$P$4:$P$103,INT((ROW()-4)/10)+1))</f>
        <v/>
      </c>
      <c r="T911" s="36"/>
      <c r="U911" s="36"/>
      <c r="V911" s="36"/>
      <c r="W911" s="36"/>
      <c r="X911" s="36"/>
      <c r="Y911" s="36"/>
      <c r="Z911" s="36"/>
    </row>
    <row r="912" ht="15.75" customHeight="1">
      <c r="A912" s="96" t="str">
        <f t="array" ref="A912">IF(B912="","",INDEX('Bán nhanh'!$A$4:$A$103,INT((ROW()-4)/10)+1))</f>
        <v/>
      </c>
      <c r="B912" s="36" t="str">
        <f t="array" ref="B912">IF(OR(INDEX('Bán nhanh'!$D$3:$M$3,1,MOD(ROW()-4,10)+1)="",INDEX('Bán nhanh'!$D$4:$M$103,INT((ROW()-4)/10)+1,MOD(ROW()-4,10)+1)&lt;=0),"",INDEX('Bán nhanh'!$D$3:$M$3,1,MOD(ROW()-4,10)+1))</f>
        <v/>
      </c>
      <c r="C912" s="36" t="str">
        <f t="array" ref="C912">IFERROR(INDEX('Sản phẩm'!$A$4:$A$103,MATCH(B912,'Sản phẩm'!$D$4:$D$103,0)),"")</f>
        <v/>
      </c>
      <c r="D912" s="36" t="str">
        <f t="array" ref="D912">IF(B912="","",INDEX('Bán nhanh'!$B$4:$B$103,INT((ROW()-4)/10)+1))</f>
        <v/>
      </c>
      <c r="E912" s="36" t="str">
        <f t="array" ref="E912">IFERROR(INDEX('Mẻ sữa'!$B$4:$B$203,MATCH(D912,'Mẻ sữa'!$C$4:$C$203,0)),"")</f>
        <v/>
      </c>
      <c r="F912" s="82">
        <f t="array" ref="F912">IF(B912="",0,INDEX('Bán nhanh'!$D$4:$M$103,INT((ROW()-4)/10)+1,MOD(ROW()-4,10)+1))</f>
        <v>0</v>
      </c>
      <c r="G912" s="83">
        <f t="array" ref="G912">IFERROR(INDEX('Sản phẩm'!$F$4:$F$103,MATCH(B912,'Sản phẩm'!$D$4:$D$103,0)),0)</f>
        <v>0</v>
      </c>
      <c r="H912" s="83">
        <f t="shared" si="5"/>
        <v>0</v>
      </c>
      <c r="I912" s="83">
        <f t="shared" si="1"/>
        <v>0</v>
      </c>
      <c r="J912" s="83">
        <f t="array" ref="J912">IFERROR(INDEX('Sản phẩm'!$G$4:$G$103,MATCH(B912,'Sản phẩm'!$D$4:$D$103,0)),0)</f>
        <v>0</v>
      </c>
      <c r="K912" s="83">
        <f t="array" ref="K912">IFERROR(J912*INDEX('Mẻ sữa'!$N$4:$N$203,MATCH(D912,'Mẻ sữa'!$C$4:$C$203,0)),0)</f>
        <v>0</v>
      </c>
      <c r="L912" s="83">
        <f t="array" ref="L912">IFERROR(INDEX('Sản phẩm'!$I$4:$I$103,MATCH(B912,'Sản phẩm'!$D$4:$D$103,0)),0)</f>
        <v>0</v>
      </c>
      <c r="M912" s="97" t="str">
        <f t="array" ref="M912">IFERROR(INDEX('Sản phẩm'!$J$4:$J$103,MATCH(B912,'Sản phẩm'!$D$4:$D$103,0)),0)</f>
        <v/>
      </c>
      <c r="N912" s="83">
        <f>IF(B912="",0,(K912+L912+M912)*'Thiết lập'!$B$8)</f>
        <v>0</v>
      </c>
      <c r="O912" s="83">
        <f t="shared" si="2"/>
        <v>0</v>
      </c>
      <c r="P912" s="83">
        <f t="shared" si="3"/>
        <v>0</v>
      </c>
      <c r="Q912" s="83">
        <f t="shared" si="4"/>
        <v>0</v>
      </c>
      <c r="R912" s="36" t="str">
        <f t="array" ref="R912">IF(B912="","",INDEX('Bán nhanh'!$C$4:$C$103,INT((ROW()-4)/10)+1))</f>
        <v/>
      </c>
      <c r="S912" s="36" t="str">
        <f t="array" ref="S912">IF(B912="","",INDEX('Bán nhanh'!$P$4:$P$103,INT((ROW()-4)/10)+1))</f>
        <v/>
      </c>
      <c r="T912" s="36"/>
      <c r="U912" s="36"/>
      <c r="V912" s="36"/>
      <c r="W912" s="36"/>
      <c r="X912" s="36"/>
      <c r="Y912" s="36"/>
      <c r="Z912" s="36"/>
    </row>
    <row r="913" ht="15.75" customHeight="1">
      <c r="A913" s="96" t="str">
        <f t="array" ref="A913">IF(B913="","",INDEX('Bán nhanh'!$A$4:$A$103,INT((ROW()-4)/10)+1))</f>
        <v/>
      </c>
      <c r="B913" s="36" t="str">
        <f t="array" ref="B913">IF(OR(INDEX('Bán nhanh'!$D$3:$M$3,1,MOD(ROW()-4,10)+1)="",INDEX('Bán nhanh'!$D$4:$M$103,INT((ROW()-4)/10)+1,MOD(ROW()-4,10)+1)&lt;=0),"",INDEX('Bán nhanh'!$D$3:$M$3,1,MOD(ROW()-4,10)+1))</f>
        <v/>
      </c>
      <c r="C913" s="36" t="str">
        <f t="array" ref="C913">IFERROR(INDEX('Sản phẩm'!$A$4:$A$103,MATCH(B913,'Sản phẩm'!$D$4:$D$103,0)),"")</f>
        <v/>
      </c>
      <c r="D913" s="36" t="str">
        <f t="array" ref="D913">IF(B913="","",INDEX('Bán nhanh'!$B$4:$B$103,INT((ROW()-4)/10)+1))</f>
        <v/>
      </c>
      <c r="E913" s="36" t="str">
        <f t="array" ref="E913">IFERROR(INDEX('Mẻ sữa'!$B$4:$B$203,MATCH(D913,'Mẻ sữa'!$C$4:$C$203,0)),"")</f>
        <v/>
      </c>
      <c r="F913" s="82">
        <f t="array" ref="F913">IF(B913="",0,INDEX('Bán nhanh'!$D$4:$M$103,INT((ROW()-4)/10)+1,MOD(ROW()-4,10)+1))</f>
        <v>0</v>
      </c>
      <c r="G913" s="83">
        <f t="array" ref="G913">IFERROR(INDEX('Sản phẩm'!$F$4:$F$103,MATCH(B913,'Sản phẩm'!$D$4:$D$103,0)),0)</f>
        <v>0</v>
      </c>
      <c r="H913" s="83">
        <f t="shared" si="5"/>
        <v>0</v>
      </c>
      <c r="I913" s="83">
        <f t="shared" si="1"/>
        <v>0</v>
      </c>
      <c r="J913" s="83">
        <f t="array" ref="J913">IFERROR(INDEX('Sản phẩm'!$G$4:$G$103,MATCH(B913,'Sản phẩm'!$D$4:$D$103,0)),0)</f>
        <v>0</v>
      </c>
      <c r="K913" s="83">
        <f t="array" ref="K913">IFERROR(J913*INDEX('Mẻ sữa'!$N$4:$N$203,MATCH(D913,'Mẻ sữa'!$C$4:$C$203,0)),0)</f>
        <v>0</v>
      </c>
      <c r="L913" s="83">
        <f t="array" ref="L913">IFERROR(INDEX('Sản phẩm'!$I$4:$I$103,MATCH(B913,'Sản phẩm'!$D$4:$D$103,0)),0)</f>
        <v>0</v>
      </c>
      <c r="M913" s="97" t="str">
        <f t="array" ref="M913">IFERROR(INDEX('Sản phẩm'!$J$4:$J$103,MATCH(B913,'Sản phẩm'!$D$4:$D$103,0)),0)</f>
        <v/>
      </c>
      <c r="N913" s="83">
        <f>IF(B913="",0,(K913+L913+M913)*'Thiết lập'!$B$8)</f>
        <v>0</v>
      </c>
      <c r="O913" s="83">
        <f t="shared" si="2"/>
        <v>0</v>
      </c>
      <c r="P913" s="83">
        <f t="shared" si="3"/>
        <v>0</v>
      </c>
      <c r="Q913" s="83">
        <f t="shared" si="4"/>
        <v>0</v>
      </c>
      <c r="R913" s="36" t="str">
        <f t="array" ref="R913">IF(B913="","",INDEX('Bán nhanh'!$C$4:$C$103,INT((ROW()-4)/10)+1))</f>
        <v/>
      </c>
      <c r="S913" s="36" t="str">
        <f t="array" ref="S913">IF(B913="","",INDEX('Bán nhanh'!$P$4:$P$103,INT((ROW()-4)/10)+1))</f>
        <v/>
      </c>
      <c r="T913" s="36"/>
      <c r="U913" s="36"/>
      <c r="V913" s="36"/>
      <c r="W913" s="36"/>
      <c r="X913" s="36"/>
      <c r="Y913" s="36"/>
      <c r="Z913" s="36"/>
    </row>
    <row r="914" ht="15.75" customHeight="1">
      <c r="A914" s="96" t="str">
        <f t="array" ref="A914">IF(B914="","",INDEX('Bán nhanh'!$A$4:$A$103,INT((ROW()-4)/10)+1))</f>
        <v/>
      </c>
      <c r="B914" s="36" t="str">
        <f t="array" ref="B914">IF(OR(INDEX('Bán nhanh'!$D$3:$M$3,1,MOD(ROW()-4,10)+1)="",INDEX('Bán nhanh'!$D$4:$M$103,INT((ROW()-4)/10)+1,MOD(ROW()-4,10)+1)&lt;=0),"",INDEX('Bán nhanh'!$D$3:$M$3,1,MOD(ROW()-4,10)+1))</f>
        <v/>
      </c>
      <c r="C914" s="36" t="str">
        <f t="array" ref="C914">IFERROR(INDEX('Sản phẩm'!$A$4:$A$103,MATCH(B914,'Sản phẩm'!$D$4:$D$103,0)),"")</f>
        <v/>
      </c>
      <c r="D914" s="36" t="str">
        <f t="array" ref="D914">IF(B914="","",INDEX('Bán nhanh'!$B$4:$B$103,INT((ROW()-4)/10)+1))</f>
        <v/>
      </c>
      <c r="E914" s="36" t="str">
        <f t="array" ref="E914">IFERROR(INDEX('Mẻ sữa'!$B$4:$B$203,MATCH(D914,'Mẻ sữa'!$C$4:$C$203,0)),"")</f>
        <v/>
      </c>
      <c r="F914" s="82">
        <f t="array" ref="F914">IF(B914="",0,INDEX('Bán nhanh'!$D$4:$M$103,INT((ROW()-4)/10)+1,MOD(ROW()-4,10)+1))</f>
        <v>0</v>
      </c>
      <c r="G914" s="83">
        <f t="array" ref="G914">IFERROR(INDEX('Sản phẩm'!$F$4:$F$103,MATCH(B914,'Sản phẩm'!$D$4:$D$103,0)),0)</f>
        <v>0</v>
      </c>
      <c r="H914" s="83">
        <f t="shared" si="5"/>
        <v>0</v>
      </c>
      <c r="I914" s="83">
        <f t="shared" si="1"/>
        <v>0</v>
      </c>
      <c r="J914" s="83">
        <f t="array" ref="J914">IFERROR(INDEX('Sản phẩm'!$G$4:$G$103,MATCH(B914,'Sản phẩm'!$D$4:$D$103,0)),0)</f>
        <v>0</v>
      </c>
      <c r="K914" s="83">
        <f t="array" ref="K914">IFERROR(J914*INDEX('Mẻ sữa'!$N$4:$N$203,MATCH(D914,'Mẻ sữa'!$C$4:$C$203,0)),0)</f>
        <v>0</v>
      </c>
      <c r="L914" s="83">
        <f t="array" ref="L914">IFERROR(INDEX('Sản phẩm'!$I$4:$I$103,MATCH(B914,'Sản phẩm'!$D$4:$D$103,0)),0)</f>
        <v>0</v>
      </c>
      <c r="M914" s="97" t="str">
        <f t="array" ref="M914">IFERROR(INDEX('Sản phẩm'!$J$4:$J$103,MATCH(B914,'Sản phẩm'!$D$4:$D$103,0)),0)</f>
        <v/>
      </c>
      <c r="N914" s="83">
        <f>IF(B914="",0,(K914+L914+M914)*'Thiết lập'!$B$8)</f>
        <v>0</v>
      </c>
      <c r="O914" s="83">
        <f t="shared" si="2"/>
        <v>0</v>
      </c>
      <c r="P914" s="83">
        <f t="shared" si="3"/>
        <v>0</v>
      </c>
      <c r="Q914" s="83">
        <f t="shared" si="4"/>
        <v>0</v>
      </c>
      <c r="R914" s="36" t="str">
        <f t="array" ref="R914">IF(B914="","",INDEX('Bán nhanh'!$C$4:$C$103,INT((ROW()-4)/10)+1))</f>
        <v/>
      </c>
      <c r="S914" s="36" t="str">
        <f t="array" ref="S914">IF(B914="","",INDEX('Bán nhanh'!$P$4:$P$103,INT((ROW()-4)/10)+1))</f>
        <v/>
      </c>
      <c r="T914" s="36"/>
      <c r="U914" s="36"/>
      <c r="V914" s="36"/>
      <c r="W914" s="36"/>
      <c r="X914" s="36"/>
      <c r="Y914" s="36"/>
      <c r="Z914" s="36"/>
    </row>
    <row r="915" ht="15.75" customHeight="1">
      <c r="A915" s="96" t="str">
        <f t="array" ref="A915">IF(B915="","",INDEX('Bán nhanh'!$A$4:$A$103,INT((ROW()-4)/10)+1))</f>
        <v/>
      </c>
      <c r="B915" s="36" t="str">
        <f t="array" ref="B915">IF(OR(INDEX('Bán nhanh'!$D$3:$M$3,1,MOD(ROW()-4,10)+1)="",INDEX('Bán nhanh'!$D$4:$M$103,INT((ROW()-4)/10)+1,MOD(ROW()-4,10)+1)&lt;=0),"",INDEX('Bán nhanh'!$D$3:$M$3,1,MOD(ROW()-4,10)+1))</f>
        <v/>
      </c>
      <c r="C915" s="36" t="str">
        <f t="array" ref="C915">IFERROR(INDEX('Sản phẩm'!$A$4:$A$103,MATCH(B915,'Sản phẩm'!$D$4:$D$103,0)),"")</f>
        <v/>
      </c>
      <c r="D915" s="36" t="str">
        <f t="array" ref="D915">IF(B915="","",INDEX('Bán nhanh'!$B$4:$B$103,INT((ROW()-4)/10)+1))</f>
        <v/>
      </c>
      <c r="E915" s="36" t="str">
        <f t="array" ref="E915">IFERROR(INDEX('Mẻ sữa'!$B$4:$B$203,MATCH(D915,'Mẻ sữa'!$C$4:$C$203,0)),"")</f>
        <v/>
      </c>
      <c r="F915" s="82">
        <f t="array" ref="F915">IF(B915="",0,INDEX('Bán nhanh'!$D$4:$M$103,INT((ROW()-4)/10)+1,MOD(ROW()-4,10)+1))</f>
        <v>0</v>
      </c>
      <c r="G915" s="83">
        <f t="array" ref="G915">IFERROR(INDEX('Sản phẩm'!$F$4:$F$103,MATCH(B915,'Sản phẩm'!$D$4:$D$103,0)),0)</f>
        <v>0</v>
      </c>
      <c r="H915" s="83">
        <f t="shared" si="5"/>
        <v>0</v>
      </c>
      <c r="I915" s="83">
        <f t="shared" si="1"/>
        <v>0</v>
      </c>
      <c r="J915" s="83">
        <f t="array" ref="J915">IFERROR(INDEX('Sản phẩm'!$G$4:$G$103,MATCH(B915,'Sản phẩm'!$D$4:$D$103,0)),0)</f>
        <v>0</v>
      </c>
      <c r="K915" s="83">
        <f t="array" ref="K915">IFERROR(J915*INDEX('Mẻ sữa'!$N$4:$N$203,MATCH(D915,'Mẻ sữa'!$C$4:$C$203,0)),0)</f>
        <v>0</v>
      </c>
      <c r="L915" s="83">
        <f t="array" ref="L915">IFERROR(INDEX('Sản phẩm'!$I$4:$I$103,MATCH(B915,'Sản phẩm'!$D$4:$D$103,0)),0)</f>
        <v>0</v>
      </c>
      <c r="M915" s="97" t="str">
        <f t="array" ref="M915">IFERROR(INDEX('Sản phẩm'!$J$4:$J$103,MATCH(B915,'Sản phẩm'!$D$4:$D$103,0)),0)</f>
        <v/>
      </c>
      <c r="N915" s="83">
        <f>IF(B915="",0,(K915+L915+M915)*'Thiết lập'!$B$8)</f>
        <v>0</v>
      </c>
      <c r="O915" s="83">
        <f t="shared" si="2"/>
        <v>0</v>
      </c>
      <c r="P915" s="83">
        <f t="shared" si="3"/>
        <v>0</v>
      </c>
      <c r="Q915" s="83">
        <f t="shared" si="4"/>
        <v>0</v>
      </c>
      <c r="R915" s="36" t="str">
        <f t="array" ref="R915">IF(B915="","",INDEX('Bán nhanh'!$C$4:$C$103,INT((ROW()-4)/10)+1))</f>
        <v/>
      </c>
      <c r="S915" s="36" t="str">
        <f t="array" ref="S915">IF(B915="","",INDEX('Bán nhanh'!$P$4:$P$103,INT((ROW()-4)/10)+1))</f>
        <v/>
      </c>
      <c r="T915" s="36"/>
      <c r="U915" s="36"/>
      <c r="V915" s="36"/>
      <c r="W915" s="36"/>
      <c r="X915" s="36"/>
      <c r="Y915" s="36"/>
      <c r="Z915" s="36"/>
    </row>
    <row r="916" ht="15.75" customHeight="1">
      <c r="A916" s="96" t="str">
        <f t="array" ref="A916">IF(B916="","",INDEX('Bán nhanh'!$A$4:$A$103,INT((ROW()-4)/10)+1))</f>
        <v/>
      </c>
      <c r="B916" s="36" t="str">
        <f t="array" ref="B916">IF(OR(INDEX('Bán nhanh'!$D$3:$M$3,1,MOD(ROW()-4,10)+1)="",INDEX('Bán nhanh'!$D$4:$M$103,INT((ROW()-4)/10)+1,MOD(ROW()-4,10)+1)&lt;=0),"",INDEX('Bán nhanh'!$D$3:$M$3,1,MOD(ROW()-4,10)+1))</f>
        <v/>
      </c>
      <c r="C916" s="36" t="str">
        <f t="array" ref="C916">IFERROR(INDEX('Sản phẩm'!$A$4:$A$103,MATCH(B916,'Sản phẩm'!$D$4:$D$103,0)),"")</f>
        <v/>
      </c>
      <c r="D916" s="36" t="str">
        <f t="array" ref="D916">IF(B916="","",INDEX('Bán nhanh'!$B$4:$B$103,INT((ROW()-4)/10)+1))</f>
        <v/>
      </c>
      <c r="E916" s="36" t="str">
        <f t="array" ref="E916">IFERROR(INDEX('Mẻ sữa'!$B$4:$B$203,MATCH(D916,'Mẻ sữa'!$C$4:$C$203,0)),"")</f>
        <v/>
      </c>
      <c r="F916" s="82">
        <f t="array" ref="F916">IF(B916="",0,INDEX('Bán nhanh'!$D$4:$M$103,INT((ROW()-4)/10)+1,MOD(ROW()-4,10)+1))</f>
        <v>0</v>
      </c>
      <c r="G916" s="83">
        <f t="array" ref="G916">IFERROR(INDEX('Sản phẩm'!$F$4:$F$103,MATCH(B916,'Sản phẩm'!$D$4:$D$103,0)),0)</f>
        <v>0</v>
      </c>
      <c r="H916" s="83">
        <f t="shared" si="5"/>
        <v>0</v>
      </c>
      <c r="I916" s="83">
        <f t="shared" si="1"/>
        <v>0</v>
      </c>
      <c r="J916" s="83">
        <f t="array" ref="J916">IFERROR(INDEX('Sản phẩm'!$G$4:$G$103,MATCH(B916,'Sản phẩm'!$D$4:$D$103,0)),0)</f>
        <v>0</v>
      </c>
      <c r="K916" s="83">
        <f t="array" ref="K916">IFERROR(J916*INDEX('Mẻ sữa'!$N$4:$N$203,MATCH(D916,'Mẻ sữa'!$C$4:$C$203,0)),0)</f>
        <v>0</v>
      </c>
      <c r="L916" s="83">
        <f t="array" ref="L916">IFERROR(INDEX('Sản phẩm'!$I$4:$I$103,MATCH(B916,'Sản phẩm'!$D$4:$D$103,0)),0)</f>
        <v>0</v>
      </c>
      <c r="M916" s="97" t="str">
        <f t="array" ref="M916">IFERROR(INDEX('Sản phẩm'!$J$4:$J$103,MATCH(B916,'Sản phẩm'!$D$4:$D$103,0)),0)</f>
        <v/>
      </c>
      <c r="N916" s="83">
        <f>IF(B916="",0,(K916+L916+M916)*'Thiết lập'!$B$8)</f>
        <v>0</v>
      </c>
      <c r="O916" s="83">
        <f t="shared" si="2"/>
        <v>0</v>
      </c>
      <c r="P916" s="83">
        <f t="shared" si="3"/>
        <v>0</v>
      </c>
      <c r="Q916" s="83">
        <f t="shared" si="4"/>
        <v>0</v>
      </c>
      <c r="R916" s="36" t="str">
        <f t="array" ref="R916">IF(B916="","",INDEX('Bán nhanh'!$C$4:$C$103,INT((ROW()-4)/10)+1))</f>
        <v/>
      </c>
      <c r="S916" s="36" t="str">
        <f t="array" ref="S916">IF(B916="","",INDEX('Bán nhanh'!$P$4:$P$103,INT((ROW()-4)/10)+1))</f>
        <v/>
      </c>
      <c r="T916" s="36"/>
      <c r="U916" s="36"/>
      <c r="V916" s="36"/>
      <c r="W916" s="36"/>
      <c r="X916" s="36"/>
      <c r="Y916" s="36"/>
      <c r="Z916" s="36"/>
    </row>
    <row r="917" ht="15.75" customHeight="1">
      <c r="A917" s="96" t="str">
        <f t="array" ref="A917">IF(B917="","",INDEX('Bán nhanh'!$A$4:$A$103,INT((ROW()-4)/10)+1))</f>
        <v/>
      </c>
      <c r="B917" s="36" t="str">
        <f t="array" ref="B917">IF(OR(INDEX('Bán nhanh'!$D$3:$M$3,1,MOD(ROW()-4,10)+1)="",INDEX('Bán nhanh'!$D$4:$M$103,INT((ROW()-4)/10)+1,MOD(ROW()-4,10)+1)&lt;=0),"",INDEX('Bán nhanh'!$D$3:$M$3,1,MOD(ROW()-4,10)+1))</f>
        <v/>
      </c>
      <c r="C917" s="36" t="str">
        <f t="array" ref="C917">IFERROR(INDEX('Sản phẩm'!$A$4:$A$103,MATCH(B917,'Sản phẩm'!$D$4:$D$103,0)),"")</f>
        <v/>
      </c>
      <c r="D917" s="36" t="str">
        <f t="array" ref="D917">IF(B917="","",INDEX('Bán nhanh'!$B$4:$B$103,INT((ROW()-4)/10)+1))</f>
        <v/>
      </c>
      <c r="E917" s="36" t="str">
        <f t="array" ref="E917">IFERROR(INDEX('Mẻ sữa'!$B$4:$B$203,MATCH(D917,'Mẻ sữa'!$C$4:$C$203,0)),"")</f>
        <v/>
      </c>
      <c r="F917" s="82">
        <f t="array" ref="F917">IF(B917="",0,INDEX('Bán nhanh'!$D$4:$M$103,INT((ROW()-4)/10)+1,MOD(ROW()-4,10)+1))</f>
        <v>0</v>
      </c>
      <c r="G917" s="83">
        <f t="array" ref="G917">IFERROR(INDEX('Sản phẩm'!$F$4:$F$103,MATCH(B917,'Sản phẩm'!$D$4:$D$103,0)),0)</f>
        <v>0</v>
      </c>
      <c r="H917" s="83">
        <f t="shared" si="5"/>
        <v>0</v>
      </c>
      <c r="I917" s="83">
        <f t="shared" si="1"/>
        <v>0</v>
      </c>
      <c r="J917" s="83">
        <f t="array" ref="J917">IFERROR(INDEX('Sản phẩm'!$G$4:$G$103,MATCH(B917,'Sản phẩm'!$D$4:$D$103,0)),0)</f>
        <v>0</v>
      </c>
      <c r="K917" s="83">
        <f t="array" ref="K917">IFERROR(J917*INDEX('Mẻ sữa'!$N$4:$N$203,MATCH(D917,'Mẻ sữa'!$C$4:$C$203,0)),0)</f>
        <v>0</v>
      </c>
      <c r="L917" s="83">
        <f t="array" ref="L917">IFERROR(INDEX('Sản phẩm'!$I$4:$I$103,MATCH(B917,'Sản phẩm'!$D$4:$D$103,0)),0)</f>
        <v>0</v>
      </c>
      <c r="M917" s="97" t="str">
        <f t="array" ref="M917">IFERROR(INDEX('Sản phẩm'!$J$4:$J$103,MATCH(B917,'Sản phẩm'!$D$4:$D$103,0)),0)</f>
        <v/>
      </c>
      <c r="N917" s="83">
        <f>IF(B917="",0,(K917+L917+M917)*'Thiết lập'!$B$8)</f>
        <v>0</v>
      </c>
      <c r="O917" s="83">
        <f t="shared" si="2"/>
        <v>0</v>
      </c>
      <c r="P917" s="83">
        <f t="shared" si="3"/>
        <v>0</v>
      </c>
      <c r="Q917" s="83">
        <f t="shared" si="4"/>
        <v>0</v>
      </c>
      <c r="R917" s="36" t="str">
        <f t="array" ref="R917">IF(B917="","",INDEX('Bán nhanh'!$C$4:$C$103,INT((ROW()-4)/10)+1))</f>
        <v/>
      </c>
      <c r="S917" s="36" t="str">
        <f t="array" ref="S917">IF(B917="","",INDEX('Bán nhanh'!$P$4:$P$103,INT((ROW()-4)/10)+1))</f>
        <v/>
      </c>
      <c r="T917" s="36"/>
      <c r="U917" s="36"/>
      <c r="V917" s="36"/>
      <c r="W917" s="36"/>
      <c r="X917" s="36"/>
      <c r="Y917" s="36"/>
      <c r="Z917" s="36"/>
    </row>
    <row r="918" ht="15.75" customHeight="1">
      <c r="A918" s="96" t="str">
        <f t="array" ref="A918">IF(B918="","",INDEX('Bán nhanh'!$A$4:$A$103,INT((ROW()-4)/10)+1))</f>
        <v/>
      </c>
      <c r="B918" s="36" t="str">
        <f t="array" ref="B918">IF(OR(INDEX('Bán nhanh'!$D$3:$M$3,1,MOD(ROW()-4,10)+1)="",INDEX('Bán nhanh'!$D$4:$M$103,INT((ROW()-4)/10)+1,MOD(ROW()-4,10)+1)&lt;=0),"",INDEX('Bán nhanh'!$D$3:$M$3,1,MOD(ROW()-4,10)+1))</f>
        <v/>
      </c>
      <c r="C918" s="36" t="str">
        <f t="array" ref="C918">IFERROR(INDEX('Sản phẩm'!$A$4:$A$103,MATCH(B918,'Sản phẩm'!$D$4:$D$103,0)),"")</f>
        <v/>
      </c>
      <c r="D918" s="36" t="str">
        <f t="array" ref="D918">IF(B918="","",INDEX('Bán nhanh'!$B$4:$B$103,INT((ROW()-4)/10)+1))</f>
        <v/>
      </c>
      <c r="E918" s="36" t="str">
        <f t="array" ref="E918">IFERROR(INDEX('Mẻ sữa'!$B$4:$B$203,MATCH(D918,'Mẻ sữa'!$C$4:$C$203,0)),"")</f>
        <v/>
      </c>
      <c r="F918" s="82">
        <f t="array" ref="F918">IF(B918="",0,INDEX('Bán nhanh'!$D$4:$M$103,INT((ROW()-4)/10)+1,MOD(ROW()-4,10)+1))</f>
        <v>0</v>
      </c>
      <c r="G918" s="83">
        <f t="array" ref="G918">IFERROR(INDEX('Sản phẩm'!$F$4:$F$103,MATCH(B918,'Sản phẩm'!$D$4:$D$103,0)),0)</f>
        <v>0</v>
      </c>
      <c r="H918" s="83">
        <f t="shared" si="5"/>
        <v>0</v>
      </c>
      <c r="I918" s="83">
        <f t="shared" si="1"/>
        <v>0</v>
      </c>
      <c r="J918" s="83">
        <f t="array" ref="J918">IFERROR(INDEX('Sản phẩm'!$G$4:$G$103,MATCH(B918,'Sản phẩm'!$D$4:$D$103,0)),0)</f>
        <v>0</v>
      </c>
      <c r="K918" s="83">
        <f t="array" ref="K918">IFERROR(J918*INDEX('Mẻ sữa'!$N$4:$N$203,MATCH(D918,'Mẻ sữa'!$C$4:$C$203,0)),0)</f>
        <v>0</v>
      </c>
      <c r="L918" s="83">
        <f t="array" ref="L918">IFERROR(INDEX('Sản phẩm'!$I$4:$I$103,MATCH(B918,'Sản phẩm'!$D$4:$D$103,0)),0)</f>
        <v>0</v>
      </c>
      <c r="M918" s="97" t="str">
        <f t="array" ref="M918">IFERROR(INDEX('Sản phẩm'!$J$4:$J$103,MATCH(B918,'Sản phẩm'!$D$4:$D$103,0)),0)</f>
        <v/>
      </c>
      <c r="N918" s="83">
        <f>IF(B918="",0,(K918+L918+M918)*'Thiết lập'!$B$8)</f>
        <v>0</v>
      </c>
      <c r="O918" s="83">
        <f t="shared" si="2"/>
        <v>0</v>
      </c>
      <c r="P918" s="83">
        <f t="shared" si="3"/>
        <v>0</v>
      </c>
      <c r="Q918" s="83">
        <f t="shared" si="4"/>
        <v>0</v>
      </c>
      <c r="R918" s="36" t="str">
        <f t="array" ref="R918">IF(B918="","",INDEX('Bán nhanh'!$C$4:$C$103,INT((ROW()-4)/10)+1))</f>
        <v/>
      </c>
      <c r="S918" s="36" t="str">
        <f t="array" ref="S918">IF(B918="","",INDEX('Bán nhanh'!$P$4:$P$103,INT((ROW()-4)/10)+1))</f>
        <v/>
      </c>
      <c r="T918" s="36"/>
      <c r="U918" s="36"/>
      <c r="V918" s="36"/>
      <c r="W918" s="36"/>
      <c r="X918" s="36"/>
      <c r="Y918" s="36"/>
      <c r="Z918" s="36"/>
    </row>
    <row r="919" ht="15.75" customHeight="1">
      <c r="A919" s="96" t="str">
        <f t="array" ref="A919">IF(B919="","",INDEX('Bán nhanh'!$A$4:$A$103,INT((ROW()-4)/10)+1))</f>
        <v/>
      </c>
      <c r="B919" s="36" t="str">
        <f t="array" ref="B919">IF(OR(INDEX('Bán nhanh'!$D$3:$M$3,1,MOD(ROW()-4,10)+1)="",INDEX('Bán nhanh'!$D$4:$M$103,INT((ROW()-4)/10)+1,MOD(ROW()-4,10)+1)&lt;=0),"",INDEX('Bán nhanh'!$D$3:$M$3,1,MOD(ROW()-4,10)+1))</f>
        <v/>
      </c>
      <c r="C919" s="36" t="str">
        <f t="array" ref="C919">IFERROR(INDEX('Sản phẩm'!$A$4:$A$103,MATCH(B919,'Sản phẩm'!$D$4:$D$103,0)),"")</f>
        <v/>
      </c>
      <c r="D919" s="36" t="str">
        <f t="array" ref="D919">IF(B919="","",INDEX('Bán nhanh'!$B$4:$B$103,INT((ROW()-4)/10)+1))</f>
        <v/>
      </c>
      <c r="E919" s="36" t="str">
        <f t="array" ref="E919">IFERROR(INDEX('Mẻ sữa'!$B$4:$B$203,MATCH(D919,'Mẻ sữa'!$C$4:$C$203,0)),"")</f>
        <v/>
      </c>
      <c r="F919" s="82">
        <f t="array" ref="F919">IF(B919="",0,INDEX('Bán nhanh'!$D$4:$M$103,INT((ROW()-4)/10)+1,MOD(ROW()-4,10)+1))</f>
        <v>0</v>
      </c>
      <c r="G919" s="83">
        <f t="array" ref="G919">IFERROR(INDEX('Sản phẩm'!$F$4:$F$103,MATCH(B919,'Sản phẩm'!$D$4:$D$103,0)),0)</f>
        <v>0</v>
      </c>
      <c r="H919" s="83">
        <f t="shared" si="5"/>
        <v>0</v>
      </c>
      <c r="I919" s="83">
        <f t="shared" si="1"/>
        <v>0</v>
      </c>
      <c r="J919" s="83">
        <f t="array" ref="J919">IFERROR(INDEX('Sản phẩm'!$G$4:$G$103,MATCH(B919,'Sản phẩm'!$D$4:$D$103,0)),0)</f>
        <v>0</v>
      </c>
      <c r="K919" s="83">
        <f t="array" ref="K919">IFERROR(J919*INDEX('Mẻ sữa'!$N$4:$N$203,MATCH(D919,'Mẻ sữa'!$C$4:$C$203,0)),0)</f>
        <v>0</v>
      </c>
      <c r="L919" s="83">
        <f t="array" ref="L919">IFERROR(INDEX('Sản phẩm'!$I$4:$I$103,MATCH(B919,'Sản phẩm'!$D$4:$D$103,0)),0)</f>
        <v>0</v>
      </c>
      <c r="M919" s="97" t="str">
        <f t="array" ref="M919">IFERROR(INDEX('Sản phẩm'!$J$4:$J$103,MATCH(B919,'Sản phẩm'!$D$4:$D$103,0)),0)</f>
        <v/>
      </c>
      <c r="N919" s="83">
        <f>IF(B919="",0,(K919+L919+M919)*'Thiết lập'!$B$8)</f>
        <v>0</v>
      </c>
      <c r="O919" s="83">
        <f t="shared" si="2"/>
        <v>0</v>
      </c>
      <c r="P919" s="83">
        <f t="shared" si="3"/>
        <v>0</v>
      </c>
      <c r="Q919" s="83">
        <f t="shared" si="4"/>
        <v>0</v>
      </c>
      <c r="R919" s="36" t="str">
        <f t="array" ref="R919">IF(B919="","",INDEX('Bán nhanh'!$C$4:$C$103,INT((ROW()-4)/10)+1))</f>
        <v/>
      </c>
      <c r="S919" s="36" t="str">
        <f t="array" ref="S919">IF(B919="","",INDEX('Bán nhanh'!$P$4:$P$103,INT((ROW()-4)/10)+1))</f>
        <v/>
      </c>
      <c r="T919" s="36"/>
      <c r="U919" s="36"/>
      <c r="V919" s="36"/>
      <c r="W919" s="36"/>
      <c r="X919" s="36"/>
      <c r="Y919" s="36"/>
      <c r="Z919" s="36"/>
    </row>
    <row r="920" ht="15.75" customHeight="1">
      <c r="A920" s="96" t="str">
        <f t="array" ref="A920">IF(B920="","",INDEX('Bán nhanh'!$A$4:$A$103,INT((ROW()-4)/10)+1))</f>
        <v/>
      </c>
      <c r="B920" s="36" t="str">
        <f t="array" ref="B920">IF(OR(INDEX('Bán nhanh'!$D$3:$M$3,1,MOD(ROW()-4,10)+1)="",INDEX('Bán nhanh'!$D$4:$M$103,INT((ROW()-4)/10)+1,MOD(ROW()-4,10)+1)&lt;=0),"",INDEX('Bán nhanh'!$D$3:$M$3,1,MOD(ROW()-4,10)+1))</f>
        <v/>
      </c>
      <c r="C920" s="36" t="str">
        <f t="array" ref="C920">IFERROR(INDEX('Sản phẩm'!$A$4:$A$103,MATCH(B920,'Sản phẩm'!$D$4:$D$103,0)),"")</f>
        <v/>
      </c>
      <c r="D920" s="36" t="str">
        <f t="array" ref="D920">IF(B920="","",INDEX('Bán nhanh'!$B$4:$B$103,INT((ROW()-4)/10)+1))</f>
        <v/>
      </c>
      <c r="E920" s="36" t="str">
        <f t="array" ref="E920">IFERROR(INDEX('Mẻ sữa'!$B$4:$B$203,MATCH(D920,'Mẻ sữa'!$C$4:$C$203,0)),"")</f>
        <v/>
      </c>
      <c r="F920" s="82">
        <f t="array" ref="F920">IF(B920="",0,INDEX('Bán nhanh'!$D$4:$M$103,INT((ROW()-4)/10)+1,MOD(ROW()-4,10)+1))</f>
        <v>0</v>
      </c>
      <c r="G920" s="83">
        <f t="array" ref="G920">IFERROR(INDEX('Sản phẩm'!$F$4:$F$103,MATCH(B920,'Sản phẩm'!$D$4:$D$103,0)),0)</f>
        <v>0</v>
      </c>
      <c r="H920" s="83">
        <f t="shared" si="5"/>
        <v>0</v>
      </c>
      <c r="I920" s="83">
        <f t="shared" si="1"/>
        <v>0</v>
      </c>
      <c r="J920" s="83">
        <f t="array" ref="J920">IFERROR(INDEX('Sản phẩm'!$G$4:$G$103,MATCH(B920,'Sản phẩm'!$D$4:$D$103,0)),0)</f>
        <v>0</v>
      </c>
      <c r="K920" s="83">
        <f t="array" ref="K920">IFERROR(J920*INDEX('Mẻ sữa'!$N$4:$N$203,MATCH(D920,'Mẻ sữa'!$C$4:$C$203,0)),0)</f>
        <v>0</v>
      </c>
      <c r="L920" s="83">
        <f t="array" ref="L920">IFERROR(INDEX('Sản phẩm'!$I$4:$I$103,MATCH(B920,'Sản phẩm'!$D$4:$D$103,0)),0)</f>
        <v>0</v>
      </c>
      <c r="M920" s="97" t="str">
        <f t="array" ref="M920">IFERROR(INDEX('Sản phẩm'!$J$4:$J$103,MATCH(B920,'Sản phẩm'!$D$4:$D$103,0)),0)</f>
        <v/>
      </c>
      <c r="N920" s="83">
        <f>IF(B920="",0,(K920+L920+M920)*'Thiết lập'!$B$8)</f>
        <v>0</v>
      </c>
      <c r="O920" s="83">
        <f t="shared" si="2"/>
        <v>0</v>
      </c>
      <c r="P920" s="83">
        <f t="shared" si="3"/>
        <v>0</v>
      </c>
      <c r="Q920" s="83">
        <f t="shared" si="4"/>
        <v>0</v>
      </c>
      <c r="R920" s="36" t="str">
        <f t="array" ref="R920">IF(B920="","",INDEX('Bán nhanh'!$C$4:$C$103,INT((ROW()-4)/10)+1))</f>
        <v/>
      </c>
      <c r="S920" s="36" t="str">
        <f t="array" ref="S920">IF(B920="","",INDEX('Bán nhanh'!$P$4:$P$103,INT((ROW()-4)/10)+1))</f>
        <v/>
      </c>
      <c r="T920" s="36"/>
      <c r="U920" s="36"/>
      <c r="V920" s="36"/>
      <c r="W920" s="36"/>
      <c r="X920" s="36"/>
      <c r="Y920" s="36"/>
      <c r="Z920" s="36"/>
    </row>
    <row r="921" ht="15.75" customHeight="1">
      <c r="A921" s="96" t="str">
        <f t="array" ref="A921">IF(B921="","",INDEX('Bán nhanh'!$A$4:$A$103,INT((ROW()-4)/10)+1))</f>
        <v/>
      </c>
      <c r="B921" s="36" t="str">
        <f t="array" ref="B921">IF(OR(INDEX('Bán nhanh'!$D$3:$M$3,1,MOD(ROW()-4,10)+1)="",INDEX('Bán nhanh'!$D$4:$M$103,INT((ROW()-4)/10)+1,MOD(ROW()-4,10)+1)&lt;=0),"",INDEX('Bán nhanh'!$D$3:$M$3,1,MOD(ROW()-4,10)+1))</f>
        <v/>
      </c>
      <c r="C921" s="36" t="str">
        <f t="array" ref="C921">IFERROR(INDEX('Sản phẩm'!$A$4:$A$103,MATCH(B921,'Sản phẩm'!$D$4:$D$103,0)),"")</f>
        <v/>
      </c>
      <c r="D921" s="36" t="str">
        <f t="array" ref="D921">IF(B921="","",INDEX('Bán nhanh'!$B$4:$B$103,INT((ROW()-4)/10)+1))</f>
        <v/>
      </c>
      <c r="E921" s="36" t="str">
        <f t="array" ref="E921">IFERROR(INDEX('Mẻ sữa'!$B$4:$B$203,MATCH(D921,'Mẻ sữa'!$C$4:$C$203,0)),"")</f>
        <v/>
      </c>
      <c r="F921" s="82">
        <f t="array" ref="F921">IF(B921="",0,INDEX('Bán nhanh'!$D$4:$M$103,INT((ROW()-4)/10)+1,MOD(ROW()-4,10)+1))</f>
        <v>0</v>
      </c>
      <c r="G921" s="83">
        <f t="array" ref="G921">IFERROR(INDEX('Sản phẩm'!$F$4:$F$103,MATCH(B921,'Sản phẩm'!$D$4:$D$103,0)),0)</f>
        <v>0</v>
      </c>
      <c r="H921" s="83">
        <f t="shared" si="5"/>
        <v>0</v>
      </c>
      <c r="I921" s="83">
        <f t="shared" si="1"/>
        <v>0</v>
      </c>
      <c r="J921" s="83">
        <f t="array" ref="J921">IFERROR(INDEX('Sản phẩm'!$G$4:$G$103,MATCH(B921,'Sản phẩm'!$D$4:$D$103,0)),0)</f>
        <v>0</v>
      </c>
      <c r="K921" s="83">
        <f t="array" ref="K921">IFERROR(J921*INDEX('Mẻ sữa'!$N$4:$N$203,MATCH(D921,'Mẻ sữa'!$C$4:$C$203,0)),0)</f>
        <v>0</v>
      </c>
      <c r="L921" s="83">
        <f t="array" ref="L921">IFERROR(INDEX('Sản phẩm'!$I$4:$I$103,MATCH(B921,'Sản phẩm'!$D$4:$D$103,0)),0)</f>
        <v>0</v>
      </c>
      <c r="M921" s="97" t="str">
        <f t="array" ref="M921">IFERROR(INDEX('Sản phẩm'!$J$4:$J$103,MATCH(B921,'Sản phẩm'!$D$4:$D$103,0)),0)</f>
        <v/>
      </c>
      <c r="N921" s="83">
        <f>IF(B921="",0,(K921+L921+M921)*'Thiết lập'!$B$8)</f>
        <v>0</v>
      </c>
      <c r="O921" s="83">
        <f t="shared" si="2"/>
        <v>0</v>
      </c>
      <c r="P921" s="83">
        <f t="shared" si="3"/>
        <v>0</v>
      </c>
      <c r="Q921" s="83">
        <f t="shared" si="4"/>
        <v>0</v>
      </c>
      <c r="R921" s="36" t="str">
        <f t="array" ref="R921">IF(B921="","",INDEX('Bán nhanh'!$C$4:$C$103,INT((ROW()-4)/10)+1))</f>
        <v/>
      </c>
      <c r="S921" s="36" t="str">
        <f t="array" ref="S921">IF(B921="","",INDEX('Bán nhanh'!$P$4:$P$103,INT((ROW()-4)/10)+1))</f>
        <v/>
      </c>
      <c r="T921" s="36"/>
      <c r="U921" s="36"/>
      <c r="V921" s="36"/>
      <c r="W921" s="36"/>
      <c r="X921" s="36"/>
      <c r="Y921" s="36"/>
      <c r="Z921" s="36"/>
    </row>
    <row r="922" ht="15.75" customHeight="1">
      <c r="A922" s="96" t="str">
        <f t="array" ref="A922">IF(B922="","",INDEX('Bán nhanh'!$A$4:$A$103,INT((ROW()-4)/10)+1))</f>
        <v/>
      </c>
      <c r="B922" s="36" t="str">
        <f t="array" ref="B922">IF(OR(INDEX('Bán nhanh'!$D$3:$M$3,1,MOD(ROW()-4,10)+1)="",INDEX('Bán nhanh'!$D$4:$M$103,INT((ROW()-4)/10)+1,MOD(ROW()-4,10)+1)&lt;=0),"",INDEX('Bán nhanh'!$D$3:$M$3,1,MOD(ROW()-4,10)+1))</f>
        <v/>
      </c>
      <c r="C922" s="36" t="str">
        <f t="array" ref="C922">IFERROR(INDEX('Sản phẩm'!$A$4:$A$103,MATCH(B922,'Sản phẩm'!$D$4:$D$103,0)),"")</f>
        <v/>
      </c>
      <c r="D922" s="36" t="str">
        <f t="array" ref="D922">IF(B922="","",INDEX('Bán nhanh'!$B$4:$B$103,INT((ROW()-4)/10)+1))</f>
        <v/>
      </c>
      <c r="E922" s="36" t="str">
        <f t="array" ref="E922">IFERROR(INDEX('Mẻ sữa'!$B$4:$B$203,MATCH(D922,'Mẻ sữa'!$C$4:$C$203,0)),"")</f>
        <v/>
      </c>
      <c r="F922" s="82">
        <f t="array" ref="F922">IF(B922="",0,INDEX('Bán nhanh'!$D$4:$M$103,INT((ROW()-4)/10)+1,MOD(ROW()-4,10)+1))</f>
        <v>0</v>
      </c>
      <c r="G922" s="83">
        <f t="array" ref="G922">IFERROR(INDEX('Sản phẩm'!$F$4:$F$103,MATCH(B922,'Sản phẩm'!$D$4:$D$103,0)),0)</f>
        <v>0</v>
      </c>
      <c r="H922" s="83">
        <f t="shared" si="5"/>
        <v>0</v>
      </c>
      <c r="I922" s="83">
        <f t="shared" si="1"/>
        <v>0</v>
      </c>
      <c r="J922" s="83">
        <f t="array" ref="J922">IFERROR(INDEX('Sản phẩm'!$G$4:$G$103,MATCH(B922,'Sản phẩm'!$D$4:$D$103,0)),0)</f>
        <v>0</v>
      </c>
      <c r="K922" s="83">
        <f t="array" ref="K922">IFERROR(J922*INDEX('Mẻ sữa'!$N$4:$N$203,MATCH(D922,'Mẻ sữa'!$C$4:$C$203,0)),0)</f>
        <v>0</v>
      </c>
      <c r="L922" s="83">
        <f t="array" ref="L922">IFERROR(INDEX('Sản phẩm'!$I$4:$I$103,MATCH(B922,'Sản phẩm'!$D$4:$D$103,0)),0)</f>
        <v>0</v>
      </c>
      <c r="M922" s="97" t="str">
        <f t="array" ref="M922">IFERROR(INDEX('Sản phẩm'!$J$4:$J$103,MATCH(B922,'Sản phẩm'!$D$4:$D$103,0)),0)</f>
        <v/>
      </c>
      <c r="N922" s="83">
        <f>IF(B922="",0,(K922+L922+M922)*'Thiết lập'!$B$8)</f>
        <v>0</v>
      </c>
      <c r="O922" s="83">
        <f t="shared" si="2"/>
        <v>0</v>
      </c>
      <c r="P922" s="83">
        <f t="shared" si="3"/>
        <v>0</v>
      </c>
      <c r="Q922" s="83">
        <f t="shared" si="4"/>
        <v>0</v>
      </c>
      <c r="R922" s="36" t="str">
        <f t="array" ref="R922">IF(B922="","",INDEX('Bán nhanh'!$C$4:$C$103,INT((ROW()-4)/10)+1))</f>
        <v/>
      </c>
      <c r="S922" s="36" t="str">
        <f t="array" ref="S922">IF(B922="","",INDEX('Bán nhanh'!$P$4:$P$103,INT((ROW()-4)/10)+1))</f>
        <v/>
      </c>
      <c r="T922" s="36"/>
      <c r="U922" s="36"/>
      <c r="V922" s="36"/>
      <c r="W922" s="36"/>
      <c r="X922" s="36"/>
      <c r="Y922" s="36"/>
      <c r="Z922" s="36"/>
    </row>
    <row r="923" ht="15.75" customHeight="1">
      <c r="A923" s="96" t="str">
        <f t="array" ref="A923">IF(B923="","",INDEX('Bán nhanh'!$A$4:$A$103,INT((ROW()-4)/10)+1))</f>
        <v/>
      </c>
      <c r="B923" s="36" t="str">
        <f t="array" ref="B923">IF(OR(INDEX('Bán nhanh'!$D$3:$M$3,1,MOD(ROW()-4,10)+1)="",INDEX('Bán nhanh'!$D$4:$M$103,INT((ROW()-4)/10)+1,MOD(ROW()-4,10)+1)&lt;=0),"",INDEX('Bán nhanh'!$D$3:$M$3,1,MOD(ROW()-4,10)+1))</f>
        <v/>
      </c>
      <c r="C923" s="36" t="str">
        <f t="array" ref="C923">IFERROR(INDEX('Sản phẩm'!$A$4:$A$103,MATCH(B923,'Sản phẩm'!$D$4:$D$103,0)),"")</f>
        <v/>
      </c>
      <c r="D923" s="36" t="str">
        <f t="array" ref="D923">IF(B923="","",INDEX('Bán nhanh'!$B$4:$B$103,INT((ROW()-4)/10)+1))</f>
        <v/>
      </c>
      <c r="E923" s="36" t="str">
        <f t="array" ref="E923">IFERROR(INDEX('Mẻ sữa'!$B$4:$B$203,MATCH(D923,'Mẻ sữa'!$C$4:$C$203,0)),"")</f>
        <v/>
      </c>
      <c r="F923" s="82">
        <f t="array" ref="F923">IF(B923="",0,INDEX('Bán nhanh'!$D$4:$M$103,INT((ROW()-4)/10)+1,MOD(ROW()-4,10)+1))</f>
        <v>0</v>
      </c>
      <c r="G923" s="83">
        <f t="array" ref="G923">IFERROR(INDEX('Sản phẩm'!$F$4:$F$103,MATCH(B923,'Sản phẩm'!$D$4:$D$103,0)),0)</f>
        <v>0</v>
      </c>
      <c r="H923" s="83">
        <f t="shared" si="5"/>
        <v>0</v>
      </c>
      <c r="I923" s="83">
        <f t="shared" si="1"/>
        <v>0</v>
      </c>
      <c r="J923" s="83">
        <f t="array" ref="J923">IFERROR(INDEX('Sản phẩm'!$G$4:$G$103,MATCH(B923,'Sản phẩm'!$D$4:$D$103,0)),0)</f>
        <v>0</v>
      </c>
      <c r="K923" s="83">
        <f t="array" ref="K923">IFERROR(J923*INDEX('Mẻ sữa'!$N$4:$N$203,MATCH(D923,'Mẻ sữa'!$C$4:$C$203,0)),0)</f>
        <v>0</v>
      </c>
      <c r="L923" s="83">
        <f t="array" ref="L923">IFERROR(INDEX('Sản phẩm'!$I$4:$I$103,MATCH(B923,'Sản phẩm'!$D$4:$D$103,0)),0)</f>
        <v>0</v>
      </c>
      <c r="M923" s="97" t="str">
        <f t="array" ref="M923">IFERROR(INDEX('Sản phẩm'!$J$4:$J$103,MATCH(B923,'Sản phẩm'!$D$4:$D$103,0)),0)</f>
        <v/>
      </c>
      <c r="N923" s="83">
        <f>IF(B923="",0,(K923+L923+M923)*'Thiết lập'!$B$8)</f>
        <v>0</v>
      </c>
      <c r="O923" s="83">
        <f t="shared" si="2"/>
        <v>0</v>
      </c>
      <c r="P923" s="83">
        <f t="shared" si="3"/>
        <v>0</v>
      </c>
      <c r="Q923" s="83">
        <f t="shared" si="4"/>
        <v>0</v>
      </c>
      <c r="R923" s="36" t="str">
        <f t="array" ref="R923">IF(B923="","",INDEX('Bán nhanh'!$C$4:$C$103,INT((ROW()-4)/10)+1))</f>
        <v/>
      </c>
      <c r="S923" s="36" t="str">
        <f t="array" ref="S923">IF(B923="","",INDEX('Bán nhanh'!$P$4:$P$103,INT((ROW()-4)/10)+1))</f>
        <v/>
      </c>
      <c r="T923" s="36"/>
      <c r="U923" s="36"/>
      <c r="V923" s="36"/>
      <c r="W923" s="36"/>
      <c r="X923" s="36"/>
      <c r="Y923" s="36"/>
      <c r="Z923" s="36"/>
    </row>
    <row r="924" ht="15.75" customHeight="1">
      <c r="A924" s="96" t="str">
        <f t="array" ref="A924">IF(B924="","",INDEX('Bán nhanh'!$A$4:$A$103,INT((ROW()-4)/10)+1))</f>
        <v/>
      </c>
      <c r="B924" s="36" t="str">
        <f t="array" ref="B924">IF(OR(INDEX('Bán nhanh'!$D$3:$M$3,1,MOD(ROW()-4,10)+1)="",INDEX('Bán nhanh'!$D$4:$M$103,INT((ROW()-4)/10)+1,MOD(ROW()-4,10)+1)&lt;=0),"",INDEX('Bán nhanh'!$D$3:$M$3,1,MOD(ROW()-4,10)+1))</f>
        <v/>
      </c>
      <c r="C924" s="36" t="str">
        <f t="array" ref="C924">IFERROR(INDEX('Sản phẩm'!$A$4:$A$103,MATCH(B924,'Sản phẩm'!$D$4:$D$103,0)),"")</f>
        <v/>
      </c>
      <c r="D924" s="36" t="str">
        <f t="array" ref="D924">IF(B924="","",INDEX('Bán nhanh'!$B$4:$B$103,INT((ROW()-4)/10)+1))</f>
        <v/>
      </c>
      <c r="E924" s="36" t="str">
        <f t="array" ref="E924">IFERROR(INDEX('Mẻ sữa'!$B$4:$B$203,MATCH(D924,'Mẻ sữa'!$C$4:$C$203,0)),"")</f>
        <v/>
      </c>
      <c r="F924" s="82">
        <f t="array" ref="F924">IF(B924="",0,INDEX('Bán nhanh'!$D$4:$M$103,INT((ROW()-4)/10)+1,MOD(ROW()-4,10)+1))</f>
        <v>0</v>
      </c>
      <c r="G924" s="83">
        <f t="array" ref="G924">IFERROR(INDEX('Sản phẩm'!$F$4:$F$103,MATCH(B924,'Sản phẩm'!$D$4:$D$103,0)),0)</f>
        <v>0</v>
      </c>
      <c r="H924" s="83">
        <f t="shared" si="5"/>
        <v>0</v>
      </c>
      <c r="I924" s="83">
        <f t="shared" si="1"/>
        <v>0</v>
      </c>
      <c r="J924" s="83">
        <f t="array" ref="J924">IFERROR(INDEX('Sản phẩm'!$G$4:$G$103,MATCH(B924,'Sản phẩm'!$D$4:$D$103,0)),0)</f>
        <v>0</v>
      </c>
      <c r="K924" s="83">
        <f t="array" ref="K924">IFERROR(J924*INDEX('Mẻ sữa'!$N$4:$N$203,MATCH(D924,'Mẻ sữa'!$C$4:$C$203,0)),0)</f>
        <v>0</v>
      </c>
      <c r="L924" s="83">
        <f t="array" ref="L924">IFERROR(INDEX('Sản phẩm'!$I$4:$I$103,MATCH(B924,'Sản phẩm'!$D$4:$D$103,0)),0)</f>
        <v>0</v>
      </c>
      <c r="M924" s="97" t="str">
        <f t="array" ref="M924">IFERROR(INDEX('Sản phẩm'!$J$4:$J$103,MATCH(B924,'Sản phẩm'!$D$4:$D$103,0)),0)</f>
        <v/>
      </c>
      <c r="N924" s="83">
        <f>IF(B924="",0,(K924+L924+M924)*'Thiết lập'!$B$8)</f>
        <v>0</v>
      </c>
      <c r="O924" s="83">
        <f t="shared" si="2"/>
        <v>0</v>
      </c>
      <c r="P924" s="83">
        <f t="shared" si="3"/>
        <v>0</v>
      </c>
      <c r="Q924" s="83">
        <f t="shared" si="4"/>
        <v>0</v>
      </c>
      <c r="R924" s="36" t="str">
        <f t="array" ref="R924">IF(B924="","",INDEX('Bán nhanh'!$C$4:$C$103,INT((ROW()-4)/10)+1))</f>
        <v/>
      </c>
      <c r="S924" s="36" t="str">
        <f t="array" ref="S924">IF(B924="","",INDEX('Bán nhanh'!$P$4:$P$103,INT((ROW()-4)/10)+1))</f>
        <v/>
      </c>
      <c r="T924" s="36"/>
      <c r="U924" s="36"/>
      <c r="V924" s="36"/>
      <c r="W924" s="36"/>
      <c r="X924" s="36"/>
      <c r="Y924" s="36"/>
      <c r="Z924" s="36"/>
    </row>
    <row r="925" ht="15.75" customHeight="1">
      <c r="A925" s="96" t="str">
        <f t="array" ref="A925">IF(B925="","",INDEX('Bán nhanh'!$A$4:$A$103,INT((ROW()-4)/10)+1))</f>
        <v/>
      </c>
      <c r="B925" s="36" t="str">
        <f t="array" ref="B925">IF(OR(INDEX('Bán nhanh'!$D$3:$M$3,1,MOD(ROW()-4,10)+1)="",INDEX('Bán nhanh'!$D$4:$M$103,INT((ROW()-4)/10)+1,MOD(ROW()-4,10)+1)&lt;=0),"",INDEX('Bán nhanh'!$D$3:$M$3,1,MOD(ROW()-4,10)+1))</f>
        <v/>
      </c>
      <c r="C925" s="36" t="str">
        <f t="array" ref="C925">IFERROR(INDEX('Sản phẩm'!$A$4:$A$103,MATCH(B925,'Sản phẩm'!$D$4:$D$103,0)),"")</f>
        <v/>
      </c>
      <c r="D925" s="36" t="str">
        <f t="array" ref="D925">IF(B925="","",INDEX('Bán nhanh'!$B$4:$B$103,INT((ROW()-4)/10)+1))</f>
        <v/>
      </c>
      <c r="E925" s="36" t="str">
        <f t="array" ref="E925">IFERROR(INDEX('Mẻ sữa'!$B$4:$B$203,MATCH(D925,'Mẻ sữa'!$C$4:$C$203,0)),"")</f>
        <v/>
      </c>
      <c r="F925" s="82">
        <f t="array" ref="F925">IF(B925="",0,INDEX('Bán nhanh'!$D$4:$M$103,INT((ROW()-4)/10)+1,MOD(ROW()-4,10)+1))</f>
        <v>0</v>
      </c>
      <c r="G925" s="83">
        <f t="array" ref="G925">IFERROR(INDEX('Sản phẩm'!$F$4:$F$103,MATCH(B925,'Sản phẩm'!$D$4:$D$103,0)),0)</f>
        <v>0</v>
      </c>
      <c r="H925" s="83">
        <f t="shared" si="5"/>
        <v>0</v>
      </c>
      <c r="I925" s="83">
        <f t="shared" si="1"/>
        <v>0</v>
      </c>
      <c r="J925" s="83">
        <f t="array" ref="J925">IFERROR(INDEX('Sản phẩm'!$G$4:$G$103,MATCH(B925,'Sản phẩm'!$D$4:$D$103,0)),0)</f>
        <v>0</v>
      </c>
      <c r="K925" s="83">
        <f t="array" ref="K925">IFERROR(J925*INDEX('Mẻ sữa'!$N$4:$N$203,MATCH(D925,'Mẻ sữa'!$C$4:$C$203,0)),0)</f>
        <v>0</v>
      </c>
      <c r="L925" s="83">
        <f t="array" ref="L925">IFERROR(INDEX('Sản phẩm'!$I$4:$I$103,MATCH(B925,'Sản phẩm'!$D$4:$D$103,0)),0)</f>
        <v>0</v>
      </c>
      <c r="M925" s="97" t="str">
        <f t="array" ref="M925">IFERROR(INDEX('Sản phẩm'!$J$4:$J$103,MATCH(B925,'Sản phẩm'!$D$4:$D$103,0)),0)</f>
        <v/>
      </c>
      <c r="N925" s="83">
        <f>IF(B925="",0,(K925+L925+M925)*'Thiết lập'!$B$8)</f>
        <v>0</v>
      </c>
      <c r="O925" s="83">
        <f t="shared" si="2"/>
        <v>0</v>
      </c>
      <c r="P925" s="83">
        <f t="shared" si="3"/>
        <v>0</v>
      </c>
      <c r="Q925" s="83">
        <f t="shared" si="4"/>
        <v>0</v>
      </c>
      <c r="R925" s="36" t="str">
        <f t="array" ref="R925">IF(B925="","",INDEX('Bán nhanh'!$C$4:$C$103,INT((ROW()-4)/10)+1))</f>
        <v/>
      </c>
      <c r="S925" s="36" t="str">
        <f t="array" ref="S925">IF(B925="","",INDEX('Bán nhanh'!$P$4:$P$103,INT((ROW()-4)/10)+1))</f>
        <v/>
      </c>
      <c r="T925" s="36"/>
      <c r="U925" s="36"/>
      <c r="V925" s="36"/>
      <c r="W925" s="36"/>
      <c r="X925" s="36"/>
      <c r="Y925" s="36"/>
      <c r="Z925" s="36"/>
    </row>
    <row r="926" ht="15.75" customHeight="1">
      <c r="A926" s="96" t="str">
        <f t="array" ref="A926">IF(B926="","",INDEX('Bán nhanh'!$A$4:$A$103,INT((ROW()-4)/10)+1))</f>
        <v/>
      </c>
      <c r="B926" s="36" t="str">
        <f t="array" ref="B926">IF(OR(INDEX('Bán nhanh'!$D$3:$M$3,1,MOD(ROW()-4,10)+1)="",INDEX('Bán nhanh'!$D$4:$M$103,INT((ROW()-4)/10)+1,MOD(ROW()-4,10)+1)&lt;=0),"",INDEX('Bán nhanh'!$D$3:$M$3,1,MOD(ROW()-4,10)+1))</f>
        <v/>
      </c>
      <c r="C926" s="36" t="str">
        <f t="array" ref="C926">IFERROR(INDEX('Sản phẩm'!$A$4:$A$103,MATCH(B926,'Sản phẩm'!$D$4:$D$103,0)),"")</f>
        <v/>
      </c>
      <c r="D926" s="36" t="str">
        <f t="array" ref="D926">IF(B926="","",INDEX('Bán nhanh'!$B$4:$B$103,INT((ROW()-4)/10)+1))</f>
        <v/>
      </c>
      <c r="E926" s="36" t="str">
        <f t="array" ref="E926">IFERROR(INDEX('Mẻ sữa'!$B$4:$B$203,MATCH(D926,'Mẻ sữa'!$C$4:$C$203,0)),"")</f>
        <v/>
      </c>
      <c r="F926" s="82">
        <f t="array" ref="F926">IF(B926="",0,INDEX('Bán nhanh'!$D$4:$M$103,INT((ROW()-4)/10)+1,MOD(ROW()-4,10)+1))</f>
        <v>0</v>
      </c>
      <c r="G926" s="83">
        <f t="array" ref="G926">IFERROR(INDEX('Sản phẩm'!$F$4:$F$103,MATCH(B926,'Sản phẩm'!$D$4:$D$103,0)),0)</f>
        <v>0</v>
      </c>
      <c r="H926" s="83">
        <f t="shared" si="5"/>
        <v>0</v>
      </c>
      <c r="I926" s="83">
        <f t="shared" si="1"/>
        <v>0</v>
      </c>
      <c r="J926" s="83">
        <f t="array" ref="J926">IFERROR(INDEX('Sản phẩm'!$G$4:$G$103,MATCH(B926,'Sản phẩm'!$D$4:$D$103,0)),0)</f>
        <v>0</v>
      </c>
      <c r="K926" s="83">
        <f t="array" ref="K926">IFERROR(J926*INDEX('Mẻ sữa'!$N$4:$N$203,MATCH(D926,'Mẻ sữa'!$C$4:$C$203,0)),0)</f>
        <v>0</v>
      </c>
      <c r="L926" s="83">
        <f t="array" ref="L926">IFERROR(INDEX('Sản phẩm'!$I$4:$I$103,MATCH(B926,'Sản phẩm'!$D$4:$D$103,0)),0)</f>
        <v>0</v>
      </c>
      <c r="M926" s="97" t="str">
        <f t="array" ref="M926">IFERROR(INDEX('Sản phẩm'!$J$4:$J$103,MATCH(B926,'Sản phẩm'!$D$4:$D$103,0)),0)</f>
        <v/>
      </c>
      <c r="N926" s="83">
        <f>IF(B926="",0,(K926+L926+M926)*'Thiết lập'!$B$8)</f>
        <v>0</v>
      </c>
      <c r="O926" s="83">
        <f t="shared" si="2"/>
        <v>0</v>
      </c>
      <c r="P926" s="83">
        <f t="shared" si="3"/>
        <v>0</v>
      </c>
      <c r="Q926" s="83">
        <f t="shared" si="4"/>
        <v>0</v>
      </c>
      <c r="R926" s="36" t="str">
        <f t="array" ref="R926">IF(B926="","",INDEX('Bán nhanh'!$C$4:$C$103,INT((ROW()-4)/10)+1))</f>
        <v/>
      </c>
      <c r="S926" s="36" t="str">
        <f t="array" ref="S926">IF(B926="","",INDEX('Bán nhanh'!$P$4:$P$103,INT((ROW()-4)/10)+1))</f>
        <v/>
      </c>
      <c r="T926" s="36"/>
      <c r="U926" s="36"/>
      <c r="V926" s="36"/>
      <c r="W926" s="36"/>
      <c r="X926" s="36"/>
      <c r="Y926" s="36"/>
      <c r="Z926" s="36"/>
    </row>
    <row r="927" ht="15.75" customHeight="1">
      <c r="A927" s="96" t="str">
        <f t="array" ref="A927">IF(B927="","",INDEX('Bán nhanh'!$A$4:$A$103,INT((ROW()-4)/10)+1))</f>
        <v/>
      </c>
      <c r="B927" s="36" t="str">
        <f t="array" ref="B927">IF(OR(INDEX('Bán nhanh'!$D$3:$M$3,1,MOD(ROW()-4,10)+1)="",INDEX('Bán nhanh'!$D$4:$M$103,INT((ROW()-4)/10)+1,MOD(ROW()-4,10)+1)&lt;=0),"",INDEX('Bán nhanh'!$D$3:$M$3,1,MOD(ROW()-4,10)+1))</f>
        <v/>
      </c>
      <c r="C927" s="36" t="str">
        <f t="array" ref="C927">IFERROR(INDEX('Sản phẩm'!$A$4:$A$103,MATCH(B927,'Sản phẩm'!$D$4:$D$103,0)),"")</f>
        <v/>
      </c>
      <c r="D927" s="36" t="str">
        <f t="array" ref="D927">IF(B927="","",INDEX('Bán nhanh'!$B$4:$B$103,INT((ROW()-4)/10)+1))</f>
        <v/>
      </c>
      <c r="E927" s="36" t="str">
        <f t="array" ref="E927">IFERROR(INDEX('Mẻ sữa'!$B$4:$B$203,MATCH(D927,'Mẻ sữa'!$C$4:$C$203,0)),"")</f>
        <v/>
      </c>
      <c r="F927" s="82">
        <f t="array" ref="F927">IF(B927="",0,INDEX('Bán nhanh'!$D$4:$M$103,INT((ROW()-4)/10)+1,MOD(ROW()-4,10)+1))</f>
        <v>0</v>
      </c>
      <c r="G927" s="83">
        <f t="array" ref="G927">IFERROR(INDEX('Sản phẩm'!$F$4:$F$103,MATCH(B927,'Sản phẩm'!$D$4:$D$103,0)),0)</f>
        <v>0</v>
      </c>
      <c r="H927" s="83">
        <f t="shared" si="5"/>
        <v>0</v>
      </c>
      <c r="I927" s="83">
        <f t="shared" si="1"/>
        <v>0</v>
      </c>
      <c r="J927" s="83">
        <f t="array" ref="J927">IFERROR(INDEX('Sản phẩm'!$G$4:$G$103,MATCH(B927,'Sản phẩm'!$D$4:$D$103,0)),0)</f>
        <v>0</v>
      </c>
      <c r="K927" s="83">
        <f t="array" ref="K927">IFERROR(J927*INDEX('Mẻ sữa'!$N$4:$N$203,MATCH(D927,'Mẻ sữa'!$C$4:$C$203,0)),0)</f>
        <v>0</v>
      </c>
      <c r="L927" s="83">
        <f t="array" ref="L927">IFERROR(INDEX('Sản phẩm'!$I$4:$I$103,MATCH(B927,'Sản phẩm'!$D$4:$D$103,0)),0)</f>
        <v>0</v>
      </c>
      <c r="M927" s="97" t="str">
        <f t="array" ref="M927">IFERROR(INDEX('Sản phẩm'!$J$4:$J$103,MATCH(B927,'Sản phẩm'!$D$4:$D$103,0)),0)</f>
        <v/>
      </c>
      <c r="N927" s="83">
        <f>IF(B927="",0,(K927+L927+M927)*'Thiết lập'!$B$8)</f>
        <v>0</v>
      </c>
      <c r="O927" s="83">
        <f t="shared" si="2"/>
        <v>0</v>
      </c>
      <c r="P927" s="83">
        <f t="shared" si="3"/>
        <v>0</v>
      </c>
      <c r="Q927" s="83">
        <f t="shared" si="4"/>
        <v>0</v>
      </c>
      <c r="R927" s="36" t="str">
        <f t="array" ref="R927">IF(B927="","",INDEX('Bán nhanh'!$C$4:$C$103,INT((ROW()-4)/10)+1))</f>
        <v/>
      </c>
      <c r="S927" s="36" t="str">
        <f t="array" ref="S927">IF(B927="","",INDEX('Bán nhanh'!$P$4:$P$103,INT((ROW()-4)/10)+1))</f>
        <v/>
      </c>
      <c r="T927" s="36"/>
      <c r="U927" s="36"/>
      <c r="V927" s="36"/>
      <c r="W927" s="36"/>
      <c r="X927" s="36"/>
      <c r="Y927" s="36"/>
      <c r="Z927" s="36"/>
    </row>
    <row r="928" ht="15.75" customHeight="1">
      <c r="A928" s="96" t="str">
        <f t="array" ref="A928">IF(B928="","",INDEX('Bán nhanh'!$A$4:$A$103,INT((ROW()-4)/10)+1))</f>
        <v/>
      </c>
      <c r="B928" s="36" t="str">
        <f t="array" ref="B928">IF(OR(INDEX('Bán nhanh'!$D$3:$M$3,1,MOD(ROW()-4,10)+1)="",INDEX('Bán nhanh'!$D$4:$M$103,INT((ROW()-4)/10)+1,MOD(ROW()-4,10)+1)&lt;=0),"",INDEX('Bán nhanh'!$D$3:$M$3,1,MOD(ROW()-4,10)+1))</f>
        <v/>
      </c>
      <c r="C928" s="36" t="str">
        <f t="array" ref="C928">IFERROR(INDEX('Sản phẩm'!$A$4:$A$103,MATCH(B928,'Sản phẩm'!$D$4:$D$103,0)),"")</f>
        <v/>
      </c>
      <c r="D928" s="36" t="str">
        <f t="array" ref="D928">IF(B928="","",INDEX('Bán nhanh'!$B$4:$B$103,INT((ROW()-4)/10)+1))</f>
        <v/>
      </c>
      <c r="E928" s="36" t="str">
        <f t="array" ref="E928">IFERROR(INDEX('Mẻ sữa'!$B$4:$B$203,MATCH(D928,'Mẻ sữa'!$C$4:$C$203,0)),"")</f>
        <v/>
      </c>
      <c r="F928" s="82">
        <f t="array" ref="F928">IF(B928="",0,INDEX('Bán nhanh'!$D$4:$M$103,INT((ROW()-4)/10)+1,MOD(ROW()-4,10)+1))</f>
        <v>0</v>
      </c>
      <c r="G928" s="83">
        <f t="array" ref="G928">IFERROR(INDEX('Sản phẩm'!$F$4:$F$103,MATCH(B928,'Sản phẩm'!$D$4:$D$103,0)),0)</f>
        <v>0</v>
      </c>
      <c r="H928" s="83">
        <f t="shared" si="5"/>
        <v>0</v>
      </c>
      <c r="I928" s="83">
        <f t="shared" si="1"/>
        <v>0</v>
      </c>
      <c r="J928" s="83">
        <f t="array" ref="J928">IFERROR(INDEX('Sản phẩm'!$G$4:$G$103,MATCH(B928,'Sản phẩm'!$D$4:$D$103,0)),0)</f>
        <v>0</v>
      </c>
      <c r="K928" s="83">
        <f t="array" ref="K928">IFERROR(J928*INDEX('Mẻ sữa'!$N$4:$N$203,MATCH(D928,'Mẻ sữa'!$C$4:$C$203,0)),0)</f>
        <v>0</v>
      </c>
      <c r="L928" s="83">
        <f t="array" ref="L928">IFERROR(INDEX('Sản phẩm'!$I$4:$I$103,MATCH(B928,'Sản phẩm'!$D$4:$D$103,0)),0)</f>
        <v>0</v>
      </c>
      <c r="M928" s="97" t="str">
        <f t="array" ref="M928">IFERROR(INDEX('Sản phẩm'!$J$4:$J$103,MATCH(B928,'Sản phẩm'!$D$4:$D$103,0)),0)</f>
        <v/>
      </c>
      <c r="N928" s="83">
        <f>IF(B928="",0,(K928+L928+M928)*'Thiết lập'!$B$8)</f>
        <v>0</v>
      </c>
      <c r="O928" s="83">
        <f t="shared" si="2"/>
        <v>0</v>
      </c>
      <c r="P928" s="83">
        <f t="shared" si="3"/>
        <v>0</v>
      </c>
      <c r="Q928" s="83">
        <f t="shared" si="4"/>
        <v>0</v>
      </c>
      <c r="R928" s="36" t="str">
        <f t="array" ref="R928">IF(B928="","",INDEX('Bán nhanh'!$C$4:$C$103,INT((ROW()-4)/10)+1))</f>
        <v/>
      </c>
      <c r="S928" s="36" t="str">
        <f t="array" ref="S928">IF(B928="","",INDEX('Bán nhanh'!$P$4:$P$103,INT((ROW()-4)/10)+1))</f>
        <v/>
      </c>
      <c r="T928" s="36"/>
      <c r="U928" s="36"/>
      <c r="V928" s="36"/>
      <c r="W928" s="36"/>
      <c r="X928" s="36"/>
      <c r="Y928" s="36"/>
      <c r="Z928" s="36"/>
    </row>
    <row r="929" ht="15.75" customHeight="1">
      <c r="A929" s="96" t="str">
        <f t="array" ref="A929">IF(B929="","",INDEX('Bán nhanh'!$A$4:$A$103,INT((ROW()-4)/10)+1))</f>
        <v/>
      </c>
      <c r="B929" s="36" t="str">
        <f t="array" ref="B929">IF(OR(INDEX('Bán nhanh'!$D$3:$M$3,1,MOD(ROW()-4,10)+1)="",INDEX('Bán nhanh'!$D$4:$M$103,INT((ROW()-4)/10)+1,MOD(ROW()-4,10)+1)&lt;=0),"",INDEX('Bán nhanh'!$D$3:$M$3,1,MOD(ROW()-4,10)+1))</f>
        <v/>
      </c>
      <c r="C929" s="36" t="str">
        <f t="array" ref="C929">IFERROR(INDEX('Sản phẩm'!$A$4:$A$103,MATCH(B929,'Sản phẩm'!$D$4:$D$103,0)),"")</f>
        <v/>
      </c>
      <c r="D929" s="36" t="str">
        <f t="array" ref="D929">IF(B929="","",INDEX('Bán nhanh'!$B$4:$B$103,INT((ROW()-4)/10)+1))</f>
        <v/>
      </c>
      <c r="E929" s="36" t="str">
        <f t="array" ref="E929">IFERROR(INDEX('Mẻ sữa'!$B$4:$B$203,MATCH(D929,'Mẻ sữa'!$C$4:$C$203,0)),"")</f>
        <v/>
      </c>
      <c r="F929" s="82">
        <f t="array" ref="F929">IF(B929="",0,INDEX('Bán nhanh'!$D$4:$M$103,INT((ROW()-4)/10)+1,MOD(ROW()-4,10)+1))</f>
        <v>0</v>
      </c>
      <c r="G929" s="83">
        <f t="array" ref="G929">IFERROR(INDEX('Sản phẩm'!$F$4:$F$103,MATCH(B929,'Sản phẩm'!$D$4:$D$103,0)),0)</f>
        <v>0</v>
      </c>
      <c r="H929" s="83">
        <f t="shared" si="5"/>
        <v>0</v>
      </c>
      <c r="I929" s="83">
        <f t="shared" si="1"/>
        <v>0</v>
      </c>
      <c r="J929" s="83">
        <f t="array" ref="J929">IFERROR(INDEX('Sản phẩm'!$G$4:$G$103,MATCH(B929,'Sản phẩm'!$D$4:$D$103,0)),0)</f>
        <v>0</v>
      </c>
      <c r="K929" s="83">
        <f t="array" ref="K929">IFERROR(J929*INDEX('Mẻ sữa'!$N$4:$N$203,MATCH(D929,'Mẻ sữa'!$C$4:$C$203,0)),0)</f>
        <v>0</v>
      </c>
      <c r="L929" s="83">
        <f t="array" ref="L929">IFERROR(INDEX('Sản phẩm'!$I$4:$I$103,MATCH(B929,'Sản phẩm'!$D$4:$D$103,0)),0)</f>
        <v>0</v>
      </c>
      <c r="M929" s="97" t="str">
        <f t="array" ref="M929">IFERROR(INDEX('Sản phẩm'!$J$4:$J$103,MATCH(B929,'Sản phẩm'!$D$4:$D$103,0)),0)</f>
        <v/>
      </c>
      <c r="N929" s="83">
        <f>IF(B929="",0,(K929+L929+M929)*'Thiết lập'!$B$8)</f>
        <v>0</v>
      </c>
      <c r="O929" s="83">
        <f t="shared" si="2"/>
        <v>0</v>
      </c>
      <c r="P929" s="83">
        <f t="shared" si="3"/>
        <v>0</v>
      </c>
      <c r="Q929" s="83">
        <f t="shared" si="4"/>
        <v>0</v>
      </c>
      <c r="R929" s="36" t="str">
        <f t="array" ref="R929">IF(B929="","",INDEX('Bán nhanh'!$C$4:$C$103,INT((ROW()-4)/10)+1))</f>
        <v/>
      </c>
      <c r="S929" s="36" t="str">
        <f t="array" ref="S929">IF(B929="","",INDEX('Bán nhanh'!$P$4:$P$103,INT((ROW()-4)/10)+1))</f>
        <v/>
      </c>
      <c r="T929" s="36"/>
      <c r="U929" s="36"/>
      <c r="V929" s="36"/>
      <c r="W929" s="36"/>
      <c r="X929" s="36"/>
      <c r="Y929" s="36"/>
      <c r="Z929" s="36"/>
    </row>
    <row r="930" ht="15.75" customHeight="1">
      <c r="A930" s="96" t="str">
        <f t="array" ref="A930">IF(B930="","",INDEX('Bán nhanh'!$A$4:$A$103,INT((ROW()-4)/10)+1))</f>
        <v/>
      </c>
      <c r="B930" s="36" t="str">
        <f t="array" ref="B930">IF(OR(INDEX('Bán nhanh'!$D$3:$M$3,1,MOD(ROW()-4,10)+1)="",INDEX('Bán nhanh'!$D$4:$M$103,INT((ROW()-4)/10)+1,MOD(ROW()-4,10)+1)&lt;=0),"",INDEX('Bán nhanh'!$D$3:$M$3,1,MOD(ROW()-4,10)+1))</f>
        <v/>
      </c>
      <c r="C930" s="36" t="str">
        <f t="array" ref="C930">IFERROR(INDEX('Sản phẩm'!$A$4:$A$103,MATCH(B930,'Sản phẩm'!$D$4:$D$103,0)),"")</f>
        <v/>
      </c>
      <c r="D930" s="36" t="str">
        <f t="array" ref="D930">IF(B930="","",INDEX('Bán nhanh'!$B$4:$B$103,INT((ROW()-4)/10)+1))</f>
        <v/>
      </c>
      <c r="E930" s="36" t="str">
        <f t="array" ref="E930">IFERROR(INDEX('Mẻ sữa'!$B$4:$B$203,MATCH(D930,'Mẻ sữa'!$C$4:$C$203,0)),"")</f>
        <v/>
      </c>
      <c r="F930" s="82">
        <f t="array" ref="F930">IF(B930="",0,INDEX('Bán nhanh'!$D$4:$M$103,INT((ROW()-4)/10)+1,MOD(ROW()-4,10)+1))</f>
        <v>0</v>
      </c>
      <c r="G930" s="83">
        <f t="array" ref="G930">IFERROR(INDEX('Sản phẩm'!$F$4:$F$103,MATCH(B930,'Sản phẩm'!$D$4:$D$103,0)),0)</f>
        <v>0</v>
      </c>
      <c r="H930" s="83">
        <f t="shared" si="5"/>
        <v>0</v>
      </c>
      <c r="I930" s="83">
        <f t="shared" si="1"/>
        <v>0</v>
      </c>
      <c r="J930" s="83">
        <f t="array" ref="J930">IFERROR(INDEX('Sản phẩm'!$G$4:$G$103,MATCH(B930,'Sản phẩm'!$D$4:$D$103,0)),0)</f>
        <v>0</v>
      </c>
      <c r="K930" s="83">
        <f t="array" ref="K930">IFERROR(J930*INDEX('Mẻ sữa'!$N$4:$N$203,MATCH(D930,'Mẻ sữa'!$C$4:$C$203,0)),0)</f>
        <v>0</v>
      </c>
      <c r="L930" s="83">
        <f t="array" ref="L930">IFERROR(INDEX('Sản phẩm'!$I$4:$I$103,MATCH(B930,'Sản phẩm'!$D$4:$D$103,0)),0)</f>
        <v>0</v>
      </c>
      <c r="M930" s="97" t="str">
        <f t="array" ref="M930">IFERROR(INDEX('Sản phẩm'!$J$4:$J$103,MATCH(B930,'Sản phẩm'!$D$4:$D$103,0)),0)</f>
        <v/>
      </c>
      <c r="N930" s="83">
        <f>IF(B930="",0,(K930+L930+M930)*'Thiết lập'!$B$8)</f>
        <v>0</v>
      </c>
      <c r="O930" s="83">
        <f t="shared" si="2"/>
        <v>0</v>
      </c>
      <c r="P930" s="83">
        <f t="shared" si="3"/>
        <v>0</v>
      </c>
      <c r="Q930" s="83">
        <f t="shared" si="4"/>
        <v>0</v>
      </c>
      <c r="R930" s="36" t="str">
        <f t="array" ref="R930">IF(B930="","",INDEX('Bán nhanh'!$C$4:$C$103,INT((ROW()-4)/10)+1))</f>
        <v/>
      </c>
      <c r="S930" s="36" t="str">
        <f t="array" ref="S930">IF(B930="","",INDEX('Bán nhanh'!$P$4:$P$103,INT((ROW()-4)/10)+1))</f>
        <v/>
      </c>
      <c r="T930" s="36"/>
      <c r="U930" s="36"/>
      <c r="V930" s="36"/>
      <c r="W930" s="36"/>
      <c r="X930" s="36"/>
      <c r="Y930" s="36"/>
      <c r="Z930" s="36"/>
    </row>
    <row r="931" ht="15.75" customHeight="1">
      <c r="A931" s="96" t="str">
        <f t="array" ref="A931">IF(B931="","",INDEX('Bán nhanh'!$A$4:$A$103,INT((ROW()-4)/10)+1))</f>
        <v/>
      </c>
      <c r="B931" s="36" t="str">
        <f t="array" ref="B931">IF(OR(INDEX('Bán nhanh'!$D$3:$M$3,1,MOD(ROW()-4,10)+1)="",INDEX('Bán nhanh'!$D$4:$M$103,INT((ROW()-4)/10)+1,MOD(ROW()-4,10)+1)&lt;=0),"",INDEX('Bán nhanh'!$D$3:$M$3,1,MOD(ROW()-4,10)+1))</f>
        <v/>
      </c>
      <c r="C931" s="36" t="str">
        <f t="array" ref="C931">IFERROR(INDEX('Sản phẩm'!$A$4:$A$103,MATCH(B931,'Sản phẩm'!$D$4:$D$103,0)),"")</f>
        <v/>
      </c>
      <c r="D931" s="36" t="str">
        <f t="array" ref="D931">IF(B931="","",INDEX('Bán nhanh'!$B$4:$B$103,INT((ROW()-4)/10)+1))</f>
        <v/>
      </c>
      <c r="E931" s="36" t="str">
        <f t="array" ref="E931">IFERROR(INDEX('Mẻ sữa'!$B$4:$B$203,MATCH(D931,'Mẻ sữa'!$C$4:$C$203,0)),"")</f>
        <v/>
      </c>
      <c r="F931" s="82">
        <f t="array" ref="F931">IF(B931="",0,INDEX('Bán nhanh'!$D$4:$M$103,INT((ROW()-4)/10)+1,MOD(ROW()-4,10)+1))</f>
        <v>0</v>
      </c>
      <c r="G931" s="83">
        <f t="array" ref="G931">IFERROR(INDEX('Sản phẩm'!$F$4:$F$103,MATCH(B931,'Sản phẩm'!$D$4:$D$103,0)),0)</f>
        <v>0</v>
      </c>
      <c r="H931" s="83">
        <f t="shared" si="5"/>
        <v>0</v>
      </c>
      <c r="I931" s="83">
        <f t="shared" si="1"/>
        <v>0</v>
      </c>
      <c r="J931" s="83">
        <f t="array" ref="J931">IFERROR(INDEX('Sản phẩm'!$G$4:$G$103,MATCH(B931,'Sản phẩm'!$D$4:$D$103,0)),0)</f>
        <v>0</v>
      </c>
      <c r="K931" s="83">
        <f t="array" ref="K931">IFERROR(J931*INDEX('Mẻ sữa'!$N$4:$N$203,MATCH(D931,'Mẻ sữa'!$C$4:$C$203,0)),0)</f>
        <v>0</v>
      </c>
      <c r="L931" s="83">
        <f t="array" ref="L931">IFERROR(INDEX('Sản phẩm'!$I$4:$I$103,MATCH(B931,'Sản phẩm'!$D$4:$D$103,0)),0)</f>
        <v>0</v>
      </c>
      <c r="M931" s="97" t="str">
        <f t="array" ref="M931">IFERROR(INDEX('Sản phẩm'!$J$4:$J$103,MATCH(B931,'Sản phẩm'!$D$4:$D$103,0)),0)</f>
        <v/>
      </c>
      <c r="N931" s="83">
        <f>IF(B931="",0,(K931+L931+M931)*'Thiết lập'!$B$8)</f>
        <v>0</v>
      </c>
      <c r="O931" s="83">
        <f t="shared" si="2"/>
        <v>0</v>
      </c>
      <c r="P931" s="83">
        <f t="shared" si="3"/>
        <v>0</v>
      </c>
      <c r="Q931" s="83">
        <f t="shared" si="4"/>
        <v>0</v>
      </c>
      <c r="R931" s="36" t="str">
        <f t="array" ref="R931">IF(B931="","",INDEX('Bán nhanh'!$C$4:$C$103,INT((ROW()-4)/10)+1))</f>
        <v/>
      </c>
      <c r="S931" s="36" t="str">
        <f t="array" ref="S931">IF(B931="","",INDEX('Bán nhanh'!$P$4:$P$103,INT((ROW()-4)/10)+1))</f>
        <v/>
      </c>
      <c r="T931" s="36"/>
      <c r="U931" s="36"/>
      <c r="V931" s="36"/>
      <c r="W931" s="36"/>
      <c r="X931" s="36"/>
      <c r="Y931" s="36"/>
      <c r="Z931" s="36"/>
    </row>
    <row r="932" ht="15.75" customHeight="1">
      <c r="A932" s="96" t="str">
        <f t="array" ref="A932">IF(B932="","",INDEX('Bán nhanh'!$A$4:$A$103,INT((ROW()-4)/10)+1))</f>
        <v/>
      </c>
      <c r="B932" s="36" t="str">
        <f t="array" ref="B932">IF(OR(INDEX('Bán nhanh'!$D$3:$M$3,1,MOD(ROW()-4,10)+1)="",INDEX('Bán nhanh'!$D$4:$M$103,INT((ROW()-4)/10)+1,MOD(ROW()-4,10)+1)&lt;=0),"",INDEX('Bán nhanh'!$D$3:$M$3,1,MOD(ROW()-4,10)+1))</f>
        <v/>
      </c>
      <c r="C932" s="36" t="str">
        <f t="array" ref="C932">IFERROR(INDEX('Sản phẩm'!$A$4:$A$103,MATCH(B932,'Sản phẩm'!$D$4:$D$103,0)),"")</f>
        <v/>
      </c>
      <c r="D932" s="36" t="str">
        <f t="array" ref="D932">IF(B932="","",INDEX('Bán nhanh'!$B$4:$B$103,INT((ROW()-4)/10)+1))</f>
        <v/>
      </c>
      <c r="E932" s="36" t="str">
        <f t="array" ref="E932">IFERROR(INDEX('Mẻ sữa'!$B$4:$B$203,MATCH(D932,'Mẻ sữa'!$C$4:$C$203,0)),"")</f>
        <v/>
      </c>
      <c r="F932" s="82">
        <f t="array" ref="F932">IF(B932="",0,INDEX('Bán nhanh'!$D$4:$M$103,INT((ROW()-4)/10)+1,MOD(ROW()-4,10)+1))</f>
        <v>0</v>
      </c>
      <c r="G932" s="83">
        <f t="array" ref="G932">IFERROR(INDEX('Sản phẩm'!$F$4:$F$103,MATCH(B932,'Sản phẩm'!$D$4:$D$103,0)),0)</f>
        <v>0</v>
      </c>
      <c r="H932" s="83">
        <f t="shared" si="5"/>
        <v>0</v>
      </c>
      <c r="I932" s="83">
        <f t="shared" si="1"/>
        <v>0</v>
      </c>
      <c r="J932" s="83">
        <f t="array" ref="J932">IFERROR(INDEX('Sản phẩm'!$G$4:$G$103,MATCH(B932,'Sản phẩm'!$D$4:$D$103,0)),0)</f>
        <v>0</v>
      </c>
      <c r="K932" s="83">
        <f t="array" ref="K932">IFERROR(J932*INDEX('Mẻ sữa'!$N$4:$N$203,MATCH(D932,'Mẻ sữa'!$C$4:$C$203,0)),0)</f>
        <v>0</v>
      </c>
      <c r="L932" s="83">
        <f t="array" ref="L932">IFERROR(INDEX('Sản phẩm'!$I$4:$I$103,MATCH(B932,'Sản phẩm'!$D$4:$D$103,0)),0)</f>
        <v>0</v>
      </c>
      <c r="M932" s="97" t="str">
        <f t="array" ref="M932">IFERROR(INDEX('Sản phẩm'!$J$4:$J$103,MATCH(B932,'Sản phẩm'!$D$4:$D$103,0)),0)</f>
        <v/>
      </c>
      <c r="N932" s="83">
        <f>IF(B932="",0,(K932+L932+M932)*'Thiết lập'!$B$8)</f>
        <v>0</v>
      </c>
      <c r="O932" s="83">
        <f t="shared" si="2"/>
        <v>0</v>
      </c>
      <c r="P932" s="83">
        <f t="shared" si="3"/>
        <v>0</v>
      </c>
      <c r="Q932" s="83">
        <f t="shared" si="4"/>
        <v>0</v>
      </c>
      <c r="R932" s="36" t="str">
        <f t="array" ref="R932">IF(B932="","",INDEX('Bán nhanh'!$C$4:$C$103,INT((ROW()-4)/10)+1))</f>
        <v/>
      </c>
      <c r="S932" s="36" t="str">
        <f t="array" ref="S932">IF(B932="","",INDEX('Bán nhanh'!$P$4:$P$103,INT((ROW()-4)/10)+1))</f>
        <v/>
      </c>
      <c r="T932" s="36"/>
      <c r="U932" s="36"/>
      <c r="V932" s="36"/>
      <c r="W932" s="36"/>
      <c r="X932" s="36"/>
      <c r="Y932" s="36"/>
      <c r="Z932" s="36"/>
    </row>
    <row r="933" ht="15.75" customHeight="1">
      <c r="A933" s="96" t="str">
        <f t="array" ref="A933">IF(B933="","",INDEX('Bán nhanh'!$A$4:$A$103,INT((ROW()-4)/10)+1))</f>
        <v/>
      </c>
      <c r="B933" s="36" t="str">
        <f t="array" ref="B933">IF(OR(INDEX('Bán nhanh'!$D$3:$M$3,1,MOD(ROW()-4,10)+1)="",INDEX('Bán nhanh'!$D$4:$M$103,INT((ROW()-4)/10)+1,MOD(ROW()-4,10)+1)&lt;=0),"",INDEX('Bán nhanh'!$D$3:$M$3,1,MOD(ROW()-4,10)+1))</f>
        <v/>
      </c>
      <c r="C933" s="36" t="str">
        <f t="array" ref="C933">IFERROR(INDEX('Sản phẩm'!$A$4:$A$103,MATCH(B933,'Sản phẩm'!$D$4:$D$103,0)),"")</f>
        <v/>
      </c>
      <c r="D933" s="36" t="str">
        <f t="array" ref="D933">IF(B933="","",INDEX('Bán nhanh'!$B$4:$B$103,INT((ROW()-4)/10)+1))</f>
        <v/>
      </c>
      <c r="E933" s="36" t="str">
        <f t="array" ref="E933">IFERROR(INDEX('Mẻ sữa'!$B$4:$B$203,MATCH(D933,'Mẻ sữa'!$C$4:$C$203,0)),"")</f>
        <v/>
      </c>
      <c r="F933" s="82">
        <f t="array" ref="F933">IF(B933="",0,INDEX('Bán nhanh'!$D$4:$M$103,INT((ROW()-4)/10)+1,MOD(ROW()-4,10)+1))</f>
        <v>0</v>
      </c>
      <c r="G933" s="83">
        <f t="array" ref="G933">IFERROR(INDEX('Sản phẩm'!$F$4:$F$103,MATCH(B933,'Sản phẩm'!$D$4:$D$103,0)),0)</f>
        <v>0</v>
      </c>
      <c r="H933" s="83">
        <f t="shared" si="5"/>
        <v>0</v>
      </c>
      <c r="I933" s="83">
        <f t="shared" si="1"/>
        <v>0</v>
      </c>
      <c r="J933" s="83">
        <f t="array" ref="J933">IFERROR(INDEX('Sản phẩm'!$G$4:$G$103,MATCH(B933,'Sản phẩm'!$D$4:$D$103,0)),0)</f>
        <v>0</v>
      </c>
      <c r="K933" s="83">
        <f t="array" ref="K933">IFERROR(J933*INDEX('Mẻ sữa'!$N$4:$N$203,MATCH(D933,'Mẻ sữa'!$C$4:$C$203,0)),0)</f>
        <v>0</v>
      </c>
      <c r="L933" s="83">
        <f t="array" ref="L933">IFERROR(INDEX('Sản phẩm'!$I$4:$I$103,MATCH(B933,'Sản phẩm'!$D$4:$D$103,0)),0)</f>
        <v>0</v>
      </c>
      <c r="M933" s="97" t="str">
        <f t="array" ref="M933">IFERROR(INDEX('Sản phẩm'!$J$4:$J$103,MATCH(B933,'Sản phẩm'!$D$4:$D$103,0)),0)</f>
        <v/>
      </c>
      <c r="N933" s="83">
        <f>IF(B933="",0,(K933+L933+M933)*'Thiết lập'!$B$8)</f>
        <v>0</v>
      </c>
      <c r="O933" s="83">
        <f t="shared" si="2"/>
        <v>0</v>
      </c>
      <c r="P933" s="83">
        <f t="shared" si="3"/>
        <v>0</v>
      </c>
      <c r="Q933" s="83">
        <f t="shared" si="4"/>
        <v>0</v>
      </c>
      <c r="R933" s="36" t="str">
        <f t="array" ref="R933">IF(B933="","",INDEX('Bán nhanh'!$C$4:$C$103,INT((ROW()-4)/10)+1))</f>
        <v/>
      </c>
      <c r="S933" s="36" t="str">
        <f t="array" ref="S933">IF(B933="","",INDEX('Bán nhanh'!$P$4:$P$103,INT((ROW()-4)/10)+1))</f>
        <v/>
      </c>
      <c r="T933" s="36"/>
      <c r="U933" s="36"/>
      <c r="V933" s="36"/>
      <c r="W933" s="36"/>
      <c r="X933" s="36"/>
      <c r="Y933" s="36"/>
      <c r="Z933" s="36"/>
    </row>
    <row r="934" ht="15.75" customHeight="1">
      <c r="A934" s="96" t="str">
        <f t="array" ref="A934">IF(B934="","",INDEX('Bán nhanh'!$A$4:$A$103,INT((ROW()-4)/10)+1))</f>
        <v/>
      </c>
      <c r="B934" s="36" t="str">
        <f t="array" ref="B934">IF(OR(INDEX('Bán nhanh'!$D$3:$M$3,1,MOD(ROW()-4,10)+1)="",INDEX('Bán nhanh'!$D$4:$M$103,INT((ROW()-4)/10)+1,MOD(ROW()-4,10)+1)&lt;=0),"",INDEX('Bán nhanh'!$D$3:$M$3,1,MOD(ROW()-4,10)+1))</f>
        <v/>
      </c>
      <c r="C934" s="36" t="str">
        <f t="array" ref="C934">IFERROR(INDEX('Sản phẩm'!$A$4:$A$103,MATCH(B934,'Sản phẩm'!$D$4:$D$103,0)),"")</f>
        <v/>
      </c>
      <c r="D934" s="36" t="str">
        <f t="array" ref="D934">IF(B934="","",INDEX('Bán nhanh'!$B$4:$B$103,INT((ROW()-4)/10)+1))</f>
        <v/>
      </c>
      <c r="E934" s="36" t="str">
        <f t="array" ref="E934">IFERROR(INDEX('Mẻ sữa'!$B$4:$B$203,MATCH(D934,'Mẻ sữa'!$C$4:$C$203,0)),"")</f>
        <v/>
      </c>
      <c r="F934" s="82">
        <f t="array" ref="F934">IF(B934="",0,INDEX('Bán nhanh'!$D$4:$M$103,INT((ROW()-4)/10)+1,MOD(ROW()-4,10)+1))</f>
        <v>0</v>
      </c>
      <c r="G934" s="83">
        <f t="array" ref="G934">IFERROR(INDEX('Sản phẩm'!$F$4:$F$103,MATCH(B934,'Sản phẩm'!$D$4:$D$103,0)),0)</f>
        <v>0</v>
      </c>
      <c r="H934" s="83">
        <f t="shared" si="5"/>
        <v>0</v>
      </c>
      <c r="I934" s="83">
        <f t="shared" si="1"/>
        <v>0</v>
      </c>
      <c r="J934" s="83">
        <f t="array" ref="J934">IFERROR(INDEX('Sản phẩm'!$G$4:$G$103,MATCH(B934,'Sản phẩm'!$D$4:$D$103,0)),0)</f>
        <v>0</v>
      </c>
      <c r="K934" s="83">
        <f t="array" ref="K934">IFERROR(J934*INDEX('Mẻ sữa'!$N$4:$N$203,MATCH(D934,'Mẻ sữa'!$C$4:$C$203,0)),0)</f>
        <v>0</v>
      </c>
      <c r="L934" s="83">
        <f t="array" ref="L934">IFERROR(INDEX('Sản phẩm'!$I$4:$I$103,MATCH(B934,'Sản phẩm'!$D$4:$D$103,0)),0)</f>
        <v>0</v>
      </c>
      <c r="M934" s="97" t="str">
        <f t="array" ref="M934">IFERROR(INDEX('Sản phẩm'!$J$4:$J$103,MATCH(B934,'Sản phẩm'!$D$4:$D$103,0)),0)</f>
        <v/>
      </c>
      <c r="N934" s="83">
        <f>IF(B934="",0,(K934+L934+M934)*'Thiết lập'!$B$8)</f>
        <v>0</v>
      </c>
      <c r="O934" s="83">
        <f t="shared" si="2"/>
        <v>0</v>
      </c>
      <c r="P934" s="83">
        <f t="shared" si="3"/>
        <v>0</v>
      </c>
      <c r="Q934" s="83">
        <f t="shared" si="4"/>
        <v>0</v>
      </c>
      <c r="R934" s="36" t="str">
        <f t="array" ref="R934">IF(B934="","",INDEX('Bán nhanh'!$C$4:$C$103,INT((ROW()-4)/10)+1))</f>
        <v/>
      </c>
      <c r="S934" s="36" t="str">
        <f t="array" ref="S934">IF(B934="","",INDEX('Bán nhanh'!$P$4:$P$103,INT((ROW()-4)/10)+1))</f>
        <v/>
      </c>
      <c r="T934" s="36"/>
      <c r="U934" s="36"/>
      <c r="V934" s="36"/>
      <c r="W934" s="36"/>
      <c r="X934" s="36"/>
      <c r="Y934" s="36"/>
      <c r="Z934" s="36"/>
    </row>
    <row r="935" ht="15.75" customHeight="1">
      <c r="A935" s="96" t="str">
        <f t="array" ref="A935">IF(B935="","",INDEX('Bán nhanh'!$A$4:$A$103,INT((ROW()-4)/10)+1))</f>
        <v/>
      </c>
      <c r="B935" s="36" t="str">
        <f t="array" ref="B935">IF(OR(INDEX('Bán nhanh'!$D$3:$M$3,1,MOD(ROW()-4,10)+1)="",INDEX('Bán nhanh'!$D$4:$M$103,INT((ROW()-4)/10)+1,MOD(ROW()-4,10)+1)&lt;=0),"",INDEX('Bán nhanh'!$D$3:$M$3,1,MOD(ROW()-4,10)+1))</f>
        <v/>
      </c>
      <c r="C935" s="36" t="str">
        <f t="array" ref="C935">IFERROR(INDEX('Sản phẩm'!$A$4:$A$103,MATCH(B935,'Sản phẩm'!$D$4:$D$103,0)),"")</f>
        <v/>
      </c>
      <c r="D935" s="36" t="str">
        <f t="array" ref="D935">IF(B935="","",INDEX('Bán nhanh'!$B$4:$B$103,INT((ROW()-4)/10)+1))</f>
        <v/>
      </c>
      <c r="E935" s="36" t="str">
        <f t="array" ref="E935">IFERROR(INDEX('Mẻ sữa'!$B$4:$B$203,MATCH(D935,'Mẻ sữa'!$C$4:$C$203,0)),"")</f>
        <v/>
      </c>
      <c r="F935" s="82">
        <f t="array" ref="F935">IF(B935="",0,INDEX('Bán nhanh'!$D$4:$M$103,INT((ROW()-4)/10)+1,MOD(ROW()-4,10)+1))</f>
        <v>0</v>
      </c>
      <c r="G935" s="83">
        <f t="array" ref="G935">IFERROR(INDEX('Sản phẩm'!$F$4:$F$103,MATCH(B935,'Sản phẩm'!$D$4:$D$103,0)),0)</f>
        <v>0</v>
      </c>
      <c r="H935" s="83">
        <f t="shared" si="5"/>
        <v>0</v>
      </c>
      <c r="I935" s="83">
        <f t="shared" si="1"/>
        <v>0</v>
      </c>
      <c r="J935" s="83">
        <f t="array" ref="J935">IFERROR(INDEX('Sản phẩm'!$G$4:$G$103,MATCH(B935,'Sản phẩm'!$D$4:$D$103,0)),0)</f>
        <v>0</v>
      </c>
      <c r="K935" s="83">
        <f t="array" ref="K935">IFERROR(J935*INDEX('Mẻ sữa'!$N$4:$N$203,MATCH(D935,'Mẻ sữa'!$C$4:$C$203,0)),0)</f>
        <v>0</v>
      </c>
      <c r="L935" s="83">
        <f t="array" ref="L935">IFERROR(INDEX('Sản phẩm'!$I$4:$I$103,MATCH(B935,'Sản phẩm'!$D$4:$D$103,0)),0)</f>
        <v>0</v>
      </c>
      <c r="M935" s="97" t="str">
        <f t="array" ref="M935">IFERROR(INDEX('Sản phẩm'!$J$4:$J$103,MATCH(B935,'Sản phẩm'!$D$4:$D$103,0)),0)</f>
        <v/>
      </c>
      <c r="N935" s="83">
        <f>IF(B935="",0,(K935+L935+M935)*'Thiết lập'!$B$8)</f>
        <v>0</v>
      </c>
      <c r="O935" s="83">
        <f t="shared" si="2"/>
        <v>0</v>
      </c>
      <c r="P935" s="83">
        <f t="shared" si="3"/>
        <v>0</v>
      </c>
      <c r="Q935" s="83">
        <f t="shared" si="4"/>
        <v>0</v>
      </c>
      <c r="R935" s="36" t="str">
        <f t="array" ref="R935">IF(B935="","",INDEX('Bán nhanh'!$C$4:$C$103,INT((ROW()-4)/10)+1))</f>
        <v/>
      </c>
      <c r="S935" s="36" t="str">
        <f t="array" ref="S935">IF(B935="","",INDEX('Bán nhanh'!$P$4:$P$103,INT((ROW()-4)/10)+1))</f>
        <v/>
      </c>
      <c r="T935" s="36"/>
      <c r="U935" s="36"/>
      <c r="V935" s="36"/>
      <c r="W935" s="36"/>
      <c r="X935" s="36"/>
      <c r="Y935" s="36"/>
      <c r="Z935" s="36"/>
    </row>
    <row r="936" ht="15.75" customHeight="1">
      <c r="A936" s="96" t="str">
        <f t="array" ref="A936">IF(B936="","",INDEX('Bán nhanh'!$A$4:$A$103,INT((ROW()-4)/10)+1))</f>
        <v/>
      </c>
      <c r="B936" s="36" t="str">
        <f t="array" ref="B936">IF(OR(INDEX('Bán nhanh'!$D$3:$M$3,1,MOD(ROW()-4,10)+1)="",INDEX('Bán nhanh'!$D$4:$M$103,INT((ROW()-4)/10)+1,MOD(ROW()-4,10)+1)&lt;=0),"",INDEX('Bán nhanh'!$D$3:$M$3,1,MOD(ROW()-4,10)+1))</f>
        <v/>
      </c>
      <c r="C936" s="36" t="str">
        <f t="array" ref="C936">IFERROR(INDEX('Sản phẩm'!$A$4:$A$103,MATCH(B936,'Sản phẩm'!$D$4:$D$103,0)),"")</f>
        <v/>
      </c>
      <c r="D936" s="36" t="str">
        <f t="array" ref="D936">IF(B936="","",INDEX('Bán nhanh'!$B$4:$B$103,INT((ROW()-4)/10)+1))</f>
        <v/>
      </c>
      <c r="E936" s="36" t="str">
        <f t="array" ref="E936">IFERROR(INDEX('Mẻ sữa'!$B$4:$B$203,MATCH(D936,'Mẻ sữa'!$C$4:$C$203,0)),"")</f>
        <v/>
      </c>
      <c r="F936" s="82">
        <f t="array" ref="F936">IF(B936="",0,INDEX('Bán nhanh'!$D$4:$M$103,INT((ROW()-4)/10)+1,MOD(ROW()-4,10)+1))</f>
        <v>0</v>
      </c>
      <c r="G936" s="83">
        <f t="array" ref="G936">IFERROR(INDEX('Sản phẩm'!$F$4:$F$103,MATCH(B936,'Sản phẩm'!$D$4:$D$103,0)),0)</f>
        <v>0</v>
      </c>
      <c r="H936" s="83">
        <f t="shared" si="5"/>
        <v>0</v>
      </c>
      <c r="I936" s="83">
        <f t="shared" si="1"/>
        <v>0</v>
      </c>
      <c r="J936" s="83">
        <f t="array" ref="J936">IFERROR(INDEX('Sản phẩm'!$G$4:$G$103,MATCH(B936,'Sản phẩm'!$D$4:$D$103,0)),0)</f>
        <v>0</v>
      </c>
      <c r="K936" s="83">
        <f t="array" ref="K936">IFERROR(J936*INDEX('Mẻ sữa'!$N$4:$N$203,MATCH(D936,'Mẻ sữa'!$C$4:$C$203,0)),0)</f>
        <v>0</v>
      </c>
      <c r="L936" s="83">
        <f t="array" ref="L936">IFERROR(INDEX('Sản phẩm'!$I$4:$I$103,MATCH(B936,'Sản phẩm'!$D$4:$D$103,0)),0)</f>
        <v>0</v>
      </c>
      <c r="M936" s="97" t="str">
        <f t="array" ref="M936">IFERROR(INDEX('Sản phẩm'!$J$4:$J$103,MATCH(B936,'Sản phẩm'!$D$4:$D$103,0)),0)</f>
        <v/>
      </c>
      <c r="N936" s="83">
        <f>IF(B936="",0,(K936+L936+M936)*'Thiết lập'!$B$8)</f>
        <v>0</v>
      </c>
      <c r="O936" s="83">
        <f t="shared" si="2"/>
        <v>0</v>
      </c>
      <c r="P936" s="83">
        <f t="shared" si="3"/>
        <v>0</v>
      </c>
      <c r="Q936" s="83">
        <f t="shared" si="4"/>
        <v>0</v>
      </c>
      <c r="R936" s="36" t="str">
        <f t="array" ref="R936">IF(B936="","",INDEX('Bán nhanh'!$C$4:$C$103,INT((ROW()-4)/10)+1))</f>
        <v/>
      </c>
      <c r="S936" s="36" t="str">
        <f t="array" ref="S936">IF(B936="","",INDEX('Bán nhanh'!$P$4:$P$103,INT((ROW()-4)/10)+1))</f>
        <v/>
      </c>
      <c r="T936" s="36"/>
      <c r="U936" s="36"/>
      <c r="V936" s="36"/>
      <c r="W936" s="36"/>
      <c r="X936" s="36"/>
      <c r="Y936" s="36"/>
      <c r="Z936" s="36"/>
    </row>
    <row r="937" ht="15.75" customHeight="1">
      <c r="A937" s="96" t="str">
        <f t="array" ref="A937">IF(B937="","",INDEX('Bán nhanh'!$A$4:$A$103,INT((ROW()-4)/10)+1))</f>
        <v/>
      </c>
      <c r="B937" s="36" t="str">
        <f t="array" ref="B937">IF(OR(INDEX('Bán nhanh'!$D$3:$M$3,1,MOD(ROW()-4,10)+1)="",INDEX('Bán nhanh'!$D$4:$M$103,INT((ROW()-4)/10)+1,MOD(ROW()-4,10)+1)&lt;=0),"",INDEX('Bán nhanh'!$D$3:$M$3,1,MOD(ROW()-4,10)+1))</f>
        <v/>
      </c>
      <c r="C937" s="36" t="str">
        <f t="array" ref="C937">IFERROR(INDEX('Sản phẩm'!$A$4:$A$103,MATCH(B937,'Sản phẩm'!$D$4:$D$103,0)),"")</f>
        <v/>
      </c>
      <c r="D937" s="36" t="str">
        <f t="array" ref="D937">IF(B937="","",INDEX('Bán nhanh'!$B$4:$B$103,INT((ROW()-4)/10)+1))</f>
        <v/>
      </c>
      <c r="E937" s="36" t="str">
        <f t="array" ref="E937">IFERROR(INDEX('Mẻ sữa'!$B$4:$B$203,MATCH(D937,'Mẻ sữa'!$C$4:$C$203,0)),"")</f>
        <v/>
      </c>
      <c r="F937" s="82">
        <f t="array" ref="F937">IF(B937="",0,INDEX('Bán nhanh'!$D$4:$M$103,INT((ROW()-4)/10)+1,MOD(ROW()-4,10)+1))</f>
        <v>0</v>
      </c>
      <c r="G937" s="83">
        <f t="array" ref="G937">IFERROR(INDEX('Sản phẩm'!$F$4:$F$103,MATCH(B937,'Sản phẩm'!$D$4:$D$103,0)),0)</f>
        <v>0</v>
      </c>
      <c r="H937" s="83">
        <f t="shared" si="5"/>
        <v>0</v>
      </c>
      <c r="I937" s="83">
        <f t="shared" si="1"/>
        <v>0</v>
      </c>
      <c r="J937" s="83">
        <f t="array" ref="J937">IFERROR(INDEX('Sản phẩm'!$G$4:$G$103,MATCH(B937,'Sản phẩm'!$D$4:$D$103,0)),0)</f>
        <v>0</v>
      </c>
      <c r="K937" s="83">
        <f t="array" ref="K937">IFERROR(J937*INDEX('Mẻ sữa'!$N$4:$N$203,MATCH(D937,'Mẻ sữa'!$C$4:$C$203,0)),0)</f>
        <v>0</v>
      </c>
      <c r="L937" s="83">
        <f t="array" ref="L937">IFERROR(INDEX('Sản phẩm'!$I$4:$I$103,MATCH(B937,'Sản phẩm'!$D$4:$D$103,0)),0)</f>
        <v>0</v>
      </c>
      <c r="M937" s="97" t="str">
        <f t="array" ref="M937">IFERROR(INDEX('Sản phẩm'!$J$4:$J$103,MATCH(B937,'Sản phẩm'!$D$4:$D$103,0)),0)</f>
        <v/>
      </c>
      <c r="N937" s="83">
        <f>IF(B937="",0,(K937+L937+M937)*'Thiết lập'!$B$8)</f>
        <v>0</v>
      </c>
      <c r="O937" s="83">
        <f t="shared" si="2"/>
        <v>0</v>
      </c>
      <c r="P937" s="83">
        <f t="shared" si="3"/>
        <v>0</v>
      </c>
      <c r="Q937" s="83">
        <f t="shared" si="4"/>
        <v>0</v>
      </c>
      <c r="R937" s="36" t="str">
        <f t="array" ref="R937">IF(B937="","",INDEX('Bán nhanh'!$C$4:$C$103,INT((ROW()-4)/10)+1))</f>
        <v/>
      </c>
      <c r="S937" s="36" t="str">
        <f t="array" ref="S937">IF(B937="","",INDEX('Bán nhanh'!$P$4:$P$103,INT((ROW()-4)/10)+1))</f>
        <v/>
      </c>
      <c r="T937" s="36"/>
      <c r="U937" s="36"/>
      <c r="V937" s="36"/>
      <c r="W937" s="36"/>
      <c r="X937" s="36"/>
      <c r="Y937" s="36"/>
      <c r="Z937" s="36"/>
    </row>
    <row r="938" ht="15.75" customHeight="1">
      <c r="A938" s="96" t="str">
        <f t="array" ref="A938">IF(B938="","",INDEX('Bán nhanh'!$A$4:$A$103,INT((ROW()-4)/10)+1))</f>
        <v/>
      </c>
      <c r="B938" s="36" t="str">
        <f t="array" ref="B938">IF(OR(INDEX('Bán nhanh'!$D$3:$M$3,1,MOD(ROW()-4,10)+1)="",INDEX('Bán nhanh'!$D$4:$M$103,INT((ROW()-4)/10)+1,MOD(ROW()-4,10)+1)&lt;=0),"",INDEX('Bán nhanh'!$D$3:$M$3,1,MOD(ROW()-4,10)+1))</f>
        <v/>
      </c>
      <c r="C938" s="36" t="str">
        <f t="array" ref="C938">IFERROR(INDEX('Sản phẩm'!$A$4:$A$103,MATCH(B938,'Sản phẩm'!$D$4:$D$103,0)),"")</f>
        <v/>
      </c>
      <c r="D938" s="36" t="str">
        <f t="array" ref="D938">IF(B938="","",INDEX('Bán nhanh'!$B$4:$B$103,INT((ROW()-4)/10)+1))</f>
        <v/>
      </c>
      <c r="E938" s="36" t="str">
        <f t="array" ref="E938">IFERROR(INDEX('Mẻ sữa'!$B$4:$B$203,MATCH(D938,'Mẻ sữa'!$C$4:$C$203,0)),"")</f>
        <v/>
      </c>
      <c r="F938" s="82">
        <f t="array" ref="F938">IF(B938="",0,INDEX('Bán nhanh'!$D$4:$M$103,INT((ROW()-4)/10)+1,MOD(ROW()-4,10)+1))</f>
        <v>0</v>
      </c>
      <c r="G938" s="83">
        <f t="array" ref="G938">IFERROR(INDEX('Sản phẩm'!$F$4:$F$103,MATCH(B938,'Sản phẩm'!$D$4:$D$103,0)),0)</f>
        <v>0</v>
      </c>
      <c r="H938" s="83">
        <f t="shared" si="5"/>
        <v>0</v>
      </c>
      <c r="I938" s="83">
        <f t="shared" si="1"/>
        <v>0</v>
      </c>
      <c r="J938" s="83">
        <f t="array" ref="J938">IFERROR(INDEX('Sản phẩm'!$G$4:$G$103,MATCH(B938,'Sản phẩm'!$D$4:$D$103,0)),0)</f>
        <v>0</v>
      </c>
      <c r="K938" s="83">
        <f t="array" ref="K938">IFERROR(J938*INDEX('Mẻ sữa'!$N$4:$N$203,MATCH(D938,'Mẻ sữa'!$C$4:$C$203,0)),0)</f>
        <v>0</v>
      </c>
      <c r="L938" s="83">
        <f t="array" ref="L938">IFERROR(INDEX('Sản phẩm'!$I$4:$I$103,MATCH(B938,'Sản phẩm'!$D$4:$D$103,0)),0)</f>
        <v>0</v>
      </c>
      <c r="M938" s="97" t="str">
        <f t="array" ref="M938">IFERROR(INDEX('Sản phẩm'!$J$4:$J$103,MATCH(B938,'Sản phẩm'!$D$4:$D$103,0)),0)</f>
        <v/>
      </c>
      <c r="N938" s="83">
        <f>IF(B938="",0,(K938+L938+M938)*'Thiết lập'!$B$8)</f>
        <v>0</v>
      </c>
      <c r="O938" s="83">
        <f t="shared" si="2"/>
        <v>0</v>
      </c>
      <c r="P938" s="83">
        <f t="shared" si="3"/>
        <v>0</v>
      </c>
      <c r="Q938" s="83">
        <f t="shared" si="4"/>
        <v>0</v>
      </c>
      <c r="R938" s="36" t="str">
        <f t="array" ref="R938">IF(B938="","",INDEX('Bán nhanh'!$C$4:$C$103,INT((ROW()-4)/10)+1))</f>
        <v/>
      </c>
      <c r="S938" s="36" t="str">
        <f t="array" ref="S938">IF(B938="","",INDEX('Bán nhanh'!$P$4:$P$103,INT((ROW()-4)/10)+1))</f>
        <v/>
      </c>
      <c r="T938" s="36"/>
      <c r="U938" s="36"/>
      <c r="V938" s="36"/>
      <c r="W938" s="36"/>
      <c r="X938" s="36"/>
      <c r="Y938" s="36"/>
      <c r="Z938" s="36"/>
    </row>
    <row r="939" ht="15.75" customHeight="1">
      <c r="A939" s="96" t="str">
        <f t="array" ref="A939">IF(B939="","",INDEX('Bán nhanh'!$A$4:$A$103,INT((ROW()-4)/10)+1))</f>
        <v/>
      </c>
      <c r="B939" s="36" t="str">
        <f t="array" ref="B939">IF(OR(INDEX('Bán nhanh'!$D$3:$M$3,1,MOD(ROW()-4,10)+1)="",INDEX('Bán nhanh'!$D$4:$M$103,INT((ROW()-4)/10)+1,MOD(ROW()-4,10)+1)&lt;=0),"",INDEX('Bán nhanh'!$D$3:$M$3,1,MOD(ROW()-4,10)+1))</f>
        <v/>
      </c>
      <c r="C939" s="36" t="str">
        <f t="array" ref="C939">IFERROR(INDEX('Sản phẩm'!$A$4:$A$103,MATCH(B939,'Sản phẩm'!$D$4:$D$103,0)),"")</f>
        <v/>
      </c>
      <c r="D939" s="36" t="str">
        <f t="array" ref="D939">IF(B939="","",INDEX('Bán nhanh'!$B$4:$B$103,INT((ROW()-4)/10)+1))</f>
        <v/>
      </c>
      <c r="E939" s="36" t="str">
        <f t="array" ref="E939">IFERROR(INDEX('Mẻ sữa'!$B$4:$B$203,MATCH(D939,'Mẻ sữa'!$C$4:$C$203,0)),"")</f>
        <v/>
      </c>
      <c r="F939" s="82">
        <f t="array" ref="F939">IF(B939="",0,INDEX('Bán nhanh'!$D$4:$M$103,INT((ROW()-4)/10)+1,MOD(ROW()-4,10)+1))</f>
        <v>0</v>
      </c>
      <c r="G939" s="83">
        <f t="array" ref="G939">IFERROR(INDEX('Sản phẩm'!$F$4:$F$103,MATCH(B939,'Sản phẩm'!$D$4:$D$103,0)),0)</f>
        <v>0</v>
      </c>
      <c r="H939" s="83">
        <f t="shared" si="5"/>
        <v>0</v>
      </c>
      <c r="I939" s="83">
        <f t="shared" si="1"/>
        <v>0</v>
      </c>
      <c r="J939" s="83">
        <f t="array" ref="J939">IFERROR(INDEX('Sản phẩm'!$G$4:$G$103,MATCH(B939,'Sản phẩm'!$D$4:$D$103,0)),0)</f>
        <v>0</v>
      </c>
      <c r="K939" s="83">
        <f t="array" ref="K939">IFERROR(J939*INDEX('Mẻ sữa'!$N$4:$N$203,MATCH(D939,'Mẻ sữa'!$C$4:$C$203,0)),0)</f>
        <v>0</v>
      </c>
      <c r="L939" s="83">
        <f t="array" ref="L939">IFERROR(INDEX('Sản phẩm'!$I$4:$I$103,MATCH(B939,'Sản phẩm'!$D$4:$D$103,0)),0)</f>
        <v>0</v>
      </c>
      <c r="M939" s="97" t="str">
        <f t="array" ref="M939">IFERROR(INDEX('Sản phẩm'!$J$4:$J$103,MATCH(B939,'Sản phẩm'!$D$4:$D$103,0)),0)</f>
        <v/>
      </c>
      <c r="N939" s="83">
        <f>IF(B939="",0,(K939+L939+M939)*'Thiết lập'!$B$8)</f>
        <v>0</v>
      </c>
      <c r="O939" s="83">
        <f t="shared" si="2"/>
        <v>0</v>
      </c>
      <c r="P939" s="83">
        <f t="shared" si="3"/>
        <v>0</v>
      </c>
      <c r="Q939" s="83">
        <f t="shared" si="4"/>
        <v>0</v>
      </c>
      <c r="R939" s="36" t="str">
        <f t="array" ref="R939">IF(B939="","",INDEX('Bán nhanh'!$C$4:$C$103,INT((ROW()-4)/10)+1))</f>
        <v/>
      </c>
      <c r="S939" s="36" t="str">
        <f t="array" ref="S939">IF(B939="","",INDEX('Bán nhanh'!$P$4:$P$103,INT((ROW()-4)/10)+1))</f>
        <v/>
      </c>
      <c r="T939" s="36"/>
      <c r="U939" s="36"/>
      <c r="V939" s="36"/>
      <c r="W939" s="36"/>
      <c r="X939" s="36"/>
      <c r="Y939" s="36"/>
      <c r="Z939" s="36"/>
    </row>
    <row r="940" ht="15.75" customHeight="1">
      <c r="A940" s="96" t="str">
        <f t="array" ref="A940">IF(B940="","",INDEX('Bán nhanh'!$A$4:$A$103,INT((ROW()-4)/10)+1))</f>
        <v/>
      </c>
      <c r="B940" s="36" t="str">
        <f t="array" ref="B940">IF(OR(INDEX('Bán nhanh'!$D$3:$M$3,1,MOD(ROW()-4,10)+1)="",INDEX('Bán nhanh'!$D$4:$M$103,INT((ROW()-4)/10)+1,MOD(ROW()-4,10)+1)&lt;=0),"",INDEX('Bán nhanh'!$D$3:$M$3,1,MOD(ROW()-4,10)+1))</f>
        <v/>
      </c>
      <c r="C940" s="36" t="str">
        <f t="array" ref="C940">IFERROR(INDEX('Sản phẩm'!$A$4:$A$103,MATCH(B940,'Sản phẩm'!$D$4:$D$103,0)),"")</f>
        <v/>
      </c>
      <c r="D940" s="36" t="str">
        <f t="array" ref="D940">IF(B940="","",INDEX('Bán nhanh'!$B$4:$B$103,INT((ROW()-4)/10)+1))</f>
        <v/>
      </c>
      <c r="E940" s="36" t="str">
        <f t="array" ref="E940">IFERROR(INDEX('Mẻ sữa'!$B$4:$B$203,MATCH(D940,'Mẻ sữa'!$C$4:$C$203,0)),"")</f>
        <v/>
      </c>
      <c r="F940" s="82">
        <f t="array" ref="F940">IF(B940="",0,INDEX('Bán nhanh'!$D$4:$M$103,INT((ROW()-4)/10)+1,MOD(ROW()-4,10)+1))</f>
        <v>0</v>
      </c>
      <c r="G940" s="83">
        <f t="array" ref="G940">IFERROR(INDEX('Sản phẩm'!$F$4:$F$103,MATCH(B940,'Sản phẩm'!$D$4:$D$103,0)),0)</f>
        <v>0</v>
      </c>
      <c r="H940" s="83">
        <f t="shared" si="5"/>
        <v>0</v>
      </c>
      <c r="I940" s="83">
        <f t="shared" si="1"/>
        <v>0</v>
      </c>
      <c r="J940" s="83">
        <f t="array" ref="J940">IFERROR(INDEX('Sản phẩm'!$G$4:$G$103,MATCH(B940,'Sản phẩm'!$D$4:$D$103,0)),0)</f>
        <v>0</v>
      </c>
      <c r="K940" s="83">
        <f t="array" ref="K940">IFERROR(J940*INDEX('Mẻ sữa'!$N$4:$N$203,MATCH(D940,'Mẻ sữa'!$C$4:$C$203,0)),0)</f>
        <v>0</v>
      </c>
      <c r="L940" s="83">
        <f t="array" ref="L940">IFERROR(INDEX('Sản phẩm'!$I$4:$I$103,MATCH(B940,'Sản phẩm'!$D$4:$D$103,0)),0)</f>
        <v>0</v>
      </c>
      <c r="M940" s="97" t="str">
        <f t="array" ref="M940">IFERROR(INDEX('Sản phẩm'!$J$4:$J$103,MATCH(B940,'Sản phẩm'!$D$4:$D$103,0)),0)</f>
        <v/>
      </c>
      <c r="N940" s="83">
        <f>IF(B940="",0,(K940+L940+M940)*'Thiết lập'!$B$8)</f>
        <v>0</v>
      </c>
      <c r="O940" s="83">
        <f t="shared" si="2"/>
        <v>0</v>
      </c>
      <c r="P940" s="83">
        <f t="shared" si="3"/>
        <v>0</v>
      </c>
      <c r="Q940" s="83">
        <f t="shared" si="4"/>
        <v>0</v>
      </c>
      <c r="R940" s="36" t="str">
        <f t="array" ref="R940">IF(B940="","",INDEX('Bán nhanh'!$C$4:$C$103,INT((ROW()-4)/10)+1))</f>
        <v/>
      </c>
      <c r="S940" s="36" t="str">
        <f t="array" ref="S940">IF(B940="","",INDEX('Bán nhanh'!$P$4:$P$103,INT((ROW()-4)/10)+1))</f>
        <v/>
      </c>
      <c r="T940" s="36"/>
      <c r="U940" s="36"/>
      <c r="V940" s="36"/>
      <c r="W940" s="36"/>
      <c r="X940" s="36"/>
      <c r="Y940" s="36"/>
      <c r="Z940" s="36"/>
    </row>
    <row r="941" ht="15.75" customHeight="1">
      <c r="A941" s="96" t="str">
        <f t="array" ref="A941">IF(B941="","",INDEX('Bán nhanh'!$A$4:$A$103,INT((ROW()-4)/10)+1))</f>
        <v/>
      </c>
      <c r="B941" s="36" t="str">
        <f t="array" ref="B941">IF(OR(INDEX('Bán nhanh'!$D$3:$M$3,1,MOD(ROW()-4,10)+1)="",INDEX('Bán nhanh'!$D$4:$M$103,INT((ROW()-4)/10)+1,MOD(ROW()-4,10)+1)&lt;=0),"",INDEX('Bán nhanh'!$D$3:$M$3,1,MOD(ROW()-4,10)+1))</f>
        <v/>
      </c>
      <c r="C941" s="36" t="str">
        <f t="array" ref="C941">IFERROR(INDEX('Sản phẩm'!$A$4:$A$103,MATCH(B941,'Sản phẩm'!$D$4:$D$103,0)),"")</f>
        <v/>
      </c>
      <c r="D941" s="36" t="str">
        <f t="array" ref="D941">IF(B941="","",INDEX('Bán nhanh'!$B$4:$B$103,INT((ROW()-4)/10)+1))</f>
        <v/>
      </c>
      <c r="E941" s="36" t="str">
        <f t="array" ref="E941">IFERROR(INDEX('Mẻ sữa'!$B$4:$B$203,MATCH(D941,'Mẻ sữa'!$C$4:$C$203,0)),"")</f>
        <v/>
      </c>
      <c r="F941" s="82">
        <f t="array" ref="F941">IF(B941="",0,INDEX('Bán nhanh'!$D$4:$M$103,INT((ROW()-4)/10)+1,MOD(ROW()-4,10)+1))</f>
        <v>0</v>
      </c>
      <c r="G941" s="83">
        <f t="array" ref="G941">IFERROR(INDEX('Sản phẩm'!$F$4:$F$103,MATCH(B941,'Sản phẩm'!$D$4:$D$103,0)),0)</f>
        <v>0</v>
      </c>
      <c r="H941" s="83">
        <f t="shared" si="5"/>
        <v>0</v>
      </c>
      <c r="I941" s="83">
        <f t="shared" si="1"/>
        <v>0</v>
      </c>
      <c r="J941" s="83">
        <f t="array" ref="J941">IFERROR(INDEX('Sản phẩm'!$G$4:$G$103,MATCH(B941,'Sản phẩm'!$D$4:$D$103,0)),0)</f>
        <v>0</v>
      </c>
      <c r="K941" s="83">
        <f t="array" ref="K941">IFERROR(J941*INDEX('Mẻ sữa'!$N$4:$N$203,MATCH(D941,'Mẻ sữa'!$C$4:$C$203,0)),0)</f>
        <v>0</v>
      </c>
      <c r="L941" s="83">
        <f t="array" ref="L941">IFERROR(INDEX('Sản phẩm'!$I$4:$I$103,MATCH(B941,'Sản phẩm'!$D$4:$D$103,0)),0)</f>
        <v>0</v>
      </c>
      <c r="M941" s="97" t="str">
        <f t="array" ref="M941">IFERROR(INDEX('Sản phẩm'!$J$4:$J$103,MATCH(B941,'Sản phẩm'!$D$4:$D$103,0)),0)</f>
        <v/>
      </c>
      <c r="N941" s="83">
        <f>IF(B941="",0,(K941+L941+M941)*'Thiết lập'!$B$8)</f>
        <v>0</v>
      </c>
      <c r="O941" s="83">
        <f t="shared" si="2"/>
        <v>0</v>
      </c>
      <c r="P941" s="83">
        <f t="shared" si="3"/>
        <v>0</v>
      </c>
      <c r="Q941" s="83">
        <f t="shared" si="4"/>
        <v>0</v>
      </c>
      <c r="R941" s="36" t="str">
        <f t="array" ref="R941">IF(B941="","",INDEX('Bán nhanh'!$C$4:$C$103,INT((ROW()-4)/10)+1))</f>
        <v/>
      </c>
      <c r="S941" s="36" t="str">
        <f t="array" ref="S941">IF(B941="","",INDEX('Bán nhanh'!$P$4:$P$103,INT((ROW()-4)/10)+1))</f>
        <v/>
      </c>
      <c r="T941" s="36"/>
      <c r="U941" s="36"/>
      <c r="V941" s="36"/>
      <c r="W941" s="36"/>
      <c r="X941" s="36"/>
      <c r="Y941" s="36"/>
      <c r="Z941" s="36"/>
    </row>
    <row r="942" ht="15.75" customHeight="1">
      <c r="A942" s="96" t="str">
        <f t="array" ref="A942">IF(B942="","",INDEX('Bán nhanh'!$A$4:$A$103,INT((ROW()-4)/10)+1))</f>
        <v/>
      </c>
      <c r="B942" s="36" t="str">
        <f t="array" ref="B942">IF(OR(INDEX('Bán nhanh'!$D$3:$M$3,1,MOD(ROW()-4,10)+1)="",INDEX('Bán nhanh'!$D$4:$M$103,INT((ROW()-4)/10)+1,MOD(ROW()-4,10)+1)&lt;=0),"",INDEX('Bán nhanh'!$D$3:$M$3,1,MOD(ROW()-4,10)+1))</f>
        <v/>
      </c>
      <c r="C942" s="36" t="str">
        <f t="array" ref="C942">IFERROR(INDEX('Sản phẩm'!$A$4:$A$103,MATCH(B942,'Sản phẩm'!$D$4:$D$103,0)),"")</f>
        <v/>
      </c>
      <c r="D942" s="36" t="str">
        <f t="array" ref="D942">IF(B942="","",INDEX('Bán nhanh'!$B$4:$B$103,INT((ROW()-4)/10)+1))</f>
        <v/>
      </c>
      <c r="E942" s="36" t="str">
        <f t="array" ref="E942">IFERROR(INDEX('Mẻ sữa'!$B$4:$B$203,MATCH(D942,'Mẻ sữa'!$C$4:$C$203,0)),"")</f>
        <v/>
      </c>
      <c r="F942" s="82">
        <f t="array" ref="F942">IF(B942="",0,INDEX('Bán nhanh'!$D$4:$M$103,INT((ROW()-4)/10)+1,MOD(ROW()-4,10)+1))</f>
        <v>0</v>
      </c>
      <c r="G942" s="83">
        <f t="array" ref="G942">IFERROR(INDEX('Sản phẩm'!$F$4:$F$103,MATCH(B942,'Sản phẩm'!$D$4:$D$103,0)),0)</f>
        <v>0</v>
      </c>
      <c r="H942" s="83">
        <f t="shared" si="5"/>
        <v>0</v>
      </c>
      <c r="I942" s="83">
        <f t="shared" si="1"/>
        <v>0</v>
      </c>
      <c r="J942" s="83">
        <f t="array" ref="J942">IFERROR(INDEX('Sản phẩm'!$G$4:$G$103,MATCH(B942,'Sản phẩm'!$D$4:$D$103,0)),0)</f>
        <v>0</v>
      </c>
      <c r="K942" s="83">
        <f t="array" ref="K942">IFERROR(J942*INDEX('Mẻ sữa'!$N$4:$N$203,MATCH(D942,'Mẻ sữa'!$C$4:$C$203,0)),0)</f>
        <v>0</v>
      </c>
      <c r="L942" s="83">
        <f t="array" ref="L942">IFERROR(INDEX('Sản phẩm'!$I$4:$I$103,MATCH(B942,'Sản phẩm'!$D$4:$D$103,0)),0)</f>
        <v>0</v>
      </c>
      <c r="M942" s="97" t="str">
        <f t="array" ref="M942">IFERROR(INDEX('Sản phẩm'!$J$4:$J$103,MATCH(B942,'Sản phẩm'!$D$4:$D$103,0)),0)</f>
        <v/>
      </c>
      <c r="N942" s="83">
        <f>IF(B942="",0,(K942+L942+M942)*'Thiết lập'!$B$8)</f>
        <v>0</v>
      </c>
      <c r="O942" s="83">
        <f t="shared" si="2"/>
        <v>0</v>
      </c>
      <c r="P942" s="83">
        <f t="shared" si="3"/>
        <v>0</v>
      </c>
      <c r="Q942" s="83">
        <f t="shared" si="4"/>
        <v>0</v>
      </c>
      <c r="R942" s="36" t="str">
        <f t="array" ref="R942">IF(B942="","",INDEX('Bán nhanh'!$C$4:$C$103,INT((ROW()-4)/10)+1))</f>
        <v/>
      </c>
      <c r="S942" s="36" t="str">
        <f t="array" ref="S942">IF(B942="","",INDEX('Bán nhanh'!$P$4:$P$103,INT((ROW()-4)/10)+1))</f>
        <v/>
      </c>
      <c r="T942" s="36"/>
      <c r="U942" s="36"/>
      <c r="V942" s="36"/>
      <c r="W942" s="36"/>
      <c r="X942" s="36"/>
      <c r="Y942" s="36"/>
      <c r="Z942" s="36"/>
    </row>
    <row r="943" ht="15.75" customHeight="1">
      <c r="A943" s="96" t="str">
        <f t="array" ref="A943">IF(B943="","",INDEX('Bán nhanh'!$A$4:$A$103,INT((ROW()-4)/10)+1))</f>
        <v/>
      </c>
      <c r="B943" s="36" t="str">
        <f t="array" ref="B943">IF(OR(INDEX('Bán nhanh'!$D$3:$M$3,1,MOD(ROW()-4,10)+1)="",INDEX('Bán nhanh'!$D$4:$M$103,INT((ROW()-4)/10)+1,MOD(ROW()-4,10)+1)&lt;=0),"",INDEX('Bán nhanh'!$D$3:$M$3,1,MOD(ROW()-4,10)+1))</f>
        <v/>
      </c>
      <c r="C943" s="36" t="str">
        <f t="array" ref="C943">IFERROR(INDEX('Sản phẩm'!$A$4:$A$103,MATCH(B943,'Sản phẩm'!$D$4:$D$103,0)),"")</f>
        <v/>
      </c>
      <c r="D943" s="36" t="str">
        <f t="array" ref="D943">IF(B943="","",INDEX('Bán nhanh'!$B$4:$B$103,INT((ROW()-4)/10)+1))</f>
        <v/>
      </c>
      <c r="E943" s="36" t="str">
        <f t="array" ref="E943">IFERROR(INDEX('Mẻ sữa'!$B$4:$B$203,MATCH(D943,'Mẻ sữa'!$C$4:$C$203,0)),"")</f>
        <v/>
      </c>
      <c r="F943" s="82">
        <f t="array" ref="F943">IF(B943="",0,INDEX('Bán nhanh'!$D$4:$M$103,INT((ROW()-4)/10)+1,MOD(ROW()-4,10)+1))</f>
        <v>0</v>
      </c>
      <c r="G943" s="83">
        <f t="array" ref="G943">IFERROR(INDEX('Sản phẩm'!$F$4:$F$103,MATCH(B943,'Sản phẩm'!$D$4:$D$103,0)),0)</f>
        <v>0</v>
      </c>
      <c r="H943" s="83">
        <f t="shared" si="5"/>
        <v>0</v>
      </c>
      <c r="I943" s="83">
        <f t="shared" si="1"/>
        <v>0</v>
      </c>
      <c r="J943" s="83">
        <f t="array" ref="J943">IFERROR(INDEX('Sản phẩm'!$G$4:$G$103,MATCH(B943,'Sản phẩm'!$D$4:$D$103,0)),0)</f>
        <v>0</v>
      </c>
      <c r="K943" s="83">
        <f t="array" ref="K943">IFERROR(J943*INDEX('Mẻ sữa'!$N$4:$N$203,MATCH(D943,'Mẻ sữa'!$C$4:$C$203,0)),0)</f>
        <v>0</v>
      </c>
      <c r="L943" s="83">
        <f t="array" ref="L943">IFERROR(INDEX('Sản phẩm'!$I$4:$I$103,MATCH(B943,'Sản phẩm'!$D$4:$D$103,0)),0)</f>
        <v>0</v>
      </c>
      <c r="M943" s="97" t="str">
        <f t="array" ref="M943">IFERROR(INDEX('Sản phẩm'!$J$4:$J$103,MATCH(B943,'Sản phẩm'!$D$4:$D$103,0)),0)</f>
        <v/>
      </c>
      <c r="N943" s="83">
        <f>IF(B943="",0,(K943+L943+M943)*'Thiết lập'!$B$8)</f>
        <v>0</v>
      </c>
      <c r="O943" s="83">
        <f t="shared" si="2"/>
        <v>0</v>
      </c>
      <c r="P943" s="83">
        <f t="shared" si="3"/>
        <v>0</v>
      </c>
      <c r="Q943" s="83">
        <f t="shared" si="4"/>
        <v>0</v>
      </c>
      <c r="R943" s="36" t="str">
        <f t="array" ref="R943">IF(B943="","",INDEX('Bán nhanh'!$C$4:$C$103,INT((ROW()-4)/10)+1))</f>
        <v/>
      </c>
      <c r="S943" s="36" t="str">
        <f t="array" ref="S943">IF(B943="","",INDEX('Bán nhanh'!$P$4:$P$103,INT((ROW()-4)/10)+1))</f>
        <v/>
      </c>
      <c r="T943" s="36"/>
      <c r="U943" s="36"/>
      <c r="V943" s="36"/>
      <c r="W943" s="36"/>
      <c r="X943" s="36"/>
      <c r="Y943" s="36"/>
      <c r="Z943" s="36"/>
    </row>
    <row r="944" ht="15.75" customHeight="1">
      <c r="A944" s="96" t="str">
        <f t="array" ref="A944">IF(B944="","",INDEX('Bán nhanh'!$A$4:$A$103,INT((ROW()-4)/10)+1))</f>
        <v/>
      </c>
      <c r="B944" s="36" t="str">
        <f t="array" ref="B944">IF(OR(INDEX('Bán nhanh'!$D$3:$M$3,1,MOD(ROW()-4,10)+1)="",INDEX('Bán nhanh'!$D$4:$M$103,INT((ROW()-4)/10)+1,MOD(ROW()-4,10)+1)&lt;=0),"",INDEX('Bán nhanh'!$D$3:$M$3,1,MOD(ROW()-4,10)+1))</f>
        <v/>
      </c>
      <c r="C944" s="36" t="str">
        <f t="array" ref="C944">IFERROR(INDEX('Sản phẩm'!$A$4:$A$103,MATCH(B944,'Sản phẩm'!$D$4:$D$103,0)),"")</f>
        <v/>
      </c>
      <c r="D944" s="36" t="str">
        <f t="array" ref="D944">IF(B944="","",INDEX('Bán nhanh'!$B$4:$B$103,INT((ROW()-4)/10)+1))</f>
        <v/>
      </c>
      <c r="E944" s="36" t="str">
        <f t="array" ref="E944">IFERROR(INDEX('Mẻ sữa'!$B$4:$B$203,MATCH(D944,'Mẻ sữa'!$C$4:$C$203,0)),"")</f>
        <v/>
      </c>
      <c r="F944" s="82">
        <f t="array" ref="F944">IF(B944="",0,INDEX('Bán nhanh'!$D$4:$M$103,INT((ROW()-4)/10)+1,MOD(ROW()-4,10)+1))</f>
        <v>0</v>
      </c>
      <c r="G944" s="83">
        <f t="array" ref="G944">IFERROR(INDEX('Sản phẩm'!$F$4:$F$103,MATCH(B944,'Sản phẩm'!$D$4:$D$103,0)),0)</f>
        <v>0</v>
      </c>
      <c r="H944" s="83">
        <f t="shared" si="5"/>
        <v>0</v>
      </c>
      <c r="I944" s="83">
        <f t="shared" si="1"/>
        <v>0</v>
      </c>
      <c r="J944" s="83">
        <f t="array" ref="J944">IFERROR(INDEX('Sản phẩm'!$G$4:$G$103,MATCH(B944,'Sản phẩm'!$D$4:$D$103,0)),0)</f>
        <v>0</v>
      </c>
      <c r="K944" s="83">
        <f t="array" ref="K944">IFERROR(J944*INDEX('Mẻ sữa'!$N$4:$N$203,MATCH(D944,'Mẻ sữa'!$C$4:$C$203,0)),0)</f>
        <v>0</v>
      </c>
      <c r="L944" s="83">
        <f t="array" ref="L944">IFERROR(INDEX('Sản phẩm'!$I$4:$I$103,MATCH(B944,'Sản phẩm'!$D$4:$D$103,0)),0)</f>
        <v>0</v>
      </c>
      <c r="M944" s="97" t="str">
        <f t="array" ref="M944">IFERROR(INDEX('Sản phẩm'!$J$4:$J$103,MATCH(B944,'Sản phẩm'!$D$4:$D$103,0)),0)</f>
        <v/>
      </c>
      <c r="N944" s="83">
        <f>IF(B944="",0,(K944+L944+M944)*'Thiết lập'!$B$8)</f>
        <v>0</v>
      </c>
      <c r="O944" s="83">
        <f t="shared" si="2"/>
        <v>0</v>
      </c>
      <c r="P944" s="83">
        <f t="shared" si="3"/>
        <v>0</v>
      </c>
      <c r="Q944" s="83">
        <f t="shared" si="4"/>
        <v>0</v>
      </c>
      <c r="R944" s="36" t="str">
        <f t="array" ref="R944">IF(B944="","",INDEX('Bán nhanh'!$C$4:$C$103,INT((ROW()-4)/10)+1))</f>
        <v/>
      </c>
      <c r="S944" s="36" t="str">
        <f t="array" ref="S944">IF(B944="","",INDEX('Bán nhanh'!$P$4:$P$103,INT((ROW()-4)/10)+1))</f>
        <v/>
      </c>
      <c r="T944" s="36"/>
      <c r="U944" s="36"/>
      <c r="V944" s="36"/>
      <c r="W944" s="36"/>
      <c r="X944" s="36"/>
      <c r="Y944" s="36"/>
      <c r="Z944" s="36"/>
    </row>
    <row r="945" ht="15.75" customHeight="1">
      <c r="A945" s="96" t="str">
        <f t="array" ref="A945">IF(B945="","",INDEX('Bán nhanh'!$A$4:$A$103,INT((ROW()-4)/10)+1))</f>
        <v/>
      </c>
      <c r="B945" s="36" t="str">
        <f t="array" ref="B945">IF(OR(INDEX('Bán nhanh'!$D$3:$M$3,1,MOD(ROW()-4,10)+1)="",INDEX('Bán nhanh'!$D$4:$M$103,INT((ROW()-4)/10)+1,MOD(ROW()-4,10)+1)&lt;=0),"",INDEX('Bán nhanh'!$D$3:$M$3,1,MOD(ROW()-4,10)+1))</f>
        <v/>
      </c>
      <c r="C945" s="36" t="str">
        <f t="array" ref="C945">IFERROR(INDEX('Sản phẩm'!$A$4:$A$103,MATCH(B945,'Sản phẩm'!$D$4:$D$103,0)),"")</f>
        <v/>
      </c>
      <c r="D945" s="36" t="str">
        <f t="array" ref="D945">IF(B945="","",INDEX('Bán nhanh'!$B$4:$B$103,INT((ROW()-4)/10)+1))</f>
        <v/>
      </c>
      <c r="E945" s="36" t="str">
        <f t="array" ref="E945">IFERROR(INDEX('Mẻ sữa'!$B$4:$B$203,MATCH(D945,'Mẻ sữa'!$C$4:$C$203,0)),"")</f>
        <v/>
      </c>
      <c r="F945" s="82">
        <f t="array" ref="F945">IF(B945="",0,INDEX('Bán nhanh'!$D$4:$M$103,INT((ROW()-4)/10)+1,MOD(ROW()-4,10)+1))</f>
        <v>0</v>
      </c>
      <c r="G945" s="83">
        <f t="array" ref="G945">IFERROR(INDEX('Sản phẩm'!$F$4:$F$103,MATCH(B945,'Sản phẩm'!$D$4:$D$103,0)),0)</f>
        <v>0</v>
      </c>
      <c r="H945" s="83">
        <f t="shared" si="5"/>
        <v>0</v>
      </c>
      <c r="I945" s="83">
        <f t="shared" si="1"/>
        <v>0</v>
      </c>
      <c r="J945" s="83">
        <f t="array" ref="J945">IFERROR(INDEX('Sản phẩm'!$G$4:$G$103,MATCH(B945,'Sản phẩm'!$D$4:$D$103,0)),0)</f>
        <v>0</v>
      </c>
      <c r="K945" s="83">
        <f t="array" ref="K945">IFERROR(J945*INDEX('Mẻ sữa'!$N$4:$N$203,MATCH(D945,'Mẻ sữa'!$C$4:$C$203,0)),0)</f>
        <v>0</v>
      </c>
      <c r="L945" s="83">
        <f t="array" ref="L945">IFERROR(INDEX('Sản phẩm'!$I$4:$I$103,MATCH(B945,'Sản phẩm'!$D$4:$D$103,0)),0)</f>
        <v>0</v>
      </c>
      <c r="M945" s="97" t="str">
        <f t="array" ref="M945">IFERROR(INDEX('Sản phẩm'!$J$4:$J$103,MATCH(B945,'Sản phẩm'!$D$4:$D$103,0)),0)</f>
        <v/>
      </c>
      <c r="N945" s="83">
        <f>IF(B945="",0,(K945+L945+M945)*'Thiết lập'!$B$8)</f>
        <v>0</v>
      </c>
      <c r="O945" s="83">
        <f t="shared" si="2"/>
        <v>0</v>
      </c>
      <c r="P945" s="83">
        <f t="shared" si="3"/>
        <v>0</v>
      </c>
      <c r="Q945" s="83">
        <f t="shared" si="4"/>
        <v>0</v>
      </c>
      <c r="R945" s="36" t="str">
        <f t="array" ref="R945">IF(B945="","",INDEX('Bán nhanh'!$C$4:$C$103,INT((ROW()-4)/10)+1))</f>
        <v/>
      </c>
      <c r="S945" s="36" t="str">
        <f t="array" ref="S945">IF(B945="","",INDEX('Bán nhanh'!$P$4:$P$103,INT((ROW()-4)/10)+1))</f>
        <v/>
      </c>
      <c r="T945" s="36"/>
      <c r="U945" s="36"/>
      <c r="V945" s="36"/>
      <c r="W945" s="36"/>
      <c r="X945" s="36"/>
      <c r="Y945" s="36"/>
      <c r="Z945" s="36"/>
    </row>
    <row r="946" ht="15.75" customHeight="1">
      <c r="A946" s="96" t="str">
        <f t="array" ref="A946">IF(B946="","",INDEX('Bán nhanh'!$A$4:$A$103,INT((ROW()-4)/10)+1))</f>
        <v/>
      </c>
      <c r="B946" s="36" t="str">
        <f t="array" ref="B946">IF(OR(INDEX('Bán nhanh'!$D$3:$M$3,1,MOD(ROW()-4,10)+1)="",INDEX('Bán nhanh'!$D$4:$M$103,INT((ROW()-4)/10)+1,MOD(ROW()-4,10)+1)&lt;=0),"",INDEX('Bán nhanh'!$D$3:$M$3,1,MOD(ROW()-4,10)+1))</f>
        <v/>
      </c>
      <c r="C946" s="36" t="str">
        <f t="array" ref="C946">IFERROR(INDEX('Sản phẩm'!$A$4:$A$103,MATCH(B946,'Sản phẩm'!$D$4:$D$103,0)),"")</f>
        <v/>
      </c>
      <c r="D946" s="36" t="str">
        <f t="array" ref="D946">IF(B946="","",INDEX('Bán nhanh'!$B$4:$B$103,INT((ROW()-4)/10)+1))</f>
        <v/>
      </c>
      <c r="E946" s="36" t="str">
        <f t="array" ref="E946">IFERROR(INDEX('Mẻ sữa'!$B$4:$B$203,MATCH(D946,'Mẻ sữa'!$C$4:$C$203,0)),"")</f>
        <v/>
      </c>
      <c r="F946" s="82">
        <f t="array" ref="F946">IF(B946="",0,INDEX('Bán nhanh'!$D$4:$M$103,INT((ROW()-4)/10)+1,MOD(ROW()-4,10)+1))</f>
        <v>0</v>
      </c>
      <c r="G946" s="83">
        <f t="array" ref="G946">IFERROR(INDEX('Sản phẩm'!$F$4:$F$103,MATCH(B946,'Sản phẩm'!$D$4:$D$103,0)),0)</f>
        <v>0</v>
      </c>
      <c r="H946" s="83">
        <f t="shared" si="5"/>
        <v>0</v>
      </c>
      <c r="I946" s="83">
        <f t="shared" si="1"/>
        <v>0</v>
      </c>
      <c r="J946" s="83">
        <f t="array" ref="J946">IFERROR(INDEX('Sản phẩm'!$G$4:$G$103,MATCH(B946,'Sản phẩm'!$D$4:$D$103,0)),0)</f>
        <v>0</v>
      </c>
      <c r="K946" s="83">
        <f t="array" ref="K946">IFERROR(J946*INDEX('Mẻ sữa'!$N$4:$N$203,MATCH(D946,'Mẻ sữa'!$C$4:$C$203,0)),0)</f>
        <v>0</v>
      </c>
      <c r="L946" s="83">
        <f t="array" ref="L946">IFERROR(INDEX('Sản phẩm'!$I$4:$I$103,MATCH(B946,'Sản phẩm'!$D$4:$D$103,0)),0)</f>
        <v>0</v>
      </c>
      <c r="M946" s="97" t="str">
        <f t="array" ref="M946">IFERROR(INDEX('Sản phẩm'!$J$4:$J$103,MATCH(B946,'Sản phẩm'!$D$4:$D$103,0)),0)</f>
        <v/>
      </c>
      <c r="N946" s="83">
        <f>IF(B946="",0,(K946+L946+M946)*'Thiết lập'!$B$8)</f>
        <v>0</v>
      </c>
      <c r="O946" s="83">
        <f t="shared" si="2"/>
        <v>0</v>
      </c>
      <c r="P946" s="83">
        <f t="shared" si="3"/>
        <v>0</v>
      </c>
      <c r="Q946" s="83">
        <f t="shared" si="4"/>
        <v>0</v>
      </c>
      <c r="R946" s="36" t="str">
        <f t="array" ref="R946">IF(B946="","",INDEX('Bán nhanh'!$C$4:$C$103,INT((ROW()-4)/10)+1))</f>
        <v/>
      </c>
      <c r="S946" s="36" t="str">
        <f t="array" ref="S946">IF(B946="","",INDEX('Bán nhanh'!$P$4:$P$103,INT((ROW()-4)/10)+1))</f>
        <v/>
      </c>
      <c r="T946" s="36"/>
      <c r="U946" s="36"/>
      <c r="V946" s="36"/>
      <c r="W946" s="36"/>
      <c r="X946" s="36"/>
      <c r="Y946" s="36"/>
      <c r="Z946" s="36"/>
    </row>
    <row r="947" ht="15.75" customHeight="1">
      <c r="A947" s="96" t="str">
        <f t="array" ref="A947">IF(B947="","",INDEX('Bán nhanh'!$A$4:$A$103,INT((ROW()-4)/10)+1))</f>
        <v/>
      </c>
      <c r="B947" s="36" t="str">
        <f t="array" ref="B947">IF(OR(INDEX('Bán nhanh'!$D$3:$M$3,1,MOD(ROW()-4,10)+1)="",INDEX('Bán nhanh'!$D$4:$M$103,INT((ROW()-4)/10)+1,MOD(ROW()-4,10)+1)&lt;=0),"",INDEX('Bán nhanh'!$D$3:$M$3,1,MOD(ROW()-4,10)+1))</f>
        <v/>
      </c>
      <c r="C947" s="36" t="str">
        <f t="array" ref="C947">IFERROR(INDEX('Sản phẩm'!$A$4:$A$103,MATCH(B947,'Sản phẩm'!$D$4:$D$103,0)),"")</f>
        <v/>
      </c>
      <c r="D947" s="36" t="str">
        <f t="array" ref="D947">IF(B947="","",INDEX('Bán nhanh'!$B$4:$B$103,INT((ROW()-4)/10)+1))</f>
        <v/>
      </c>
      <c r="E947" s="36" t="str">
        <f t="array" ref="E947">IFERROR(INDEX('Mẻ sữa'!$B$4:$B$203,MATCH(D947,'Mẻ sữa'!$C$4:$C$203,0)),"")</f>
        <v/>
      </c>
      <c r="F947" s="82">
        <f t="array" ref="F947">IF(B947="",0,INDEX('Bán nhanh'!$D$4:$M$103,INT((ROW()-4)/10)+1,MOD(ROW()-4,10)+1))</f>
        <v>0</v>
      </c>
      <c r="G947" s="83">
        <f t="array" ref="G947">IFERROR(INDEX('Sản phẩm'!$F$4:$F$103,MATCH(B947,'Sản phẩm'!$D$4:$D$103,0)),0)</f>
        <v>0</v>
      </c>
      <c r="H947" s="83">
        <f t="shared" si="5"/>
        <v>0</v>
      </c>
      <c r="I947" s="83">
        <f t="shared" si="1"/>
        <v>0</v>
      </c>
      <c r="J947" s="83">
        <f t="array" ref="J947">IFERROR(INDEX('Sản phẩm'!$G$4:$G$103,MATCH(B947,'Sản phẩm'!$D$4:$D$103,0)),0)</f>
        <v>0</v>
      </c>
      <c r="K947" s="83">
        <f t="array" ref="K947">IFERROR(J947*INDEX('Mẻ sữa'!$N$4:$N$203,MATCH(D947,'Mẻ sữa'!$C$4:$C$203,0)),0)</f>
        <v>0</v>
      </c>
      <c r="L947" s="83">
        <f t="array" ref="L947">IFERROR(INDEX('Sản phẩm'!$I$4:$I$103,MATCH(B947,'Sản phẩm'!$D$4:$D$103,0)),0)</f>
        <v>0</v>
      </c>
      <c r="M947" s="97" t="str">
        <f t="array" ref="M947">IFERROR(INDEX('Sản phẩm'!$J$4:$J$103,MATCH(B947,'Sản phẩm'!$D$4:$D$103,0)),0)</f>
        <v/>
      </c>
      <c r="N947" s="83">
        <f>IF(B947="",0,(K947+L947+M947)*'Thiết lập'!$B$8)</f>
        <v>0</v>
      </c>
      <c r="O947" s="83">
        <f t="shared" si="2"/>
        <v>0</v>
      </c>
      <c r="P947" s="83">
        <f t="shared" si="3"/>
        <v>0</v>
      </c>
      <c r="Q947" s="83">
        <f t="shared" si="4"/>
        <v>0</v>
      </c>
      <c r="R947" s="36" t="str">
        <f t="array" ref="R947">IF(B947="","",INDEX('Bán nhanh'!$C$4:$C$103,INT((ROW()-4)/10)+1))</f>
        <v/>
      </c>
      <c r="S947" s="36" t="str">
        <f t="array" ref="S947">IF(B947="","",INDEX('Bán nhanh'!$P$4:$P$103,INT((ROW()-4)/10)+1))</f>
        <v/>
      </c>
      <c r="T947" s="36"/>
      <c r="U947" s="36"/>
      <c r="V947" s="36"/>
      <c r="W947" s="36"/>
      <c r="X947" s="36"/>
      <c r="Y947" s="36"/>
      <c r="Z947" s="36"/>
    </row>
    <row r="948" ht="15.75" customHeight="1">
      <c r="A948" s="96" t="str">
        <f t="array" ref="A948">IF(B948="","",INDEX('Bán nhanh'!$A$4:$A$103,INT((ROW()-4)/10)+1))</f>
        <v/>
      </c>
      <c r="B948" s="36" t="str">
        <f t="array" ref="B948">IF(OR(INDEX('Bán nhanh'!$D$3:$M$3,1,MOD(ROW()-4,10)+1)="",INDEX('Bán nhanh'!$D$4:$M$103,INT((ROW()-4)/10)+1,MOD(ROW()-4,10)+1)&lt;=0),"",INDEX('Bán nhanh'!$D$3:$M$3,1,MOD(ROW()-4,10)+1))</f>
        <v/>
      </c>
      <c r="C948" s="36" t="str">
        <f t="array" ref="C948">IFERROR(INDEX('Sản phẩm'!$A$4:$A$103,MATCH(B948,'Sản phẩm'!$D$4:$D$103,0)),"")</f>
        <v/>
      </c>
      <c r="D948" s="36" t="str">
        <f t="array" ref="D948">IF(B948="","",INDEX('Bán nhanh'!$B$4:$B$103,INT((ROW()-4)/10)+1))</f>
        <v/>
      </c>
      <c r="E948" s="36" t="str">
        <f t="array" ref="E948">IFERROR(INDEX('Mẻ sữa'!$B$4:$B$203,MATCH(D948,'Mẻ sữa'!$C$4:$C$203,0)),"")</f>
        <v/>
      </c>
      <c r="F948" s="82">
        <f t="array" ref="F948">IF(B948="",0,INDEX('Bán nhanh'!$D$4:$M$103,INT((ROW()-4)/10)+1,MOD(ROW()-4,10)+1))</f>
        <v>0</v>
      </c>
      <c r="G948" s="83">
        <f t="array" ref="G948">IFERROR(INDEX('Sản phẩm'!$F$4:$F$103,MATCH(B948,'Sản phẩm'!$D$4:$D$103,0)),0)</f>
        <v>0</v>
      </c>
      <c r="H948" s="83">
        <f t="shared" si="5"/>
        <v>0</v>
      </c>
      <c r="I948" s="83">
        <f t="shared" si="1"/>
        <v>0</v>
      </c>
      <c r="J948" s="83">
        <f t="array" ref="J948">IFERROR(INDEX('Sản phẩm'!$G$4:$G$103,MATCH(B948,'Sản phẩm'!$D$4:$D$103,0)),0)</f>
        <v>0</v>
      </c>
      <c r="K948" s="83">
        <f t="array" ref="K948">IFERROR(J948*INDEX('Mẻ sữa'!$N$4:$N$203,MATCH(D948,'Mẻ sữa'!$C$4:$C$203,0)),0)</f>
        <v>0</v>
      </c>
      <c r="L948" s="83">
        <f t="array" ref="L948">IFERROR(INDEX('Sản phẩm'!$I$4:$I$103,MATCH(B948,'Sản phẩm'!$D$4:$D$103,0)),0)</f>
        <v>0</v>
      </c>
      <c r="M948" s="97" t="str">
        <f t="array" ref="M948">IFERROR(INDEX('Sản phẩm'!$J$4:$J$103,MATCH(B948,'Sản phẩm'!$D$4:$D$103,0)),0)</f>
        <v/>
      </c>
      <c r="N948" s="83">
        <f>IF(B948="",0,(K948+L948+M948)*'Thiết lập'!$B$8)</f>
        <v>0</v>
      </c>
      <c r="O948" s="83">
        <f t="shared" si="2"/>
        <v>0</v>
      </c>
      <c r="P948" s="83">
        <f t="shared" si="3"/>
        <v>0</v>
      </c>
      <c r="Q948" s="83">
        <f t="shared" si="4"/>
        <v>0</v>
      </c>
      <c r="R948" s="36" t="str">
        <f t="array" ref="R948">IF(B948="","",INDEX('Bán nhanh'!$C$4:$C$103,INT((ROW()-4)/10)+1))</f>
        <v/>
      </c>
      <c r="S948" s="36" t="str">
        <f t="array" ref="S948">IF(B948="","",INDEX('Bán nhanh'!$P$4:$P$103,INT((ROW()-4)/10)+1))</f>
        <v/>
      </c>
      <c r="T948" s="36"/>
      <c r="U948" s="36"/>
      <c r="V948" s="36"/>
      <c r="W948" s="36"/>
      <c r="X948" s="36"/>
      <c r="Y948" s="36"/>
      <c r="Z948" s="36"/>
    </row>
    <row r="949" ht="15.75" customHeight="1">
      <c r="A949" s="96" t="str">
        <f t="array" ref="A949">IF(B949="","",INDEX('Bán nhanh'!$A$4:$A$103,INT((ROW()-4)/10)+1))</f>
        <v/>
      </c>
      <c r="B949" s="36" t="str">
        <f t="array" ref="B949">IF(OR(INDEX('Bán nhanh'!$D$3:$M$3,1,MOD(ROW()-4,10)+1)="",INDEX('Bán nhanh'!$D$4:$M$103,INT((ROW()-4)/10)+1,MOD(ROW()-4,10)+1)&lt;=0),"",INDEX('Bán nhanh'!$D$3:$M$3,1,MOD(ROW()-4,10)+1))</f>
        <v/>
      </c>
      <c r="C949" s="36" t="str">
        <f t="array" ref="C949">IFERROR(INDEX('Sản phẩm'!$A$4:$A$103,MATCH(B949,'Sản phẩm'!$D$4:$D$103,0)),"")</f>
        <v/>
      </c>
      <c r="D949" s="36" t="str">
        <f t="array" ref="D949">IF(B949="","",INDEX('Bán nhanh'!$B$4:$B$103,INT((ROW()-4)/10)+1))</f>
        <v/>
      </c>
      <c r="E949" s="36" t="str">
        <f t="array" ref="E949">IFERROR(INDEX('Mẻ sữa'!$B$4:$B$203,MATCH(D949,'Mẻ sữa'!$C$4:$C$203,0)),"")</f>
        <v/>
      </c>
      <c r="F949" s="82">
        <f t="array" ref="F949">IF(B949="",0,INDEX('Bán nhanh'!$D$4:$M$103,INT((ROW()-4)/10)+1,MOD(ROW()-4,10)+1))</f>
        <v>0</v>
      </c>
      <c r="G949" s="83">
        <f t="array" ref="G949">IFERROR(INDEX('Sản phẩm'!$F$4:$F$103,MATCH(B949,'Sản phẩm'!$D$4:$D$103,0)),0)</f>
        <v>0</v>
      </c>
      <c r="H949" s="83">
        <f t="shared" si="5"/>
        <v>0</v>
      </c>
      <c r="I949" s="83">
        <f t="shared" si="1"/>
        <v>0</v>
      </c>
      <c r="J949" s="83">
        <f t="array" ref="J949">IFERROR(INDEX('Sản phẩm'!$G$4:$G$103,MATCH(B949,'Sản phẩm'!$D$4:$D$103,0)),0)</f>
        <v>0</v>
      </c>
      <c r="K949" s="83">
        <f t="array" ref="K949">IFERROR(J949*INDEX('Mẻ sữa'!$N$4:$N$203,MATCH(D949,'Mẻ sữa'!$C$4:$C$203,0)),0)</f>
        <v>0</v>
      </c>
      <c r="L949" s="83">
        <f t="array" ref="L949">IFERROR(INDEX('Sản phẩm'!$I$4:$I$103,MATCH(B949,'Sản phẩm'!$D$4:$D$103,0)),0)</f>
        <v>0</v>
      </c>
      <c r="M949" s="97" t="str">
        <f t="array" ref="M949">IFERROR(INDEX('Sản phẩm'!$J$4:$J$103,MATCH(B949,'Sản phẩm'!$D$4:$D$103,0)),0)</f>
        <v/>
      </c>
      <c r="N949" s="83">
        <f>IF(B949="",0,(K949+L949+M949)*'Thiết lập'!$B$8)</f>
        <v>0</v>
      </c>
      <c r="O949" s="83">
        <f t="shared" si="2"/>
        <v>0</v>
      </c>
      <c r="P949" s="83">
        <f t="shared" si="3"/>
        <v>0</v>
      </c>
      <c r="Q949" s="83">
        <f t="shared" si="4"/>
        <v>0</v>
      </c>
      <c r="R949" s="36" t="str">
        <f t="array" ref="R949">IF(B949="","",INDEX('Bán nhanh'!$C$4:$C$103,INT((ROW()-4)/10)+1))</f>
        <v/>
      </c>
      <c r="S949" s="36" t="str">
        <f t="array" ref="S949">IF(B949="","",INDEX('Bán nhanh'!$P$4:$P$103,INT((ROW()-4)/10)+1))</f>
        <v/>
      </c>
      <c r="T949" s="36"/>
      <c r="U949" s="36"/>
      <c r="V949" s="36"/>
      <c r="W949" s="36"/>
      <c r="X949" s="36"/>
      <c r="Y949" s="36"/>
      <c r="Z949" s="36"/>
    </row>
    <row r="950" ht="15.75" customHeight="1">
      <c r="A950" s="96" t="str">
        <f t="array" ref="A950">IF(B950="","",INDEX('Bán nhanh'!$A$4:$A$103,INT((ROW()-4)/10)+1))</f>
        <v/>
      </c>
      <c r="B950" s="36" t="str">
        <f t="array" ref="B950">IF(OR(INDEX('Bán nhanh'!$D$3:$M$3,1,MOD(ROW()-4,10)+1)="",INDEX('Bán nhanh'!$D$4:$M$103,INT((ROW()-4)/10)+1,MOD(ROW()-4,10)+1)&lt;=0),"",INDEX('Bán nhanh'!$D$3:$M$3,1,MOD(ROW()-4,10)+1))</f>
        <v/>
      </c>
      <c r="C950" s="36" t="str">
        <f t="array" ref="C950">IFERROR(INDEX('Sản phẩm'!$A$4:$A$103,MATCH(B950,'Sản phẩm'!$D$4:$D$103,0)),"")</f>
        <v/>
      </c>
      <c r="D950" s="36" t="str">
        <f t="array" ref="D950">IF(B950="","",INDEX('Bán nhanh'!$B$4:$B$103,INT((ROW()-4)/10)+1))</f>
        <v/>
      </c>
      <c r="E950" s="36" t="str">
        <f t="array" ref="E950">IFERROR(INDEX('Mẻ sữa'!$B$4:$B$203,MATCH(D950,'Mẻ sữa'!$C$4:$C$203,0)),"")</f>
        <v/>
      </c>
      <c r="F950" s="82">
        <f t="array" ref="F950">IF(B950="",0,INDEX('Bán nhanh'!$D$4:$M$103,INT((ROW()-4)/10)+1,MOD(ROW()-4,10)+1))</f>
        <v>0</v>
      </c>
      <c r="G950" s="83">
        <f t="array" ref="G950">IFERROR(INDEX('Sản phẩm'!$F$4:$F$103,MATCH(B950,'Sản phẩm'!$D$4:$D$103,0)),0)</f>
        <v>0</v>
      </c>
      <c r="H950" s="83">
        <f t="shared" si="5"/>
        <v>0</v>
      </c>
      <c r="I950" s="83">
        <f t="shared" si="1"/>
        <v>0</v>
      </c>
      <c r="J950" s="83">
        <f t="array" ref="J950">IFERROR(INDEX('Sản phẩm'!$G$4:$G$103,MATCH(B950,'Sản phẩm'!$D$4:$D$103,0)),0)</f>
        <v>0</v>
      </c>
      <c r="K950" s="83">
        <f t="array" ref="K950">IFERROR(J950*INDEX('Mẻ sữa'!$N$4:$N$203,MATCH(D950,'Mẻ sữa'!$C$4:$C$203,0)),0)</f>
        <v>0</v>
      </c>
      <c r="L950" s="83">
        <f t="array" ref="L950">IFERROR(INDEX('Sản phẩm'!$I$4:$I$103,MATCH(B950,'Sản phẩm'!$D$4:$D$103,0)),0)</f>
        <v>0</v>
      </c>
      <c r="M950" s="97" t="str">
        <f t="array" ref="M950">IFERROR(INDEX('Sản phẩm'!$J$4:$J$103,MATCH(B950,'Sản phẩm'!$D$4:$D$103,0)),0)</f>
        <v/>
      </c>
      <c r="N950" s="83">
        <f>IF(B950="",0,(K950+L950+M950)*'Thiết lập'!$B$8)</f>
        <v>0</v>
      </c>
      <c r="O950" s="83">
        <f t="shared" si="2"/>
        <v>0</v>
      </c>
      <c r="P950" s="83">
        <f t="shared" si="3"/>
        <v>0</v>
      </c>
      <c r="Q950" s="83">
        <f t="shared" si="4"/>
        <v>0</v>
      </c>
      <c r="R950" s="36" t="str">
        <f t="array" ref="R950">IF(B950="","",INDEX('Bán nhanh'!$C$4:$C$103,INT((ROW()-4)/10)+1))</f>
        <v/>
      </c>
      <c r="S950" s="36" t="str">
        <f t="array" ref="S950">IF(B950="","",INDEX('Bán nhanh'!$P$4:$P$103,INT((ROW()-4)/10)+1))</f>
        <v/>
      </c>
      <c r="T950" s="36"/>
      <c r="U950" s="36"/>
      <c r="V950" s="36"/>
      <c r="W950" s="36"/>
      <c r="X950" s="36"/>
      <c r="Y950" s="36"/>
      <c r="Z950" s="36"/>
    </row>
    <row r="951" ht="15.75" customHeight="1">
      <c r="A951" s="96" t="str">
        <f t="array" ref="A951">IF(B951="","",INDEX('Bán nhanh'!$A$4:$A$103,INT((ROW()-4)/10)+1))</f>
        <v/>
      </c>
      <c r="B951" s="36" t="str">
        <f t="array" ref="B951">IF(OR(INDEX('Bán nhanh'!$D$3:$M$3,1,MOD(ROW()-4,10)+1)="",INDEX('Bán nhanh'!$D$4:$M$103,INT((ROW()-4)/10)+1,MOD(ROW()-4,10)+1)&lt;=0),"",INDEX('Bán nhanh'!$D$3:$M$3,1,MOD(ROW()-4,10)+1))</f>
        <v/>
      </c>
      <c r="C951" s="36" t="str">
        <f t="array" ref="C951">IFERROR(INDEX('Sản phẩm'!$A$4:$A$103,MATCH(B951,'Sản phẩm'!$D$4:$D$103,0)),"")</f>
        <v/>
      </c>
      <c r="D951" s="36" t="str">
        <f t="array" ref="D951">IF(B951="","",INDEX('Bán nhanh'!$B$4:$B$103,INT((ROW()-4)/10)+1))</f>
        <v/>
      </c>
      <c r="E951" s="36" t="str">
        <f t="array" ref="E951">IFERROR(INDEX('Mẻ sữa'!$B$4:$B$203,MATCH(D951,'Mẻ sữa'!$C$4:$C$203,0)),"")</f>
        <v/>
      </c>
      <c r="F951" s="82">
        <f t="array" ref="F951">IF(B951="",0,INDEX('Bán nhanh'!$D$4:$M$103,INT((ROW()-4)/10)+1,MOD(ROW()-4,10)+1))</f>
        <v>0</v>
      </c>
      <c r="G951" s="83">
        <f t="array" ref="G951">IFERROR(INDEX('Sản phẩm'!$F$4:$F$103,MATCH(B951,'Sản phẩm'!$D$4:$D$103,0)),0)</f>
        <v>0</v>
      </c>
      <c r="H951" s="83">
        <f t="shared" si="5"/>
        <v>0</v>
      </c>
      <c r="I951" s="83">
        <f t="shared" si="1"/>
        <v>0</v>
      </c>
      <c r="J951" s="83">
        <f t="array" ref="J951">IFERROR(INDEX('Sản phẩm'!$G$4:$G$103,MATCH(B951,'Sản phẩm'!$D$4:$D$103,0)),0)</f>
        <v>0</v>
      </c>
      <c r="K951" s="83">
        <f t="array" ref="K951">IFERROR(J951*INDEX('Mẻ sữa'!$N$4:$N$203,MATCH(D951,'Mẻ sữa'!$C$4:$C$203,0)),0)</f>
        <v>0</v>
      </c>
      <c r="L951" s="83">
        <f t="array" ref="L951">IFERROR(INDEX('Sản phẩm'!$I$4:$I$103,MATCH(B951,'Sản phẩm'!$D$4:$D$103,0)),0)</f>
        <v>0</v>
      </c>
      <c r="M951" s="97" t="str">
        <f t="array" ref="M951">IFERROR(INDEX('Sản phẩm'!$J$4:$J$103,MATCH(B951,'Sản phẩm'!$D$4:$D$103,0)),0)</f>
        <v/>
      </c>
      <c r="N951" s="83">
        <f>IF(B951="",0,(K951+L951+M951)*'Thiết lập'!$B$8)</f>
        <v>0</v>
      </c>
      <c r="O951" s="83">
        <f t="shared" si="2"/>
        <v>0</v>
      </c>
      <c r="P951" s="83">
        <f t="shared" si="3"/>
        <v>0</v>
      </c>
      <c r="Q951" s="83">
        <f t="shared" si="4"/>
        <v>0</v>
      </c>
      <c r="R951" s="36" t="str">
        <f t="array" ref="R951">IF(B951="","",INDEX('Bán nhanh'!$C$4:$C$103,INT((ROW()-4)/10)+1))</f>
        <v/>
      </c>
      <c r="S951" s="36" t="str">
        <f t="array" ref="S951">IF(B951="","",INDEX('Bán nhanh'!$P$4:$P$103,INT((ROW()-4)/10)+1))</f>
        <v/>
      </c>
      <c r="T951" s="36"/>
      <c r="U951" s="36"/>
      <c r="V951" s="36"/>
      <c r="W951" s="36"/>
      <c r="X951" s="36"/>
      <c r="Y951" s="36"/>
      <c r="Z951" s="36"/>
    </row>
    <row r="952" ht="15.75" customHeight="1">
      <c r="A952" s="96" t="str">
        <f t="array" ref="A952">IF(B952="","",INDEX('Bán nhanh'!$A$4:$A$103,INT((ROW()-4)/10)+1))</f>
        <v/>
      </c>
      <c r="B952" s="36" t="str">
        <f t="array" ref="B952">IF(OR(INDEX('Bán nhanh'!$D$3:$M$3,1,MOD(ROW()-4,10)+1)="",INDEX('Bán nhanh'!$D$4:$M$103,INT((ROW()-4)/10)+1,MOD(ROW()-4,10)+1)&lt;=0),"",INDEX('Bán nhanh'!$D$3:$M$3,1,MOD(ROW()-4,10)+1))</f>
        <v/>
      </c>
      <c r="C952" s="36" t="str">
        <f t="array" ref="C952">IFERROR(INDEX('Sản phẩm'!$A$4:$A$103,MATCH(B952,'Sản phẩm'!$D$4:$D$103,0)),"")</f>
        <v/>
      </c>
      <c r="D952" s="36" t="str">
        <f t="array" ref="D952">IF(B952="","",INDEX('Bán nhanh'!$B$4:$B$103,INT((ROW()-4)/10)+1))</f>
        <v/>
      </c>
      <c r="E952" s="36" t="str">
        <f t="array" ref="E952">IFERROR(INDEX('Mẻ sữa'!$B$4:$B$203,MATCH(D952,'Mẻ sữa'!$C$4:$C$203,0)),"")</f>
        <v/>
      </c>
      <c r="F952" s="82">
        <f t="array" ref="F952">IF(B952="",0,INDEX('Bán nhanh'!$D$4:$M$103,INT((ROW()-4)/10)+1,MOD(ROW()-4,10)+1))</f>
        <v>0</v>
      </c>
      <c r="G952" s="83">
        <f t="array" ref="G952">IFERROR(INDEX('Sản phẩm'!$F$4:$F$103,MATCH(B952,'Sản phẩm'!$D$4:$D$103,0)),0)</f>
        <v>0</v>
      </c>
      <c r="H952" s="83">
        <f t="shared" si="5"/>
        <v>0</v>
      </c>
      <c r="I952" s="83">
        <f t="shared" si="1"/>
        <v>0</v>
      </c>
      <c r="J952" s="83">
        <f t="array" ref="J952">IFERROR(INDEX('Sản phẩm'!$G$4:$G$103,MATCH(B952,'Sản phẩm'!$D$4:$D$103,0)),0)</f>
        <v>0</v>
      </c>
      <c r="K952" s="83">
        <f t="array" ref="K952">IFERROR(J952*INDEX('Mẻ sữa'!$N$4:$N$203,MATCH(D952,'Mẻ sữa'!$C$4:$C$203,0)),0)</f>
        <v>0</v>
      </c>
      <c r="L952" s="83">
        <f t="array" ref="L952">IFERROR(INDEX('Sản phẩm'!$I$4:$I$103,MATCH(B952,'Sản phẩm'!$D$4:$D$103,0)),0)</f>
        <v>0</v>
      </c>
      <c r="M952" s="97" t="str">
        <f t="array" ref="M952">IFERROR(INDEX('Sản phẩm'!$J$4:$J$103,MATCH(B952,'Sản phẩm'!$D$4:$D$103,0)),0)</f>
        <v/>
      </c>
      <c r="N952" s="83">
        <f>IF(B952="",0,(K952+L952+M952)*'Thiết lập'!$B$8)</f>
        <v>0</v>
      </c>
      <c r="O952" s="83">
        <f t="shared" si="2"/>
        <v>0</v>
      </c>
      <c r="P952" s="83">
        <f t="shared" si="3"/>
        <v>0</v>
      </c>
      <c r="Q952" s="83">
        <f t="shared" si="4"/>
        <v>0</v>
      </c>
      <c r="R952" s="36" t="str">
        <f t="array" ref="R952">IF(B952="","",INDEX('Bán nhanh'!$C$4:$C$103,INT((ROW()-4)/10)+1))</f>
        <v/>
      </c>
      <c r="S952" s="36" t="str">
        <f t="array" ref="S952">IF(B952="","",INDEX('Bán nhanh'!$P$4:$P$103,INT((ROW()-4)/10)+1))</f>
        <v/>
      </c>
      <c r="T952" s="36"/>
      <c r="U952" s="36"/>
      <c r="V952" s="36"/>
      <c r="W952" s="36"/>
      <c r="X952" s="36"/>
      <c r="Y952" s="36"/>
      <c r="Z952" s="36"/>
    </row>
    <row r="953" ht="15.75" customHeight="1">
      <c r="A953" s="96" t="str">
        <f t="array" ref="A953">IF(B953="","",INDEX('Bán nhanh'!$A$4:$A$103,INT((ROW()-4)/10)+1))</f>
        <v/>
      </c>
      <c r="B953" s="36" t="str">
        <f t="array" ref="B953">IF(OR(INDEX('Bán nhanh'!$D$3:$M$3,1,MOD(ROW()-4,10)+1)="",INDEX('Bán nhanh'!$D$4:$M$103,INT((ROW()-4)/10)+1,MOD(ROW()-4,10)+1)&lt;=0),"",INDEX('Bán nhanh'!$D$3:$M$3,1,MOD(ROW()-4,10)+1))</f>
        <v/>
      </c>
      <c r="C953" s="36" t="str">
        <f t="array" ref="C953">IFERROR(INDEX('Sản phẩm'!$A$4:$A$103,MATCH(B953,'Sản phẩm'!$D$4:$D$103,0)),"")</f>
        <v/>
      </c>
      <c r="D953" s="36" t="str">
        <f t="array" ref="D953">IF(B953="","",INDEX('Bán nhanh'!$B$4:$B$103,INT((ROW()-4)/10)+1))</f>
        <v/>
      </c>
      <c r="E953" s="36" t="str">
        <f t="array" ref="E953">IFERROR(INDEX('Mẻ sữa'!$B$4:$B$203,MATCH(D953,'Mẻ sữa'!$C$4:$C$203,0)),"")</f>
        <v/>
      </c>
      <c r="F953" s="82">
        <f t="array" ref="F953">IF(B953="",0,INDEX('Bán nhanh'!$D$4:$M$103,INT((ROW()-4)/10)+1,MOD(ROW()-4,10)+1))</f>
        <v>0</v>
      </c>
      <c r="G953" s="83">
        <f t="array" ref="G953">IFERROR(INDEX('Sản phẩm'!$F$4:$F$103,MATCH(B953,'Sản phẩm'!$D$4:$D$103,0)),0)</f>
        <v>0</v>
      </c>
      <c r="H953" s="83">
        <f t="shared" si="5"/>
        <v>0</v>
      </c>
      <c r="I953" s="83">
        <f t="shared" si="1"/>
        <v>0</v>
      </c>
      <c r="J953" s="83">
        <f t="array" ref="J953">IFERROR(INDEX('Sản phẩm'!$G$4:$G$103,MATCH(B953,'Sản phẩm'!$D$4:$D$103,0)),0)</f>
        <v>0</v>
      </c>
      <c r="K953" s="83">
        <f t="array" ref="K953">IFERROR(J953*INDEX('Mẻ sữa'!$N$4:$N$203,MATCH(D953,'Mẻ sữa'!$C$4:$C$203,0)),0)</f>
        <v>0</v>
      </c>
      <c r="L953" s="83">
        <f t="array" ref="L953">IFERROR(INDEX('Sản phẩm'!$I$4:$I$103,MATCH(B953,'Sản phẩm'!$D$4:$D$103,0)),0)</f>
        <v>0</v>
      </c>
      <c r="M953" s="97" t="str">
        <f t="array" ref="M953">IFERROR(INDEX('Sản phẩm'!$J$4:$J$103,MATCH(B953,'Sản phẩm'!$D$4:$D$103,0)),0)</f>
        <v/>
      </c>
      <c r="N953" s="83">
        <f>IF(B953="",0,(K953+L953+M953)*'Thiết lập'!$B$8)</f>
        <v>0</v>
      </c>
      <c r="O953" s="83">
        <f t="shared" si="2"/>
        <v>0</v>
      </c>
      <c r="P953" s="83">
        <f t="shared" si="3"/>
        <v>0</v>
      </c>
      <c r="Q953" s="83">
        <f t="shared" si="4"/>
        <v>0</v>
      </c>
      <c r="R953" s="36" t="str">
        <f t="array" ref="R953">IF(B953="","",INDEX('Bán nhanh'!$C$4:$C$103,INT((ROW()-4)/10)+1))</f>
        <v/>
      </c>
      <c r="S953" s="36" t="str">
        <f t="array" ref="S953">IF(B953="","",INDEX('Bán nhanh'!$P$4:$P$103,INT((ROW()-4)/10)+1))</f>
        <v/>
      </c>
      <c r="T953" s="36"/>
      <c r="U953" s="36"/>
      <c r="V953" s="36"/>
      <c r="W953" s="36"/>
      <c r="X953" s="36"/>
      <c r="Y953" s="36"/>
      <c r="Z953" s="36"/>
    </row>
    <row r="954" ht="15.75" customHeight="1">
      <c r="A954" s="96" t="str">
        <f t="array" ref="A954">IF(B954="","",INDEX('Bán nhanh'!$A$4:$A$103,INT((ROW()-4)/10)+1))</f>
        <v/>
      </c>
      <c r="B954" s="36" t="str">
        <f t="array" ref="B954">IF(OR(INDEX('Bán nhanh'!$D$3:$M$3,1,MOD(ROW()-4,10)+1)="",INDEX('Bán nhanh'!$D$4:$M$103,INT((ROW()-4)/10)+1,MOD(ROW()-4,10)+1)&lt;=0),"",INDEX('Bán nhanh'!$D$3:$M$3,1,MOD(ROW()-4,10)+1))</f>
        <v/>
      </c>
      <c r="C954" s="36" t="str">
        <f t="array" ref="C954">IFERROR(INDEX('Sản phẩm'!$A$4:$A$103,MATCH(B954,'Sản phẩm'!$D$4:$D$103,0)),"")</f>
        <v/>
      </c>
      <c r="D954" s="36" t="str">
        <f t="array" ref="D954">IF(B954="","",INDEX('Bán nhanh'!$B$4:$B$103,INT((ROW()-4)/10)+1))</f>
        <v/>
      </c>
      <c r="E954" s="36" t="str">
        <f t="array" ref="E954">IFERROR(INDEX('Mẻ sữa'!$B$4:$B$203,MATCH(D954,'Mẻ sữa'!$C$4:$C$203,0)),"")</f>
        <v/>
      </c>
      <c r="F954" s="82">
        <f t="array" ref="F954">IF(B954="",0,INDEX('Bán nhanh'!$D$4:$M$103,INT((ROW()-4)/10)+1,MOD(ROW()-4,10)+1))</f>
        <v>0</v>
      </c>
      <c r="G954" s="83">
        <f t="array" ref="G954">IFERROR(INDEX('Sản phẩm'!$F$4:$F$103,MATCH(B954,'Sản phẩm'!$D$4:$D$103,0)),0)</f>
        <v>0</v>
      </c>
      <c r="H954" s="83">
        <f t="shared" si="5"/>
        <v>0</v>
      </c>
      <c r="I954" s="83">
        <f t="shared" si="1"/>
        <v>0</v>
      </c>
      <c r="J954" s="83">
        <f t="array" ref="J954">IFERROR(INDEX('Sản phẩm'!$G$4:$G$103,MATCH(B954,'Sản phẩm'!$D$4:$D$103,0)),0)</f>
        <v>0</v>
      </c>
      <c r="K954" s="83">
        <f t="array" ref="K954">IFERROR(J954*INDEX('Mẻ sữa'!$N$4:$N$203,MATCH(D954,'Mẻ sữa'!$C$4:$C$203,0)),0)</f>
        <v>0</v>
      </c>
      <c r="L954" s="83">
        <f t="array" ref="L954">IFERROR(INDEX('Sản phẩm'!$I$4:$I$103,MATCH(B954,'Sản phẩm'!$D$4:$D$103,0)),0)</f>
        <v>0</v>
      </c>
      <c r="M954" s="97" t="str">
        <f t="array" ref="M954">IFERROR(INDEX('Sản phẩm'!$J$4:$J$103,MATCH(B954,'Sản phẩm'!$D$4:$D$103,0)),0)</f>
        <v/>
      </c>
      <c r="N954" s="83">
        <f>IF(B954="",0,(K954+L954+M954)*'Thiết lập'!$B$8)</f>
        <v>0</v>
      </c>
      <c r="O954" s="83">
        <f t="shared" si="2"/>
        <v>0</v>
      </c>
      <c r="P954" s="83">
        <f t="shared" si="3"/>
        <v>0</v>
      </c>
      <c r="Q954" s="83">
        <f t="shared" si="4"/>
        <v>0</v>
      </c>
      <c r="R954" s="36" t="str">
        <f t="array" ref="R954">IF(B954="","",INDEX('Bán nhanh'!$C$4:$C$103,INT((ROW()-4)/10)+1))</f>
        <v/>
      </c>
      <c r="S954" s="36" t="str">
        <f t="array" ref="S954">IF(B954="","",INDEX('Bán nhanh'!$P$4:$P$103,INT((ROW()-4)/10)+1))</f>
        <v/>
      </c>
      <c r="T954" s="36"/>
      <c r="U954" s="36"/>
      <c r="V954" s="36"/>
      <c r="W954" s="36"/>
      <c r="X954" s="36"/>
      <c r="Y954" s="36"/>
      <c r="Z954" s="36"/>
    </row>
    <row r="955" ht="15.75" customHeight="1">
      <c r="A955" s="96" t="str">
        <f t="array" ref="A955">IF(B955="","",INDEX('Bán nhanh'!$A$4:$A$103,INT((ROW()-4)/10)+1))</f>
        <v/>
      </c>
      <c r="B955" s="36" t="str">
        <f t="array" ref="B955">IF(OR(INDEX('Bán nhanh'!$D$3:$M$3,1,MOD(ROW()-4,10)+1)="",INDEX('Bán nhanh'!$D$4:$M$103,INT((ROW()-4)/10)+1,MOD(ROW()-4,10)+1)&lt;=0),"",INDEX('Bán nhanh'!$D$3:$M$3,1,MOD(ROW()-4,10)+1))</f>
        <v/>
      </c>
      <c r="C955" s="36" t="str">
        <f t="array" ref="C955">IFERROR(INDEX('Sản phẩm'!$A$4:$A$103,MATCH(B955,'Sản phẩm'!$D$4:$D$103,0)),"")</f>
        <v/>
      </c>
      <c r="D955" s="36" t="str">
        <f t="array" ref="D955">IF(B955="","",INDEX('Bán nhanh'!$B$4:$B$103,INT((ROW()-4)/10)+1))</f>
        <v/>
      </c>
      <c r="E955" s="36" t="str">
        <f t="array" ref="E955">IFERROR(INDEX('Mẻ sữa'!$B$4:$B$203,MATCH(D955,'Mẻ sữa'!$C$4:$C$203,0)),"")</f>
        <v/>
      </c>
      <c r="F955" s="82">
        <f t="array" ref="F955">IF(B955="",0,INDEX('Bán nhanh'!$D$4:$M$103,INT((ROW()-4)/10)+1,MOD(ROW()-4,10)+1))</f>
        <v>0</v>
      </c>
      <c r="G955" s="83">
        <f t="array" ref="G955">IFERROR(INDEX('Sản phẩm'!$F$4:$F$103,MATCH(B955,'Sản phẩm'!$D$4:$D$103,0)),0)</f>
        <v>0</v>
      </c>
      <c r="H955" s="83">
        <f t="shared" si="5"/>
        <v>0</v>
      </c>
      <c r="I955" s="83">
        <f t="shared" si="1"/>
        <v>0</v>
      </c>
      <c r="J955" s="83">
        <f t="array" ref="J955">IFERROR(INDEX('Sản phẩm'!$G$4:$G$103,MATCH(B955,'Sản phẩm'!$D$4:$D$103,0)),0)</f>
        <v>0</v>
      </c>
      <c r="K955" s="83">
        <f t="array" ref="K955">IFERROR(J955*INDEX('Mẻ sữa'!$N$4:$N$203,MATCH(D955,'Mẻ sữa'!$C$4:$C$203,0)),0)</f>
        <v>0</v>
      </c>
      <c r="L955" s="83">
        <f t="array" ref="L955">IFERROR(INDEX('Sản phẩm'!$I$4:$I$103,MATCH(B955,'Sản phẩm'!$D$4:$D$103,0)),0)</f>
        <v>0</v>
      </c>
      <c r="M955" s="97" t="str">
        <f t="array" ref="M955">IFERROR(INDEX('Sản phẩm'!$J$4:$J$103,MATCH(B955,'Sản phẩm'!$D$4:$D$103,0)),0)</f>
        <v/>
      </c>
      <c r="N955" s="83">
        <f>IF(B955="",0,(K955+L955+M955)*'Thiết lập'!$B$8)</f>
        <v>0</v>
      </c>
      <c r="O955" s="83">
        <f t="shared" si="2"/>
        <v>0</v>
      </c>
      <c r="P955" s="83">
        <f t="shared" si="3"/>
        <v>0</v>
      </c>
      <c r="Q955" s="83">
        <f t="shared" si="4"/>
        <v>0</v>
      </c>
      <c r="R955" s="36" t="str">
        <f t="array" ref="R955">IF(B955="","",INDEX('Bán nhanh'!$C$4:$C$103,INT((ROW()-4)/10)+1))</f>
        <v/>
      </c>
      <c r="S955" s="36" t="str">
        <f t="array" ref="S955">IF(B955="","",INDEX('Bán nhanh'!$P$4:$P$103,INT((ROW()-4)/10)+1))</f>
        <v/>
      </c>
      <c r="T955" s="36"/>
      <c r="U955" s="36"/>
      <c r="V955" s="36"/>
      <c r="W955" s="36"/>
      <c r="X955" s="36"/>
      <c r="Y955" s="36"/>
      <c r="Z955" s="36"/>
    </row>
    <row r="956" ht="15.75" customHeight="1">
      <c r="A956" s="96" t="str">
        <f t="array" ref="A956">IF(B956="","",INDEX('Bán nhanh'!$A$4:$A$103,INT((ROW()-4)/10)+1))</f>
        <v/>
      </c>
      <c r="B956" s="36" t="str">
        <f t="array" ref="B956">IF(OR(INDEX('Bán nhanh'!$D$3:$M$3,1,MOD(ROW()-4,10)+1)="",INDEX('Bán nhanh'!$D$4:$M$103,INT((ROW()-4)/10)+1,MOD(ROW()-4,10)+1)&lt;=0),"",INDEX('Bán nhanh'!$D$3:$M$3,1,MOD(ROW()-4,10)+1))</f>
        <v/>
      </c>
      <c r="C956" s="36" t="str">
        <f t="array" ref="C956">IFERROR(INDEX('Sản phẩm'!$A$4:$A$103,MATCH(B956,'Sản phẩm'!$D$4:$D$103,0)),"")</f>
        <v/>
      </c>
      <c r="D956" s="36" t="str">
        <f t="array" ref="D956">IF(B956="","",INDEX('Bán nhanh'!$B$4:$B$103,INT((ROW()-4)/10)+1))</f>
        <v/>
      </c>
      <c r="E956" s="36" t="str">
        <f t="array" ref="E956">IFERROR(INDEX('Mẻ sữa'!$B$4:$B$203,MATCH(D956,'Mẻ sữa'!$C$4:$C$203,0)),"")</f>
        <v/>
      </c>
      <c r="F956" s="82">
        <f t="array" ref="F956">IF(B956="",0,INDEX('Bán nhanh'!$D$4:$M$103,INT((ROW()-4)/10)+1,MOD(ROW()-4,10)+1))</f>
        <v>0</v>
      </c>
      <c r="G956" s="83">
        <f t="array" ref="G956">IFERROR(INDEX('Sản phẩm'!$F$4:$F$103,MATCH(B956,'Sản phẩm'!$D$4:$D$103,0)),0)</f>
        <v>0</v>
      </c>
      <c r="H956" s="83">
        <f t="shared" si="5"/>
        <v>0</v>
      </c>
      <c r="I956" s="83">
        <f t="shared" si="1"/>
        <v>0</v>
      </c>
      <c r="J956" s="83">
        <f t="array" ref="J956">IFERROR(INDEX('Sản phẩm'!$G$4:$G$103,MATCH(B956,'Sản phẩm'!$D$4:$D$103,0)),0)</f>
        <v>0</v>
      </c>
      <c r="K956" s="83">
        <f t="array" ref="K956">IFERROR(J956*INDEX('Mẻ sữa'!$N$4:$N$203,MATCH(D956,'Mẻ sữa'!$C$4:$C$203,0)),0)</f>
        <v>0</v>
      </c>
      <c r="L956" s="83">
        <f t="array" ref="L956">IFERROR(INDEX('Sản phẩm'!$I$4:$I$103,MATCH(B956,'Sản phẩm'!$D$4:$D$103,0)),0)</f>
        <v>0</v>
      </c>
      <c r="M956" s="97" t="str">
        <f t="array" ref="M956">IFERROR(INDEX('Sản phẩm'!$J$4:$J$103,MATCH(B956,'Sản phẩm'!$D$4:$D$103,0)),0)</f>
        <v/>
      </c>
      <c r="N956" s="83">
        <f>IF(B956="",0,(K956+L956+M956)*'Thiết lập'!$B$8)</f>
        <v>0</v>
      </c>
      <c r="O956" s="83">
        <f t="shared" si="2"/>
        <v>0</v>
      </c>
      <c r="P956" s="83">
        <f t="shared" si="3"/>
        <v>0</v>
      </c>
      <c r="Q956" s="83">
        <f t="shared" si="4"/>
        <v>0</v>
      </c>
      <c r="R956" s="36" t="str">
        <f t="array" ref="R956">IF(B956="","",INDEX('Bán nhanh'!$C$4:$C$103,INT((ROW()-4)/10)+1))</f>
        <v/>
      </c>
      <c r="S956" s="36" t="str">
        <f t="array" ref="S956">IF(B956="","",INDEX('Bán nhanh'!$P$4:$P$103,INT((ROW()-4)/10)+1))</f>
        <v/>
      </c>
      <c r="T956" s="36"/>
      <c r="U956" s="36"/>
      <c r="V956" s="36"/>
      <c r="W956" s="36"/>
      <c r="X956" s="36"/>
      <c r="Y956" s="36"/>
      <c r="Z956" s="36"/>
    </row>
    <row r="957" ht="15.75" customHeight="1">
      <c r="A957" s="96" t="str">
        <f t="array" ref="A957">IF(B957="","",INDEX('Bán nhanh'!$A$4:$A$103,INT((ROW()-4)/10)+1))</f>
        <v/>
      </c>
      <c r="B957" s="36" t="str">
        <f t="array" ref="B957">IF(OR(INDEX('Bán nhanh'!$D$3:$M$3,1,MOD(ROW()-4,10)+1)="",INDEX('Bán nhanh'!$D$4:$M$103,INT((ROW()-4)/10)+1,MOD(ROW()-4,10)+1)&lt;=0),"",INDEX('Bán nhanh'!$D$3:$M$3,1,MOD(ROW()-4,10)+1))</f>
        <v/>
      </c>
      <c r="C957" s="36" t="str">
        <f t="array" ref="C957">IFERROR(INDEX('Sản phẩm'!$A$4:$A$103,MATCH(B957,'Sản phẩm'!$D$4:$D$103,0)),"")</f>
        <v/>
      </c>
      <c r="D957" s="36" t="str">
        <f t="array" ref="D957">IF(B957="","",INDEX('Bán nhanh'!$B$4:$B$103,INT((ROW()-4)/10)+1))</f>
        <v/>
      </c>
      <c r="E957" s="36" t="str">
        <f t="array" ref="E957">IFERROR(INDEX('Mẻ sữa'!$B$4:$B$203,MATCH(D957,'Mẻ sữa'!$C$4:$C$203,0)),"")</f>
        <v/>
      </c>
      <c r="F957" s="82">
        <f t="array" ref="F957">IF(B957="",0,INDEX('Bán nhanh'!$D$4:$M$103,INT((ROW()-4)/10)+1,MOD(ROW()-4,10)+1))</f>
        <v>0</v>
      </c>
      <c r="G957" s="83">
        <f t="array" ref="G957">IFERROR(INDEX('Sản phẩm'!$F$4:$F$103,MATCH(B957,'Sản phẩm'!$D$4:$D$103,0)),0)</f>
        <v>0</v>
      </c>
      <c r="H957" s="83">
        <f t="shared" si="5"/>
        <v>0</v>
      </c>
      <c r="I957" s="83">
        <f t="shared" si="1"/>
        <v>0</v>
      </c>
      <c r="J957" s="83">
        <f t="array" ref="J957">IFERROR(INDEX('Sản phẩm'!$G$4:$G$103,MATCH(B957,'Sản phẩm'!$D$4:$D$103,0)),0)</f>
        <v>0</v>
      </c>
      <c r="K957" s="83">
        <f t="array" ref="K957">IFERROR(J957*INDEX('Mẻ sữa'!$N$4:$N$203,MATCH(D957,'Mẻ sữa'!$C$4:$C$203,0)),0)</f>
        <v>0</v>
      </c>
      <c r="L957" s="83">
        <f t="array" ref="L957">IFERROR(INDEX('Sản phẩm'!$I$4:$I$103,MATCH(B957,'Sản phẩm'!$D$4:$D$103,0)),0)</f>
        <v>0</v>
      </c>
      <c r="M957" s="97" t="str">
        <f t="array" ref="M957">IFERROR(INDEX('Sản phẩm'!$J$4:$J$103,MATCH(B957,'Sản phẩm'!$D$4:$D$103,0)),0)</f>
        <v/>
      </c>
      <c r="N957" s="83">
        <f>IF(B957="",0,(K957+L957+M957)*'Thiết lập'!$B$8)</f>
        <v>0</v>
      </c>
      <c r="O957" s="83">
        <f t="shared" si="2"/>
        <v>0</v>
      </c>
      <c r="P957" s="83">
        <f t="shared" si="3"/>
        <v>0</v>
      </c>
      <c r="Q957" s="83">
        <f t="shared" si="4"/>
        <v>0</v>
      </c>
      <c r="R957" s="36" t="str">
        <f t="array" ref="R957">IF(B957="","",INDEX('Bán nhanh'!$C$4:$C$103,INT((ROW()-4)/10)+1))</f>
        <v/>
      </c>
      <c r="S957" s="36" t="str">
        <f t="array" ref="S957">IF(B957="","",INDEX('Bán nhanh'!$P$4:$P$103,INT((ROW()-4)/10)+1))</f>
        <v/>
      </c>
      <c r="T957" s="36"/>
      <c r="U957" s="36"/>
      <c r="V957" s="36"/>
      <c r="W957" s="36"/>
      <c r="X957" s="36"/>
      <c r="Y957" s="36"/>
      <c r="Z957" s="36"/>
    </row>
    <row r="958" ht="15.75" customHeight="1">
      <c r="A958" s="96" t="str">
        <f t="array" ref="A958">IF(B958="","",INDEX('Bán nhanh'!$A$4:$A$103,INT((ROW()-4)/10)+1))</f>
        <v/>
      </c>
      <c r="B958" s="36" t="str">
        <f t="array" ref="B958">IF(OR(INDEX('Bán nhanh'!$D$3:$M$3,1,MOD(ROW()-4,10)+1)="",INDEX('Bán nhanh'!$D$4:$M$103,INT((ROW()-4)/10)+1,MOD(ROW()-4,10)+1)&lt;=0),"",INDEX('Bán nhanh'!$D$3:$M$3,1,MOD(ROW()-4,10)+1))</f>
        <v/>
      </c>
      <c r="C958" s="36" t="str">
        <f t="array" ref="C958">IFERROR(INDEX('Sản phẩm'!$A$4:$A$103,MATCH(B958,'Sản phẩm'!$D$4:$D$103,0)),"")</f>
        <v/>
      </c>
      <c r="D958" s="36" t="str">
        <f t="array" ref="D958">IF(B958="","",INDEX('Bán nhanh'!$B$4:$B$103,INT((ROW()-4)/10)+1))</f>
        <v/>
      </c>
      <c r="E958" s="36" t="str">
        <f t="array" ref="E958">IFERROR(INDEX('Mẻ sữa'!$B$4:$B$203,MATCH(D958,'Mẻ sữa'!$C$4:$C$203,0)),"")</f>
        <v/>
      </c>
      <c r="F958" s="82">
        <f t="array" ref="F958">IF(B958="",0,INDEX('Bán nhanh'!$D$4:$M$103,INT((ROW()-4)/10)+1,MOD(ROW()-4,10)+1))</f>
        <v>0</v>
      </c>
      <c r="G958" s="83">
        <f t="array" ref="G958">IFERROR(INDEX('Sản phẩm'!$F$4:$F$103,MATCH(B958,'Sản phẩm'!$D$4:$D$103,0)),0)</f>
        <v>0</v>
      </c>
      <c r="H958" s="83">
        <f t="shared" si="5"/>
        <v>0</v>
      </c>
      <c r="I958" s="83">
        <f t="shared" si="1"/>
        <v>0</v>
      </c>
      <c r="J958" s="83">
        <f t="array" ref="J958">IFERROR(INDEX('Sản phẩm'!$G$4:$G$103,MATCH(B958,'Sản phẩm'!$D$4:$D$103,0)),0)</f>
        <v>0</v>
      </c>
      <c r="K958" s="83">
        <f t="array" ref="K958">IFERROR(J958*INDEX('Mẻ sữa'!$N$4:$N$203,MATCH(D958,'Mẻ sữa'!$C$4:$C$203,0)),0)</f>
        <v>0</v>
      </c>
      <c r="L958" s="83">
        <f t="array" ref="L958">IFERROR(INDEX('Sản phẩm'!$I$4:$I$103,MATCH(B958,'Sản phẩm'!$D$4:$D$103,0)),0)</f>
        <v>0</v>
      </c>
      <c r="M958" s="97" t="str">
        <f t="array" ref="M958">IFERROR(INDEX('Sản phẩm'!$J$4:$J$103,MATCH(B958,'Sản phẩm'!$D$4:$D$103,0)),0)</f>
        <v/>
      </c>
      <c r="N958" s="83">
        <f>IF(B958="",0,(K958+L958+M958)*'Thiết lập'!$B$8)</f>
        <v>0</v>
      </c>
      <c r="O958" s="83">
        <f t="shared" si="2"/>
        <v>0</v>
      </c>
      <c r="P958" s="83">
        <f t="shared" si="3"/>
        <v>0</v>
      </c>
      <c r="Q958" s="83">
        <f t="shared" si="4"/>
        <v>0</v>
      </c>
      <c r="R958" s="36" t="str">
        <f t="array" ref="R958">IF(B958="","",INDEX('Bán nhanh'!$C$4:$C$103,INT((ROW()-4)/10)+1))</f>
        <v/>
      </c>
      <c r="S958" s="36" t="str">
        <f t="array" ref="S958">IF(B958="","",INDEX('Bán nhanh'!$P$4:$P$103,INT((ROW()-4)/10)+1))</f>
        <v/>
      </c>
      <c r="T958" s="36"/>
      <c r="U958" s="36"/>
      <c r="V958" s="36"/>
      <c r="W958" s="36"/>
      <c r="X958" s="36"/>
      <c r="Y958" s="36"/>
      <c r="Z958" s="36"/>
    </row>
    <row r="959" ht="15.75" customHeight="1">
      <c r="A959" s="96" t="str">
        <f t="array" ref="A959">IF(B959="","",INDEX('Bán nhanh'!$A$4:$A$103,INT((ROW()-4)/10)+1))</f>
        <v/>
      </c>
      <c r="B959" s="36" t="str">
        <f t="array" ref="B959">IF(OR(INDEX('Bán nhanh'!$D$3:$M$3,1,MOD(ROW()-4,10)+1)="",INDEX('Bán nhanh'!$D$4:$M$103,INT((ROW()-4)/10)+1,MOD(ROW()-4,10)+1)&lt;=0),"",INDEX('Bán nhanh'!$D$3:$M$3,1,MOD(ROW()-4,10)+1))</f>
        <v/>
      </c>
      <c r="C959" s="36" t="str">
        <f t="array" ref="C959">IFERROR(INDEX('Sản phẩm'!$A$4:$A$103,MATCH(B959,'Sản phẩm'!$D$4:$D$103,0)),"")</f>
        <v/>
      </c>
      <c r="D959" s="36" t="str">
        <f t="array" ref="D959">IF(B959="","",INDEX('Bán nhanh'!$B$4:$B$103,INT((ROW()-4)/10)+1))</f>
        <v/>
      </c>
      <c r="E959" s="36" t="str">
        <f t="array" ref="E959">IFERROR(INDEX('Mẻ sữa'!$B$4:$B$203,MATCH(D959,'Mẻ sữa'!$C$4:$C$203,0)),"")</f>
        <v/>
      </c>
      <c r="F959" s="82">
        <f t="array" ref="F959">IF(B959="",0,INDEX('Bán nhanh'!$D$4:$M$103,INT((ROW()-4)/10)+1,MOD(ROW()-4,10)+1))</f>
        <v>0</v>
      </c>
      <c r="G959" s="83">
        <f t="array" ref="G959">IFERROR(INDEX('Sản phẩm'!$F$4:$F$103,MATCH(B959,'Sản phẩm'!$D$4:$D$103,0)),0)</f>
        <v>0</v>
      </c>
      <c r="H959" s="83">
        <f t="shared" si="5"/>
        <v>0</v>
      </c>
      <c r="I959" s="83">
        <f t="shared" si="1"/>
        <v>0</v>
      </c>
      <c r="J959" s="83">
        <f t="array" ref="J959">IFERROR(INDEX('Sản phẩm'!$G$4:$G$103,MATCH(B959,'Sản phẩm'!$D$4:$D$103,0)),0)</f>
        <v>0</v>
      </c>
      <c r="K959" s="83">
        <f t="array" ref="K959">IFERROR(J959*INDEX('Mẻ sữa'!$N$4:$N$203,MATCH(D959,'Mẻ sữa'!$C$4:$C$203,0)),0)</f>
        <v>0</v>
      </c>
      <c r="L959" s="83">
        <f t="array" ref="L959">IFERROR(INDEX('Sản phẩm'!$I$4:$I$103,MATCH(B959,'Sản phẩm'!$D$4:$D$103,0)),0)</f>
        <v>0</v>
      </c>
      <c r="M959" s="97" t="str">
        <f t="array" ref="M959">IFERROR(INDEX('Sản phẩm'!$J$4:$J$103,MATCH(B959,'Sản phẩm'!$D$4:$D$103,0)),0)</f>
        <v/>
      </c>
      <c r="N959" s="83">
        <f>IF(B959="",0,(K959+L959+M959)*'Thiết lập'!$B$8)</f>
        <v>0</v>
      </c>
      <c r="O959" s="83">
        <f t="shared" si="2"/>
        <v>0</v>
      </c>
      <c r="P959" s="83">
        <f t="shared" si="3"/>
        <v>0</v>
      </c>
      <c r="Q959" s="83">
        <f t="shared" si="4"/>
        <v>0</v>
      </c>
      <c r="R959" s="36" t="str">
        <f t="array" ref="R959">IF(B959="","",INDEX('Bán nhanh'!$C$4:$C$103,INT((ROW()-4)/10)+1))</f>
        <v/>
      </c>
      <c r="S959" s="36" t="str">
        <f t="array" ref="S959">IF(B959="","",INDEX('Bán nhanh'!$P$4:$P$103,INT((ROW()-4)/10)+1))</f>
        <v/>
      </c>
      <c r="T959" s="36"/>
      <c r="U959" s="36"/>
      <c r="V959" s="36"/>
      <c r="W959" s="36"/>
      <c r="X959" s="36"/>
      <c r="Y959" s="36"/>
      <c r="Z959" s="36"/>
    </row>
    <row r="960" ht="15.75" customHeight="1">
      <c r="A960" s="96" t="str">
        <f t="array" ref="A960">IF(B960="","",INDEX('Bán nhanh'!$A$4:$A$103,INT((ROW()-4)/10)+1))</f>
        <v/>
      </c>
      <c r="B960" s="36" t="str">
        <f t="array" ref="B960">IF(OR(INDEX('Bán nhanh'!$D$3:$M$3,1,MOD(ROW()-4,10)+1)="",INDEX('Bán nhanh'!$D$4:$M$103,INT((ROW()-4)/10)+1,MOD(ROW()-4,10)+1)&lt;=0),"",INDEX('Bán nhanh'!$D$3:$M$3,1,MOD(ROW()-4,10)+1))</f>
        <v/>
      </c>
      <c r="C960" s="36" t="str">
        <f t="array" ref="C960">IFERROR(INDEX('Sản phẩm'!$A$4:$A$103,MATCH(B960,'Sản phẩm'!$D$4:$D$103,0)),"")</f>
        <v/>
      </c>
      <c r="D960" s="36" t="str">
        <f t="array" ref="D960">IF(B960="","",INDEX('Bán nhanh'!$B$4:$B$103,INT((ROW()-4)/10)+1))</f>
        <v/>
      </c>
      <c r="E960" s="36" t="str">
        <f t="array" ref="E960">IFERROR(INDEX('Mẻ sữa'!$B$4:$B$203,MATCH(D960,'Mẻ sữa'!$C$4:$C$203,0)),"")</f>
        <v/>
      </c>
      <c r="F960" s="82">
        <f t="array" ref="F960">IF(B960="",0,INDEX('Bán nhanh'!$D$4:$M$103,INT((ROW()-4)/10)+1,MOD(ROW()-4,10)+1))</f>
        <v>0</v>
      </c>
      <c r="G960" s="83">
        <f t="array" ref="G960">IFERROR(INDEX('Sản phẩm'!$F$4:$F$103,MATCH(B960,'Sản phẩm'!$D$4:$D$103,0)),0)</f>
        <v>0</v>
      </c>
      <c r="H960" s="83">
        <f t="shared" si="5"/>
        <v>0</v>
      </c>
      <c r="I960" s="83">
        <f t="shared" si="1"/>
        <v>0</v>
      </c>
      <c r="J960" s="83">
        <f t="array" ref="J960">IFERROR(INDEX('Sản phẩm'!$G$4:$G$103,MATCH(B960,'Sản phẩm'!$D$4:$D$103,0)),0)</f>
        <v>0</v>
      </c>
      <c r="K960" s="83">
        <f t="array" ref="K960">IFERROR(J960*INDEX('Mẻ sữa'!$N$4:$N$203,MATCH(D960,'Mẻ sữa'!$C$4:$C$203,0)),0)</f>
        <v>0</v>
      </c>
      <c r="L960" s="83">
        <f t="array" ref="L960">IFERROR(INDEX('Sản phẩm'!$I$4:$I$103,MATCH(B960,'Sản phẩm'!$D$4:$D$103,0)),0)</f>
        <v>0</v>
      </c>
      <c r="M960" s="97" t="str">
        <f t="array" ref="M960">IFERROR(INDEX('Sản phẩm'!$J$4:$J$103,MATCH(B960,'Sản phẩm'!$D$4:$D$103,0)),0)</f>
        <v/>
      </c>
      <c r="N960" s="83">
        <f>IF(B960="",0,(K960+L960+M960)*'Thiết lập'!$B$8)</f>
        <v>0</v>
      </c>
      <c r="O960" s="83">
        <f t="shared" si="2"/>
        <v>0</v>
      </c>
      <c r="P960" s="83">
        <f t="shared" si="3"/>
        <v>0</v>
      </c>
      <c r="Q960" s="83">
        <f t="shared" si="4"/>
        <v>0</v>
      </c>
      <c r="R960" s="36" t="str">
        <f t="array" ref="R960">IF(B960="","",INDEX('Bán nhanh'!$C$4:$C$103,INT((ROW()-4)/10)+1))</f>
        <v/>
      </c>
      <c r="S960" s="36" t="str">
        <f t="array" ref="S960">IF(B960="","",INDEX('Bán nhanh'!$P$4:$P$103,INT((ROW()-4)/10)+1))</f>
        <v/>
      </c>
      <c r="T960" s="36"/>
      <c r="U960" s="36"/>
      <c r="V960" s="36"/>
      <c r="W960" s="36"/>
      <c r="X960" s="36"/>
      <c r="Y960" s="36"/>
      <c r="Z960" s="36"/>
    </row>
    <row r="961" ht="15.75" customHeight="1">
      <c r="A961" s="96" t="str">
        <f t="array" ref="A961">IF(B961="","",INDEX('Bán nhanh'!$A$4:$A$103,INT((ROW()-4)/10)+1))</f>
        <v/>
      </c>
      <c r="B961" s="36" t="str">
        <f t="array" ref="B961">IF(OR(INDEX('Bán nhanh'!$D$3:$M$3,1,MOD(ROW()-4,10)+1)="",INDEX('Bán nhanh'!$D$4:$M$103,INT((ROW()-4)/10)+1,MOD(ROW()-4,10)+1)&lt;=0),"",INDEX('Bán nhanh'!$D$3:$M$3,1,MOD(ROW()-4,10)+1))</f>
        <v/>
      </c>
      <c r="C961" s="36" t="str">
        <f t="array" ref="C961">IFERROR(INDEX('Sản phẩm'!$A$4:$A$103,MATCH(B961,'Sản phẩm'!$D$4:$D$103,0)),"")</f>
        <v/>
      </c>
      <c r="D961" s="36" t="str">
        <f t="array" ref="D961">IF(B961="","",INDEX('Bán nhanh'!$B$4:$B$103,INT((ROW()-4)/10)+1))</f>
        <v/>
      </c>
      <c r="E961" s="36" t="str">
        <f t="array" ref="E961">IFERROR(INDEX('Mẻ sữa'!$B$4:$B$203,MATCH(D961,'Mẻ sữa'!$C$4:$C$203,0)),"")</f>
        <v/>
      </c>
      <c r="F961" s="82">
        <f t="array" ref="F961">IF(B961="",0,INDEX('Bán nhanh'!$D$4:$M$103,INT((ROW()-4)/10)+1,MOD(ROW()-4,10)+1))</f>
        <v>0</v>
      </c>
      <c r="G961" s="83">
        <f t="array" ref="G961">IFERROR(INDEX('Sản phẩm'!$F$4:$F$103,MATCH(B961,'Sản phẩm'!$D$4:$D$103,0)),0)</f>
        <v>0</v>
      </c>
      <c r="H961" s="83">
        <f t="shared" si="5"/>
        <v>0</v>
      </c>
      <c r="I961" s="83">
        <f t="shared" si="1"/>
        <v>0</v>
      </c>
      <c r="J961" s="83">
        <f t="array" ref="J961">IFERROR(INDEX('Sản phẩm'!$G$4:$G$103,MATCH(B961,'Sản phẩm'!$D$4:$D$103,0)),0)</f>
        <v>0</v>
      </c>
      <c r="K961" s="83">
        <f t="array" ref="K961">IFERROR(J961*INDEX('Mẻ sữa'!$N$4:$N$203,MATCH(D961,'Mẻ sữa'!$C$4:$C$203,0)),0)</f>
        <v>0</v>
      </c>
      <c r="L961" s="83">
        <f t="array" ref="L961">IFERROR(INDEX('Sản phẩm'!$I$4:$I$103,MATCH(B961,'Sản phẩm'!$D$4:$D$103,0)),0)</f>
        <v>0</v>
      </c>
      <c r="M961" s="97" t="str">
        <f t="array" ref="M961">IFERROR(INDEX('Sản phẩm'!$J$4:$J$103,MATCH(B961,'Sản phẩm'!$D$4:$D$103,0)),0)</f>
        <v/>
      </c>
      <c r="N961" s="83">
        <f>IF(B961="",0,(K961+L961+M961)*'Thiết lập'!$B$8)</f>
        <v>0</v>
      </c>
      <c r="O961" s="83">
        <f t="shared" si="2"/>
        <v>0</v>
      </c>
      <c r="P961" s="83">
        <f t="shared" si="3"/>
        <v>0</v>
      </c>
      <c r="Q961" s="83">
        <f t="shared" si="4"/>
        <v>0</v>
      </c>
      <c r="R961" s="36" t="str">
        <f t="array" ref="R961">IF(B961="","",INDEX('Bán nhanh'!$C$4:$C$103,INT((ROW()-4)/10)+1))</f>
        <v/>
      </c>
      <c r="S961" s="36" t="str">
        <f t="array" ref="S961">IF(B961="","",INDEX('Bán nhanh'!$P$4:$P$103,INT((ROW()-4)/10)+1))</f>
        <v/>
      </c>
      <c r="T961" s="36"/>
      <c r="U961" s="36"/>
      <c r="V961" s="36"/>
      <c r="W961" s="36"/>
      <c r="X961" s="36"/>
      <c r="Y961" s="36"/>
      <c r="Z961" s="36"/>
    </row>
    <row r="962" ht="15.75" customHeight="1">
      <c r="A962" s="96" t="str">
        <f t="array" ref="A962">IF(B962="","",INDEX('Bán nhanh'!$A$4:$A$103,INT((ROW()-4)/10)+1))</f>
        <v/>
      </c>
      <c r="B962" s="36" t="str">
        <f t="array" ref="B962">IF(OR(INDEX('Bán nhanh'!$D$3:$M$3,1,MOD(ROW()-4,10)+1)="",INDEX('Bán nhanh'!$D$4:$M$103,INT((ROW()-4)/10)+1,MOD(ROW()-4,10)+1)&lt;=0),"",INDEX('Bán nhanh'!$D$3:$M$3,1,MOD(ROW()-4,10)+1))</f>
        <v/>
      </c>
      <c r="C962" s="36" t="str">
        <f t="array" ref="C962">IFERROR(INDEX('Sản phẩm'!$A$4:$A$103,MATCH(B962,'Sản phẩm'!$D$4:$D$103,0)),"")</f>
        <v/>
      </c>
      <c r="D962" s="36" t="str">
        <f t="array" ref="D962">IF(B962="","",INDEX('Bán nhanh'!$B$4:$B$103,INT((ROW()-4)/10)+1))</f>
        <v/>
      </c>
      <c r="E962" s="36" t="str">
        <f t="array" ref="E962">IFERROR(INDEX('Mẻ sữa'!$B$4:$B$203,MATCH(D962,'Mẻ sữa'!$C$4:$C$203,0)),"")</f>
        <v/>
      </c>
      <c r="F962" s="82">
        <f t="array" ref="F962">IF(B962="",0,INDEX('Bán nhanh'!$D$4:$M$103,INT((ROW()-4)/10)+1,MOD(ROW()-4,10)+1))</f>
        <v>0</v>
      </c>
      <c r="G962" s="83">
        <f t="array" ref="G962">IFERROR(INDEX('Sản phẩm'!$F$4:$F$103,MATCH(B962,'Sản phẩm'!$D$4:$D$103,0)),0)</f>
        <v>0</v>
      </c>
      <c r="H962" s="83">
        <f t="shared" si="5"/>
        <v>0</v>
      </c>
      <c r="I962" s="83">
        <f t="shared" si="1"/>
        <v>0</v>
      </c>
      <c r="J962" s="83">
        <f t="array" ref="J962">IFERROR(INDEX('Sản phẩm'!$G$4:$G$103,MATCH(B962,'Sản phẩm'!$D$4:$D$103,0)),0)</f>
        <v>0</v>
      </c>
      <c r="K962" s="83">
        <f t="array" ref="K962">IFERROR(J962*INDEX('Mẻ sữa'!$N$4:$N$203,MATCH(D962,'Mẻ sữa'!$C$4:$C$203,0)),0)</f>
        <v>0</v>
      </c>
      <c r="L962" s="83">
        <f t="array" ref="L962">IFERROR(INDEX('Sản phẩm'!$I$4:$I$103,MATCH(B962,'Sản phẩm'!$D$4:$D$103,0)),0)</f>
        <v>0</v>
      </c>
      <c r="M962" s="97" t="str">
        <f t="array" ref="M962">IFERROR(INDEX('Sản phẩm'!$J$4:$J$103,MATCH(B962,'Sản phẩm'!$D$4:$D$103,0)),0)</f>
        <v/>
      </c>
      <c r="N962" s="83">
        <f>IF(B962="",0,(K962+L962+M962)*'Thiết lập'!$B$8)</f>
        <v>0</v>
      </c>
      <c r="O962" s="83">
        <f t="shared" si="2"/>
        <v>0</v>
      </c>
      <c r="P962" s="83">
        <f t="shared" si="3"/>
        <v>0</v>
      </c>
      <c r="Q962" s="83">
        <f t="shared" si="4"/>
        <v>0</v>
      </c>
      <c r="R962" s="36" t="str">
        <f t="array" ref="R962">IF(B962="","",INDEX('Bán nhanh'!$C$4:$C$103,INT((ROW()-4)/10)+1))</f>
        <v/>
      </c>
      <c r="S962" s="36" t="str">
        <f t="array" ref="S962">IF(B962="","",INDEX('Bán nhanh'!$P$4:$P$103,INT((ROW()-4)/10)+1))</f>
        <v/>
      </c>
      <c r="T962" s="36"/>
      <c r="U962" s="36"/>
      <c r="V962" s="36"/>
      <c r="W962" s="36"/>
      <c r="X962" s="36"/>
      <c r="Y962" s="36"/>
      <c r="Z962" s="36"/>
    </row>
    <row r="963" ht="15.75" customHeight="1">
      <c r="A963" s="96" t="str">
        <f t="array" ref="A963">IF(B963="","",INDEX('Bán nhanh'!$A$4:$A$103,INT((ROW()-4)/10)+1))</f>
        <v/>
      </c>
      <c r="B963" s="36" t="str">
        <f t="array" ref="B963">IF(OR(INDEX('Bán nhanh'!$D$3:$M$3,1,MOD(ROW()-4,10)+1)="",INDEX('Bán nhanh'!$D$4:$M$103,INT((ROW()-4)/10)+1,MOD(ROW()-4,10)+1)&lt;=0),"",INDEX('Bán nhanh'!$D$3:$M$3,1,MOD(ROW()-4,10)+1))</f>
        <v/>
      </c>
      <c r="C963" s="36" t="str">
        <f t="array" ref="C963">IFERROR(INDEX('Sản phẩm'!$A$4:$A$103,MATCH(B963,'Sản phẩm'!$D$4:$D$103,0)),"")</f>
        <v/>
      </c>
      <c r="D963" s="36" t="str">
        <f t="array" ref="D963">IF(B963="","",INDEX('Bán nhanh'!$B$4:$B$103,INT((ROW()-4)/10)+1))</f>
        <v/>
      </c>
      <c r="E963" s="36" t="str">
        <f t="array" ref="E963">IFERROR(INDEX('Mẻ sữa'!$B$4:$B$203,MATCH(D963,'Mẻ sữa'!$C$4:$C$203,0)),"")</f>
        <v/>
      </c>
      <c r="F963" s="82">
        <f t="array" ref="F963">IF(B963="",0,INDEX('Bán nhanh'!$D$4:$M$103,INT((ROW()-4)/10)+1,MOD(ROW()-4,10)+1))</f>
        <v>0</v>
      </c>
      <c r="G963" s="83">
        <f t="array" ref="G963">IFERROR(INDEX('Sản phẩm'!$F$4:$F$103,MATCH(B963,'Sản phẩm'!$D$4:$D$103,0)),0)</f>
        <v>0</v>
      </c>
      <c r="H963" s="83">
        <f t="shared" si="5"/>
        <v>0</v>
      </c>
      <c r="I963" s="83">
        <f t="shared" si="1"/>
        <v>0</v>
      </c>
      <c r="J963" s="83">
        <f t="array" ref="J963">IFERROR(INDEX('Sản phẩm'!$G$4:$G$103,MATCH(B963,'Sản phẩm'!$D$4:$D$103,0)),0)</f>
        <v>0</v>
      </c>
      <c r="K963" s="83">
        <f t="array" ref="K963">IFERROR(J963*INDEX('Mẻ sữa'!$N$4:$N$203,MATCH(D963,'Mẻ sữa'!$C$4:$C$203,0)),0)</f>
        <v>0</v>
      </c>
      <c r="L963" s="83">
        <f t="array" ref="L963">IFERROR(INDEX('Sản phẩm'!$I$4:$I$103,MATCH(B963,'Sản phẩm'!$D$4:$D$103,0)),0)</f>
        <v>0</v>
      </c>
      <c r="M963" s="97" t="str">
        <f t="array" ref="M963">IFERROR(INDEX('Sản phẩm'!$J$4:$J$103,MATCH(B963,'Sản phẩm'!$D$4:$D$103,0)),0)</f>
        <v/>
      </c>
      <c r="N963" s="83">
        <f>IF(B963="",0,(K963+L963+M963)*'Thiết lập'!$B$8)</f>
        <v>0</v>
      </c>
      <c r="O963" s="83">
        <f t="shared" si="2"/>
        <v>0</v>
      </c>
      <c r="P963" s="83">
        <f t="shared" si="3"/>
        <v>0</v>
      </c>
      <c r="Q963" s="83">
        <f t="shared" si="4"/>
        <v>0</v>
      </c>
      <c r="R963" s="36" t="str">
        <f t="array" ref="R963">IF(B963="","",INDEX('Bán nhanh'!$C$4:$C$103,INT((ROW()-4)/10)+1))</f>
        <v/>
      </c>
      <c r="S963" s="36" t="str">
        <f t="array" ref="S963">IF(B963="","",INDEX('Bán nhanh'!$P$4:$P$103,INT((ROW()-4)/10)+1))</f>
        <v/>
      </c>
      <c r="T963" s="36"/>
      <c r="U963" s="36"/>
      <c r="V963" s="36"/>
      <c r="W963" s="36"/>
      <c r="X963" s="36"/>
      <c r="Y963" s="36"/>
      <c r="Z963" s="36"/>
    </row>
    <row r="964" ht="15.75" customHeight="1">
      <c r="A964" s="96" t="str">
        <f t="array" ref="A964">IF(B964="","",INDEX('Bán nhanh'!$A$4:$A$103,INT((ROW()-4)/10)+1))</f>
        <v/>
      </c>
      <c r="B964" s="36" t="str">
        <f t="array" ref="B964">IF(OR(INDEX('Bán nhanh'!$D$3:$M$3,1,MOD(ROW()-4,10)+1)="",INDEX('Bán nhanh'!$D$4:$M$103,INT((ROW()-4)/10)+1,MOD(ROW()-4,10)+1)&lt;=0),"",INDEX('Bán nhanh'!$D$3:$M$3,1,MOD(ROW()-4,10)+1))</f>
        <v/>
      </c>
      <c r="C964" s="36" t="str">
        <f t="array" ref="C964">IFERROR(INDEX('Sản phẩm'!$A$4:$A$103,MATCH(B964,'Sản phẩm'!$D$4:$D$103,0)),"")</f>
        <v/>
      </c>
      <c r="D964" s="36" t="str">
        <f t="array" ref="D964">IF(B964="","",INDEX('Bán nhanh'!$B$4:$B$103,INT((ROW()-4)/10)+1))</f>
        <v/>
      </c>
      <c r="E964" s="36" t="str">
        <f t="array" ref="E964">IFERROR(INDEX('Mẻ sữa'!$B$4:$B$203,MATCH(D964,'Mẻ sữa'!$C$4:$C$203,0)),"")</f>
        <v/>
      </c>
      <c r="F964" s="82">
        <f t="array" ref="F964">IF(B964="",0,INDEX('Bán nhanh'!$D$4:$M$103,INT((ROW()-4)/10)+1,MOD(ROW()-4,10)+1))</f>
        <v>0</v>
      </c>
      <c r="G964" s="83">
        <f t="array" ref="G964">IFERROR(INDEX('Sản phẩm'!$F$4:$F$103,MATCH(B964,'Sản phẩm'!$D$4:$D$103,0)),0)</f>
        <v>0</v>
      </c>
      <c r="H964" s="83">
        <f t="shared" si="5"/>
        <v>0</v>
      </c>
      <c r="I964" s="83">
        <f t="shared" si="1"/>
        <v>0</v>
      </c>
      <c r="J964" s="83">
        <f t="array" ref="J964">IFERROR(INDEX('Sản phẩm'!$G$4:$G$103,MATCH(B964,'Sản phẩm'!$D$4:$D$103,0)),0)</f>
        <v>0</v>
      </c>
      <c r="K964" s="83">
        <f t="array" ref="K964">IFERROR(J964*INDEX('Mẻ sữa'!$N$4:$N$203,MATCH(D964,'Mẻ sữa'!$C$4:$C$203,0)),0)</f>
        <v>0</v>
      </c>
      <c r="L964" s="83">
        <f t="array" ref="L964">IFERROR(INDEX('Sản phẩm'!$I$4:$I$103,MATCH(B964,'Sản phẩm'!$D$4:$D$103,0)),0)</f>
        <v>0</v>
      </c>
      <c r="M964" s="97" t="str">
        <f t="array" ref="M964">IFERROR(INDEX('Sản phẩm'!$J$4:$J$103,MATCH(B964,'Sản phẩm'!$D$4:$D$103,0)),0)</f>
        <v/>
      </c>
      <c r="N964" s="83">
        <f>IF(B964="",0,(K964+L964+M964)*'Thiết lập'!$B$8)</f>
        <v>0</v>
      </c>
      <c r="O964" s="83">
        <f t="shared" si="2"/>
        <v>0</v>
      </c>
      <c r="P964" s="83">
        <f t="shared" si="3"/>
        <v>0</v>
      </c>
      <c r="Q964" s="83">
        <f t="shared" si="4"/>
        <v>0</v>
      </c>
      <c r="R964" s="36" t="str">
        <f t="array" ref="R964">IF(B964="","",INDEX('Bán nhanh'!$C$4:$C$103,INT((ROW()-4)/10)+1))</f>
        <v/>
      </c>
      <c r="S964" s="36" t="str">
        <f t="array" ref="S964">IF(B964="","",INDEX('Bán nhanh'!$P$4:$P$103,INT((ROW()-4)/10)+1))</f>
        <v/>
      </c>
      <c r="T964" s="36"/>
      <c r="U964" s="36"/>
      <c r="V964" s="36"/>
      <c r="W964" s="36"/>
      <c r="X964" s="36"/>
      <c r="Y964" s="36"/>
      <c r="Z964" s="36"/>
    </row>
    <row r="965" ht="15.75" customHeight="1">
      <c r="A965" s="96" t="str">
        <f t="array" ref="A965">IF(B965="","",INDEX('Bán nhanh'!$A$4:$A$103,INT((ROW()-4)/10)+1))</f>
        <v/>
      </c>
      <c r="B965" s="36" t="str">
        <f t="array" ref="B965">IF(OR(INDEX('Bán nhanh'!$D$3:$M$3,1,MOD(ROW()-4,10)+1)="",INDEX('Bán nhanh'!$D$4:$M$103,INT((ROW()-4)/10)+1,MOD(ROW()-4,10)+1)&lt;=0),"",INDEX('Bán nhanh'!$D$3:$M$3,1,MOD(ROW()-4,10)+1))</f>
        <v/>
      </c>
      <c r="C965" s="36" t="str">
        <f t="array" ref="C965">IFERROR(INDEX('Sản phẩm'!$A$4:$A$103,MATCH(B965,'Sản phẩm'!$D$4:$D$103,0)),"")</f>
        <v/>
      </c>
      <c r="D965" s="36" t="str">
        <f t="array" ref="D965">IF(B965="","",INDEX('Bán nhanh'!$B$4:$B$103,INT((ROW()-4)/10)+1))</f>
        <v/>
      </c>
      <c r="E965" s="36" t="str">
        <f t="array" ref="E965">IFERROR(INDEX('Mẻ sữa'!$B$4:$B$203,MATCH(D965,'Mẻ sữa'!$C$4:$C$203,0)),"")</f>
        <v/>
      </c>
      <c r="F965" s="82">
        <f t="array" ref="F965">IF(B965="",0,INDEX('Bán nhanh'!$D$4:$M$103,INT((ROW()-4)/10)+1,MOD(ROW()-4,10)+1))</f>
        <v>0</v>
      </c>
      <c r="G965" s="83">
        <f t="array" ref="G965">IFERROR(INDEX('Sản phẩm'!$F$4:$F$103,MATCH(B965,'Sản phẩm'!$D$4:$D$103,0)),0)</f>
        <v>0</v>
      </c>
      <c r="H965" s="83">
        <f t="shared" si="5"/>
        <v>0</v>
      </c>
      <c r="I965" s="83">
        <f t="shared" si="1"/>
        <v>0</v>
      </c>
      <c r="J965" s="83">
        <f t="array" ref="J965">IFERROR(INDEX('Sản phẩm'!$G$4:$G$103,MATCH(B965,'Sản phẩm'!$D$4:$D$103,0)),0)</f>
        <v>0</v>
      </c>
      <c r="K965" s="83">
        <f t="array" ref="K965">IFERROR(J965*INDEX('Mẻ sữa'!$N$4:$N$203,MATCH(D965,'Mẻ sữa'!$C$4:$C$203,0)),0)</f>
        <v>0</v>
      </c>
      <c r="L965" s="83">
        <f t="array" ref="L965">IFERROR(INDEX('Sản phẩm'!$I$4:$I$103,MATCH(B965,'Sản phẩm'!$D$4:$D$103,0)),0)</f>
        <v>0</v>
      </c>
      <c r="M965" s="97" t="str">
        <f t="array" ref="M965">IFERROR(INDEX('Sản phẩm'!$J$4:$J$103,MATCH(B965,'Sản phẩm'!$D$4:$D$103,0)),0)</f>
        <v/>
      </c>
      <c r="N965" s="83">
        <f>IF(B965="",0,(K965+L965+M965)*'Thiết lập'!$B$8)</f>
        <v>0</v>
      </c>
      <c r="O965" s="83">
        <f t="shared" si="2"/>
        <v>0</v>
      </c>
      <c r="P965" s="83">
        <f t="shared" si="3"/>
        <v>0</v>
      </c>
      <c r="Q965" s="83">
        <f t="shared" si="4"/>
        <v>0</v>
      </c>
      <c r="R965" s="36" t="str">
        <f t="array" ref="R965">IF(B965="","",INDEX('Bán nhanh'!$C$4:$C$103,INT((ROW()-4)/10)+1))</f>
        <v/>
      </c>
      <c r="S965" s="36" t="str">
        <f t="array" ref="S965">IF(B965="","",INDEX('Bán nhanh'!$P$4:$P$103,INT((ROW()-4)/10)+1))</f>
        <v/>
      </c>
      <c r="T965" s="36"/>
      <c r="U965" s="36"/>
      <c r="V965" s="36"/>
      <c r="W965" s="36"/>
      <c r="X965" s="36"/>
      <c r="Y965" s="36"/>
      <c r="Z965" s="36"/>
    </row>
    <row r="966" ht="15.75" customHeight="1">
      <c r="A966" s="96" t="str">
        <f t="array" ref="A966">IF(B966="","",INDEX('Bán nhanh'!$A$4:$A$103,INT((ROW()-4)/10)+1))</f>
        <v/>
      </c>
      <c r="B966" s="36" t="str">
        <f t="array" ref="B966">IF(OR(INDEX('Bán nhanh'!$D$3:$M$3,1,MOD(ROW()-4,10)+1)="",INDEX('Bán nhanh'!$D$4:$M$103,INT((ROW()-4)/10)+1,MOD(ROW()-4,10)+1)&lt;=0),"",INDEX('Bán nhanh'!$D$3:$M$3,1,MOD(ROW()-4,10)+1))</f>
        <v/>
      </c>
      <c r="C966" s="36" t="str">
        <f t="array" ref="C966">IFERROR(INDEX('Sản phẩm'!$A$4:$A$103,MATCH(B966,'Sản phẩm'!$D$4:$D$103,0)),"")</f>
        <v/>
      </c>
      <c r="D966" s="36" t="str">
        <f t="array" ref="D966">IF(B966="","",INDEX('Bán nhanh'!$B$4:$B$103,INT((ROW()-4)/10)+1))</f>
        <v/>
      </c>
      <c r="E966" s="36" t="str">
        <f t="array" ref="E966">IFERROR(INDEX('Mẻ sữa'!$B$4:$B$203,MATCH(D966,'Mẻ sữa'!$C$4:$C$203,0)),"")</f>
        <v/>
      </c>
      <c r="F966" s="82">
        <f t="array" ref="F966">IF(B966="",0,INDEX('Bán nhanh'!$D$4:$M$103,INT((ROW()-4)/10)+1,MOD(ROW()-4,10)+1))</f>
        <v>0</v>
      </c>
      <c r="G966" s="83">
        <f t="array" ref="G966">IFERROR(INDEX('Sản phẩm'!$F$4:$F$103,MATCH(B966,'Sản phẩm'!$D$4:$D$103,0)),0)</f>
        <v>0</v>
      </c>
      <c r="H966" s="83">
        <f t="shared" si="5"/>
        <v>0</v>
      </c>
      <c r="I966" s="83">
        <f t="shared" si="1"/>
        <v>0</v>
      </c>
      <c r="J966" s="83">
        <f t="array" ref="J966">IFERROR(INDEX('Sản phẩm'!$G$4:$G$103,MATCH(B966,'Sản phẩm'!$D$4:$D$103,0)),0)</f>
        <v>0</v>
      </c>
      <c r="K966" s="83">
        <f t="array" ref="K966">IFERROR(J966*INDEX('Mẻ sữa'!$N$4:$N$203,MATCH(D966,'Mẻ sữa'!$C$4:$C$203,0)),0)</f>
        <v>0</v>
      </c>
      <c r="L966" s="83">
        <f t="array" ref="L966">IFERROR(INDEX('Sản phẩm'!$I$4:$I$103,MATCH(B966,'Sản phẩm'!$D$4:$D$103,0)),0)</f>
        <v>0</v>
      </c>
      <c r="M966" s="97" t="str">
        <f t="array" ref="M966">IFERROR(INDEX('Sản phẩm'!$J$4:$J$103,MATCH(B966,'Sản phẩm'!$D$4:$D$103,0)),0)</f>
        <v/>
      </c>
      <c r="N966" s="83">
        <f>IF(B966="",0,(K966+L966+M966)*'Thiết lập'!$B$8)</f>
        <v>0</v>
      </c>
      <c r="O966" s="83">
        <f t="shared" si="2"/>
        <v>0</v>
      </c>
      <c r="P966" s="83">
        <f t="shared" si="3"/>
        <v>0</v>
      </c>
      <c r="Q966" s="83">
        <f t="shared" si="4"/>
        <v>0</v>
      </c>
      <c r="R966" s="36" t="str">
        <f t="array" ref="R966">IF(B966="","",INDEX('Bán nhanh'!$C$4:$C$103,INT((ROW()-4)/10)+1))</f>
        <v/>
      </c>
      <c r="S966" s="36" t="str">
        <f t="array" ref="S966">IF(B966="","",INDEX('Bán nhanh'!$P$4:$P$103,INT((ROW()-4)/10)+1))</f>
        <v/>
      </c>
      <c r="T966" s="36"/>
      <c r="U966" s="36"/>
      <c r="V966" s="36"/>
      <c r="W966" s="36"/>
      <c r="X966" s="36"/>
      <c r="Y966" s="36"/>
      <c r="Z966" s="36"/>
    </row>
    <row r="967" ht="15.75" customHeight="1">
      <c r="A967" s="96" t="str">
        <f t="array" ref="A967">IF(B967="","",INDEX('Bán nhanh'!$A$4:$A$103,INT((ROW()-4)/10)+1))</f>
        <v/>
      </c>
      <c r="B967" s="36" t="str">
        <f t="array" ref="B967">IF(OR(INDEX('Bán nhanh'!$D$3:$M$3,1,MOD(ROW()-4,10)+1)="",INDEX('Bán nhanh'!$D$4:$M$103,INT((ROW()-4)/10)+1,MOD(ROW()-4,10)+1)&lt;=0),"",INDEX('Bán nhanh'!$D$3:$M$3,1,MOD(ROW()-4,10)+1))</f>
        <v/>
      </c>
      <c r="C967" s="36" t="str">
        <f t="array" ref="C967">IFERROR(INDEX('Sản phẩm'!$A$4:$A$103,MATCH(B967,'Sản phẩm'!$D$4:$D$103,0)),"")</f>
        <v/>
      </c>
      <c r="D967" s="36" t="str">
        <f t="array" ref="D967">IF(B967="","",INDEX('Bán nhanh'!$B$4:$B$103,INT((ROW()-4)/10)+1))</f>
        <v/>
      </c>
      <c r="E967" s="36" t="str">
        <f t="array" ref="E967">IFERROR(INDEX('Mẻ sữa'!$B$4:$B$203,MATCH(D967,'Mẻ sữa'!$C$4:$C$203,0)),"")</f>
        <v/>
      </c>
      <c r="F967" s="82">
        <f t="array" ref="F967">IF(B967="",0,INDEX('Bán nhanh'!$D$4:$M$103,INT((ROW()-4)/10)+1,MOD(ROW()-4,10)+1))</f>
        <v>0</v>
      </c>
      <c r="G967" s="83">
        <f t="array" ref="G967">IFERROR(INDEX('Sản phẩm'!$F$4:$F$103,MATCH(B967,'Sản phẩm'!$D$4:$D$103,0)),0)</f>
        <v>0</v>
      </c>
      <c r="H967" s="83">
        <f t="shared" si="5"/>
        <v>0</v>
      </c>
      <c r="I967" s="83">
        <f t="shared" si="1"/>
        <v>0</v>
      </c>
      <c r="J967" s="83">
        <f t="array" ref="J967">IFERROR(INDEX('Sản phẩm'!$G$4:$G$103,MATCH(B967,'Sản phẩm'!$D$4:$D$103,0)),0)</f>
        <v>0</v>
      </c>
      <c r="K967" s="83">
        <f t="array" ref="K967">IFERROR(J967*INDEX('Mẻ sữa'!$N$4:$N$203,MATCH(D967,'Mẻ sữa'!$C$4:$C$203,0)),0)</f>
        <v>0</v>
      </c>
      <c r="L967" s="83">
        <f t="array" ref="L967">IFERROR(INDEX('Sản phẩm'!$I$4:$I$103,MATCH(B967,'Sản phẩm'!$D$4:$D$103,0)),0)</f>
        <v>0</v>
      </c>
      <c r="M967" s="97" t="str">
        <f t="array" ref="M967">IFERROR(INDEX('Sản phẩm'!$J$4:$J$103,MATCH(B967,'Sản phẩm'!$D$4:$D$103,0)),0)</f>
        <v/>
      </c>
      <c r="N967" s="83">
        <f>IF(B967="",0,(K967+L967+M967)*'Thiết lập'!$B$8)</f>
        <v>0</v>
      </c>
      <c r="O967" s="83">
        <f t="shared" si="2"/>
        <v>0</v>
      </c>
      <c r="P967" s="83">
        <f t="shared" si="3"/>
        <v>0</v>
      </c>
      <c r="Q967" s="83">
        <f t="shared" si="4"/>
        <v>0</v>
      </c>
      <c r="R967" s="36" t="str">
        <f t="array" ref="R967">IF(B967="","",INDEX('Bán nhanh'!$C$4:$C$103,INT((ROW()-4)/10)+1))</f>
        <v/>
      </c>
      <c r="S967" s="36" t="str">
        <f t="array" ref="S967">IF(B967="","",INDEX('Bán nhanh'!$P$4:$P$103,INT((ROW()-4)/10)+1))</f>
        <v/>
      </c>
      <c r="T967" s="36"/>
      <c r="U967" s="36"/>
      <c r="V967" s="36"/>
      <c r="W967" s="36"/>
      <c r="X967" s="36"/>
      <c r="Y967" s="36"/>
      <c r="Z967" s="36"/>
    </row>
    <row r="968" ht="15.75" customHeight="1">
      <c r="A968" s="96" t="str">
        <f t="array" ref="A968">IF(B968="","",INDEX('Bán nhanh'!$A$4:$A$103,INT((ROW()-4)/10)+1))</f>
        <v/>
      </c>
      <c r="B968" s="36" t="str">
        <f t="array" ref="B968">IF(OR(INDEX('Bán nhanh'!$D$3:$M$3,1,MOD(ROW()-4,10)+1)="",INDEX('Bán nhanh'!$D$4:$M$103,INT((ROW()-4)/10)+1,MOD(ROW()-4,10)+1)&lt;=0),"",INDEX('Bán nhanh'!$D$3:$M$3,1,MOD(ROW()-4,10)+1))</f>
        <v/>
      </c>
      <c r="C968" s="36" t="str">
        <f t="array" ref="C968">IFERROR(INDEX('Sản phẩm'!$A$4:$A$103,MATCH(B968,'Sản phẩm'!$D$4:$D$103,0)),"")</f>
        <v/>
      </c>
      <c r="D968" s="36" t="str">
        <f t="array" ref="D968">IF(B968="","",INDEX('Bán nhanh'!$B$4:$B$103,INT((ROW()-4)/10)+1))</f>
        <v/>
      </c>
      <c r="E968" s="36" t="str">
        <f t="array" ref="E968">IFERROR(INDEX('Mẻ sữa'!$B$4:$B$203,MATCH(D968,'Mẻ sữa'!$C$4:$C$203,0)),"")</f>
        <v/>
      </c>
      <c r="F968" s="82">
        <f t="array" ref="F968">IF(B968="",0,INDEX('Bán nhanh'!$D$4:$M$103,INT((ROW()-4)/10)+1,MOD(ROW()-4,10)+1))</f>
        <v>0</v>
      </c>
      <c r="G968" s="83">
        <f t="array" ref="G968">IFERROR(INDEX('Sản phẩm'!$F$4:$F$103,MATCH(B968,'Sản phẩm'!$D$4:$D$103,0)),0)</f>
        <v>0</v>
      </c>
      <c r="H968" s="83">
        <f t="shared" si="5"/>
        <v>0</v>
      </c>
      <c r="I968" s="83">
        <f t="shared" si="1"/>
        <v>0</v>
      </c>
      <c r="J968" s="83">
        <f t="array" ref="J968">IFERROR(INDEX('Sản phẩm'!$G$4:$G$103,MATCH(B968,'Sản phẩm'!$D$4:$D$103,0)),0)</f>
        <v>0</v>
      </c>
      <c r="K968" s="83">
        <f t="array" ref="K968">IFERROR(J968*INDEX('Mẻ sữa'!$N$4:$N$203,MATCH(D968,'Mẻ sữa'!$C$4:$C$203,0)),0)</f>
        <v>0</v>
      </c>
      <c r="L968" s="83">
        <f t="array" ref="L968">IFERROR(INDEX('Sản phẩm'!$I$4:$I$103,MATCH(B968,'Sản phẩm'!$D$4:$D$103,0)),0)</f>
        <v>0</v>
      </c>
      <c r="M968" s="97" t="str">
        <f t="array" ref="M968">IFERROR(INDEX('Sản phẩm'!$J$4:$J$103,MATCH(B968,'Sản phẩm'!$D$4:$D$103,0)),0)</f>
        <v/>
      </c>
      <c r="N968" s="83">
        <f>IF(B968="",0,(K968+L968+M968)*'Thiết lập'!$B$8)</f>
        <v>0</v>
      </c>
      <c r="O968" s="83">
        <f t="shared" si="2"/>
        <v>0</v>
      </c>
      <c r="P968" s="83">
        <f t="shared" si="3"/>
        <v>0</v>
      </c>
      <c r="Q968" s="83">
        <f t="shared" si="4"/>
        <v>0</v>
      </c>
      <c r="R968" s="36" t="str">
        <f t="array" ref="R968">IF(B968="","",INDEX('Bán nhanh'!$C$4:$C$103,INT((ROW()-4)/10)+1))</f>
        <v/>
      </c>
      <c r="S968" s="36" t="str">
        <f t="array" ref="S968">IF(B968="","",INDEX('Bán nhanh'!$P$4:$P$103,INT((ROW()-4)/10)+1))</f>
        <v/>
      </c>
      <c r="T968" s="36"/>
      <c r="U968" s="36"/>
      <c r="V968" s="36"/>
      <c r="W968" s="36"/>
      <c r="X968" s="36"/>
      <c r="Y968" s="36"/>
      <c r="Z968" s="36"/>
    </row>
    <row r="969" ht="15.75" customHeight="1">
      <c r="A969" s="96" t="str">
        <f t="array" ref="A969">IF(B969="","",INDEX('Bán nhanh'!$A$4:$A$103,INT((ROW()-4)/10)+1))</f>
        <v/>
      </c>
      <c r="B969" s="36" t="str">
        <f t="array" ref="B969">IF(OR(INDEX('Bán nhanh'!$D$3:$M$3,1,MOD(ROW()-4,10)+1)="",INDEX('Bán nhanh'!$D$4:$M$103,INT((ROW()-4)/10)+1,MOD(ROW()-4,10)+1)&lt;=0),"",INDEX('Bán nhanh'!$D$3:$M$3,1,MOD(ROW()-4,10)+1))</f>
        <v/>
      </c>
      <c r="C969" s="36" t="str">
        <f t="array" ref="C969">IFERROR(INDEX('Sản phẩm'!$A$4:$A$103,MATCH(B969,'Sản phẩm'!$D$4:$D$103,0)),"")</f>
        <v/>
      </c>
      <c r="D969" s="36" t="str">
        <f t="array" ref="D969">IF(B969="","",INDEX('Bán nhanh'!$B$4:$B$103,INT((ROW()-4)/10)+1))</f>
        <v/>
      </c>
      <c r="E969" s="36" t="str">
        <f t="array" ref="E969">IFERROR(INDEX('Mẻ sữa'!$B$4:$B$203,MATCH(D969,'Mẻ sữa'!$C$4:$C$203,0)),"")</f>
        <v/>
      </c>
      <c r="F969" s="82">
        <f t="array" ref="F969">IF(B969="",0,INDEX('Bán nhanh'!$D$4:$M$103,INT((ROW()-4)/10)+1,MOD(ROW()-4,10)+1))</f>
        <v>0</v>
      </c>
      <c r="G969" s="83">
        <f t="array" ref="G969">IFERROR(INDEX('Sản phẩm'!$F$4:$F$103,MATCH(B969,'Sản phẩm'!$D$4:$D$103,0)),0)</f>
        <v>0</v>
      </c>
      <c r="H969" s="83">
        <f t="shared" si="5"/>
        <v>0</v>
      </c>
      <c r="I969" s="83">
        <f t="shared" si="1"/>
        <v>0</v>
      </c>
      <c r="J969" s="83">
        <f t="array" ref="J969">IFERROR(INDEX('Sản phẩm'!$G$4:$G$103,MATCH(B969,'Sản phẩm'!$D$4:$D$103,0)),0)</f>
        <v>0</v>
      </c>
      <c r="K969" s="83">
        <f t="array" ref="K969">IFERROR(J969*INDEX('Mẻ sữa'!$N$4:$N$203,MATCH(D969,'Mẻ sữa'!$C$4:$C$203,0)),0)</f>
        <v>0</v>
      </c>
      <c r="L969" s="83">
        <f t="array" ref="L969">IFERROR(INDEX('Sản phẩm'!$I$4:$I$103,MATCH(B969,'Sản phẩm'!$D$4:$D$103,0)),0)</f>
        <v>0</v>
      </c>
      <c r="M969" s="97" t="str">
        <f t="array" ref="M969">IFERROR(INDEX('Sản phẩm'!$J$4:$J$103,MATCH(B969,'Sản phẩm'!$D$4:$D$103,0)),0)</f>
        <v/>
      </c>
      <c r="N969" s="83">
        <f>IF(B969="",0,(K969+L969+M969)*'Thiết lập'!$B$8)</f>
        <v>0</v>
      </c>
      <c r="O969" s="83">
        <f t="shared" si="2"/>
        <v>0</v>
      </c>
      <c r="P969" s="83">
        <f t="shared" si="3"/>
        <v>0</v>
      </c>
      <c r="Q969" s="83">
        <f t="shared" si="4"/>
        <v>0</v>
      </c>
      <c r="R969" s="36" t="str">
        <f t="array" ref="R969">IF(B969="","",INDEX('Bán nhanh'!$C$4:$C$103,INT((ROW()-4)/10)+1))</f>
        <v/>
      </c>
      <c r="S969" s="36" t="str">
        <f t="array" ref="S969">IF(B969="","",INDEX('Bán nhanh'!$P$4:$P$103,INT((ROW()-4)/10)+1))</f>
        <v/>
      </c>
      <c r="T969" s="36"/>
      <c r="U969" s="36"/>
      <c r="V969" s="36"/>
      <c r="W969" s="36"/>
      <c r="X969" s="36"/>
      <c r="Y969" s="36"/>
      <c r="Z969" s="36"/>
    </row>
    <row r="970" ht="15.75" customHeight="1">
      <c r="A970" s="96" t="str">
        <f t="array" ref="A970">IF(B970="","",INDEX('Bán nhanh'!$A$4:$A$103,INT((ROW()-4)/10)+1))</f>
        <v/>
      </c>
      <c r="B970" s="36" t="str">
        <f t="array" ref="B970">IF(OR(INDEX('Bán nhanh'!$D$3:$M$3,1,MOD(ROW()-4,10)+1)="",INDEX('Bán nhanh'!$D$4:$M$103,INT((ROW()-4)/10)+1,MOD(ROW()-4,10)+1)&lt;=0),"",INDEX('Bán nhanh'!$D$3:$M$3,1,MOD(ROW()-4,10)+1))</f>
        <v/>
      </c>
      <c r="C970" s="36" t="str">
        <f t="array" ref="C970">IFERROR(INDEX('Sản phẩm'!$A$4:$A$103,MATCH(B970,'Sản phẩm'!$D$4:$D$103,0)),"")</f>
        <v/>
      </c>
      <c r="D970" s="36" t="str">
        <f t="array" ref="D970">IF(B970="","",INDEX('Bán nhanh'!$B$4:$B$103,INT((ROW()-4)/10)+1))</f>
        <v/>
      </c>
      <c r="E970" s="36" t="str">
        <f t="array" ref="E970">IFERROR(INDEX('Mẻ sữa'!$B$4:$B$203,MATCH(D970,'Mẻ sữa'!$C$4:$C$203,0)),"")</f>
        <v/>
      </c>
      <c r="F970" s="82">
        <f t="array" ref="F970">IF(B970="",0,INDEX('Bán nhanh'!$D$4:$M$103,INT((ROW()-4)/10)+1,MOD(ROW()-4,10)+1))</f>
        <v>0</v>
      </c>
      <c r="G970" s="83">
        <f t="array" ref="G970">IFERROR(INDEX('Sản phẩm'!$F$4:$F$103,MATCH(B970,'Sản phẩm'!$D$4:$D$103,0)),0)</f>
        <v>0</v>
      </c>
      <c r="H970" s="83">
        <f t="shared" si="5"/>
        <v>0</v>
      </c>
      <c r="I970" s="83">
        <f t="shared" si="1"/>
        <v>0</v>
      </c>
      <c r="J970" s="83">
        <f t="array" ref="J970">IFERROR(INDEX('Sản phẩm'!$G$4:$G$103,MATCH(B970,'Sản phẩm'!$D$4:$D$103,0)),0)</f>
        <v>0</v>
      </c>
      <c r="K970" s="83">
        <f t="array" ref="K970">IFERROR(J970*INDEX('Mẻ sữa'!$N$4:$N$203,MATCH(D970,'Mẻ sữa'!$C$4:$C$203,0)),0)</f>
        <v>0</v>
      </c>
      <c r="L970" s="83">
        <f t="array" ref="L970">IFERROR(INDEX('Sản phẩm'!$I$4:$I$103,MATCH(B970,'Sản phẩm'!$D$4:$D$103,0)),0)</f>
        <v>0</v>
      </c>
      <c r="M970" s="97" t="str">
        <f t="array" ref="M970">IFERROR(INDEX('Sản phẩm'!$J$4:$J$103,MATCH(B970,'Sản phẩm'!$D$4:$D$103,0)),0)</f>
        <v/>
      </c>
      <c r="N970" s="83">
        <f>IF(B970="",0,(K970+L970+M970)*'Thiết lập'!$B$8)</f>
        <v>0</v>
      </c>
      <c r="O970" s="83">
        <f t="shared" si="2"/>
        <v>0</v>
      </c>
      <c r="P970" s="83">
        <f t="shared" si="3"/>
        <v>0</v>
      </c>
      <c r="Q970" s="83">
        <f t="shared" si="4"/>
        <v>0</v>
      </c>
      <c r="R970" s="36" t="str">
        <f t="array" ref="R970">IF(B970="","",INDEX('Bán nhanh'!$C$4:$C$103,INT((ROW()-4)/10)+1))</f>
        <v/>
      </c>
      <c r="S970" s="36" t="str">
        <f t="array" ref="S970">IF(B970="","",INDEX('Bán nhanh'!$P$4:$P$103,INT((ROW()-4)/10)+1))</f>
        <v/>
      </c>
      <c r="T970" s="36"/>
      <c r="U970" s="36"/>
      <c r="V970" s="36"/>
      <c r="W970" s="36"/>
      <c r="X970" s="36"/>
      <c r="Y970" s="36"/>
      <c r="Z970" s="36"/>
    </row>
    <row r="971" ht="15.75" customHeight="1">
      <c r="A971" s="96" t="str">
        <f t="array" ref="A971">IF(B971="","",INDEX('Bán nhanh'!$A$4:$A$103,INT((ROW()-4)/10)+1))</f>
        <v/>
      </c>
      <c r="B971" s="36" t="str">
        <f t="array" ref="B971">IF(OR(INDEX('Bán nhanh'!$D$3:$M$3,1,MOD(ROW()-4,10)+1)="",INDEX('Bán nhanh'!$D$4:$M$103,INT((ROW()-4)/10)+1,MOD(ROW()-4,10)+1)&lt;=0),"",INDEX('Bán nhanh'!$D$3:$M$3,1,MOD(ROW()-4,10)+1))</f>
        <v/>
      </c>
      <c r="C971" s="36" t="str">
        <f t="array" ref="C971">IFERROR(INDEX('Sản phẩm'!$A$4:$A$103,MATCH(B971,'Sản phẩm'!$D$4:$D$103,0)),"")</f>
        <v/>
      </c>
      <c r="D971" s="36" t="str">
        <f t="array" ref="D971">IF(B971="","",INDEX('Bán nhanh'!$B$4:$B$103,INT((ROW()-4)/10)+1))</f>
        <v/>
      </c>
      <c r="E971" s="36" t="str">
        <f t="array" ref="E971">IFERROR(INDEX('Mẻ sữa'!$B$4:$B$203,MATCH(D971,'Mẻ sữa'!$C$4:$C$203,0)),"")</f>
        <v/>
      </c>
      <c r="F971" s="82">
        <f t="array" ref="F971">IF(B971="",0,INDEX('Bán nhanh'!$D$4:$M$103,INT((ROW()-4)/10)+1,MOD(ROW()-4,10)+1))</f>
        <v>0</v>
      </c>
      <c r="G971" s="83">
        <f t="array" ref="G971">IFERROR(INDEX('Sản phẩm'!$F$4:$F$103,MATCH(B971,'Sản phẩm'!$D$4:$D$103,0)),0)</f>
        <v>0</v>
      </c>
      <c r="H971" s="83">
        <f t="shared" si="5"/>
        <v>0</v>
      </c>
      <c r="I971" s="83">
        <f t="shared" si="1"/>
        <v>0</v>
      </c>
      <c r="J971" s="83">
        <f t="array" ref="J971">IFERROR(INDEX('Sản phẩm'!$G$4:$G$103,MATCH(B971,'Sản phẩm'!$D$4:$D$103,0)),0)</f>
        <v>0</v>
      </c>
      <c r="K971" s="83">
        <f t="array" ref="K971">IFERROR(J971*INDEX('Mẻ sữa'!$N$4:$N$203,MATCH(D971,'Mẻ sữa'!$C$4:$C$203,0)),0)</f>
        <v>0</v>
      </c>
      <c r="L971" s="83">
        <f t="array" ref="L971">IFERROR(INDEX('Sản phẩm'!$I$4:$I$103,MATCH(B971,'Sản phẩm'!$D$4:$D$103,0)),0)</f>
        <v>0</v>
      </c>
      <c r="M971" s="97" t="str">
        <f t="array" ref="M971">IFERROR(INDEX('Sản phẩm'!$J$4:$J$103,MATCH(B971,'Sản phẩm'!$D$4:$D$103,0)),0)</f>
        <v/>
      </c>
      <c r="N971" s="83">
        <f>IF(B971="",0,(K971+L971+M971)*'Thiết lập'!$B$8)</f>
        <v>0</v>
      </c>
      <c r="O971" s="83">
        <f t="shared" si="2"/>
        <v>0</v>
      </c>
      <c r="P971" s="83">
        <f t="shared" si="3"/>
        <v>0</v>
      </c>
      <c r="Q971" s="83">
        <f t="shared" si="4"/>
        <v>0</v>
      </c>
      <c r="R971" s="36" t="str">
        <f t="array" ref="R971">IF(B971="","",INDEX('Bán nhanh'!$C$4:$C$103,INT((ROW()-4)/10)+1))</f>
        <v/>
      </c>
      <c r="S971" s="36" t="str">
        <f t="array" ref="S971">IF(B971="","",INDEX('Bán nhanh'!$P$4:$P$103,INT((ROW()-4)/10)+1))</f>
        <v/>
      </c>
      <c r="T971" s="36"/>
      <c r="U971" s="36"/>
      <c r="V971" s="36"/>
      <c r="W971" s="36"/>
      <c r="X971" s="36"/>
      <c r="Y971" s="36"/>
      <c r="Z971" s="36"/>
    </row>
    <row r="972" ht="15.75" customHeight="1">
      <c r="A972" s="96" t="str">
        <f t="array" ref="A972">IF(B972="","",INDEX('Bán nhanh'!$A$4:$A$103,INT((ROW()-4)/10)+1))</f>
        <v/>
      </c>
      <c r="B972" s="36" t="str">
        <f t="array" ref="B972">IF(OR(INDEX('Bán nhanh'!$D$3:$M$3,1,MOD(ROW()-4,10)+1)="",INDEX('Bán nhanh'!$D$4:$M$103,INT((ROW()-4)/10)+1,MOD(ROW()-4,10)+1)&lt;=0),"",INDEX('Bán nhanh'!$D$3:$M$3,1,MOD(ROW()-4,10)+1))</f>
        <v/>
      </c>
      <c r="C972" s="36" t="str">
        <f t="array" ref="C972">IFERROR(INDEX('Sản phẩm'!$A$4:$A$103,MATCH(B972,'Sản phẩm'!$D$4:$D$103,0)),"")</f>
        <v/>
      </c>
      <c r="D972" s="36" t="str">
        <f t="array" ref="D972">IF(B972="","",INDEX('Bán nhanh'!$B$4:$B$103,INT((ROW()-4)/10)+1))</f>
        <v/>
      </c>
      <c r="E972" s="36" t="str">
        <f t="array" ref="E972">IFERROR(INDEX('Mẻ sữa'!$B$4:$B$203,MATCH(D972,'Mẻ sữa'!$C$4:$C$203,0)),"")</f>
        <v/>
      </c>
      <c r="F972" s="82">
        <f t="array" ref="F972">IF(B972="",0,INDEX('Bán nhanh'!$D$4:$M$103,INT((ROW()-4)/10)+1,MOD(ROW()-4,10)+1))</f>
        <v>0</v>
      </c>
      <c r="G972" s="83">
        <f t="array" ref="G972">IFERROR(INDEX('Sản phẩm'!$F$4:$F$103,MATCH(B972,'Sản phẩm'!$D$4:$D$103,0)),0)</f>
        <v>0</v>
      </c>
      <c r="H972" s="83">
        <f t="shared" si="5"/>
        <v>0</v>
      </c>
      <c r="I972" s="83">
        <f t="shared" si="1"/>
        <v>0</v>
      </c>
      <c r="J972" s="83">
        <f t="array" ref="J972">IFERROR(INDEX('Sản phẩm'!$G$4:$G$103,MATCH(B972,'Sản phẩm'!$D$4:$D$103,0)),0)</f>
        <v>0</v>
      </c>
      <c r="K972" s="83">
        <f t="array" ref="K972">IFERROR(J972*INDEX('Mẻ sữa'!$N$4:$N$203,MATCH(D972,'Mẻ sữa'!$C$4:$C$203,0)),0)</f>
        <v>0</v>
      </c>
      <c r="L972" s="83">
        <f t="array" ref="L972">IFERROR(INDEX('Sản phẩm'!$I$4:$I$103,MATCH(B972,'Sản phẩm'!$D$4:$D$103,0)),0)</f>
        <v>0</v>
      </c>
      <c r="M972" s="97" t="str">
        <f t="array" ref="M972">IFERROR(INDEX('Sản phẩm'!$J$4:$J$103,MATCH(B972,'Sản phẩm'!$D$4:$D$103,0)),0)</f>
        <v/>
      </c>
      <c r="N972" s="83">
        <f>IF(B972="",0,(K972+L972+M972)*'Thiết lập'!$B$8)</f>
        <v>0</v>
      </c>
      <c r="O972" s="83">
        <f t="shared" si="2"/>
        <v>0</v>
      </c>
      <c r="P972" s="83">
        <f t="shared" si="3"/>
        <v>0</v>
      </c>
      <c r="Q972" s="83">
        <f t="shared" si="4"/>
        <v>0</v>
      </c>
      <c r="R972" s="36" t="str">
        <f t="array" ref="R972">IF(B972="","",INDEX('Bán nhanh'!$C$4:$C$103,INT((ROW()-4)/10)+1))</f>
        <v/>
      </c>
      <c r="S972" s="36" t="str">
        <f t="array" ref="S972">IF(B972="","",INDEX('Bán nhanh'!$P$4:$P$103,INT((ROW()-4)/10)+1))</f>
        <v/>
      </c>
      <c r="T972" s="36"/>
      <c r="U972" s="36"/>
      <c r="V972" s="36"/>
      <c r="W972" s="36"/>
      <c r="X972" s="36"/>
      <c r="Y972" s="36"/>
      <c r="Z972" s="36"/>
    </row>
    <row r="973" ht="15.75" customHeight="1">
      <c r="A973" s="96" t="str">
        <f t="array" ref="A973">IF(B973="","",INDEX('Bán nhanh'!$A$4:$A$103,INT((ROW()-4)/10)+1))</f>
        <v/>
      </c>
      <c r="B973" s="36" t="str">
        <f t="array" ref="B973">IF(OR(INDEX('Bán nhanh'!$D$3:$M$3,1,MOD(ROW()-4,10)+1)="",INDEX('Bán nhanh'!$D$4:$M$103,INT((ROW()-4)/10)+1,MOD(ROW()-4,10)+1)&lt;=0),"",INDEX('Bán nhanh'!$D$3:$M$3,1,MOD(ROW()-4,10)+1))</f>
        <v/>
      </c>
      <c r="C973" s="36" t="str">
        <f t="array" ref="C973">IFERROR(INDEX('Sản phẩm'!$A$4:$A$103,MATCH(B973,'Sản phẩm'!$D$4:$D$103,0)),"")</f>
        <v/>
      </c>
      <c r="D973" s="36" t="str">
        <f t="array" ref="D973">IF(B973="","",INDEX('Bán nhanh'!$B$4:$B$103,INT((ROW()-4)/10)+1))</f>
        <v/>
      </c>
      <c r="E973" s="36" t="str">
        <f t="array" ref="E973">IFERROR(INDEX('Mẻ sữa'!$B$4:$B$203,MATCH(D973,'Mẻ sữa'!$C$4:$C$203,0)),"")</f>
        <v/>
      </c>
      <c r="F973" s="82">
        <f t="array" ref="F973">IF(B973="",0,INDEX('Bán nhanh'!$D$4:$M$103,INT((ROW()-4)/10)+1,MOD(ROW()-4,10)+1))</f>
        <v>0</v>
      </c>
      <c r="G973" s="83">
        <f t="array" ref="G973">IFERROR(INDEX('Sản phẩm'!$F$4:$F$103,MATCH(B973,'Sản phẩm'!$D$4:$D$103,0)),0)</f>
        <v>0</v>
      </c>
      <c r="H973" s="83">
        <f t="shared" si="5"/>
        <v>0</v>
      </c>
      <c r="I973" s="83">
        <f t="shared" si="1"/>
        <v>0</v>
      </c>
      <c r="J973" s="83">
        <f t="array" ref="J973">IFERROR(INDEX('Sản phẩm'!$G$4:$G$103,MATCH(B973,'Sản phẩm'!$D$4:$D$103,0)),0)</f>
        <v>0</v>
      </c>
      <c r="K973" s="83">
        <f t="array" ref="K973">IFERROR(J973*INDEX('Mẻ sữa'!$N$4:$N$203,MATCH(D973,'Mẻ sữa'!$C$4:$C$203,0)),0)</f>
        <v>0</v>
      </c>
      <c r="L973" s="83">
        <f t="array" ref="L973">IFERROR(INDEX('Sản phẩm'!$I$4:$I$103,MATCH(B973,'Sản phẩm'!$D$4:$D$103,0)),0)</f>
        <v>0</v>
      </c>
      <c r="M973" s="97" t="str">
        <f t="array" ref="M973">IFERROR(INDEX('Sản phẩm'!$J$4:$J$103,MATCH(B973,'Sản phẩm'!$D$4:$D$103,0)),0)</f>
        <v/>
      </c>
      <c r="N973" s="83">
        <f>IF(B973="",0,(K973+L973+M973)*'Thiết lập'!$B$8)</f>
        <v>0</v>
      </c>
      <c r="O973" s="83">
        <f t="shared" si="2"/>
        <v>0</v>
      </c>
      <c r="P973" s="83">
        <f t="shared" si="3"/>
        <v>0</v>
      </c>
      <c r="Q973" s="83">
        <f t="shared" si="4"/>
        <v>0</v>
      </c>
      <c r="R973" s="36" t="str">
        <f t="array" ref="R973">IF(B973="","",INDEX('Bán nhanh'!$C$4:$C$103,INT((ROW()-4)/10)+1))</f>
        <v/>
      </c>
      <c r="S973" s="36" t="str">
        <f t="array" ref="S973">IF(B973="","",INDEX('Bán nhanh'!$P$4:$P$103,INT((ROW()-4)/10)+1))</f>
        <v/>
      </c>
      <c r="T973" s="36"/>
      <c r="U973" s="36"/>
      <c r="V973" s="36"/>
      <c r="W973" s="36"/>
      <c r="X973" s="36"/>
      <c r="Y973" s="36"/>
      <c r="Z973" s="36"/>
    </row>
    <row r="974" ht="15.75" customHeight="1">
      <c r="A974" s="96" t="str">
        <f t="array" ref="A974">IF(B974="","",INDEX('Bán nhanh'!$A$4:$A$103,INT((ROW()-4)/10)+1))</f>
        <v/>
      </c>
      <c r="B974" s="36" t="str">
        <f t="array" ref="B974">IF(OR(INDEX('Bán nhanh'!$D$3:$M$3,1,MOD(ROW()-4,10)+1)="",INDEX('Bán nhanh'!$D$4:$M$103,INT((ROW()-4)/10)+1,MOD(ROW()-4,10)+1)&lt;=0),"",INDEX('Bán nhanh'!$D$3:$M$3,1,MOD(ROW()-4,10)+1))</f>
        <v/>
      </c>
      <c r="C974" s="36" t="str">
        <f t="array" ref="C974">IFERROR(INDEX('Sản phẩm'!$A$4:$A$103,MATCH(B974,'Sản phẩm'!$D$4:$D$103,0)),"")</f>
        <v/>
      </c>
      <c r="D974" s="36" t="str">
        <f t="array" ref="D974">IF(B974="","",INDEX('Bán nhanh'!$B$4:$B$103,INT((ROW()-4)/10)+1))</f>
        <v/>
      </c>
      <c r="E974" s="36" t="str">
        <f t="array" ref="E974">IFERROR(INDEX('Mẻ sữa'!$B$4:$B$203,MATCH(D974,'Mẻ sữa'!$C$4:$C$203,0)),"")</f>
        <v/>
      </c>
      <c r="F974" s="82">
        <f t="array" ref="F974">IF(B974="",0,INDEX('Bán nhanh'!$D$4:$M$103,INT((ROW()-4)/10)+1,MOD(ROW()-4,10)+1))</f>
        <v>0</v>
      </c>
      <c r="G974" s="83">
        <f t="array" ref="G974">IFERROR(INDEX('Sản phẩm'!$F$4:$F$103,MATCH(B974,'Sản phẩm'!$D$4:$D$103,0)),0)</f>
        <v>0</v>
      </c>
      <c r="H974" s="83">
        <f t="shared" si="5"/>
        <v>0</v>
      </c>
      <c r="I974" s="83">
        <f t="shared" si="1"/>
        <v>0</v>
      </c>
      <c r="J974" s="83">
        <f t="array" ref="J974">IFERROR(INDEX('Sản phẩm'!$G$4:$G$103,MATCH(B974,'Sản phẩm'!$D$4:$D$103,0)),0)</f>
        <v>0</v>
      </c>
      <c r="K974" s="83">
        <f t="array" ref="K974">IFERROR(J974*INDEX('Mẻ sữa'!$N$4:$N$203,MATCH(D974,'Mẻ sữa'!$C$4:$C$203,0)),0)</f>
        <v>0</v>
      </c>
      <c r="L974" s="83">
        <f t="array" ref="L974">IFERROR(INDEX('Sản phẩm'!$I$4:$I$103,MATCH(B974,'Sản phẩm'!$D$4:$D$103,0)),0)</f>
        <v>0</v>
      </c>
      <c r="M974" s="97" t="str">
        <f t="array" ref="M974">IFERROR(INDEX('Sản phẩm'!$J$4:$J$103,MATCH(B974,'Sản phẩm'!$D$4:$D$103,0)),0)</f>
        <v/>
      </c>
      <c r="N974" s="83">
        <f>IF(B974="",0,(K974+L974+M974)*'Thiết lập'!$B$8)</f>
        <v>0</v>
      </c>
      <c r="O974" s="83">
        <f t="shared" si="2"/>
        <v>0</v>
      </c>
      <c r="P974" s="83">
        <f t="shared" si="3"/>
        <v>0</v>
      </c>
      <c r="Q974" s="83">
        <f t="shared" si="4"/>
        <v>0</v>
      </c>
      <c r="R974" s="36" t="str">
        <f t="array" ref="R974">IF(B974="","",INDEX('Bán nhanh'!$C$4:$C$103,INT((ROW()-4)/10)+1))</f>
        <v/>
      </c>
      <c r="S974" s="36" t="str">
        <f t="array" ref="S974">IF(B974="","",INDEX('Bán nhanh'!$P$4:$P$103,INT((ROW()-4)/10)+1))</f>
        <v/>
      </c>
      <c r="T974" s="36"/>
      <c r="U974" s="36"/>
      <c r="V974" s="36"/>
      <c r="W974" s="36"/>
      <c r="X974" s="36"/>
      <c r="Y974" s="36"/>
      <c r="Z974" s="36"/>
    </row>
    <row r="975" ht="15.75" customHeight="1">
      <c r="A975" s="96" t="str">
        <f t="array" ref="A975">IF(B975="","",INDEX('Bán nhanh'!$A$4:$A$103,INT((ROW()-4)/10)+1))</f>
        <v/>
      </c>
      <c r="B975" s="36" t="str">
        <f t="array" ref="B975">IF(OR(INDEX('Bán nhanh'!$D$3:$M$3,1,MOD(ROW()-4,10)+1)="",INDEX('Bán nhanh'!$D$4:$M$103,INT((ROW()-4)/10)+1,MOD(ROW()-4,10)+1)&lt;=0),"",INDEX('Bán nhanh'!$D$3:$M$3,1,MOD(ROW()-4,10)+1))</f>
        <v/>
      </c>
      <c r="C975" s="36" t="str">
        <f t="array" ref="C975">IFERROR(INDEX('Sản phẩm'!$A$4:$A$103,MATCH(B975,'Sản phẩm'!$D$4:$D$103,0)),"")</f>
        <v/>
      </c>
      <c r="D975" s="36" t="str">
        <f t="array" ref="D975">IF(B975="","",INDEX('Bán nhanh'!$B$4:$B$103,INT((ROW()-4)/10)+1))</f>
        <v/>
      </c>
      <c r="E975" s="36" t="str">
        <f t="array" ref="E975">IFERROR(INDEX('Mẻ sữa'!$B$4:$B$203,MATCH(D975,'Mẻ sữa'!$C$4:$C$203,0)),"")</f>
        <v/>
      </c>
      <c r="F975" s="82">
        <f t="array" ref="F975">IF(B975="",0,INDEX('Bán nhanh'!$D$4:$M$103,INT((ROW()-4)/10)+1,MOD(ROW()-4,10)+1))</f>
        <v>0</v>
      </c>
      <c r="G975" s="83">
        <f t="array" ref="G975">IFERROR(INDEX('Sản phẩm'!$F$4:$F$103,MATCH(B975,'Sản phẩm'!$D$4:$D$103,0)),0)</f>
        <v>0</v>
      </c>
      <c r="H975" s="83">
        <f t="shared" si="5"/>
        <v>0</v>
      </c>
      <c r="I975" s="83">
        <f t="shared" si="1"/>
        <v>0</v>
      </c>
      <c r="J975" s="83">
        <f t="array" ref="J975">IFERROR(INDEX('Sản phẩm'!$G$4:$G$103,MATCH(B975,'Sản phẩm'!$D$4:$D$103,0)),0)</f>
        <v>0</v>
      </c>
      <c r="K975" s="83">
        <f t="array" ref="K975">IFERROR(J975*INDEX('Mẻ sữa'!$N$4:$N$203,MATCH(D975,'Mẻ sữa'!$C$4:$C$203,0)),0)</f>
        <v>0</v>
      </c>
      <c r="L975" s="83">
        <f t="array" ref="L975">IFERROR(INDEX('Sản phẩm'!$I$4:$I$103,MATCH(B975,'Sản phẩm'!$D$4:$D$103,0)),0)</f>
        <v>0</v>
      </c>
      <c r="M975" s="97" t="str">
        <f t="array" ref="M975">IFERROR(INDEX('Sản phẩm'!$J$4:$J$103,MATCH(B975,'Sản phẩm'!$D$4:$D$103,0)),0)</f>
        <v/>
      </c>
      <c r="N975" s="83">
        <f>IF(B975="",0,(K975+L975+M975)*'Thiết lập'!$B$8)</f>
        <v>0</v>
      </c>
      <c r="O975" s="83">
        <f t="shared" si="2"/>
        <v>0</v>
      </c>
      <c r="P975" s="83">
        <f t="shared" si="3"/>
        <v>0</v>
      </c>
      <c r="Q975" s="83">
        <f t="shared" si="4"/>
        <v>0</v>
      </c>
      <c r="R975" s="36" t="str">
        <f t="array" ref="R975">IF(B975="","",INDEX('Bán nhanh'!$C$4:$C$103,INT((ROW()-4)/10)+1))</f>
        <v/>
      </c>
      <c r="S975" s="36" t="str">
        <f t="array" ref="S975">IF(B975="","",INDEX('Bán nhanh'!$P$4:$P$103,INT((ROW()-4)/10)+1))</f>
        <v/>
      </c>
      <c r="T975" s="36"/>
      <c r="U975" s="36"/>
      <c r="V975" s="36"/>
      <c r="W975" s="36"/>
      <c r="X975" s="36"/>
      <c r="Y975" s="36"/>
      <c r="Z975" s="36"/>
    </row>
    <row r="976" ht="15.75" customHeight="1">
      <c r="A976" s="96" t="str">
        <f t="array" ref="A976">IF(B976="","",INDEX('Bán nhanh'!$A$4:$A$103,INT((ROW()-4)/10)+1))</f>
        <v/>
      </c>
      <c r="B976" s="36" t="str">
        <f t="array" ref="B976">IF(OR(INDEX('Bán nhanh'!$D$3:$M$3,1,MOD(ROW()-4,10)+1)="",INDEX('Bán nhanh'!$D$4:$M$103,INT((ROW()-4)/10)+1,MOD(ROW()-4,10)+1)&lt;=0),"",INDEX('Bán nhanh'!$D$3:$M$3,1,MOD(ROW()-4,10)+1))</f>
        <v/>
      </c>
      <c r="C976" s="36" t="str">
        <f t="array" ref="C976">IFERROR(INDEX('Sản phẩm'!$A$4:$A$103,MATCH(B976,'Sản phẩm'!$D$4:$D$103,0)),"")</f>
        <v/>
      </c>
      <c r="D976" s="36" t="str">
        <f t="array" ref="D976">IF(B976="","",INDEX('Bán nhanh'!$B$4:$B$103,INT((ROW()-4)/10)+1))</f>
        <v/>
      </c>
      <c r="E976" s="36" t="str">
        <f t="array" ref="E976">IFERROR(INDEX('Mẻ sữa'!$B$4:$B$203,MATCH(D976,'Mẻ sữa'!$C$4:$C$203,0)),"")</f>
        <v/>
      </c>
      <c r="F976" s="82">
        <f t="array" ref="F976">IF(B976="",0,INDEX('Bán nhanh'!$D$4:$M$103,INT((ROW()-4)/10)+1,MOD(ROW()-4,10)+1))</f>
        <v>0</v>
      </c>
      <c r="G976" s="83">
        <f t="array" ref="G976">IFERROR(INDEX('Sản phẩm'!$F$4:$F$103,MATCH(B976,'Sản phẩm'!$D$4:$D$103,0)),0)</f>
        <v>0</v>
      </c>
      <c r="H976" s="83">
        <f t="shared" si="5"/>
        <v>0</v>
      </c>
      <c r="I976" s="83">
        <f t="shared" si="1"/>
        <v>0</v>
      </c>
      <c r="J976" s="83">
        <f t="array" ref="J976">IFERROR(INDEX('Sản phẩm'!$G$4:$G$103,MATCH(B976,'Sản phẩm'!$D$4:$D$103,0)),0)</f>
        <v>0</v>
      </c>
      <c r="K976" s="83">
        <f t="array" ref="K976">IFERROR(J976*INDEX('Mẻ sữa'!$N$4:$N$203,MATCH(D976,'Mẻ sữa'!$C$4:$C$203,0)),0)</f>
        <v>0</v>
      </c>
      <c r="L976" s="83">
        <f t="array" ref="L976">IFERROR(INDEX('Sản phẩm'!$I$4:$I$103,MATCH(B976,'Sản phẩm'!$D$4:$D$103,0)),0)</f>
        <v>0</v>
      </c>
      <c r="M976" s="97" t="str">
        <f t="array" ref="M976">IFERROR(INDEX('Sản phẩm'!$J$4:$J$103,MATCH(B976,'Sản phẩm'!$D$4:$D$103,0)),0)</f>
        <v/>
      </c>
      <c r="N976" s="83">
        <f>IF(B976="",0,(K976+L976+M976)*'Thiết lập'!$B$8)</f>
        <v>0</v>
      </c>
      <c r="O976" s="83">
        <f t="shared" si="2"/>
        <v>0</v>
      </c>
      <c r="P976" s="83">
        <f t="shared" si="3"/>
        <v>0</v>
      </c>
      <c r="Q976" s="83">
        <f t="shared" si="4"/>
        <v>0</v>
      </c>
      <c r="R976" s="36" t="str">
        <f t="array" ref="R976">IF(B976="","",INDEX('Bán nhanh'!$C$4:$C$103,INT((ROW()-4)/10)+1))</f>
        <v/>
      </c>
      <c r="S976" s="36" t="str">
        <f t="array" ref="S976">IF(B976="","",INDEX('Bán nhanh'!$P$4:$P$103,INT((ROW()-4)/10)+1))</f>
        <v/>
      </c>
      <c r="T976" s="36"/>
      <c r="U976" s="36"/>
      <c r="V976" s="36"/>
      <c r="W976" s="36"/>
      <c r="X976" s="36"/>
      <c r="Y976" s="36"/>
      <c r="Z976" s="36"/>
    </row>
    <row r="977" ht="15.75" customHeight="1">
      <c r="A977" s="96" t="str">
        <f t="array" ref="A977">IF(B977="","",INDEX('Bán nhanh'!$A$4:$A$103,INT((ROW()-4)/10)+1))</f>
        <v/>
      </c>
      <c r="B977" s="36" t="str">
        <f t="array" ref="B977">IF(OR(INDEX('Bán nhanh'!$D$3:$M$3,1,MOD(ROW()-4,10)+1)="",INDEX('Bán nhanh'!$D$4:$M$103,INT((ROW()-4)/10)+1,MOD(ROW()-4,10)+1)&lt;=0),"",INDEX('Bán nhanh'!$D$3:$M$3,1,MOD(ROW()-4,10)+1))</f>
        <v/>
      </c>
      <c r="C977" s="36" t="str">
        <f t="array" ref="C977">IFERROR(INDEX('Sản phẩm'!$A$4:$A$103,MATCH(B977,'Sản phẩm'!$D$4:$D$103,0)),"")</f>
        <v/>
      </c>
      <c r="D977" s="36" t="str">
        <f t="array" ref="D977">IF(B977="","",INDEX('Bán nhanh'!$B$4:$B$103,INT((ROW()-4)/10)+1))</f>
        <v/>
      </c>
      <c r="E977" s="36" t="str">
        <f t="array" ref="E977">IFERROR(INDEX('Mẻ sữa'!$B$4:$B$203,MATCH(D977,'Mẻ sữa'!$C$4:$C$203,0)),"")</f>
        <v/>
      </c>
      <c r="F977" s="82">
        <f t="array" ref="F977">IF(B977="",0,INDEX('Bán nhanh'!$D$4:$M$103,INT((ROW()-4)/10)+1,MOD(ROW()-4,10)+1))</f>
        <v>0</v>
      </c>
      <c r="G977" s="83">
        <f t="array" ref="G977">IFERROR(INDEX('Sản phẩm'!$F$4:$F$103,MATCH(B977,'Sản phẩm'!$D$4:$D$103,0)),0)</f>
        <v>0</v>
      </c>
      <c r="H977" s="83">
        <f t="shared" si="5"/>
        <v>0</v>
      </c>
      <c r="I977" s="83">
        <f t="shared" si="1"/>
        <v>0</v>
      </c>
      <c r="J977" s="83">
        <f t="array" ref="J977">IFERROR(INDEX('Sản phẩm'!$G$4:$G$103,MATCH(B977,'Sản phẩm'!$D$4:$D$103,0)),0)</f>
        <v>0</v>
      </c>
      <c r="K977" s="83">
        <f t="array" ref="K977">IFERROR(J977*INDEX('Mẻ sữa'!$N$4:$N$203,MATCH(D977,'Mẻ sữa'!$C$4:$C$203,0)),0)</f>
        <v>0</v>
      </c>
      <c r="L977" s="83">
        <f t="array" ref="L977">IFERROR(INDEX('Sản phẩm'!$I$4:$I$103,MATCH(B977,'Sản phẩm'!$D$4:$D$103,0)),0)</f>
        <v>0</v>
      </c>
      <c r="M977" s="97" t="str">
        <f t="array" ref="M977">IFERROR(INDEX('Sản phẩm'!$J$4:$J$103,MATCH(B977,'Sản phẩm'!$D$4:$D$103,0)),0)</f>
        <v/>
      </c>
      <c r="N977" s="83">
        <f>IF(B977="",0,(K977+L977+M977)*'Thiết lập'!$B$8)</f>
        <v>0</v>
      </c>
      <c r="O977" s="83">
        <f t="shared" si="2"/>
        <v>0</v>
      </c>
      <c r="P977" s="83">
        <f t="shared" si="3"/>
        <v>0</v>
      </c>
      <c r="Q977" s="83">
        <f t="shared" si="4"/>
        <v>0</v>
      </c>
      <c r="R977" s="36" t="str">
        <f t="array" ref="R977">IF(B977="","",INDEX('Bán nhanh'!$C$4:$C$103,INT((ROW()-4)/10)+1))</f>
        <v/>
      </c>
      <c r="S977" s="36" t="str">
        <f t="array" ref="S977">IF(B977="","",INDEX('Bán nhanh'!$P$4:$P$103,INT((ROW()-4)/10)+1))</f>
        <v/>
      </c>
      <c r="T977" s="36"/>
      <c r="U977" s="36"/>
      <c r="V977" s="36"/>
      <c r="W977" s="36"/>
      <c r="X977" s="36"/>
      <c r="Y977" s="36"/>
      <c r="Z977" s="36"/>
    </row>
    <row r="978" ht="15.75" customHeight="1">
      <c r="A978" s="96" t="str">
        <f t="array" ref="A978">IF(B978="","",INDEX('Bán nhanh'!$A$4:$A$103,INT((ROW()-4)/10)+1))</f>
        <v/>
      </c>
      <c r="B978" s="36" t="str">
        <f t="array" ref="B978">IF(OR(INDEX('Bán nhanh'!$D$3:$M$3,1,MOD(ROW()-4,10)+1)="",INDEX('Bán nhanh'!$D$4:$M$103,INT((ROW()-4)/10)+1,MOD(ROW()-4,10)+1)&lt;=0),"",INDEX('Bán nhanh'!$D$3:$M$3,1,MOD(ROW()-4,10)+1))</f>
        <v/>
      </c>
      <c r="C978" s="36" t="str">
        <f t="array" ref="C978">IFERROR(INDEX('Sản phẩm'!$A$4:$A$103,MATCH(B978,'Sản phẩm'!$D$4:$D$103,0)),"")</f>
        <v/>
      </c>
      <c r="D978" s="36" t="str">
        <f t="array" ref="D978">IF(B978="","",INDEX('Bán nhanh'!$B$4:$B$103,INT((ROW()-4)/10)+1))</f>
        <v/>
      </c>
      <c r="E978" s="36" t="str">
        <f t="array" ref="E978">IFERROR(INDEX('Mẻ sữa'!$B$4:$B$203,MATCH(D978,'Mẻ sữa'!$C$4:$C$203,0)),"")</f>
        <v/>
      </c>
      <c r="F978" s="82">
        <f t="array" ref="F978">IF(B978="",0,INDEX('Bán nhanh'!$D$4:$M$103,INT((ROW()-4)/10)+1,MOD(ROW()-4,10)+1))</f>
        <v>0</v>
      </c>
      <c r="G978" s="83">
        <f t="array" ref="G978">IFERROR(INDEX('Sản phẩm'!$F$4:$F$103,MATCH(B978,'Sản phẩm'!$D$4:$D$103,0)),0)</f>
        <v>0</v>
      </c>
      <c r="H978" s="83">
        <f t="shared" si="5"/>
        <v>0</v>
      </c>
      <c r="I978" s="83">
        <f t="shared" si="1"/>
        <v>0</v>
      </c>
      <c r="J978" s="83">
        <f t="array" ref="J978">IFERROR(INDEX('Sản phẩm'!$G$4:$G$103,MATCH(B978,'Sản phẩm'!$D$4:$D$103,0)),0)</f>
        <v>0</v>
      </c>
      <c r="K978" s="83">
        <f t="array" ref="K978">IFERROR(J978*INDEX('Mẻ sữa'!$N$4:$N$203,MATCH(D978,'Mẻ sữa'!$C$4:$C$203,0)),0)</f>
        <v>0</v>
      </c>
      <c r="L978" s="83">
        <f t="array" ref="L978">IFERROR(INDEX('Sản phẩm'!$I$4:$I$103,MATCH(B978,'Sản phẩm'!$D$4:$D$103,0)),0)</f>
        <v>0</v>
      </c>
      <c r="M978" s="97" t="str">
        <f t="array" ref="M978">IFERROR(INDEX('Sản phẩm'!$J$4:$J$103,MATCH(B978,'Sản phẩm'!$D$4:$D$103,0)),0)</f>
        <v/>
      </c>
      <c r="N978" s="83">
        <f>IF(B978="",0,(K978+L978+M978)*'Thiết lập'!$B$8)</f>
        <v>0</v>
      </c>
      <c r="O978" s="83">
        <f t="shared" si="2"/>
        <v>0</v>
      </c>
      <c r="P978" s="83">
        <f t="shared" si="3"/>
        <v>0</v>
      </c>
      <c r="Q978" s="83">
        <f t="shared" si="4"/>
        <v>0</v>
      </c>
      <c r="R978" s="36" t="str">
        <f t="array" ref="R978">IF(B978="","",INDEX('Bán nhanh'!$C$4:$C$103,INT((ROW()-4)/10)+1))</f>
        <v/>
      </c>
      <c r="S978" s="36" t="str">
        <f t="array" ref="S978">IF(B978="","",INDEX('Bán nhanh'!$P$4:$P$103,INT((ROW()-4)/10)+1))</f>
        <v/>
      </c>
      <c r="T978" s="36"/>
      <c r="U978" s="36"/>
      <c r="V978" s="36"/>
      <c r="W978" s="36"/>
      <c r="X978" s="36"/>
      <c r="Y978" s="36"/>
      <c r="Z978" s="36"/>
    </row>
    <row r="979" ht="15.75" customHeight="1">
      <c r="A979" s="96" t="str">
        <f t="array" ref="A979">IF(B979="","",INDEX('Bán nhanh'!$A$4:$A$103,INT((ROW()-4)/10)+1))</f>
        <v/>
      </c>
      <c r="B979" s="36" t="str">
        <f t="array" ref="B979">IF(OR(INDEX('Bán nhanh'!$D$3:$M$3,1,MOD(ROW()-4,10)+1)="",INDEX('Bán nhanh'!$D$4:$M$103,INT((ROW()-4)/10)+1,MOD(ROW()-4,10)+1)&lt;=0),"",INDEX('Bán nhanh'!$D$3:$M$3,1,MOD(ROW()-4,10)+1))</f>
        <v/>
      </c>
      <c r="C979" s="36" t="str">
        <f t="array" ref="C979">IFERROR(INDEX('Sản phẩm'!$A$4:$A$103,MATCH(B979,'Sản phẩm'!$D$4:$D$103,0)),"")</f>
        <v/>
      </c>
      <c r="D979" s="36" t="str">
        <f t="array" ref="D979">IF(B979="","",INDEX('Bán nhanh'!$B$4:$B$103,INT((ROW()-4)/10)+1))</f>
        <v/>
      </c>
      <c r="E979" s="36" t="str">
        <f t="array" ref="E979">IFERROR(INDEX('Mẻ sữa'!$B$4:$B$203,MATCH(D979,'Mẻ sữa'!$C$4:$C$203,0)),"")</f>
        <v/>
      </c>
      <c r="F979" s="82">
        <f t="array" ref="F979">IF(B979="",0,INDEX('Bán nhanh'!$D$4:$M$103,INT((ROW()-4)/10)+1,MOD(ROW()-4,10)+1))</f>
        <v>0</v>
      </c>
      <c r="G979" s="83">
        <f t="array" ref="G979">IFERROR(INDEX('Sản phẩm'!$F$4:$F$103,MATCH(B979,'Sản phẩm'!$D$4:$D$103,0)),0)</f>
        <v>0</v>
      </c>
      <c r="H979" s="83">
        <f t="shared" si="5"/>
        <v>0</v>
      </c>
      <c r="I979" s="83">
        <f t="shared" si="1"/>
        <v>0</v>
      </c>
      <c r="J979" s="83">
        <f t="array" ref="J979">IFERROR(INDEX('Sản phẩm'!$G$4:$G$103,MATCH(B979,'Sản phẩm'!$D$4:$D$103,0)),0)</f>
        <v>0</v>
      </c>
      <c r="K979" s="83">
        <f t="array" ref="K979">IFERROR(J979*INDEX('Mẻ sữa'!$N$4:$N$203,MATCH(D979,'Mẻ sữa'!$C$4:$C$203,0)),0)</f>
        <v>0</v>
      </c>
      <c r="L979" s="83">
        <f t="array" ref="L979">IFERROR(INDEX('Sản phẩm'!$I$4:$I$103,MATCH(B979,'Sản phẩm'!$D$4:$D$103,0)),0)</f>
        <v>0</v>
      </c>
      <c r="M979" s="97" t="str">
        <f t="array" ref="M979">IFERROR(INDEX('Sản phẩm'!$J$4:$J$103,MATCH(B979,'Sản phẩm'!$D$4:$D$103,0)),0)</f>
        <v/>
      </c>
      <c r="N979" s="83">
        <f>IF(B979="",0,(K979+L979+M979)*'Thiết lập'!$B$8)</f>
        <v>0</v>
      </c>
      <c r="O979" s="83">
        <f t="shared" si="2"/>
        <v>0</v>
      </c>
      <c r="P979" s="83">
        <f t="shared" si="3"/>
        <v>0</v>
      </c>
      <c r="Q979" s="83">
        <f t="shared" si="4"/>
        <v>0</v>
      </c>
      <c r="R979" s="36" t="str">
        <f t="array" ref="R979">IF(B979="","",INDEX('Bán nhanh'!$C$4:$C$103,INT((ROW()-4)/10)+1))</f>
        <v/>
      </c>
      <c r="S979" s="36" t="str">
        <f t="array" ref="S979">IF(B979="","",INDEX('Bán nhanh'!$P$4:$P$103,INT((ROW()-4)/10)+1))</f>
        <v/>
      </c>
      <c r="T979" s="36"/>
      <c r="U979" s="36"/>
      <c r="V979" s="36"/>
      <c r="W979" s="36"/>
      <c r="X979" s="36"/>
      <c r="Y979" s="36"/>
      <c r="Z979" s="36"/>
    </row>
    <row r="980" ht="15.75" customHeight="1">
      <c r="A980" s="96" t="str">
        <f t="array" ref="A980">IF(B980="","",INDEX('Bán nhanh'!$A$4:$A$103,INT((ROW()-4)/10)+1))</f>
        <v/>
      </c>
      <c r="B980" s="36" t="str">
        <f t="array" ref="B980">IF(OR(INDEX('Bán nhanh'!$D$3:$M$3,1,MOD(ROW()-4,10)+1)="",INDEX('Bán nhanh'!$D$4:$M$103,INT((ROW()-4)/10)+1,MOD(ROW()-4,10)+1)&lt;=0),"",INDEX('Bán nhanh'!$D$3:$M$3,1,MOD(ROW()-4,10)+1))</f>
        <v/>
      </c>
      <c r="C980" s="36" t="str">
        <f t="array" ref="C980">IFERROR(INDEX('Sản phẩm'!$A$4:$A$103,MATCH(B980,'Sản phẩm'!$D$4:$D$103,0)),"")</f>
        <v/>
      </c>
      <c r="D980" s="36" t="str">
        <f t="array" ref="D980">IF(B980="","",INDEX('Bán nhanh'!$B$4:$B$103,INT((ROW()-4)/10)+1))</f>
        <v/>
      </c>
      <c r="E980" s="36" t="str">
        <f t="array" ref="E980">IFERROR(INDEX('Mẻ sữa'!$B$4:$B$203,MATCH(D980,'Mẻ sữa'!$C$4:$C$203,0)),"")</f>
        <v/>
      </c>
      <c r="F980" s="82">
        <f t="array" ref="F980">IF(B980="",0,INDEX('Bán nhanh'!$D$4:$M$103,INT((ROW()-4)/10)+1,MOD(ROW()-4,10)+1))</f>
        <v>0</v>
      </c>
      <c r="G980" s="83">
        <f t="array" ref="G980">IFERROR(INDEX('Sản phẩm'!$F$4:$F$103,MATCH(B980,'Sản phẩm'!$D$4:$D$103,0)),0)</f>
        <v>0</v>
      </c>
      <c r="H980" s="83">
        <f t="shared" si="5"/>
        <v>0</v>
      </c>
      <c r="I980" s="83">
        <f t="shared" si="1"/>
        <v>0</v>
      </c>
      <c r="J980" s="83">
        <f t="array" ref="J980">IFERROR(INDEX('Sản phẩm'!$G$4:$G$103,MATCH(B980,'Sản phẩm'!$D$4:$D$103,0)),0)</f>
        <v>0</v>
      </c>
      <c r="K980" s="83">
        <f t="array" ref="K980">IFERROR(J980*INDEX('Mẻ sữa'!$N$4:$N$203,MATCH(D980,'Mẻ sữa'!$C$4:$C$203,0)),0)</f>
        <v>0</v>
      </c>
      <c r="L980" s="83">
        <f t="array" ref="L980">IFERROR(INDEX('Sản phẩm'!$I$4:$I$103,MATCH(B980,'Sản phẩm'!$D$4:$D$103,0)),0)</f>
        <v>0</v>
      </c>
      <c r="M980" s="97" t="str">
        <f t="array" ref="M980">IFERROR(INDEX('Sản phẩm'!$J$4:$J$103,MATCH(B980,'Sản phẩm'!$D$4:$D$103,0)),0)</f>
        <v/>
      </c>
      <c r="N980" s="83">
        <f>IF(B980="",0,(K980+L980+M980)*'Thiết lập'!$B$8)</f>
        <v>0</v>
      </c>
      <c r="O980" s="83">
        <f t="shared" si="2"/>
        <v>0</v>
      </c>
      <c r="P980" s="83">
        <f t="shared" si="3"/>
        <v>0</v>
      </c>
      <c r="Q980" s="83">
        <f t="shared" si="4"/>
        <v>0</v>
      </c>
      <c r="R980" s="36" t="str">
        <f t="array" ref="R980">IF(B980="","",INDEX('Bán nhanh'!$C$4:$C$103,INT((ROW()-4)/10)+1))</f>
        <v/>
      </c>
      <c r="S980" s="36" t="str">
        <f t="array" ref="S980">IF(B980="","",INDEX('Bán nhanh'!$P$4:$P$103,INT((ROW()-4)/10)+1))</f>
        <v/>
      </c>
      <c r="T980" s="36"/>
      <c r="U980" s="36"/>
      <c r="V980" s="36"/>
      <c r="W980" s="36"/>
      <c r="X980" s="36"/>
      <c r="Y980" s="36"/>
      <c r="Z980" s="36"/>
    </row>
    <row r="981" ht="15.75" customHeight="1">
      <c r="A981" s="96" t="str">
        <f t="array" ref="A981">IF(B981="","",INDEX('Bán nhanh'!$A$4:$A$103,INT((ROW()-4)/10)+1))</f>
        <v/>
      </c>
      <c r="B981" s="36" t="str">
        <f t="array" ref="B981">IF(OR(INDEX('Bán nhanh'!$D$3:$M$3,1,MOD(ROW()-4,10)+1)="",INDEX('Bán nhanh'!$D$4:$M$103,INT((ROW()-4)/10)+1,MOD(ROW()-4,10)+1)&lt;=0),"",INDEX('Bán nhanh'!$D$3:$M$3,1,MOD(ROW()-4,10)+1))</f>
        <v/>
      </c>
      <c r="C981" s="36" t="str">
        <f t="array" ref="C981">IFERROR(INDEX('Sản phẩm'!$A$4:$A$103,MATCH(B981,'Sản phẩm'!$D$4:$D$103,0)),"")</f>
        <v/>
      </c>
      <c r="D981" s="36" t="str">
        <f t="array" ref="D981">IF(B981="","",INDEX('Bán nhanh'!$B$4:$B$103,INT((ROW()-4)/10)+1))</f>
        <v/>
      </c>
      <c r="E981" s="36" t="str">
        <f t="array" ref="E981">IFERROR(INDEX('Mẻ sữa'!$B$4:$B$203,MATCH(D981,'Mẻ sữa'!$C$4:$C$203,0)),"")</f>
        <v/>
      </c>
      <c r="F981" s="82">
        <f t="array" ref="F981">IF(B981="",0,INDEX('Bán nhanh'!$D$4:$M$103,INT((ROW()-4)/10)+1,MOD(ROW()-4,10)+1))</f>
        <v>0</v>
      </c>
      <c r="G981" s="83">
        <f t="array" ref="G981">IFERROR(INDEX('Sản phẩm'!$F$4:$F$103,MATCH(B981,'Sản phẩm'!$D$4:$D$103,0)),0)</f>
        <v>0</v>
      </c>
      <c r="H981" s="83">
        <f t="shared" si="5"/>
        <v>0</v>
      </c>
      <c r="I981" s="83">
        <f t="shared" si="1"/>
        <v>0</v>
      </c>
      <c r="J981" s="83">
        <f t="array" ref="J981">IFERROR(INDEX('Sản phẩm'!$G$4:$G$103,MATCH(B981,'Sản phẩm'!$D$4:$D$103,0)),0)</f>
        <v>0</v>
      </c>
      <c r="K981" s="83">
        <f t="array" ref="K981">IFERROR(J981*INDEX('Mẻ sữa'!$N$4:$N$203,MATCH(D981,'Mẻ sữa'!$C$4:$C$203,0)),0)</f>
        <v>0</v>
      </c>
      <c r="L981" s="83">
        <f t="array" ref="L981">IFERROR(INDEX('Sản phẩm'!$I$4:$I$103,MATCH(B981,'Sản phẩm'!$D$4:$D$103,0)),0)</f>
        <v>0</v>
      </c>
      <c r="M981" s="97" t="str">
        <f t="array" ref="M981">IFERROR(INDEX('Sản phẩm'!$J$4:$J$103,MATCH(B981,'Sản phẩm'!$D$4:$D$103,0)),0)</f>
        <v/>
      </c>
      <c r="N981" s="83">
        <f>IF(B981="",0,(K981+L981+M981)*'Thiết lập'!$B$8)</f>
        <v>0</v>
      </c>
      <c r="O981" s="83">
        <f t="shared" si="2"/>
        <v>0</v>
      </c>
      <c r="P981" s="83">
        <f t="shared" si="3"/>
        <v>0</v>
      </c>
      <c r="Q981" s="83">
        <f t="shared" si="4"/>
        <v>0</v>
      </c>
      <c r="R981" s="36" t="str">
        <f t="array" ref="R981">IF(B981="","",INDEX('Bán nhanh'!$C$4:$C$103,INT((ROW()-4)/10)+1))</f>
        <v/>
      </c>
      <c r="S981" s="36" t="str">
        <f t="array" ref="S981">IF(B981="","",INDEX('Bán nhanh'!$P$4:$P$103,INT((ROW()-4)/10)+1))</f>
        <v/>
      </c>
      <c r="T981" s="36"/>
      <c r="U981" s="36"/>
      <c r="V981" s="36"/>
      <c r="W981" s="36"/>
      <c r="X981" s="36"/>
      <c r="Y981" s="36"/>
      <c r="Z981" s="36"/>
    </row>
    <row r="982" ht="15.75" customHeight="1">
      <c r="A982" s="96" t="str">
        <f t="array" ref="A982">IF(B982="","",INDEX('Bán nhanh'!$A$4:$A$103,INT((ROW()-4)/10)+1))</f>
        <v/>
      </c>
      <c r="B982" s="36" t="str">
        <f t="array" ref="B982">IF(OR(INDEX('Bán nhanh'!$D$3:$M$3,1,MOD(ROW()-4,10)+1)="",INDEX('Bán nhanh'!$D$4:$M$103,INT((ROW()-4)/10)+1,MOD(ROW()-4,10)+1)&lt;=0),"",INDEX('Bán nhanh'!$D$3:$M$3,1,MOD(ROW()-4,10)+1))</f>
        <v/>
      </c>
      <c r="C982" s="36" t="str">
        <f t="array" ref="C982">IFERROR(INDEX('Sản phẩm'!$A$4:$A$103,MATCH(B982,'Sản phẩm'!$D$4:$D$103,0)),"")</f>
        <v/>
      </c>
      <c r="D982" s="36" t="str">
        <f t="array" ref="D982">IF(B982="","",INDEX('Bán nhanh'!$B$4:$B$103,INT((ROW()-4)/10)+1))</f>
        <v/>
      </c>
      <c r="E982" s="36" t="str">
        <f t="array" ref="E982">IFERROR(INDEX('Mẻ sữa'!$B$4:$B$203,MATCH(D982,'Mẻ sữa'!$C$4:$C$203,0)),"")</f>
        <v/>
      </c>
      <c r="F982" s="82">
        <f t="array" ref="F982">IF(B982="",0,INDEX('Bán nhanh'!$D$4:$M$103,INT((ROW()-4)/10)+1,MOD(ROW()-4,10)+1))</f>
        <v>0</v>
      </c>
      <c r="G982" s="83">
        <f t="array" ref="G982">IFERROR(INDEX('Sản phẩm'!$F$4:$F$103,MATCH(B982,'Sản phẩm'!$D$4:$D$103,0)),0)</f>
        <v>0</v>
      </c>
      <c r="H982" s="83">
        <f t="shared" si="5"/>
        <v>0</v>
      </c>
      <c r="I982" s="83">
        <f t="shared" si="1"/>
        <v>0</v>
      </c>
      <c r="J982" s="83">
        <f t="array" ref="J982">IFERROR(INDEX('Sản phẩm'!$G$4:$G$103,MATCH(B982,'Sản phẩm'!$D$4:$D$103,0)),0)</f>
        <v>0</v>
      </c>
      <c r="K982" s="83">
        <f t="array" ref="K982">IFERROR(J982*INDEX('Mẻ sữa'!$N$4:$N$203,MATCH(D982,'Mẻ sữa'!$C$4:$C$203,0)),0)</f>
        <v>0</v>
      </c>
      <c r="L982" s="83">
        <f t="array" ref="L982">IFERROR(INDEX('Sản phẩm'!$I$4:$I$103,MATCH(B982,'Sản phẩm'!$D$4:$D$103,0)),0)</f>
        <v>0</v>
      </c>
      <c r="M982" s="97" t="str">
        <f t="array" ref="M982">IFERROR(INDEX('Sản phẩm'!$J$4:$J$103,MATCH(B982,'Sản phẩm'!$D$4:$D$103,0)),0)</f>
        <v/>
      </c>
      <c r="N982" s="83">
        <f>IF(B982="",0,(K982+L982+M982)*'Thiết lập'!$B$8)</f>
        <v>0</v>
      </c>
      <c r="O982" s="83">
        <f t="shared" si="2"/>
        <v>0</v>
      </c>
      <c r="P982" s="83">
        <f t="shared" si="3"/>
        <v>0</v>
      </c>
      <c r="Q982" s="83">
        <f t="shared" si="4"/>
        <v>0</v>
      </c>
      <c r="R982" s="36" t="str">
        <f t="array" ref="R982">IF(B982="","",INDEX('Bán nhanh'!$C$4:$C$103,INT((ROW()-4)/10)+1))</f>
        <v/>
      </c>
      <c r="S982" s="36" t="str">
        <f t="array" ref="S982">IF(B982="","",INDEX('Bán nhanh'!$P$4:$P$103,INT((ROW()-4)/10)+1))</f>
        <v/>
      </c>
      <c r="T982" s="36"/>
      <c r="U982" s="36"/>
      <c r="V982" s="36"/>
      <c r="W982" s="36"/>
      <c r="X982" s="36"/>
      <c r="Y982" s="36"/>
      <c r="Z982" s="36"/>
    </row>
    <row r="983" ht="15.75" customHeight="1">
      <c r="A983" s="96" t="str">
        <f t="array" ref="A983">IF(B983="","",INDEX('Bán nhanh'!$A$4:$A$103,INT((ROW()-4)/10)+1))</f>
        <v/>
      </c>
      <c r="B983" s="36" t="str">
        <f t="array" ref="B983">IF(OR(INDEX('Bán nhanh'!$D$3:$M$3,1,MOD(ROW()-4,10)+1)="",INDEX('Bán nhanh'!$D$4:$M$103,INT((ROW()-4)/10)+1,MOD(ROW()-4,10)+1)&lt;=0),"",INDEX('Bán nhanh'!$D$3:$M$3,1,MOD(ROW()-4,10)+1))</f>
        <v/>
      </c>
      <c r="C983" s="36" t="str">
        <f t="array" ref="C983">IFERROR(INDEX('Sản phẩm'!$A$4:$A$103,MATCH(B983,'Sản phẩm'!$D$4:$D$103,0)),"")</f>
        <v/>
      </c>
      <c r="D983" s="36" t="str">
        <f t="array" ref="D983">IF(B983="","",INDEX('Bán nhanh'!$B$4:$B$103,INT((ROW()-4)/10)+1))</f>
        <v/>
      </c>
      <c r="E983" s="36" t="str">
        <f t="array" ref="E983">IFERROR(INDEX('Mẻ sữa'!$B$4:$B$203,MATCH(D983,'Mẻ sữa'!$C$4:$C$203,0)),"")</f>
        <v/>
      </c>
      <c r="F983" s="82">
        <f t="array" ref="F983">IF(B983="",0,INDEX('Bán nhanh'!$D$4:$M$103,INT((ROW()-4)/10)+1,MOD(ROW()-4,10)+1))</f>
        <v>0</v>
      </c>
      <c r="G983" s="83">
        <f t="array" ref="G983">IFERROR(INDEX('Sản phẩm'!$F$4:$F$103,MATCH(B983,'Sản phẩm'!$D$4:$D$103,0)),0)</f>
        <v>0</v>
      </c>
      <c r="H983" s="83">
        <f t="shared" si="5"/>
        <v>0</v>
      </c>
      <c r="I983" s="83">
        <f t="shared" si="1"/>
        <v>0</v>
      </c>
      <c r="J983" s="83">
        <f t="array" ref="J983">IFERROR(INDEX('Sản phẩm'!$G$4:$G$103,MATCH(B983,'Sản phẩm'!$D$4:$D$103,0)),0)</f>
        <v>0</v>
      </c>
      <c r="K983" s="83">
        <f t="array" ref="K983">IFERROR(J983*INDEX('Mẻ sữa'!$N$4:$N$203,MATCH(D983,'Mẻ sữa'!$C$4:$C$203,0)),0)</f>
        <v>0</v>
      </c>
      <c r="L983" s="83">
        <f t="array" ref="L983">IFERROR(INDEX('Sản phẩm'!$I$4:$I$103,MATCH(B983,'Sản phẩm'!$D$4:$D$103,0)),0)</f>
        <v>0</v>
      </c>
      <c r="M983" s="97" t="str">
        <f t="array" ref="M983">IFERROR(INDEX('Sản phẩm'!$J$4:$J$103,MATCH(B983,'Sản phẩm'!$D$4:$D$103,0)),0)</f>
        <v/>
      </c>
      <c r="N983" s="83">
        <f>IF(B983="",0,(K983+L983+M983)*'Thiết lập'!$B$8)</f>
        <v>0</v>
      </c>
      <c r="O983" s="83">
        <f t="shared" si="2"/>
        <v>0</v>
      </c>
      <c r="P983" s="83">
        <f t="shared" si="3"/>
        <v>0</v>
      </c>
      <c r="Q983" s="83">
        <f t="shared" si="4"/>
        <v>0</v>
      </c>
      <c r="R983" s="36" t="str">
        <f t="array" ref="R983">IF(B983="","",INDEX('Bán nhanh'!$C$4:$C$103,INT((ROW()-4)/10)+1))</f>
        <v/>
      </c>
      <c r="S983" s="36" t="str">
        <f t="array" ref="S983">IF(B983="","",INDEX('Bán nhanh'!$P$4:$P$103,INT((ROW()-4)/10)+1))</f>
        <v/>
      </c>
      <c r="T983" s="36"/>
      <c r="U983" s="36"/>
      <c r="V983" s="36"/>
      <c r="W983" s="36"/>
      <c r="X983" s="36"/>
      <c r="Y983" s="36"/>
      <c r="Z983" s="36"/>
    </row>
    <row r="984" ht="15.75" customHeight="1">
      <c r="A984" s="96" t="str">
        <f t="array" ref="A984">IF(B984="","",INDEX('Bán nhanh'!$A$4:$A$103,INT((ROW()-4)/10)+1))</f>
        <v/>
      </c>
      <c r="B984" s="36" t="str">
        <f t="array" ref="B984">IF(OR(INDEX('Bán nhanh'!$D$3:$M$3,1,MOD(ROW()-4,10)+1)="",INDEX('Bán nhanh'!$D$4:$M$103,INT((ROW()-4)/10)+1,MOD(ROW()-4,10)+1)&lt;=0),"",INDEX('Bán nhanh'!$D$3:$M$3,1,MOD(ROW()-4,10)+1))</f>
        <v/>
      </c>
      <c r="C984" s="36" t="str">
        <f t="array" ref="C984">IFERROR(INDEX('Sản phẩm'!$A$4:$A$103,MATCH(B984,'Sản phẩm'!$D$4:$D$103,0)),"")</f>
        <v/>
      </c>
      <c r="D984" s="36" t="str">
        <f t="array" ref="D984">IF(B984="","",INDEX('Bán nhanh'!$B$4:$B$103,INT((ROW()-4)/10)+1))</f>
        <v/>
      </c>
      <c r="E984" s="36" t="str">
        <f t="array" ref="E984">IFERROR(INDEX('Mẻ sữa'!$B$4:$B$203,MATCH(D984,'Mẻ sữa'!$C$4:$C$203,0)),"")</f>
        <v/>
      </c>
      <c r="F984" s="82">
        <f t="array" ref="F984">IF(B984="",0,INDEX('Bán nhanh'!$D$4:$M$103,INT((ROW()-4)/10)+1,MOD(ROW()-4,10)+1))</f>
        <v>0</v>
      </c>
      <c r="G984" s="83">
        <f t="array" ref="G984">IFERROR(INDEX('Sản phẩm'!$F$4:$F$103,MATCH(B984,'Sản phẩm'!$D$4:$D$103,0)),0)</f>
        <v>0</v>
      </c>
      <c r="H984" s="83">
        <f t="shared" si="5"/>
        <v>0</v>
      </c>
      <c r="I984" s="83">
        <f t="shared" si="1"/>
        <v>0</v>
      </c>
      <c r="J984" s="83">
        <f t="array" ref="J984">IFERROR(INDEX('Sản phẩm'!$G$4:$G$103,MATCH(B984,'Sản phẩm'!$D$4:$D$103,0)),0)</f>
        <v>0</v>
      </c>
      <c r="K984" s="83">
        <f t="array" ref="K984">IFERROR(J984*INDEX('Mẻ sữa'!$N$4:$N$203,MATCH(D984,'Mẻ sữa'!$C$4:$C$203,0)),0)</f>
        <v>0</v>
      </c>
      <c r="L984" s="83">
        <f t="array" ref="L984">IFERROR(INDEX('Sản phẩm'!$I$4:$I$103,MATCH(B984,'Sản phẩm'!$D$4:$D$103,0)),0)</f>
        <v>0</v>
      </c>
      <c r="M984" s="97" t="str">
        <f t="array" ref="M984">IFERROR(INDEX('Sản phẩm'!$J$4:$J$103,MATCH(B984,'Sản phẩm'!$D$4:$D$103,0)),0)</f>
        <v/>
      </c>
      <c r="N984" s="83">
        <f>IF(B984="",0,(K984+L984+M984)*'Thiết lập'!$B$8)</f>
        <v>0</v>
      </c>
      <c r="O984" s="83">
        <f t="shared" si="2"/>
        <v>0</v>
      </c>
      <c r="P984" s="83">
        <f t="shared" si="3"/>
        <v>0</v>
      </c>
      <c r="Q984" s="83">
        <f t="shared" si="4"/>
        <v>0</v>
      </c>
      <c r="R984" s="36" t="str">
        <f t="array" ref="R984">IF(B984="","",INDEX('Bán nhanh'!$C$4:$C$103,INT((ROW()-4)/10)+1))</f>
        <v/>
      </c>
      <c r="S984" s="36" t="str">
        <f t="array" ref="S984">IF(B984="","",INDEX('Bán nhanh'!$P$4:$P$103,INT((ROW()-4)/10)+1))</f>
        <v/>
      </c>
      <c r="T984" s="36"/>
      <c r="U984" s="36"/>
      <c r="V984" s="36"/>
      <c r="W984" s="36"/>
      <c r="X984" s="36"/>
      <c r="Y984" s="36"/>
      <c r="Z984" s="36"/>
    </row>
    <row r="985" ht="15.75" customHeight="1">
      <c r="A985" s="96" t="str">
        <f t="array" ref="A985">IF(B985="","",INDEX('Bán nhanh'!$A$4:$A$103,INT((ROW()-4)/10)+1))</f>
        <v/>
      </c>
      <c r="B985" s="36" t="str">
        <f t="array" ref="B985">IF(OR(INDEX('Bán nhanh'!$D$3:$M$3,1,MOD(ROW()-4,10)+1)="",INDEX('Bán nhanh'!$D$4:$M$103,INT((ROW()-4)/10)+1,MOD(ROW()-4,10)+1)&lt;=0),"",INDEX('Bán nhanh'!$D$3:$M$3,1,MOD(ROW()-4,10)+1))</f>
        <v/>
      </c>
      <c r="C985" s="36" t="str">
        <f t="array" ref="C985">IFERROR(INDEX('Sản phẩm'!$A$4:$A$103,MATCH(B985,'Sản phẩm'!$D$4:$D$103,0)),"")</f>
        <v/>
      </c>
      <c r="D985" s="36" t="str">
        <f t="array" ref="D985">IF(B985="","",INDEX('Bán nhanh'!$B$4:$B$103,INT((ROW()-4)/10)+1))</f>
        <v/>
      </c>
      <c r="E985" s="36" t="str">
        <f t="array" ref="E985">IFERROR(INDEX('Mẻ sữa'!$B$4:$B$203,MATCH(D985,'Mẻ sữa'!$C$4:$C$203,0)),"")</f>
        <v/>
      </c>
      <c r="F985" s="82">
        <f t="array" ref="F985">IF(B985="",0,INDEX('Bán nhanh'!$D$4:$M$103,INT((ROW()-4)/10)+1,MOD(ROW()-4,10)+1))</f>
        <v>0</v>
      </c>
      <c r="G985" s="83">
        <f t="array" ref="G985">IFERROR(INDEX('Sản phẩm'!$F$4:$F$103,MATCH(B985,'Sản phẩm'!$D$4:$D$103,0)),0)</f>
        <v>0</v>
      </c>
      <c r="H985" s="83">
        <f t="shared" si="5"/>
        <v>0</v>
      </c>
      <c r="I985" s="83">
        <f t="shared" si="1"/>
        <v>0</v>
      </c>
      <c r="J985" s="83">
        <f t="array" ref="J985">IFERROR(INDEX('Sản phẩm'!$G$4:$G$103,MATCH(B985,'Sản phẩm'!$D$4:$D$103,0)),0)</f>
        <v>0</v>
      </c>
      <c r="K985" s="83">
        <f t="array" ref="K985">IFERROR(J985*INDEX('Mẻ sữa'!$N$4:$N$203,MATCH(D985,'Mẻ sữa'!$C$4:$C$203,0)),0)</f>
        <v>0</v>
      </c>
      <c r="L985" s="83">
        <f t="array" ref="L985">IFERROR(INDEX('Sản phẩm'!$I$4:$I$103,MATCH(B985,'Sản phẩm'!$D$4:$D$103,0)),0)</f>
        <v>0</v>
      </c>
      <c r="M985" s="97" t="str">
        <f t="array" ref="M985">IFERROR(INDEX('Sản phẩm'!$J$4:$J$103,MATCH(B985,'Sản phẩm'!$D$4:$D$103,0)),0)</f>
        <v/>
      </c>
      <c r="N985" s="83">
        <f>IF(B985="",0,(K985+L985+M985)*'Thiết lập'!$B$8)</f>
        <v>0</v>
      </c>
      <c r="O985" s="83">
        <f t="shared" si="2"/>
        <v>0</v>
      </c>
      <c r="P985" s="83">
        <f t="shared" si="3"/>
        <v>0</v>
      </c>
      <c r="Q985" s="83">
        <f t="shared" si="4"/>
        <v>0</v>
      </c>
      <c r="R985" s="36" t="str">
        <f t="array" ref="R985">IF(B985="","",INDEX('Bán nhanh'!$C$4:$C$103,INT((ROW()-4)/10)+1))</f>
        <v/>
      </c>
      <c r="S985" s="36" t="str">
        <f t="array" ref="S985">IF(B985="","",INDEX('Bán nhanh'!$P$4:$P$103,INT((ROW()-4)/10)+1))</f>
        <v/>
      </c>
      <c r="T985" s="36"/>
      <c r="U985" s="36"/>
      <c r="V985" s="36"/>
      <c r="W985" s="36"/>
      <c r="X985" s="36"/>
      <c r="Y985" s="36"/>
      <c r="Z985" s="36"/>
    </row>
    <row r="986" ht="15.75" customHeight="1">
      <c r="A986" s="96" t="str">
        <f t="array" ref="A986">IF(B986="","",INDEX('Bán nhanh'!$A$4:$A$103,INT((ROW()-4)/10)+1))</f>
        <v/>
      </c>
      <c r="B986" s="36" t="str">
        <f t="array" ref="B986">IF(OR(INDEX('Bán nhanh'!$D$3:$M$3,1,MOD(ROW()-4,10)+1)="",INDEX('Bán nhanh'!$D$4:$M$103,INT((ROW()-4)/10)+1,MOD(ROW()-4,10)+1)&lt;=0),"",INDEX('Bán nhanh'!$D$3:$M$3,1,MOD(ROW()-4,10)+1))</f>
        <v/>
      </c>
      <c r="C986" s="36" t="str">
        <f t="array" ref="C986">IFERROR(INDEX('Sản phẩm'!$A$4:$A$103,MATCH(B986,'Sản phẩm'!$D$4:$D$103,0)),"")</f>
        <v/>
      </c>
      <c r="D986" s="36" t="str">
        <f t="array" ref="D986">IF(B986="","",INDEX('Bán nhanh'!$B$4:$B$103,INT((ROW()-4)/10)+1))</f>
        <v/>
      </c>
      <c r="E986" s="36" t="str">
        <f t="array" ref="E986">IFERROR(INDEX('Mẻ sữa'!$B$4:$B$203,MATCH(D986,'Mẻ sữa'!$C$4:$C$203,0)),"")</f>
        <v/>
      </c>
      <c r="F986" s="82">
        <f t="array" ref="F986">IF(B986="",0,INDEX('Bán nhanh'!$D$4:$M$103,INT((ROW()-4)/10)+1,MOD(ROW()-4,10)+1))</f>
        <v>0</v>
      </c>
      <c r="G986" s="83">
        <f t="array" ref="G986">IFERROR(INDEX('Sản phẩm'!$F$4:$F$103,MATCH(B986,'Sản phẩm'!$D$4:$D$103,0)),0)</f>
        <v>0</v>
      </c>
      <c r="H986" s="83">
        <f t="shared" si="5"/>
        <v>0</v>
      </c>
      <c r="I986" s="83">
        <f t="shared" si="1"/>
        <v>0</v>
      </c>
      <c r="J986" s="83">
        <f t="array" ref="J986">IFERROR(INDEX('Sản phẩm'!$G$4:$G$103,MATCH(B986,'Sản phẩm'!$D$4:$D$103,0)),0)</f>
        <v>0</v>
      </c>
      <c r="K986" s="83">
        <f t="array" ref="K986">IFERROR(J986*INDEX('Mẻ sữa'!$N$4:$N$203,MATCH(D986,'Mẻ sữa'!$C$4:$C$203,0)),0)</f>
        <v>0</v>
      </c>
      <c r="L986" s="83">
        <f t="array" ref="L986">IFERROR(INDEX('Sản phẩm'!$I$4:$I$103,MATCH(B986,'Sản phẩm'!$D$4:$D$103,0)),0)</f>
        <v>0</v>
      </c>
      <c r="M986" s="97" t="str">
        <f t="array" ref="M986">IFERROR(INDEX('Sản phẩm'!$J$4:$J$103,MATCH(B986,'Sản phẩm'!$D$4:$D$103,0)),0)</f>
        <v/>
      </c>
      <c r="N986" s="83">
        <f>IF(B986="",0,(K986+L986+M986)*'Thiết lập'!$B$8)</f>
        <v>0</v>
      </c>
      <c r="O986" s="83">
        <f t="shared" si="2"/>
        <v>0</v>
      </c>
      <c r="P986" s="83">
        <f t="shared" si="3"/>
        <v>0</v>
      </c>
      <c r="Q986" s="83">
        <f t="shared" si="4"/>
        <v>0</v>
      </c>
      <c r="R986" s="36" t="str">
        <f t="array" ref="R986">IF(B986="","",INDEX('Bán nhanh'!$C$4:$C$103,INT((ROW()-4)/10)+1))</f>
        <v/>
      </c>
      <c r="S986" s="36" t="str">
        <f t="array" ref="S986">IF(B986="","",INDEX('Bán nhanh'!$P$4:$P$103,INT((ROW()-4)/10)+1))</f>
        <v/>
      </c>
      <c r="T986" s="36"/>
      <c r="U986" s="36"/>
      <c r="V986" s="36"/>
      <c r="W986" s="36"/>
      <c r="X986" s="36"/>
      <c r="Y986" s="36"/>
      <c r="Z986" s="36"/>
    </row>
    <row r="987" ht="15.75" customHeight="1">
      <c r="A987" s="96" t="str">
        <f t="array" ref="A987">IF(B987="","",INDEX('Bán nhanh'!$A$4:$A$103,INT((ROW()-4)/10)+1))</f>
        <v/>
      </c>
      <c r="B987" s="36" t="str">
        <f t="array" ref="B987">IF(OR(INDEX('Bán nhanh'!$D$3:$M$3,1,MOD(ROW()-4,10)+1)="",INDEX('Bán nhanh'!$D$4:$M$103,INT((ROW()-4)/10)+1,MOD(ROW()-4,10)+1)&lt;=0),"",INDEX('Bán nhanh'!$D$3:$M$3,1,MOD(ROW()-4,10)+1))</f>
        <v/>
      </c>
      <c r="C987" s="36" t="str">
        <f t="array" ref="C987">IFERROR(INDEX('Sản phẩm'!$A$4:$A$103,MATCH(B987,'Sản phẩm'!$D$4:$D$103,0)),"")</f>
        <v/>
      </c>
      <c r="D987" s="36" t="str">
        <f t="array" ref="D987">IF(B987="","",INDEX('Bán nhanh'!$B$4:$B$103,INT((ROW()-4)/10)+1))</f>
        <v/>
      </c>
      <c r="E987" s="36" t="str">
        <f t="array" ref="E987">IFERROR(INDEX('Mẻ sữa'!$B$4:$B$203,MATCH(D987,'Mẻ sữa'!$C$4:$C$203,0)),"")</f>
        <v/>
      </c>
      <c r="F987" s="82">
        <f t="array" ref="F987">IF(B987="",0,INDEX('Bán nhanh'!$D$4:$M$103,INT((ROW()-4)/10)+1,MOD(ROW()-4,10)+1))</f>
        <v>0</v>
      </c>
      <c r="G987" s="83">
        <f t="array" ref="G987">IFERROR(INDEX('Sản phẩm'!$F$4:$F$103,MATCH(B987,'Sản phẩm'!$D$4:$D$103,0)),0)</f>
        <v>0</v>
      </c>
      <c r="H987" s="83">
        <f t="shared" si="5"/>
        <v>0</v>
      </c>
      <c r="I987" s="83">
        <f t="shared" si="1"/>
        <v>0</v>
      </c>
      <c r="J987" s="83">
        <f t="array" ref="J987">IFERROR(INDEX('Sản phẩm'!$G$4:$G$103,MATCH(B987,'Sản phẩm'!$D$4:$D$103,0)),0)</f>
        <v>0</v>
      </c>
      <c r="K987" s="83">
        <f t="array" ref="K987">IFERROR(J987*INDEX('Mẻ sữa'!$N$4:$N$203,MATCH(D987,'Mẻ sữa'!$C$4:$C$203,0)),0)</f>
        <v>0</v>
      </c>
      <c r="L987" s="83">
        <f t="array" ref="L987">IFERROR(INDEX('Sản phẩm'!$I$4:$I$103,MATCH(B987,'Sản phẩm'!$D$4:$D$103,0)),0)</f>
        <v>0</v>
      </c>
      <c r="M987" s="97" t="str">
        <f t="array" ref="M987">IFERROR(INDEX('Sản phẩm'!$J$4:$J$103,MATCH(B987,'Sản phẩm'!$D$4:$D$103,0)),0)</f>
        <v/>
      </c>
      <c r="N987" s="83">
        <f>IF(B987="",0,(K987+L987+M987)*'Thiết lập'!$B$8)</f>
        <v>0</v>
      </c>
      <c r="O987" s="83">
        <f t="shared" si="2"/>
        <v>0</v>
      </c>
      <c r="P987" s="83">
        <f t="shared" si="3"/>
        <v>0</v>
      </c>
      <c r="Q987" s="83">
        <f t="shared" si="4"/>
        <v>0</v>
      </c>
      <c r="R987" s="36" t="str">
        <f t="array" ref="R987">IF(B987="","",INDEX('Bán nhanh'!$C$4:$C$103,INT((ROW()-4)/10)+1))</f>
        <v/>
      </c>
      <c r="S987" s="36" t="str">
        <f t="array" ref="S987">IF(B987="","",INDEX('Bán nhanh'!$P$4:$P$103,INT((ROW()-4)/10)+1))</f>
        <v/>
      </c>
      <c r="T987" s="36"/>
      <c r="U987" s="36"/>
      <c r="V987" s="36"/>
      <c r="W987" s="36"/>
      <c r="X987" s="36"/>
      <c r="Y987" s="36"/>
      <c r="Z987" s="36"/>
    </row>
    <row r="988" ht="15.75" customHeight="1">
      <c r="A988" s="96" t="str">
        <f t="array" ref="A988">IF(B988="","",INDEX('Bán nhanh'!$A$4:$A$103,INT((ROW()-4)/10)+1))</f>
        <v/>
      </c>
      <c r="B988" s="36" t="str">
        <f t="array" ref="B988">IF(OR(INDEX('Bán nhanh'!$D$3:$M$3,1,MOD(ROW()-4,10)+1)="",INDEX('Bán nhanh'!$D$4:$M$103,INT((ROW()-4)/10)+1,MOD(ROW()-4,10)+1)&lt;=0),"",INDEX('Bán nhanh'!$D$3:$M$3,1,MOD(ROW()-4,10)+1))</f>
        <v/>
      </c>
      <c r="C988" s="36" t="str">
        <f t="array" ref="C988">IFERROR(INDEX('Sản phẩm'!$A$4:$A$103,MATCH(B988,'Sản phẩm'!$D$4:$D$103,0)),"")</f>
        <v/>
      </c>
      <c r="D988" s="36" t="str">
        <f t="array" ref="D988">IF(B988="","",INDEX('Bán nhanh'!$B$4:$B$103,INT((ROW()-4)/10)+1))</f>
        <v/>
      </c>
      <c r="E988" s="36" t="str">
        <f t="array" ref="E988">IFERROR(INDEX('Mẻ sữa'!$B$4:$B$203,MATCH(D988,'Mẻ sữa'!$C$4:$C$203,0)),"")</f>
        <v/>
      </c>
      <c r="F988" s="82">
        <f t="array" ref="F988">IF(B988="",0,INDEX('Bán nhanh'!$D$4:$M$103,INT((ROW()-4)/10)+1,MOD(ROW()-4,10)+1))</f>
        <v>0</v>
      </c>
      <c r="G988" s="83">
        <f t="array" ref="G988">IFERROR(INDEX('Sản phẩm'!$F$4:$F$103,MATCH(B988,'Sản phẩm'!$D$4:$D$103,0)),0)</f>
        <v>0</v>
      </c>
      <c r="H988" s="83">
        <f t="shared" si="5"/>
        <v>0</v>
      </c>
      <c r="I988" s="83">
        <f t="shared" si="1"/>
        <v>0</v>
      </c>
      <c r="J988" s="83">
        <f t="array" ref="J988">IFERROR(INDEX('Sản phẩm'!$G$4:$G$103,MATCH(B988,'Sản phẩm'!$D$4:$D$103,0)),0)</f>
        <v>0</v>
      </c>
      <c r="K988" s="83">
        <f t="array" ref="K988">IFERROR(J988*INDEX('Mẻ sữa'!$N$4:$N$203,MATCH(D988,'Mẻ sữa'!$C$4:$C$203,0)),0)</f>
        <v>0</v>
      </c>
      <c r="L988" s="83">
        <f t="array" ref="L988">IFERROR(INDEX('Sản phẩm'!$I$4:$I$103,MATCH(B988,'Sản phẩm'!$D$4:$D$103,0)),0)</f>
        <v>0</v>
      </c>
      <c r="M988" s="97" t="str">
        <f t="array" ref="M988">IFERROR(INDEX('Sản phẩm'!$J$4:$J$103,MATCH(B988,'Sản phẩm'!$D$4:$D$103,0)),0)</f>
        <v/>
      </c>
      <c r="N988" s="83">
        <f>IF(B988="",0,(K988+L988+M988)*'Thiết lập'!$B$8)</f>
        <v>0</v>
      </c>
      <c r="O988" s="83">
        <f t="shared" si="2"/>
        <v>0</v>
      </c>
      <c r="P988" s="83">
        <f t="shared" si="3"/>
        <v>0</v>
      </c>
      <c r="Q988" s="83">
        <f t="shared" si="4"/>
        <v>0</v>
      </c>
      <c r="R988" s="36" t="str">
        <f t="array" ref="R988">IF(B988="","",INDEX('Bán nhanh'!$C$4:$C$103,INT((ROW()-4)/10)+1))</f>
        <v/>
      </c>
      <c r="S988" s="36" t="str">
        <f t="array" ref="S988">IF(B988="","",INDEX('Bán nhanh'!$P$4:$P$103,INT((ROW()-4)/10)+1))</f>
        <v/>
      </c>
      <c r="T988" s="36"/>
      <c r="U988" s="36"/>
      <c r="V988" s="36"/>
      <c r="W988" s="36"/>
      <c r="X988" s="36"/>
      <c r="Y988" s="36"/>
      <c r="Z988" s="36"/>
    </row>
    <row r="989" ht="15.75" customHeight="1">
      <c r="A989" s="96" t="str">
        <f t="array" ref="A989">IF(B989="","",INDEX('Bán nhanh'!$A$4:$A$103,INT((ROW()-4)/10)+1))</f>
        <v/>
      </c>
      <c r="B989" s="36" t="str">
        <f t="array" ref="B989">IF(OR(INDEX('Bán nhanh'!$D$3:$M$3,1,MOD(ROW()-4,10)+1)="",INDEX('Bán nhanh'!$D$4:$M$103,INT((ROW()-4)/10)+1,MOD(ROW()-4,10)+1)&lt;=0),"",INDEX('Bán nhanh'!$D$3:$M$3,1,MOD(ROW()-4,10)+1))</f>
        <v/>
      </c>
      <c r="C989" s="36" t="str">
        <f t="array" ref="C989">IFERROR(INDEX('Sản phẩm'!$A$4:$A$103,MATCH(B989,'Sản phẩm'!$D$4:$D$103,0)),"")</f>
        <v/>
      </c>
      <c r="D989" s="36" t="str">
        <f t="array" ref="D989">IF(B989="","",INDEX('Bán nhanh'!$B$4:$B$103,INT((ROW()-4)/10)+1))</f>
        <v/>
      </c>
      <c r="E989" s="36" t="str">
        <f t="array" ref="E989">IFERROR(INDEX('Mẻ sữa'!$B$4:$B$203,MATCH(D989,'Mẻ sữa'!$C$4:$C$203,0)),"")</f>
        <v/>
      </c>
      <c r="F989" s="82">
        <f t="array" ref="F989">IF(B989="",0,INDEX('Bán nhanh'!$D$4:$M$103,INT((ROW()-4)/10)+1,MOD(ROW()-4,10)+1))</f>
        <v>0</v>
      </c>
      <c r="G989" s="83">
        <f t="array" ref="G989">IFERROR(INDEX('Sản phẩm'!$F$4:$F$103,MATCH(B989,'Sản phẩm'!$D$4:$D$103,0)),0)</f>
        <v>0</v>
      </c>
      <c r="H989" s="83">
        <f t="shared" si="5"/>
        <v>0</v>
      </c>
      <c r="I989" s="83">
        <f t="shared" si="1"/>
        <v>0</v>
      </c>
      <c r="J989" s="83">
        <f t="array" ref="J989">IFERROR(INDEX('Sản phẩm'!$G$4:$G$103,MATCH(B989,'Sản phẩm'!$D$4:$D$103,0)),0)</f>
        <v>0</v>
      </c>
      <c r="K989" s="83">
        <f t="array" ref="K989">IFERROR(J989*INDEX('Mẻ sữa'!$N$4:$N$203,MATCH(D989,'Mẻ sữa'!$C$4:$C$203,0)),0)</f>
        <v>0</v>
      </c>
      <c r="L989" s="83">
        <f t="array" ref="L989">IFERROR(INDEX('Sản phẩm'!$I$4:$I$103,MATCH(B989,'Sản phẩm'!$D$4:$D$103,0)),0)</f>
        <v>0</v>
      </c>
      <c r="M989" s="97" t="str">
        <f t="array" ref="M989">IFERROR(INDEX('Sản phẩm'!$J$4:$J$103,MATCH(B989,'Sản phẩm'!$D$4:$D$103,0)),0)</f>
        <v/>
      </c>
      <c r="N989" s="83">
        <f>IF(B989="",0,(K989+L989+M989)*'Thiết lập'!$B$8)</f>
        <v>0</v>
      </c>
      <c r="O989" s="83">
        <f t="shared" si="2"/>
        <v>0</v>
      </c>
      <c r="P989" s="83">
        <f t="shared" si="3"/>
        <v>0</v>
      </c>
      <c r="Q989" s="83">
        <f t="shared" si="4"/>
        <v>0</v>
      </c>
      <c r="R989" s="36" t="str">
        <f t="array" ref="R989">IF(B989="","",INDEX('Bán nhanh'!$C$4:$C$103,INT((ROW()-4)/10)+1))</f>
        <v/>
      </c>
      <c r="S989" s="36" t="str">
        <f t="array" ref="S989">IF(B989="","",INDEX('Bán nhanh'!$P$4:$P$103,INT((ROW()-4)/10)+1))</f>
        <v/>
      </c>
      <c r="T989" s="36"/>
      <c r="U989" s="36"/>
      <c r="V989" s="36"/>
      <c r="W989" s="36"/>
      <c r="X989" s="36"/>
      <c r="Y989" s="36"/>
      <c r="Z989" s="36"/>
    </row>
    <row r="990" ht="15.75" customHeight="1">
      <c r="A990" s="96" t="str">
        <f t="array" ref="A990">IF(B990="","",INDEX('Bán nhanh'!$A$4:$A$103,INT((ROW()-4)/10)+1))</f>
        <v/>
      </c>
      <c r="B990" s="36" t="str">
        <f t="array" ref="B990">IF(OR(INDEX('Bán nhanh'!$D$3:$M$3,1,MOD(ROW()-4,10)+1)="",INDEX('Bán nhanh'!$D$4:$M$103,INT((ROW()-4)/10)+1,MOD(ROW()-4,10)+1)&lt;=0),"",INDEX('Bán nhanh'!$D$3:$M$3,1,MOD(ROW()-4,10)+1))</f>
        <v/>
      </c>
      <c r="C990" s="36" t="str">
        <f t="array" ref="C990">IFERROR(INDEX('Sản phẩm'!$A$4:$A$103,MATCH(B990,'Sản phẩm'!$D$4:$D$103,0)),"")</f>
        <v/>
      </c>
      <c r="D990" s="36" t="str">
        <f t="array" ref="D990">IF(B990="","",INDEX('Bán nhanh'!$B$4:$B$103,INT((ROW()-4)/10)+1))</f>
        <v/>
      </c>
      <c r="E990" s="36" t="str">
        <f t="array" ref="E990">IFERROR(INDEX('Mẻ sữa'!$B$4:$B$203,MATCH(D990,'Mẻ sữa'!$C$4:$C$203,0)),"")</f>
        <v/>
      </c>
      <c r="F990" s="82">
        <f t="array" ref="F990">IF(B990="",0,INDEX('Bán nhanh'!$D$4:$M$103,INT((ROW()-4)/10)+1,MOD(ROW()-4,10)+1))</f>
        <v>0</v>
      </c>
      <c r="G990" s="83">
        <f t="array" ref="G990">IFERROR(INDEX('Sản phẩm'!$F$4:$F$103,MATCH(B990,'Sản phẩm'!$D$4:$D$103,0)),0)</f>
        <v>0</v>
      </c>
      <c r="H990" s="83">
        <f t="shared" si="5"/>
        <v>0</v>
      </c>
      <c r="I990" s="83">
        <f t="shared" si="1"/>
        <v>0</v>
      </c>
      <c r="J990" s="83">
        <f t="array" ref="J990">IFERROR(INDEX('Sản phẩm'!$G$4:$G$103,MATCH(B990,'Sản phẩm'!$D$4:$D$103,0)),0)</f>
        <v>0</v>
      </c>
      <c r="K990" s="83">
        <f t="array" ref="K990">IFERROR(J990*INDEX('Mẻ sữa'!$N$4:$N$203,MATCH(D990,'Mẻ sữa'!$C$4:$C$203,0)),0)</f>
        <v>0</v>
      </c>
      <c r="L990" s="83">
        <f t="array" ref="L990">IFERROR(INDEX('Sản phẩm'!$I$4:$I$103,MATCH(B990,'Sản phẩm'!$D$4:$D$103,0)),0)</f>
        <v>0</v>
      </c>
      <c r="M990" s="97" t="str">
        <f t="array" ref="M990">IFERROR(INDEX('Sản phẩm'!$J$4:$J$103,MATCH(B990,'Sản phẩm'!$D$4:$D$103,0)),0)</f>
        <v/>
      </c>
      <c r="N990" s="83">
        <f>IF(B990="",0,(K990+L990+M990)*'Thiết lập'!$B$8)</f>
        <v>0</v>
      </c>
      <c r="O990" s="83">
        <f t="shared" si="2"/>
        <v>0</v>
      </c>
      <c r="P990" s="83">
        <f t="shared" si="3"/>
        <v>0</v>
      </c>
      <c r="Q990" s="83">
        <f t="shared" si="4"/>
        <v>0</v>
      </c>
      <c r="R990" s="36" t="str">
        <f t="array" ref="R990">IF(B990="","",INDEX('Bán nhanh'!$C$4:$C$103,INT((ROW()-4)/10)+1))</f>
        <v/>
      </c>
      <c r="S990" s="36" t="str">
        <f t="array" ref="S990">IF(B990="","",INDEX('Bán nhanh'!$P$4:$P$103,INT((ROW()-4)/10)+1))</f>
        <v/>
      </c>
      <c r="T990" s="36"/>
      <c r="U990" s="36"/>
      <c r="V990" s="36"/>
      <c r="W990" s="36"/>
      <c r="X990" s="36"/>
      <c r="Y990" s="36"/>
      <c r="Z990" s="36"/>
    </row>
    <row r="991" ht="15.75" customHeight="1">
      <c r="A991" s="96" t="str">
        <f t="array" ref="A991">IF(B991="","",INDEX('Bán nhanh'!$A$4:$A$103,INT((ROW()-4)/10)+1))</f>
        <v/>
      </c>
      <c r="B991" s="36" t="str">
        <f t="array" ref="B991">IF(OR(INDEX('Bán nhanh'!$D$3:$M$3,1,MOD(ROW()-4,10)+1)="",INDEX('Bán nhanh'!$D$4:$M$103,INT((ROW()-4)/10)+1,MOD(ROW()-4,10)+1)&lt;=0),"",INDEX('Bán nhanh'!$D$3:$M$3,1,MOD(ROW()-4,10)+1))</f>
        <v/>
      </c>
      <c r="C991" s="36" t="str">
        <f t="array" ref="C991">IFERROR(INDEX('Sản phẩm'!$A$4:$A$103,MATCH(B991,'Sản phẩm'!$D$4:$D$103,0)),"")</f>
        <v/>
      </c>
      <c r="D991" s="36" t="str">
        <f t="array" ref="D991">IF(B991="","",INDEX('Bán nhanh'!$B$4:$B$103,INT((ROW()-4)/10)+1))</f>
        <v/>
      </c>
      <c r="E991" s="36" t="str">
        <f t="array" ref="E991">IFERROR(INDEX('Mẻ sữa'!$B$4:$B$203,MATCH(D991,'Mẻ sữa'!$C$4:$C$203,0)),"")</f>
        <v/>
      </c>
      <c r="F991" s="82">
        <f t="array" ref="F991">IF(B991="",0,INDEX('Bán nhanh'!$D$4:$M$103,INT((ROW()-4)/10)+1,MOD(ROW()-4,10)+1))</f>
        <v>0</v>
      </c>
      <c r="G991" s="83">
        <f t="array" ref="G991">IFERROR(INDEX('Sản phẩm'!$F$4:$F$103,MATCH(B991,'Sản phẩm'!$D$4:$D$103,0)),0)</f>
        <v>0</v>
      </c>
      <c r="H991" s="83">
        <f t="shared" si="5"/>
        <v>0</v>
      </c>
      <c r="I991" s="83">
        <f t="shared" si="1"/>
        <v>0</v>
      </c>
      <c r="J991" s="83">
        <f t="array" ref="J991">IFERROR(INDEX('Sản phẩm'!$G$4:$G$103,MATCH(B991,'Sản phẩm'!$D$4:$D$103,0)),0)</f>
        <v>0</v>
      </c>
      <c r="K991" s="83">
        <f t="array" ref="K991">IFERROR(J991*INDEX('Mẻ sữa'!$N$4:$N$203,MATCH(D991,'Mẻ sữa'!$C$4:$C$203,0)),0)</f>
        <v>0</v>
      </c>
      <c r="L991" s="83">
        <f t="array" ref="L991">IFERROR(INDEX('Sản phẩm'!$I$4:$I$103,MATCH(B991,'Sản phẩm'!$D$4:$D$103,0)),0)</f>
        <v>0</v>
      </c>
      <c r="M991" s="97" t="str">
        <f t="array" ref="M991">IFERROR(INDEX('Sản phẩm'!$J$4:$J$103,MATCH(B991,'Sản phẩm'!$D$4:$D$103,0)),0)</f>
        <v/>
      </c>
      <c r="N991" s="83">
        <f>IF(B991="",0,(K991+L991+M991)*'Thiết lập'!$B$8)</f>
        <v>0</v>
      </c>
      <c r="O991" s="83">
        <f t="shared" si="2"/>
        <v>0</v>
      </c>
      <c r="P991" s="83">
        <f t="shared" si="3"/>
        <v>0</v>
      </c>
      <c r="Q991" s="83">
        <f t="shared" si="4"/>
        <v>0</v>
      </c>
      <c r="R991" s="36" t="str">
        <f t="array" ref="R991">IF(B991="","",INDEX('Bán nhanh'!$C$4:$C$103,INT((ROW()-4)/10)+1))</f>
        <v/>
      </c>
      <c r="S991" s="36" t="str">
        <f t="array" ref="S991">IF(B991="","",INDEX('Bán nhanh'!$P$4:$P$103,INT((ROW()-4)/10)+1))</f>
        <v/>
      </c>
      <c r="T991" s="36"/>
      <c r="U991" s="36"/>
      <c r="V991" s="36"/>
      <c r="W991" s="36"/>
      <c r="X991" s="36"/>
      <c r="Y991" s="36"/>
      <c r="Z991" s="36"/>
    </row>
    <row r="992" ht="15.75" customHeight="1">
      <c r="A992" s="96" t="str">
        <f t="array" ref="A992">IF(B992="","",INDEX('Bán nhanh'!$A$4:$A$103,INT((ROW()-4)/10)+1))</f>
        <v/>
      </c>
      <c r="B992" s="36" t="str">
        <f t="array" ref="B992">IF(OR(INDEX('Bán nhanh'!$D$3:$M$3,1,MOD(ROW()-4,10)+1)="",INDEX('Bán nhanh'!$D$4:$M$103,INT((ROW()-4)/10)+1,MOD(ROW()-4,10)+1)&lt;=0),"",INDEX('Bán nhanh'!$D$3:$M$3,1,MOD(ROW()-4,10)+1))</f>
        <v/>
      </c>
      <c r="C992" s="36" t="str">
        <f t="array" ref="C992">IFERROR(INDEX('Sản phẩm'!$A$4:$A$103,MATCH(B992,'Sản phẩm'!$D$4:$D$103,0)),"")</f>
        <v/>
      </c>
      <c r="D992" s="36" t="str">
        <f t="array" ref="D992">IF(B992="","",INDEX('Bán nhanh'!$B$4:$B$103,INT((ROW()-4)/10)+1))</f>
        <v/>
      </c>
      <c r="E992" s="36" t="str">
        <f t="array" ref="E992">IFERROR(INDEX('Mẻ sữa'!$B$4:$B$203,MATCH(D992,'Mẻ sữa'!$C$4:$C$203,0)),"")</f>
        <v/>
      </c>
      <c r="F992" s="82">
        <f t="array" ref="F992">IF(B992="",0,INDEX('Bán nhanh'!$D$4:$M$103,INT((ROW()-4)/10)+1,MOD(ROW()-4,10)+1))</f>
        <v>0</v>
      </c>
      <c r="G992" s="83">
        <f t="array" ref="G992">IFERROR(INDEX('Sản phẩm'!$F$4:$F$103,MATCH(B992,'Sản phẩm'!$D$4:$D$103,0)),0)</f>
        <v>0</v>
      </c>
      <c r="H992" s="83">
        <f t="shared" si="5"/>
        <v>0</v>
      </c>
      <c r="I992" s="83">
        <f t="shared" si="1"/>
        <v>0</v>
      </c>
      <c r="J992" s="83">
        <f t="array" ref="J992">IFERROR(INDEX('Sản phẩm'!$G$4:$G$103,MATCH(B992,'Sản phẩm'!$D$4:$D$103,0)),0)</f>
        <v>0</v>
      </c>
      <c r="K992" s="83">
        <f t="array" ref="K992">IFERROR(J992*INDEX('Mẻ sữa'!$N$4:$N$203,MATCH(D992,'Mẻ sữa'!$C$4:$C$203,0)),0)</f>
        <v>0</v>
      </c>
      <c r="L992" s="83">
        <f t="array" ref="L992">IFERROR(INDEX('Sản phẩm'!$I$4:$I$103,MATCH(B992,'Sản phẩm'!$D$4:$D$103,0)),0)</f>
        <v>0</v>
      </c>
      <c r="M992" s="97" t="str">
        <f t="array" ref="M992">IFERROR(INDEX('Sản phẩm'!$J$4:$J$103,MATCH(B992,'Sản phẩm'!$D$4:$D$103,0)),0)</f>
        <v/>
      </c>
      <c r="N992" s="83">
        <f>IF(B992="",0,(K992+L992+M992)*'Thiết lập'!$B$8)</f>
        <v>0</v>
      </c>
      <c r="O992" s="83">
        <f t="shared" si="2"/>
        <v>0</v>
      </c>
      <c r="P992" s="83">
        <f t="shared" si="3"/>
        <v>0</v>
      </c>
      <c r="Q992" s="83">
        <f t="shared" si="4"/>
        <v>0</v>
      </c>
      <c r="R992" s="36" t="str">
        <f t="array" ref="R992">IF(B992="","",INDEX('Bán nhanh'!$C$4:$C$103,INT((ROW()-4)/10)+1))</f>
        <v/>
      </c>
      <c r="S992" s="36" t="str">
        <f t="array" ref="S992">IF(B992="","",INDEX('Bán nhanh'!$P$4:$P$103,INT((ROW()-4)/10)+1))</f>
        <v/>
      </c>
      <c r="T992" s="36"/>
      <c r="U992" s="36"/>
      <c r="V992" s="36"/>
      <c r="W992" s="36"/>
      <c r="X992" s="36"/>
      <c r="Y992" s="36"/>
      <c r="Z992" s="36"/>
    </row>
    <row r="993" ht="15.75" customHeight="1">
      <c r="A993" s="96" t="str">
        <f t="array" ref="A993">IF(B993="","",INDEX('Bán nhanh'!$A$4:$A$103,INT((ROW()-4)/10)+1))</f>
        <v/>
      </c>
      <c r="B993" s="36" t="str">
        <f t="array" ref="B993">IF(OR(INDEX('Bán nhanh'!$D$3:$M$3,1,MOD(ROW()-4,10)+1)="",INDEX('Bán nhanh'!$D$4:$M$103,INT((ROW()-4)/10)+1,MOD(ROW()-4,10)+1)&lt;=0),"",INDEX('Bán nhanh'!$D$3:$M$3,1,MOD(ROW()-4,10)+1))</f>
        <v/>
      </c>
      <c r="C993" s="36" t="str">
        <f t="array" ref="C993">IFERROR(INDEX('Sản phẩm'!$A$4:$A$103,MATCH(B993,'Sản phẩm'!$D$4:$D$103,0)),"")</f>
        <v/>
      </c>
      <c r="D993" s="36" t="str">
        <f t="array" ref="D993">IF(B993="","",INDEX('Bán nhanh'!$B$4:$B$103,INT((ROW()-4)/10)+1))</f>
        <v/>
      </c>
      <c r="E993" s="36" t="str">
        <f t="array" ref="E993">IFERROR(INDEX('Mẻ sữa'!$B$4:$B$203,MATCH(D993,'Mẻ sữa'!$C$4:$C$203,0)),"")</f>
        <v/>
      </c>
      <c r="F993" s="82">
        <f t="array" ref="F993">IF(B993="",0,INDEX('Bán nhanh'!$D$4:$M$103,INT((ROW()-4)/10)+1,MOD(ROW()-4,10)+1))</f>
        <v>0</v>
      </c>
      <c r="G993" s="83">
        <f t="array" ref="G993">IFERROR(INDEX('Sản phẩm'!$F$4:$F$103,MATCH(B993,'Sản phẩm'!$D$4:$D$103,0)),0)</f>
        <v>0</v>
      </c>
      <c r="H993" s="83">
        <f t="shared" si="5"/>
        <v>0</v>
      </c>
      <c r="I993" s="83">
        <f t="shared" si="1"/>
        <v>0</v>
      </c>
      <c r="J993" s="83">
        <f t="array" ref="J993">IFERROR(INDEX('Sản phẩm'!$G$4:$G$103,MATCH(B993,'Sản phẩm'!$D$4:$D$103,0)),0)</f>
        <v>0</v>
      </c>
      <c r="K993" s="83">
        <f t="array" ref="K993">IFERROR(J993*INDEX('Mẻ sữa'!$N$4:$N$203,MATCH(D993,'Mẻ sữa'!$C$4:$C$203,0)),0)</f>
        <v>0</v>
      </c>
      <c r="L993" s="83">
        <f t="array" ref="L993">IFERROR(INDEX('Sản phẩm'!$I$4:$I$103,MATCH(B993,'Sản phẩm'!$D$4:$D$103,0)),0)</f>
        <v>0</v>
      </c>
      <c r="M993" s="97" t="str">
        <f t="array" ref="M993">IFERROR(INDEX('Sản phẩm'!$J$4:$J$103,MATCH(B993,'Sản phẩm'!$D$4:$D$103,0)),0)</f>
        <v/>
      </c>
      <c r="N993" s="83">
        <f>IF(B993="",0,(K993+L993+M993)*'Thiết lập'!$B$8)</f>
        <v>0</v>
      </c>
      <c r="O993" s="83">
        <f t="shared" si="2"/>
        <v>0</v>
      </c>
      <c r="P993" s="83">
        <f t="shared" si="3"/>
        <v>0</v>
      </c>
      <c r="Q993" s="83">
        <f t="shared" si="4"/>
        <v>0</v>
      </c>
      <c r="R993" s="36" t="str">
        <f t="array" ref="R993">IF(B993="","",INDEX('Bán nhanh'!$C$4:$C$103,INT((ROW()-4)/10)+1))</f>
        <v/>
      </c>
      <c r="S993" s="36" t="str">
        <f t="array" ref="S993">IF(B993="","",INDEX('Bán nhanh'!$P$4:$P$103,INT((ROW()-4)/10)+1))</f>
        <v/>
      </c>
      <c r="T993" s="36"/>
      <c r="U993" s="36"/>
      <c r="V993" s="36"/>
      <c r="W993" s="36"/>
      <c r="X993" s="36"/>
      <c r="Y993" s="36"/>
      <c r="Z993" s="36"/>
    </row>
    <row r="994" ht="15.75" customHeight="1">
      <c r="A994" s="96" t="str">
        <f t="array" ref="A994">IF(B994="","",INDEX('Bán nhanh'!$A$4:$A$103,INT((ROW()-4)/10)+1))</f>
        <v/>
      </c>
      <c r="B994" s="36" t="str">
        <f t="array" ref="B994">IF(OR(INDEX('Bán nhanh'!$D$3:$M$3,1,MOD(ROW()-4,10)+1)="",INDEX('Bán nhanh'!$D$4:$M$103,INT((ROW()-4)/10)+1,MOD(ROW()-4,10)+1)&lt;=0),"",INDEX('Bán nhanh'!$D$3:$M$3,1,MOD(ROW()-4,10)+1))</f>
        <v/>
      </c>
      <c r="C994" s="36" t="str">
        <f t="array" ref="C994">IFERROR(INDEX('Sản phẩm'!$A$4:$A$103,MATCH(B994,'Sản phẩm'!$D$4:$D$103,0)),"")</f>
        <v/>
      </c>
      <c r="D994" s="36" t="str">
        <f t="array" ref="D994">IF(B994="","",INDEX('Bán nhanh'!$B$4:$B$103,INT((ROW()-4)/10)+1))</f>
        <v/>
      </c>
      <c r="E994" s="36" t="str">
        <f t="array" ref="E994">IFERROR(INDEX('Mẻ sữa'!$B$4:$B$203,MATCH(D994,'Mẻ sữa'!$C$4:$C$203,0)),"")</f>
        <v/>
      </c>
      <c r="F994" s="82">
        <f t="array" ref="F994">IF(B994="",0,INDEX('Bán nhanh'!$D$4:$M$103,INT((ROW()-4)/10)+1,MOD(ROW()-4,10)+1))</f>
        <v>0</v>
      </c>
      <c r="G994" s="83">
        <f t="array" ref="G994">IFERROR(INDEX('Sản phẩm'!$F$4:$F$103,MATCH(B994,'Sản phẩm'!$D$4:$D$103,0)),0)</f>
        <v>0</v>
      </c>
      <c r="H994" s="83">
        <f t="shared" si="5"/>
        <v>0</v>
      </c>
      <c r="I994" s="83">
        <f t="shared" si="1"/>
        <v>0</v>
      </c>
      <c r="J994" s="83">
        <f t="array" ref="J994">IFERROR(INDEX('Sản phẩm'!$G$4:$G$103,MATCH(B994,'Sản phẩm'!$D$4:$D$103,0)),0)</f>
        <v>0</v>
      </c>
      <c r="K994" s="83">
        <f t="array" ref="K994">IFERROR(J994*INDEX('Mẻ sữa'!$N$4:$N$203,MATCH(D994,'Mẻ sữa'!$C$4:$C$203,0)),0)</f>
        <v>0</v>
      </c>
      <c r="L994" s="83">
        <f t="array" ref="L994">IFERROR(INDEX('Sản phẩm'!$I$4:$I$103,MATCH(B994,'Sản phẩm'!$D$4:$D$103,0)),0)</f>
        <v>0</v>
      </c>
      <c r="M994" s="97" t="str">
        <f t="array" ref="M994">IFERROR(INDEX('Sản phẩm'!$J$4:$J$103,MATCH(B994,'Sản phẩm'!$D$4:$D$103,0)),0)</f>
        <v/>
      </c>
      <c r="N994" s="83">
        <f>IF(B994="",0,(K994+L994+M994)*'Thiết lập'!$B$8)</f>
        <v>0</v>
      </c>
      <c r="O994" s="83">
        <f t="shared" si="2"/>
        <v>0</v>
      </c>
      <c r="P994" s="83">
        <f t="shared" si="3"/>
        <v>0</v>
      </c>
      <c r="Q994" s="83">
        <f t="shared" si="4"/>
        <v>0</v>
      </c>
      <c r="R994" s="36" t="str">
        <f t="array" ref="R994">IF(B994="","",INDEX('Bán nhanh'!$C$4:$C$103,INT((ROW()-4)/10)+1))</f>
        <v/>
      </c>
      <c r="S994" s="36" t="str">
        <f t="array" ref="S994">IF(B994="","",INDEX('Bán nhanh'!$P$4:$P$103,INT((ROW()-4)/10)+1))</f>
        <v/>
      </c>
      <c r="T994" s="36"/>
      <c r="U994" s="36"/>
      <c r="V994" s="36"/>
      <c r="W994" s="36"/>
      <c r="X994" s="36"/>
      <c r="Y994" s="36"/>
      <c r="Z994" s="36"/>
    </row>
    <row r="995" ht="15.75" customHeight="1">
      <c r="A995" s="96" t="str">
        <f t="array" ref="A995">IF(B995="","",INDEX('Bán nhanh'!$A$4:$A$103,INT((ROW()-4)/10)+1))</f>
        <v/>
      </c>
      <c r="B995" s="36" t="str">
        <f t="array" ref="B995">IF(OR(INDEX('Bán nhanh'!$D$3:$M$3,1,MOD(ROW()-4,10)+1)="",INDEX('Bán nhanh'!$D$4:$M$103,INT((ROW()-4)/10)+1,MOD(ROW()-4,10)+1)&lt;=0),"",INDEX('Bán nhanh'!$D$3:$M$3,1,MOD(ROW()-4,10)+1))</f>
        <v/>
      </c>
      <c r="C995" s="36" t="str">
        <f t="array" ref="C995">IFERROR(INDEX('Sản phẩm'!$A$4:$A$103,MATCH(B995,'Sản phẩm'!$D$4:$D$103,0)),"")</f>
        <v/>
      </c>
      <c r="D995" s="36" t="str">
        <f t="array" ref="D995">IF(B995="","",INDEX('Bán nhanh'!$B$4:$B$103,INT((ROW()-4)/10)+1))</f>
        <v/>
      </c>
      <c r="E995" s="36" t="str">
        <f t="array" ref="E995">IFERROR(INDEX('Mẻ sữa'!$B$4:$B$203,MATCH(D995,'Mẻ sữa'!$C$4:$C$203,0)),"")</f>
        <v/>
      </c>
      <c r="F995" s="82">
        <f t="array" ref="F995">IF(B995="",0,INDEX('Bán nhanh'!$D$4:$M$103,INT((ROW()-4)/10)+1,MOD(ROW()-4,10)+1))</f>
        <v>0</v>
      </c>
      <c r="G995" s="83">
        <f t="array" ref="G995">IFERROR(INDEX('Sản phẩm'!$F$4:$F$103,MATCH(B995,'Sản phẩm'!$D$4:$D$103,0)),0)</f>
        <v>0</v>
      </c>
      <c r="H995" s="83">
        <f t="shared" si="5"/>
        <v>0</v>
      </c>
      <c r="I995" s="83">
        <f t="shared" si="1"/>
        <v>0</v>
      </c>
      <c r="J995" s="83">
        <f t="array" ref="J995">IFERROR(INDEX('Sản phẩm'!$G$4:$G$103,MATCH(B995,'Sản phẩm'!$D$4:$D$103,0)),0)</f>
        <v>0</v>
      </c>
      <c r="K995" s="83">
        <f t="array" ref="K995">IFERROR(J995*INDEX('Mẻ sữa'!$N$4:$N$203,MATCH(D995,'Mẻ sữa'!$C$4:$C$203,0)),0)</f>
        <v>0</v>
      </c>
      <c r="L995" s="83">
        <f t="array" ref="L995">IFERROR(INDEX('Sản phẩm'!$I$4:$I$103,MATCH(B995,'Sản phẩm'!$D$4:$D$103,0)),0)</f>
        <v>0</v>
      </c>
      <c r="M995" s="97" t="str">
        <f t="array" ref="M995">IFERROR(INDEX('Sản phẩm'!$J$4:$J$103,MATCH(B995,'Sản phẩm'!$D$4:$D$103,0)),0)</f>
        <v/>
      </c>
      <c r="N995" s="83">
        <f>IF(B995="",0,(K995+L995+M995)*'Thiết lập'!$B$8)</f>
        <v>0</v>
      </c>
      <c r="O995" s="83">
        <f t="shared" si="2"/>
        <v>0</v>
      </c>
      <c r="P995" s="83">
        <f t="shared" si="3"/>
        <v>0</v>
      </c>
      <c r="Q995" s="83">
        <f t="shared" si="4"/>
        <v>0</v>
      </c>
      <c r="R995" s="36" t="str">
        <f t="array" ref="R995">IF(B995="","",INDEX('Bán nhanh'!$C$4:$C$103,INT((ROW()-4)/10)+1))</f>
        <v/>
      </c>
      <c r="S995" s="36" t="str">
        <f t="array" ref="S995">IF(B995="","",INDEX('Bán nhanh'!$P$4:$P$103,INT((ROW()-4)/10)+1))</f>
        <v/>
      </c>
      <c r="T995" s="36"/>
      <c r="U995" s="36"/>
      <c r="V995" s="36"/>
      <c r="W995" s="36"/>
      <c r="X995" s="36"/>
      <c r="Y995" s="36"/>
      <c r="Z995" s="36"/>
    </row>
    <row r="996" ht="15.75" customHeight="1">
      <c r="A996" s="96" t="str">
        <f t="array" ref="A996">IF(B996="","",INDEX('Bán nhanh'!$A$4:$A$103,INT((ROW()-4)/10)+1))</f>
        <v/>
      </c>
      <c r="B996" s="36" t="str">
        <f t="array" ref="B996">IF(OR(INDEX('Bán nhanh'!$D$3:$M$3,1,MOD(ROW()-4,10)+1)="",INDEX('Bán nhanh'!$D$4:$M$103,INT((ROW()-4)/10)+1,MOD(ROW()-4,10)+1)&lt;=0),"",INDEX('Bán nhanh'!$D$3:$M$3,1,MOD(ROW()-4,10)+1))</f>
        <v/>
      </c>
      <c r="C996" s="36" t="str">
        <f t="array" ref="C996">IFERROR(INDEX('Sản phẩm'!$A$4:$A$103,MATCH(B996,'Sản phẩm'!$D$4:$D$103,0)),"")</f>
        <v/>
      </c>
      <c r="D996" s="36" t="str">
        <f t="array" ref="D996">IF(B996="","",INDEX('Bán nhanh'!$B$4:$B$103,INT((ROW()-4)/10)+1))</f>
        <v/>
      </c>
      <c r="E996" s="36" t="str">
        <f t="array" ref="E996">IFERROR(INDEX('Mẻ sữa'!$B$4:$B$203,MATCH(D996,'Mẻ sữa'!$C$4:$C$203,0)),"")</f>
        <v/>
      </c>
      <c r="F996" s="82">
        <f t="array" ref="F996">IF(B996="",0,INDEX('Bán nhanh'!$D$4:$M$103,INT((ROW()-4)/10)+1,MOD(ROW()-4,10)+1))</f>
        <v>0</v>
      </c>
      <c r="G996" s="83">
        <f t="array" ref="G996">IFERROR(INDEX('Sản phẩm'!$F$4:$F$103,MATCH(B996,'Sản phẩm'!$D$4:$D$103,0)),0)</f>
        <v>0</v>
      </c>
      <c r="H996" s="83">
        <f t="shared" si="5"/>
        <v>0</v>
      </c>
      <c r="I996" s="83">
        <f t="shared" si="1"/>
        <v>0</v>
      </c>
      <c r="J996" s="83">
        <f t="array" ref="J996">IFERROR(INDEX('Sản phẩm'!$G$4:$G$103,MATCH(B996,'Sản phẩm'!$D$4:$D$103,0)),0)</f>
        <v>0</v>
      </c>
      <c r="K996" s="83">
        <f t="array" ref="K996">IFERROR(J996*INDEX('Mẻ sữa'!$N$4:$N$203,MATCH(D996,'Mẻ sữa'!$C$4:$C$203,0)),0)</f>
        <v>0</v>
      </c>
      <c r="L996" s="83">
        <f t="array" ref="L996">IFERROR(INDEX('Sản phẩm'!$I$4:$I$103,MATCH(B996,'Sản phẩm'!$D$4:$D$103,0)),0)</f>
        <v>0</v>
      </c>
      <c r="M996" s="97" t="str">
        <f t="array" ref="M996">IFERROR(INDEX('Sản phẩm'!$J$4:$J$103,MATCH(B996,'Sản phẩm'!$D$4:$D$103,0)),0)</f>
        <v/>
      </c>
      <c r="N996" s="83">
        <f>IF(B996="",0,(K996+L996+M996)*'Thiết lập'!$B$8)</f>
        <v>0</v>
      </c>
      <c r="O996" s="83">
        <f t="shared" si="2"/>
        <v>0</v>
      </c>
      <c r="P996" s="83">
        <f t="shared" si="3"/>
        <v>0</v>
      </c>
      <c r="Q996" s="83">
        <f t="shared" si="4"/>
        <v>0</v>
      </c>
      <c r="R996" s="36" t="str">
        <f t="array" ref="R996">IF(B996="","",INDEX('Bán nhanh'!$C$4:$C$103,INT((ROW()-4)/10)+1))</f>
        <v/>
      </c>
      <c r="S996" s="36" t="str">
        <f t="array" ref="S996">IF(B996="","",INDEX('Bán nhanh'!$P$4:$P$103,INT((ROW()-4)/10)+1))</f>
        <v/>
      </c>
      <c r="T996" s="36"/>
      <c r="U996" s="36"/>
      <c r="V996" s="36"/>
      <c r="W996" s="36"/>
      <c r="X996" s="36"/>
      <c r="Y996" s="36"/>
      <c r="Z996" s="36"/>
    </row>
    <row r="997" ht="15.75" customHeight="1">
      <c r="A997" s="96" t="str">
        <f t="array" ref="A997">IF(B997="","",INDEX('Bán nhanh'!$A$4:$A$103,INT((ROW()-4)/10)+1))</f>
        <v/>
      </c>
      <c r="B997" s="36" t="str">
        <f t="array" ref="B997">IF(OR(INDEX('Bán nhanh'!$D$3:$M$3,1,MOD(ROW()-4,10)+1)="",INDEX('Bán nhanh'!$D$4:$M$103,INT((ROW()-4)/10)+1,MOD(ROW()-4,10)+1)&lt;=0),"",INDEX('Bán nhanh'!$D$3:$M$3,1,MOD(ROW()-4,10)+1))</f>
        <v/>
      </c>
      <c r="C997" s="36" t="str">
        <f t="array" ref="C997">IFERROR(INDEX('Sản phẩm'!$A$4:$A$103,MATCH(B997,'Sản phẩm'!$D$4:$D$103,0)),"")</f>
        <v/>
      </c>
      <c r="D997" s="36" t="str">
        <f t="array" ref="D997">IF(B997="","",INDEX('Bán nhanh'!$B$4:$B$103,INT((ROW()-4)/10)+1))</f>
        <v/>
      </c>
      <c r="E997" s="36" t="str">
        <f t="array" ref="E997">IFERROR(INDEX('Mẻ sữa'!$B$4:$B$203,MATCH(D997,'Mẻ sữa'!$C$4:$C$203,0)),"")</f>
        <v/>
      </c>
      <c r="F997" s="82">
        <f t="array" ref="F997">IF(B997="",0,INDEX('Bán nhanh'!$D$4:$M$103,INT((ROW()-4)/10)+1,MOD(ROW()-4,10)+1))</f>
        <v>0</v>
      </c>
      <c r="G997" s="83">
        <f t="array" ref="G997">IFERROR(INDEX('Sản phẩm'!$F$4:$F$103,MATCH(B997,'Sản phẩm'!$D$4:$D$103,0)),0)</f>
        <v>0</v>
      </c>
      <c r="H997" s="83">
        <f t="shared" si="5"/>
        <v>0</v>
      </c>
      <c r="I997" s="83">
        <f t="shared" si="1"/>
        <v>0</v>
      </c>
      <c r="J997" s="83">
        <f t="array" ref="J997">IFERROR(INDEX('Sản phẩm'!$G$4:$G$103,MATCH(B997,'Sản phẩm'!$D$4:$D$103,0)),0)</f>
        <v>0</v>
      </c>
      <c r="K997" s="83">
        <f t="array" ref="K997">IFERROR(J997*INDEX('Mẻ sữa'!$N$4:$N$203,MATCH(D997,'Mẻ sữa'!$C$4:$C$203,0)),0)</f>
        <v>0</v>
      </c>
      <c r="L997" s="83">
        <f t="array" ref="L997">IFERROR(INDEX('Sản phẩm'!$I$4:$I$103,MATCH(B997,'Sản phẩm'!$D$4:$D$103,0)),0)</f>
        <v>0</v>
      </c>
      <c r="M997" s="97" t="str">
        <f t="array" ref="M997">IFERROR(INDEX('Sản phẩm'!$J$4:$J$103,MATCH(B997,'Sản phẩm'!$D$4:$D$103,0)),0)</f>
        <v/>
      </c>
      <c r="N997" s="83">
        <f>IF(B997="",0,(K997+L997+M997)*'Thiết lập'!$B$8)</f>
        <v>0</v>
      </c>
      <c r="O997" s="83">
        <f t="shared" si="2"/>
        <v>0</v>
      </c>
      <c r="P997" s="83">
        <f t="shared" si="3"/>
        <v>0</v>
      </c>
      <c r="Q997" s="83">
        <f t="shared" si="4"/>
        <v>0</v>
      </c>
      <c r="R997" s="36" t="str">
        <f t="array" ref="R997">IF(B997="","",INDEX('Bán nhanh'!$C$4:$C$103,INT((ROW()-4)/10)+1))</f>
        <v/>
      </c>
      <c r="S997" s="36" t="str">
        <f t="array" ref="S997">IF(B997="","",INDEX('Bán nhanh'!$P$4:$P$103,INT((ROW()-4)/10)+1))</f>
        <v/>
      </c>
      <c r="T997" s="36"/>
      <c r="U997" s="36"/>
      <c r="V997" s="36"/>
      <c r="W997" s="36"/>
      <c r="X997" s="36"/>
      <c r="Y997" s="36"/>
      <c r="Z997" s="36"/>
    </row>
    <row r="998" ht="15.75" customHeight="1">
      <c r="A998" s="96" t="str">
        <f t="array" ref="A998">IF(B998="","",INDEX('Bán nhanh'!$A$4:$A$103,INT((ROW()-4)/10)+1))</f>
        <v/>
      </c>
      <c r="B998" s="36" t="str">
        <f t="array" ref="B998">IF(OR(INDEX('Bán nhanh'!$D$3:$M$3,1,MOD(ROW()-4,10)+1)="",INDEX('Bán nhanh'!$D$4:$M$103,INT((ROW()-4)/10)+1,MOD(ROW()-4,10)+1)&lt;=0),"",INDEX('Bán nhanh'!$D$3:$M$3,1,MOD(ROW()-4,10)+1))</f>
        <v/>
      </c>
      <c r="C998" s="36" t="str">
        <f t="array" ref="C998">IFERROR(INDEX('Sản phẩm'!$A$4:$A$103,MATCH(B998,'Sản phẩm'!$D$4:$D$103,0)),"")</f>
        <v/>
      </c>
      <c r="D998" s="36" t="str">
        <f t="array" ref="D998">IF(B998="","",INDEX('Bán nhanh'!$B$4:$B$103,INT((ROW()-4)/10)+1))</f>
        <v/>
      </c>
      <c r="E998" s="36" t="str">
        <f t="array" ref="E998">IFERROR(INDEX('Mẻ sữa'!$B$4:$B$203,MATCH(D998,'Mẻ sữa'!$C$4:$C$203,0)),"")</f>
        <v/>
      </c>
      <c r="F998" s="82">
        <f t="array" ref="F998">IF(B998="",0,INDEX('Bán nhanh'!$D$4:$M$103,INT((ROW()-4)/10)+1,MOD(ROW()-4,10)+1))</f>
        <v>0</v>
      </c>
      <c r="G998" s="83">
        <f t="array" ref="G998">IFERROR(INDEX('Sản phẩm'!$F$4:$F$103,MATCH(B998,'Sản phẩm'!$D$4:$D$103,0)),0)</f>
        <v>0</v>
      </c>
      <c r="H998" s="83">
        <f t="shared" si="5"/>
        <v>0</v>
      </c>
      <c r="I998" s="83">
        <f t="shared" si="1"/>
        <v>0</v>
      </c>
      <c r="J998" s="83">
        <f t="array" ref="J998">IFERROR(INDEX('Sản phẩm'!$G$4:$G$103,MATCH(B998,'Sản phẩm'!$D$4:$D$103,0)),0)</f>
        <v>0</v>
      </c>
      <c r="K998" s="83">
        <f t="array" ref="K998">IFERROR(J998*INDEX('Mẻ sữa'!$N$4:$N$203,MATCH(D998,'Mẻ sữa'!$C$4:$C$203,0)),0)</f>
        <v>0</v>
      </c>
      <c r="L998" s="83">
        <f t="array" ref="L998">IFERROR(INDEX('Sản phẩm'!$I$4:$I$103,MATCH(B998,'Sản phẩm'!$D$4:$D$103,0)),0)</f>
        <v>0</v>
      </c>
      <c r="M998" s="97" t="str">
        <f t="array" ref="M998">IFERROR(INDEX('Sản phẩm'!$J$4:$J$103,MATCH(B998,'Sản phẩm'!$D$4:$D$103,0)),0)</f>
        <v/>
      </c>
      <c r="N998" s="83">
        <f>IF(B998="",0,(K998+L998+M998)*'Thiết lập'!$B$8)</f>
        <v>0</v>
      </c>
      <c r="O998" s="83">
        <f t="shared" si="2"/>
        <v>0</v>
      </c>
      <c r="P998" s="83">
        <f t="shared" si="3"/>
        <v>0</v>
      </c>
      <c r="Q998" s="83">
        <f t="shared" si="4"/>
        <v>0</v>
      </c>
      <c r="R998" s="36" t="str">
        <f t="array" ref="R998">IF(B998="","",INDEX('Bán nhanh'!$C$4:$C$103,INT((ROW()-4)/10)+1))</f>
        <v/>
      </c>
      <c r="S998" s="36" t="str">
        <f t="array" ref="S998">IF(B998="","",INDEX('Bán nhanh'!$P$4:$P$103,INT((ROW()-4)/10)+1))</f>
        <v/>
      </c>
      <c r="T998" s="36"/>
      <c r="U998" s="36"/>
      <c r="V998" s="36"/>
      <c r="W998" s="36"/>
      <c r="X998" s="36"/>
      <c r="Y998" s="36"/>
      <c r="Z998" s="36"/>
    </row>
    <row r="999" ht="15.75" customHeight="1">
      <c r="A999" s="96" t="str">
        <f t="array" ref="A999">IF(B999="","",INDEX('Bán nhanh'!$A$4:$A$103,INT((ROW()-4)/10)+1))</f>
        <v/>
      </c>
      <c r="B999" s="36" t="str">
        <f t="array" ref="B999">IF(OR(INDEX('Bán nhanh'!$D$3:$M$3,1,MOD(ROW()-4,10)+1)="",INDEX('Bán nhanh'!$D$4:$M$103,INT((ROW()-4)/10)+1,MOD(ROW()-4,10)+1)&lt;=0),"",INDEX('Bán nhanh'!$D$3:$M$3,1,MOD(ROW()-4,10)+1))</f>
        <v/>
      </c>
      <c r="C999" s="36" t="str">
        <f t="array" ref="C999">IFERROR(INDEX('Sản phẩm'!$A$4:$A$103,MATCH(B999,'Sản phẩm'!$D$4:$D$103,0)),"")</f>
        <v/>
      </c>
      <c r="D999" s="36" t="str">
        <f t="array" ref="D999">IF(B999="","",INDEX('Bán nhanh'!$B$4:$B$103,INT((ROW()-4)/10)+1))</f>
        <v/>
      </c>
      <c r="E999" s="36" t="str">
        <f t="array" ref="E999">IFERROR(INDEX('Mẻ sữa'!$B$4:$B$203,MATCH(D999,'Mẻ sữa'!$C$4:$C$203,0)),"")</f>
        <v/>
      </c>
      <c r="F999" s="82">
        <f t="array" ref="F999">IF(B999="",0,INDEX('Bán nhanh'!$D$4:$M$103,INT((ROW()-4)/10)+1,MOD(ROW()-4,10)+1))</f>
        <v>0</v>
      </c>
      <c r="G999" s="83">
        <f t="array" ref="G999">IFERROR(INDEX('Sản phẩm'!$F$4:$F$103,MATCH(B999,'Sản phẩm'!$D$4:$D$103,0)),0)</f>
        <v>0</v>
      </c>
      <c r="H999" s="83">
        <f t="shared" si="5"/>
        <v>0</v>
      </c>
      <c r="I999" s="83">
        <f t="shared" si="1"/>
        <v>0</v>
      </c>
      <c r="J999" s="83">
        <f t="array" ref="J999">IFERROR(INDEX('Sản phẩm'!$G$4:$G$103,MATCH(B999,'Sản phẩm'!$D$4:$D$103,0)),0)</f>
        <v>0</v>
      </c>
      <c r="K999" s="83">
        <f t="array" ref="K999">IFERROR(J999*INDEX('Mẻ sữa'!$N$4:$N$203,MATCH(D999,'Mẻ sữa'!$C$4:$C$203,0)),0)</f>
        <v>0</v>
      </c>
      <c r="L999" s="83">
        <f t="array" ref="L999">IFERROR(INDEX('Sản phẩm'!$I$4:$I$103,MATCH(B999,'Sản phẩm'!$D$4:$D$103,0)),0)</f>
        <v>0</v>
      </c>
      <c r="M999" s="97" t="str">
        <f t="array" ref="M999">IFERROR(INDEX('Sản phẩm'!$J$4:$J$103,MATCH(B999,'Sản phẩm'!$D$4:$D$103,0)),0)</f>
        <v/>
      </c>
      <c r="N999" s="83">
        <f>IF(B999="",0,(K999+L999+M999)*'Thiết lập'!$B$8)</f>
        <v>0</v>
      </c>
      <c r="O999" s="83">
        <f t="shared" si="2"/>
        <v>0</v>
      </c>
      <c r="P999" s="83">
        <f t="shared" si="3"/>
        <v>0</v>
      </c>
      <c r="Q999" s="83">
        <f t="shared" si="4"/>
        <v>0</v>
      </c>
      <c r="R999" s="36" t="str">
        <f t="array" ref="R999">IF(B999="","",INDEX('Bán nhanh'!$C$4:$C$103,INT((ROW()-4)/10)+1))</f>
        <v/>
      </c>
      <c r="S999" s="36" t="str">
        <f t="array" ref="S999">IF(B999="","",INDEX('Bán nhanh'!$P$4:$P$103,INT((ROW()-4)/10)+1))</f>
        <v/>
      </c>
      <c r="T999" s="36"/>
      <c r="U999" s="36"/>
      <c r="V999" s="36"/>
      <c r="W999" s="36"/>
      <c r="X999" s="36"/>
      <c r="Y999" s="36"/>
      <c r="Z999" s="36"/>
    </row>
    <row r="1000" ht="15.75" customHeight="1">
      <c r="A1000" s="96" t="str">
        <f t="array" ref="A1000">IF(B1000="","",INDEX('Bán nhanh'!$A$4:$A$103,INT((ROW()-4)/10)+1))</f>
        <v/>
      </c>
      <c r="B1000" s="36" t="str">
        <f t="array" ref="B1000">IF(OR(INDEX('Bán nhanh'!$D$3:$M$3,1,MOD(ROW()-4,10)+1)="",INDEX('Bán nhanh'!$D$4:$M$103,INT((ROW()-4)/10)+1,MOD(ROW()-4,10)+1)&lt;=0),"",INDEX('Bán nhanh'!$D$3:$M$3,1,MOD(ROW()-4,10)+1))</f>
        <v/>
      </c>
      <c r="C1000" s="36" t="str">
        <f t="array" ref="C1000">IFERROR(INDEX('Sản phẩm'!$A$4:$A$103,MATCH(B1000,'Sản phẩm'!$D$4:$D$103,0)),"")</f>
        <v/>
      </c>
      <c r="D1000" s="36" t="str">
        <f t="array" ref="D1000">IF(B1000="","",INDEX('Bán nhanh'!$B$4:$B$103,INT((ROW()-4)/10)+1))</f>
        <v/>
      </c>
      <c r="E1000" s="36" t="str">
        <f t="array" ref="E1000">IFERROR(INDEX('Mẻ sữa'!$B$4:$B$203,MATCH(D1000,'Mẻ sữa'!$C$4:$C$203,0)),"")</f>
        <v/>
      </c>
      <c r="F1000" s="82">
        <f t="array" ref="F1000">IF(B1000="",0,INDEX('Bán nhanh'!$D$4:$M$103,INT((ROW()-4)/10)+1,MOD(ROW()-4,10)+1))</f>
        <v>0</v>
      </c>
      <c r="G1000" s="83">
        <f t="array" ref="G1000">IFERROR(INDEX('Sản phẩm'!$F$4:$F$103,MATCH(B1000,'Sản phẩm'!$D$4:$D$103,0)),0)</f>
        <v>0</v>
      </c>
      <c r="H1000" s="83">
        <f t="shared" si="5"/>
        <v>0</v>
      </c>
      <c r="I1000" s="83">
        <f t="shared" si="1"/>
        <v>0</v>
      </c>
      <c r="J1000" s="83">
        <f t="array" ref="J1000">IFERROR(INDEX('Sản phẩm'!$G$4:$G$103,MATCH(B1000,'Sản phẩm'!$D$4:$D$103,0)),0)</f>
        <v>0</v>
      </c>
      <c r="K1000" s="83">
        <f t="array" ref="K1000">IFERROR(J1000*INDEX('Mẻ sữa'!$N$4:$N$203,MATCH(D1000,'Mẻ sữa'!$C$4:$C$203,0)),0)</f>
        <v>0</v>
      </c>
      <c r="L1000" s="83">
        <f t="array" ref="L1000">IFERROR(INDEX('Sản phẩm'!$I$4:$I$103,MATCH(B1000,'Sản phẩm'!$D$4:$D$103,0)),0)</f>
        <v>0</v>
      </c>
      <c r="M1000" s="97" t="str">
        <f t="array" ref="M1000">IFERROR(INDEX('Sản phẩm'!$J$4:$J$103,MATCH(B1000,'Sản phẩm'!$D$4:$D$103,0)),0)</f>
        <v/>
      </c>
      <c r="N1000" s="83">
        <f>IF(B1000="",0,(K1000+L1000+M1000)*'Thiết lập'!$B$8)</f>
        <v>0</v>
      </c>
      <c r="O1000" s="83">
        <f t="shared" si="2"/>
        <v>0</v>
      </c>
      <c r="P1000" s="83">
        <f t="shared" si="3"/>
        <v>0</v>
      </c>
      <c r="Q1000" s="83">
        <f t="shared" si="4"/>
        <v>0</v>
      </c>
      <c r="R1000" s="36" t="str">
        <f t="array" ref="R1000">IF(B1000="","",INDEX('Bán nhanh'!$C$4:$C$103,INT((ROW()-4)/10)+1))</f>
        <v/>
      </c>
      <c r="S1000" s="36" t="str">
        <f t="array" ref="S1000">IF(B1000="","",INDEX('Bán nhanh'!$P$4:$P$103,INT((ROW()-4)/10)+1))</f>
        <v/>
      </c>
      <c r="T1000" s="36"/>
      <c r="U1000" s="36"/>
      <c r="V1000" s="36"/>
      <c r="W1000" s="36"/>
      <c r="X1000" s="36"/>
      <c r="Y1000" s="36"/>
      <c r="Z1000" s="36"/>
    </row>
    <row r="1001" ht="15.75" customHeight="1">
      <c r="A1001" s="96" t="str">
        <f t="array" ref="A1001">IF(B1001="","",INDEX('Bán nhanh'!$A$4:$A$103,INT((ROW()-4)/10)+1))</f>
        <v/>
      </c>
      <c r="B1001" s="36" t="str">
        <f t="array" ref="B1001">IF(OR(INDEX('Bán nhanh'!$D$3:$M$3,1,MOD(ROW()-4,10)+1)="",INDEX('Bán nhanh'!$D$4:$M$103,INT((ROW()-4)/10)+1,MOD(ROW()-4,10)+1)&lt;=0),"",INDEX('Bán nhanh'!$D$3:$M$3,1,MOD(ROW()-4,10)+1))</f>
        <v/>
      </c>
      <c r="C1001" s="36" t="str">
        <f t="array" ref="C1001">IFERROR(INDEX('Sản phẩm'!$A$4:$A$103,MATCH(B1001,'Sản phẩm'!$D$4:$D$103,0)),"")</f>
        <v/>
      </c>
      <c r="D1001" s="36" t="str">
        <f t="array" ref="D1001">IF(B1001="","",INDEX('Bán nhanh'!$B$4:$B$103,INT((ROW()-4)/10)+1))</f>
        <v/>
      </c>
      <c r="E1001" s="36" t="str">
        <f t="array" ref="E1001">IFERROR(INDEX('Mẻ sữa'!$B$4:$B$203,MATCH(D1001,'Mẻ sữa'!$C$4:$C$203,0)),"")</f>
        <v/>
      </c>
      <c r="F1001" s="82">
        <f t="array" ref="F1001">IF(B1001="",0,INDEX('Bán nhanh'!$D$4:$M$103,INT((ROW()-4)/10)+1,MOD(ROW()-4,10)+1))</f>
        <v>0</v>
      </c>
      <c r="G1001" s="83">
        <f t="array" ref="G1001">IFERROR(INDEX('Sản phẩm'!$F$4:$F$103,MATCH(B1001,'Sản phẩm'!$D$4:$D$103,0)),0)</f>
        <v>0</v>
      </c>
      <c r="H1001" s="83">
        <f t="shared" si="5"/>
        <v>0</v>
      </c>
      <c r="I1001" s="83">
        <f t="shared" si="1"/>
        <v>0</v>
      </c>
      <c r="J1001" s="83">
        <f t="array" ref="J1001">IFERROR(INDEX('Sản phẩm'!$G$4:$G$103,MATCH(B1001,'Sản phẩm'!$D$4:$D$103,0)),0)</f>
        <v>0</v>
      </c>
      <c r="K1001" s="83">
        <f t="array" ref="K1001">IFERROR(J1001*INDEX('Mẻ sữa'!$N$4:$N$203,MATCH(D1001,'Mẻ sữa'!$C$4:$C$203,0)),0)</f>
        <v>0</v>
      </c>
      <c r="L1001" s="83">
        <f t="array" ref="L1001">IFERROR(INDEX('Sản phẩm'!$I$4:$I$103,MATCH(B1001,'Sản phẩm'!$D$4:$D$103,0)),0)</f>
        <v>0</v>
      </c>
      <c r="M1001" s="97" t="str">
        <f t="array" ref="M1001">IFERROR(INDEX('Sản phẩm'!$J$4:$J$103,MATCH(B1001,'Sản phẩm'!$D$4:$D$103,0)),0)</f>
        <v/>
      </c>
      <c r="N1001" s="83">
        <f>IF(B1001="",0,(K1001+L1001+M1001)*'Thiết lập'!$B$8)</f>
        <v>0</v>
      </c>
      <c r="O1001" s="83">
        <f t="shared" si="2"/>
        <v>0</v>
      </c>
      <c r="P1001" s="83">
        <f t="shared" si="3"/>
        <v>0</v>
      </c>
      <c r="Q1001" s="83">
        <f t="shared" si="4"/>
        <v>0</v>
      </c>
      <c r="R1001" s="36" t="str">
        <f t="array" ref="R1001">IF(B1001="","",INDEX('Bán nhanh'!$C$4:$C$103,INT((ROW()-4)/10)+1))</f>
        <v/>
      </c>
      <c r="S1001" s="36" t="str">
        <f t="array" ref="S1001">IF(B1001="","",INDEX('Bán nhanh'!$P$4:$P$103,INT((ROW()-4)/10)+1))</f>
        <v/>
      </c>
      <c r="T1001" s="36"/>
      <c r="U1001" s="36"/>
      <c r="V1001" s="36"/>
      <c r="W1001" s="36"/>
      <c r="X1001" s="36"/>
      <c r="Y1001" s="36"/>
      <c r="Z1001" s="36"/>
    </row>
    <row r="1002" ht="15.75" customHeight="1">
      <c r="A1002" s="96" t="str">
        <f t="array" ref="A1002">IF(B1002="","",INDEX('Bán nhanh'!$A$4:$A$103,INT((ROW()-4)/10)+1))</f>
        <v/>
      </c>
      <c r="B1002" s="36" t="str">
        <f t="array" ref="B1002">IF(OR(INDEX('Bán nhanh'!$D$3:$M$3,1,MOD(ROW()-4,10)+1)="",INDEX('Bán nhanh'!$D$4:$M$103,INT((ROW()-4)/10)+1,MOD(ROW()-4,10)+1)&lt;=0),"",INDEX('Bán nhanh'!$D$3:$M$3,1,MOD(ROW()-4,10)+1))</f>
        <v/>
      </c>
      <c r="C1002" s="36" t="str">
        <f t="array" ref="C1002">IFERROR(INDEX('Sản phẩm'!$A$4:$A$103,MATCH(B1002,'Sản phẩm'!$D$4:$D$103,0)),"")</f>
        <v/>
      </c>
      <c r="D1002" s="36" t="str">
        <f t="array" ref="D1002">IF(B1002="","",INDEX('Bán nhanh'!$B$4:$B$103,INT((ROW()-4)/10)+1))</f>
        <v/>
      </c>
      <c r="E1002" s="36" t="str">
        <f t="array" ref="E1002">IFERROR(INDEX('Mẻ sữa'!$B$4:$B$203,MATCH(D1002,'Mẻ sữa'!$C$4:$C$203,0)),"")</f>
        <v/>
      </c>
      <c r="F1002" s="82">
        <f t="array" ref="F1002">IF(B1002="",0,INDEX('Bán nhanh'!$D$4:$M$103,INT((ROW()-4)/10)+1,MOD(ROW()-4,10)+1))</f>
        <v>0</v>
      </c>
      <c r="G1002" s="83">
        <f t="array" ref="G1002">IFERROR(INDEX('Sản phẩm'!$F$4:$F$103,MATCH(B1002,'Sản phẩm'!$D$4:$D$103,0)),0)</f>
        <v>0</v>
      </c>
      <c r="H1002" s="83">
        <f t="shared" si="5"/>
        <v>0</v>
      </c>
      <c r="I1002" s="83">
        <f t="shared" si="1"/>
        <v>0</v>
      </c>
      <c r="J1002" s="83">
        <f t="array" ref="J1002">IFERROR(INDEX('Sản phẩm'!$G$4:$G$103,MATCH(B1002,'Sản phẩm'!$D$4:$D$103,0)),0)</f>
        <v>0</v>
      </c>
      <c r="K1002" s="83">
        <f t="array" ref="K1002">IFERROR(J1002*INDEX('Mẻ sữa'!$N$4:$N$203,MATCH(D1002,'Mẻ sữa'!$C$4:$C$203,0)),0)</f>
        <v>0</v>
      </c>
      <c r="L1002" s="83">
        <f t="array" ref="L1002">IFERROR(INDEX('Sản phẩm'!$I$4:$I$103,MATCH(B1002,'Sản phẩm'!$D$4:$D$103,0)),0)</f>
        <v>0</v>
      </c>
      <c r="M1002" s="97" t="str">
        <f t="array" ref="M1002">IFERROR(INDEX('Sản phẩm'!$J$4:$J$103,MATCH(B1002,'Sản phẩm'!$D$4:$D$103,0)),0)</f>
        <v/>
      </c>
      <c r="N1002" s="83">
        <f>IF(B1002="",0,(K1002+L1002+M1002)*'Thiết lập'!$B$8)</f>
        <v>0</v>
      </c>
      <c r="O1002" s="83">
        <f t="shared" si="2"/>
        <v>0</v>
      </c>
      <c r="P1002" s="83">
        <f t="shared" si="3"/>
        <v>0</v>
      </c>
      <c r="Q1002" s="83">
        <f t="shared" si="4"/>
        <v>0</v>
      </c>
      <c r="R1002" s="36" t="str">
        <f t="array" ref="R1002">IF(B1002="","",INDEX('Bán nhanh'!$C$4:$C$103,INT((ROW()-4)/10)+1))</f>
        <v/>
      </c>
      <c r="S1002" s="36" t="str">
        <f t="array" ref="S1002">IF(B1002="","",INDEX('Bán nhanh'!$P$4:$P$103,INT((ROW()-4)/10)+1))</f>
        <v/>
      </c>
      <c r="T1002" s="36"/>
      <c r="U1002" s="36"/>
      <c r="V1002" s="36"/>
      <c r="W1002" s="36"/>
      <c r="X1002" s="36"/>
      <c r="Y1002" s="36"/>
      <c r="Z1002" s="36"/>
    </row>
    <row r="1003" ht="15.75" customHeight="1">
      <c r="A1003" s="96" t="str">
        <f t="array" ref="A1003">IF(B1003="","",INDEX('Bán nhanh'!$A$4:$A$103,INT((ROW()-4)/10)+1))</f>
        <v/>
      </c>
      <c r="B1003" s="36" t="str">
        <f t="array" ref="B1003">IF(OR(INDEX('Bán nhanh'!$D$3:$M$3,1,MOD(ROW()-4,10)+1)="",INDEX('Bán nhanh'!$D$4:$M$103,INT((ROW()-4)/10)+1,MOD(ROW()-4,10)+1)&lt;=0),"",INDEX('Bán nhanh'!$D$3:$M$3,1,MOD(ROW()-4,10)+1))</f>
        <v/>
      </c>
      <c r="C1003" s="36" t="str">
        <f t="array" ref="C1003">IFERROR(INDEX('Sản phẩm'!$A$4:$A$103,MATCH(B1003,'Sản phẩm'!$D$4:$D$103,0)),"")</f>
        <v/>
      </c>
      <c r="D1003" s="36" t="str">
        <f t="array" ref="D1003">IF(B1003="","",INDEX('Bán nhanh'!$B$4:$B$103,INT((ROW()-4)/10)+1))</f>
        <v/>
      </c>
      <c r="E1003" s="36" t="str">
        <f t="array" ref="E1003">IFERROR(INDEX('Mẻ sữa'!$B$4:$B$203,MATCH(D1003,'Mẻ sữa'!$C$4:$C$203,0)),"")</f>
        <v/>
      </c>
      <c r="F1003" s="82">
        <f t="array" ref="F1003">IF(B1003="",0,INDEX('Bán nhanh'!$D$4:$M$103,INT((ROW()-4)/10)+1,MOD(ROW()-4,10)+1))</f>
        <v>0</v>
      </c>
      <c r="G1003" s="83">
        <f t="array" ref="G1003">IFERROR(INDEX('Sản phẩm'!$F$4:$F$103,MATCH(B1003,'Sản phẩm'!$D$4:$D$103,0)),0)</f>
        <v>0</v>
      </c>
      <c r="H1003" s="83">
        <f t="shared" si="5"/>
        <v>0</v>
      </c>
      <c r="I1003" s="83">
        <f t="shared" si="1"/>
        <v>0</v>
      </c>
      <c r="J1003" s="83">
        <f t="array" ref="J1003">IFERROR(INDEX('Sản phẩm'!$G$4:$G$103,MATCH(B1003,'Sản phẩm'!$D$4:$D$103,0)),0)</f>
        <v>0</v>
      </c>
      <c r="K1003" s="83">
        <f t="array" ref="K1003">IFERROR(J1003*INDEX('Mẻ sữa'!$N$4:$N$203,MATCH(D1003,'Mẻ sữa'!$C$4:$C$203,0)),0)</f>
        <v>0</v>
      </c>
      <c r="L1003" s="83">
        <f t="array" ref="L1003">IFERROR(INDEX('Sản phẩm'!$I$4:$I$103,MATCH(B1003,'Sản phẩm'!$D$4:$D$103,0)),0)</f>
        <v>0</v>
      </c>
      <c r="M1003" s="97" t="str">
        <f t="array" ref="M1003">IFERROR(INDEX('Sản phẩm'!$J$4:$J$103,MATCH(B1003,'Sản phẩm'!$D$4:$D$103,0)),0)</f>
        <v/>
      </c>
      <c r="N1003" s="83">
        <f>IF(B1003="",0,(K1003+L1003+M1003)*'Thiết lập'!$B$8)</f>
        <v>0</v>
      </c>
      <c r="O1003" s="83">
        <f t="shared" si="2"/>
        <v>0</v>
      </c>
      <c r="P1003" s="83">
        <f t="shared" si="3"/>
        <v>0</v>
      </c>
      <c r="Q1003" s="83">
        <f t="shared" si="4"/>
        <v>0</v>
      </c>
      <c r="R1003" s="36" t="str">
        <f t="array" ref="R1003">IF(B1003="","",INDEX('Bán nhanh'!$C$4:$C$103,INT((ROW()-4)/10)+1))</f>
        <v/>
      </c>
      <c r="S1003" s="36" t="str">
        <f t="array" ref="S1003">IF(B1003="","",INDEX('Bán nhanh'!$P$4:$P$103,INT((ROW()-4)/10)+1))</f>
        <v/>
      </c>
      <c r="T1003" s="36"/>
      <c r="U1003" s="36"/>
      <c r="V1003" s="36"/>
      <c r="W1003" s="36"/>
      <c r="X1003" s="36"/>
      <c r="Y1003" s="36"/>
      <c r="Z1003" s="36"/>
    </row>
  </sheetData>
  <mergeCells count="2">
    <mergeCell ref="A1:S1"/>
    <mergeCell ref="A2:S2"/>
  </mergeCells>
  <dataValidations>
    <dataValidation type="list" allowBlank="1" sqref="D4:D503">
      <formula1>$U$3:$U$202</formula1>
    </dataValidation>
    <dataValidation type="list" allowBlank="1" sqref="B4:B503">
      <formula1>$W$3:$W$102</formula1>
    </dataValidation>
    <dataValidation type="list" allowBlank="1" sqref="R4:R503">
      <formula1>$V$3:$V$5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13"/>
    <col customWidth="1" min="3" max="3" width="16.25"/>
    <col customWidth="1" min="4" max="13" width="18.88"/>
    <col customWidth="1" min="15" max="15" width="20.38"/>
    <col customWidth="1" min="16" max="16" width="30.75"/>
    <col customWidth="1" min="19" max="19" width="23.25"/>
  </cols>
  <sheetData>
    <row r="1" ht="33.75" customHeight="1">
      <c r="A1" s="73" t="s">
        <v>257</v>
      </c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75" t="s">
        <v>258</v>
      </c>
      <c r="Q2" s="36"/>
      <c r="R2" s="60" t="s">
        <v>138</v>
      </c>
      <c r="S2" s="60" t="s">
        <v>240</v>
      </c>
      <c r="T2" s="36"/>
      <c r="U2" s="36"/>
      <c r="V2" s="36"/>
      <c r="W2" s="36"/>
      <c r="X2" s="36"/>
      <c r="Y2" s="36"/>
      <c r="Z2" s="36"/>
    </row>
    <row r="3">
      <c r="A3" s="76" t="s">
        <v>259</v>
      </c>
      <c r="B3" s="76" t="s">
        <v>243</v>
      </c>
      <c r="C3" s="76" t="s">
        <v>240</v>
      </c>
      <c r="D3" s="76" t="str">
        <f>'Sản phẩm'!D4</f>
        <v>Oreo - Size M</v>
      </c>
      <c r="E3" s="76" t="str">
        <f>'Sản phẩm'!D5</f>
        <v>Oreo - Size L</v>
      </c>
      <c r="F3" s="76" t="str">
        <f>'Sản phẩm'!D6</f>
        <v>Dừa non - Size M</v>
      </c>
      <c r="G3" s="76" t="str">
        <f>'Sản phẩm'!D7</f>
        <v>Dừa non - Size L</v>
      </c>
      <c r="H3" s="76" t="str">
        <f>'Sản phẩm'!D8</f>
        <v>Dâu giòn - Size M</v>
      </c>
      <c r="I3" s="76" t="str">
        <f>'Sản phẩm'!D9</f>
        <v>Dâu giòn - Size L</v>
      </c>
      <c r="J3" s="76" t="str">
        <f>'Sản phẩm'!D10</f>
        <v>Sữa chua sấy - Size M</v>
      </c>
      <c r="K3" s="76" t="str">
        <f>'Sản phẩm'!D11</f>
        <v>Sữa chua sấy - Size L</v>
      </c>
      <c r="L3" s="76" t="str">
        <f>'Sản phẩm'!D12</f>
        <v>Choco Ball - Size M</v>
      </c>
      <c r="M3" s="76" t="str">
        <f>'Sản phẩm'!D13</f>
        <v>Choco Ball - Size L</v>
      </c>
      <c r="N3" s="76" t="s">
        <v>260</v>
      </c>
      <c r="O3" s="76" t="s">
        <v>261</v>
      </c>
      <c r="P3" s="76" t="s">
        <v>32</v>
      </c>
      <c r="Q3" s="77"/>
      <c r="R3" s="78" t="str">
        <f>IF('Mẻ sữa'!C4&lt;&gt;"",'Mẻ sữa'!C4,"")</f>
        <v>Mẻ test 15L</v>
      </c>
      <c r="S3" s="78" t="s">
        <v>254</v>
      </c>
      <c r="T3" s="77"/>
      <c r="U3" s="77"/>
      <c r="V3" s="77"/>
      <c r="W3" s="77"/>
      <c r="X3" s="77"/>
      <c r="Y3" s="77"/>
      <c r="Z3" s="77"/>
    </row>
    <row r="4">
      <c r="A4" s="79">
        <v>46224.0</v>
      </c>
      <c r="B4" s="80" t="s">
        <v>166</v>
      </c>
      <c r="C4" s="80" t="s">
        <v>254</v>
      </c>
      <c r="D4" s="81">
        <v>8.0</v>
      </c>
      <c r="E4" s="81">
        <v>2.0</v>
      </c>
      <c r="F4" s="81">
        <v>5.0</v>
      </c>
      <c r="G4" s="81">
        <v>1.0</v>
      </c>
      <c r="H4" s="81">
        <v>6.0</v>
      </c>
      <c r="I4" s="81">
        <v>0.0</v>
      </c>
      <c r="J4" s="81">
        <v>3.0</v>
      </c>
      <c r="K4" s="81">
        <v>0.0</v>
      </c>
      <c r="L4" s="81">
        <v>4.0</v>
      </c>
      <c r="M4" s="81">
        <v>0.0</v>
      </c>
      <c r="N4" s="82">
        <f t="shared" ref="N4:N103" si="1">SUM(D4:M4)</f>
        <v>29</v>
      </c>
      <c r="O4" s="83">
        <f>D4*'Sản phẩm'!$F$4+E4*'Sản phẩm'!$F$5+F4*'Sản phẩm'!$F$6+G4*'Sản phẩm'!$F$7+H4*'Sản phẩm'!$F$8+I4*'Sản phẩm'!$F$9+J4*'Sản phẩm'!$F$10+K4*'Sản phẩm'!$F$11+L4*'Sản phẩm'!$F$12+M4*'Sản phẩm'!$F$13</f>
        <v>1030000</v>
      </c>
      <c r="P4" s="80" t="s">
        <v>262</v>
      </c>
      <c r="Q4" s="36"/>
      <c r="R4" s="60" t="str">
        <f>IF('Mẻ sữa'!C5&lt;&gt;"",'Mẻ sữa'!C5,"")</f>
        <v>Mẻ test 6L</v>
      </c>
      <c r="S4" s="60" t="s">
        <v>255</v>
      </c>
      <c r="T4" s="36"/>
      <c r="U4" s="36"/>
      <c r="V4" s="36"/>
      <c r="W4" s="36"/>
      <c r="X4" s="36"/>
      <c r="Y4" s="36"/>
      <c r="Z4" s="36"/>
    </row>
    <row r="5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2">
        <f t="shared" si="1"/>
        <v>0</v>
      </c>
      <c r="O5" s="83">
        <f>D5*'Sản phẩm'!$F$4+E5*'Sản phẩm'!$F$5+F5*'Sản phẩm'!$F$6+G5*'Sản phẩm'!$F$7+H5*'Sản phẩm'!$F$8+I5*'Sản phẩm'!$F$9+J5*'Sản phẩm'!$F$10+K5*'Sản phẩm'!$F$11+L5*'Sản phẩm'!$F$12+M5*'Sản phẩm'!$F$13</f>
        <v>0</v>
      </c>
      <c r="P5" s="85"/>
      <c r="Q5" s="36"/>
      <c r="R5" s="68" t="str">
        <f>IF('Mẻ sữa'!C6&lt;&gt;"",'Mẻ sữa'!C6,"")</f>
        <v/>
      </c>
      <c r="S5" s="60" t="s">
        <v>256</v>
      </c>
      <c r="T5" s="36"/>
      <c r="U5" s="36"/>
      <c r="V5" s="36"/>
      <c r="W5" s="36"/>
      <c r="X5" s="36"/>
      <c r="Y5" s="36"/>
      <c r="Z5" s="36"/>
    </row>
    <row r="6">
      <c r="A6" s="84"/>
      <c r="B6" s="85"/>
      <c r="C6" s="85"/>
      <c r="D6" s="86"/>
      <c r="E6" s="86"/>
      <c r="F6" s="86"/>
      <c r="G6" s="86"/>
      <c r="H6" s="86"/>
      <c r="I6" s="86"/>
      <c r="J6" s="86"/>
      <c r="K6" s="86"/>
      <c r="L6" s="86"/>
      <c r="M6" s="86"/>
      <c r="N6" s="82">
        <f t="shared" si="1"/>
        <v>0</v>
      </c>
      <c r="O6" s="83">
        <f>D6*'Sản phẩm'!$F$4+E6*'Sản phẩm'!$F$5+F6*'Sản phẩm'!$F$6+G6*'Sản phẩm'!$F$7+H6*'Sản phẩm'!$F$8+I6*'Sản phẩm'!$F$9+J6*'Sản phẩm'!$F$10+K6*'Sản phẩm'!$F$11+L6*'Sản phẩm'!$F$12+M6*'Sản phẩm'!$F$13</f>
        <v>0</v>
      </c>
      <c r="P6" s="85"/>
      <c r="Q6" s="36"/>
      <c r="R6" s="68" t="str">
        <f>IF('Mẻ sữa'!C7&lt;&gt;"",'Mẻ sữa'!C7,"")</f>
        <v/>
      </c>
      <c r="S6" s="68"/>
      <c r="T6" s="36"/>
      <c r="U6" s="36"/>
      <c r="V6" s="36"/>
      <c r="W6" s="36"/>
      <c r="X6" s="36"/>
      <c r="Y6" s="36"/>
      <c r="Z6" s="36"/>
    </row>
    <row r="7">
      <c r="A7" s="84"/>
      <c r="B7" s="85"/>
      <c r="C7" s="85"/>
      <c r="D7" s="86"/>
      <c r="E7" s="86"/>
      <c r="F7" s="86"/>
      <c r="G7" s="86"/>
      <c r="H7" s="86"/>
      <c r="I7" s="86"/>
      <c r="J7" s="86"/>
      <c r="K7" s="86"/>
      <c r="L7" s="86"/>
      <c r="M7" s="86"/>
      <c r="N7" s="82">
        <f t="shared" si="1"/>
        <v>0</v>
      </c>
      <c r="O7" s="83">
        <f>D7*'Sản phẩm'!$F$4+E7*'Sản phẩm'!$F$5+F7*'Sản phẩm'!$F$6+G7*'Sản phẩm'!$F$7+H7*'Sản phẩm'!$F$8+I7*'Sản phẩm'!$F$9+J7*'Sản phẩm'!$F$10+K7*'Sản phẩm'!$F$11+L7*'Sản phẩm'!$F$12+M7*'Sản phẩm'!$F$13</f>
        <v>0</v>
      </c>
      <c r="P7" s="85"/>
      <c r="Q7" s="36"/>
      <c r="R7" s="68" t="str">
        <f>IF('Mẻ sữa'!C8&lt;&gt;"",'Mẻ sữa'!C8,"")</f>
        <v/>
      </c>
      <c r="S7" s="68"/>
      <c r="T7" s="36"/>
      <c r="U7" s="36"/>
      <c r="V7" s="36"/>
      <c r="W7" s="36"/>
      <c r="X7" s="36"/>
      <c r="Y7" s="36"/>
      <c r="Z7" s="36"/>
    </row>
    <row r="8">
      <c r="A8" s="84"/>
      <c r="B8" s="85"/>
      <c r="C8" s="85"/>
      <c r="D8" s="86"/>
      <c r="E8" s="86"/>
      <c r="F8" s="86"/>
      <c r="G8" s="86"/>
      <c r="H8" s="86"/>
      <c r="I8" s="86"/>
      <c r="J8" s="86"/>
      <c r="K8" s="86"/>
      <c r="L8" s="86"/>
      <c r="M8" s="86"/>
      <c r="N8" s="82">
        <f t="shared" si="1"/>
        <v>0</v>
      </c>
      <c r="O8" s="83">
        <f>D8*'Sản phẩm'!$F$4+E8*'Sản phẩm'!$F$5+F8*'Sản phẩm'!$F$6+G8*'Sản phẩm'!$F$7+H8*'Sản phẩm'!$F$8+I8*'Sản phẩm'!$F$9+J8*'Sản phẩm'!$F$10+K8*'Sản phẩm'!$F$11+L8*'Sản phẩm'!$F$12+M8*'Sản phẩm'!$F$13</f>
        <v>0</v>
      </c>
      <c r="P8" s="85"/>
      <c r="Q8" s="36"/>
      <c r="R8" s="68" t="str">
        <f>IF('Mẻ sữa'!C9&lt;&gt;"",'Mẻ sữa'!C9,"")</f>
        <v/>
      </c>
      <c r="S8" s="68"/>
      <c r="T8" s="36"/>
      <c r="U8" s="36"/>
      <c r="V8" s="36"/>
      <c r="W8" s="36"/>
      <c r="X8" s="36"/>
      <c r="Y8" s="36"/>
      <c r="Z8" s="36"/>
    </row>
    <row r="9">
      <c r="A9" s="84"/>
      <c r="B9" s="85"/>
      <c r="C9" s="85"/>
      <c r="D9" s="86"/>
      <c r="E9" s="86"/>
      <c r="F9" s="86"/>
      <c r="G9" s="86"/>
      <c r="H9" s="86"/>
      <c r="I9" s="86"/>
      <c r="J9" s="86"/>
      <c r="K9" s="86"/>
      <c r="L9" s="86"/>
      <c r="M9" s="86"/>
      <c r="N9" s="82">
        <f t="shared" si="1"/>
        <v>0</v>
      </c>
      <c r="O9" s="83">
        <f>D9*'Sản phẩm'!$F$4+E9*'Sản phẩm'!$F$5+F9*'Sản phẩm'!$F$6+G9*'Sản phẩm'!$F$7+H9*'Sản phẩm'!$F$8+I9*'Sản phẩm'!$F$9+J9*'Sản phẩm'!$F$10+K9*'Sản phẩm'!$F$11+L9*'Sản phẩm'!$F$12+M9*'Sản phẩm'!$F$13</f>
        <v>0</v>
      </c>
      <c r="P9" s="85"/>
      <c r="Q9" s="36"/>
      <c r="R9" s="68" t="str">
        <f>IF('Mẻ sữa'!C10&lt;&gt;"",'Mẻ sữa'!C10,"")</f>
        <v/>
      </c>
      <c r="S9" s="68"/>
      <c r="T9" s="36"/>
      <c r="U9" s="36"/>
      <c r="V9" s="36"/>
      <c r="W9" s="36"/>
      <c r="X9" s="36"/>
      <c r="Y9" s="36"/>
      <c r="Z9" s="36"/>
    </row>
    <row r="10">
      <c r="A10" s="84"/>
      <c r="B10" s="85"/>
      <c r="C10" s="85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2">
        <f t="shared" si="1"/>
        <v>0</v>
      </c>
      <c r="O10" s="83">
        <f>D10*'Sản phẩm'!$F$4+E10*'Sản phẩm'!$F$5+F10*'Sản phẩm'!$F$6+G10*'Sản phẩm'!$F$7+H10*'Sản phẩm'!$F$8+I10*'Sản phẩm'!$F$9+J10*'Sản phẩm'!$F$10+K10*'Sản phẩm'!$F$11+L10*'Sản phẩm'!$F$12+M10*'Sản phẩm'!$F$13</f>
        <v>0</v>
      </c>
      <c r="P10" s="85"/>
      <c r="Q10" s="36"/>
      <c r="R10" s="68" t="str">
        <f>IF('Mẻ sữa'!C11&lt;&gt;"",'Mẻ sữa'!C11,"")</f>
        <v/>
      </c>
      <c r="S10" s="68"/>
      <c r="T10" s="36"/>
      <c r="U10" s="36"/>
      <c r="V10" s="36"/>
      <c r="W10" s="36"/>
      <c r="X10" s="36"/>
      <c r="Y10" s="36"/>
      <c r="Z10" s="36"/>
    </row>
    <row r="1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2">
        <f t="shared" si="1"/>
        <v>0</v>
      </c>
      <c r="O11" s="83">
        <f>D11*'Sản phẩm'!$F$4+E11*'Sản phẩm'!$F$5+F11*'Sản phẩm'!$F$6+G11*'Sản phẩm'!$F$7+H11*'Sản phẩm'!$F$8+I11*'Sản phẩm'!$F$9+J11*'Sản phẩm'!$F$10+K11*'Sản phẩm'!$F$11+L11*'Sản phẩm'!$F$12+M11*'Sản phẩm'!$F$13</f>
        <v>0</v>
      </c>
      <c r="P11" s="85"/>
      <c r="Q11" s="36"/>
      <c r="R11" s="68" t="str">
        <f>IF('Mẻ sữa'!C12&lt;&gt;"",'Mẻ sữa'!C12,"")</f>
        <v/>
      </c>
      <c r="S11" s="68"/>
      <c r="T11" s="36"/>
      <c r="U11" s="36"/>
      <c r="V11" s="36"/>
      <c r="W11" s="36"/>
      <c r="X11" s="36"/>
      <c r="Y11" s="36"/>
      <c r="Z11" s="36"/>
    </row>
    <row r="12">
      <c r="A12" s="84"/>
      <c r="B12" s="85"/>
      <c r="C12" s="85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2">
        <f t="shared" si="1"/>
        <v>0</v>
      </c>
      <c r="O12" s="83">
        <f>D12*'Sản phẩm'!$F$4+E12*'Sản phẩm'!$F$5+F12*'Sản phẩm'!$F$6+G12*'Sản phẩm'!$F$7+H12*'Sản phẩm'!$F$8+I12*'Sản phẩm'!$F$9+J12*'Sản phẩm'!$F$10+K12*'Sản phẩm'!$F$11+L12*'Sản phẩm'!$F$12+M12*'Sản phẩm'!$F$13</f>
        <v>0</v>
      </c>
      <c r="P12" s="85"/>
      <c r="Q12" s="36"/>
      <c r="R12" s="68" t="str">
        <f>IF('Mẻ sữa'!C13&lt;&gt;"",'Mẻ sữa'!C13,"")</f>
        <v/>
      </c>
      <c r="S12" s="68"/>
      <c r="T12" s="36"/>
      <c r="U12" s="36"/>
      <c r="V12" s="36"/>
      <c r="W12" s="36"/>
      <c r="X12" s="36"/>
      <c r="Y12" s="36"/>
      <c r="Z12" s="36"/>
    </row>
    <row r="13">
      <c r="A13" s="84"/>
      <c r="B13" s="85"/>
      <c r="C13" s="85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2">
        <f t="shared" si="1"/>
        <v>0</v>
      </c>
      <c r="O13" s="83">
        <f>D13*'Sản phẩm'!$F$4+E13*'Sản phẩm'!$F$5+F13*'Sản phẩm'!$F$6+G13*'Sản phẩm'!$F$7+H13*'Sản phẩm'!$F$8+I13*'Sản phẩm'!$F$9+J13*'Sản phẩm'!$F$10+K13*'Sản phẩm'!$F$11+L13*'Sản phẩm'!$F$12+M13*'Sản phẩm'!$F$13</f>
        <v>0</v>
      </c>
      <c r="P13" s="85"/>
      <c r="Q13" s="36"/>
      <c r="R13" s="68" t="str">
        <f>IF('Mẻ sữa'!C14&lt;&gt;"",'Mẻ sữa'!C14,"")</f>
        <v/>
      </c>
      <c r="S13" s="68"/>
      <c r="T13" s="36"/>
      <c r="U13" s="36"/>
      <c r="V13" s="36"/>
      <c r="W13" s="36"/>
      <c r="X13" s="36"/>
      <c r="Y13" s="36"/>
      <c r="Z13" s="36"/>
    </row>
    <row r="14">
      <c r="A14" s="84"/>
      <c r="B14" s="85"/>
      <c r="C14" s="85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2">
        <f t="shared" si="1"/>
        <v>0</v>
      </c>
      <c r="O14" s="83">
        <f>D14*'Sản phẩm'!$F$4+E14*'Sản phẩm'!$F$5+F14*'Sản phẩm'!$F$6+G14*'Sản phẩm'!$F$7+H14*'Sản phẩm'!$F$8+I14*'Sản phẩm'!$F$9+J14*'Sản phẩm'!$F$10+K14*'Sản phẩm'!$F$11+L14*'Sản phẩm'!$F$12+M14*'Sản phẩm'!$F$13</f>
        <v>0</v>
      </c>
      <c r="P14" s="85"/>
      <c r="Q14" s="36"/>
      <c r="R14" s="68" t="str">
        <f>IF('Mẻ sữa'!C15&lt;&gt;"",'Mẻ sữa'!C15,"")</f>
        <v/>
      </c>
      <c r="S14" s="68"/>
      <c r="T14" s="36"/>
      <c r="U14" s="36"/>
      <c r="V14" s="36"/>
      <c r="W14" s="36"/>
      <c r="X14" s="36"/>
      <c r="Y14" s="36"/>
      <c r="Z14" s="36"/>
    </row>
    <row r="15">
      <c r="A15" s="84"/>
      <c r="B15" s="85"/>
      <c r="C15" s="85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2">
        <f t="shared" si="1"/>
        <v>0</v>
      </c>
      <c r="O15" s="83">
        <f>D15*'Sản phẩm'!$F$4+E15*'Sản phẩm'!$F$5+F15*'Sản phẩm'!$F$6+G15*'Sản phẩm'!$F$7+H15*'Sản phẩm'!$F$8+I15*'Sản phẩm'!$F$9+J15*'Sản phẩm'!$F$10+K15*'Sản phẩm'!$F$11+L15*'Sản phẩm'!$F$12+M15*'Sản phẩm'!$F$13</f>
        <v>0</v>
      </c>
      <c r="P15" s="85"/>
      <c r="Q15" s="36"/>
      <c r="R15" s="68" t="str">
        <f>IF('Mẻ sữa'!C16&lt;&gt;"",'Mẻ sữa'!C16,"")</f>
        <v/>
      </c>
      <c r="S15" s="68"/>
      <c r="T15" s="36"/>
      <c r="U15" s="36"/>
      <c r="V15" s="36"/>
      <c r="W15" s="36"/>
      <c r="X15" s="36"/>
      <c r="Y15" s="36"/>
      <c r="Z15" s="36"/>
    </row>
    <row r="16">
      <c r="A16" s="84"/>
      <c r="B16" s="85"/>
      <c r="C16" s="85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2">
        <f t="shared" si="1"/>
        <v>0</v>
      </c>
      <c r="O16" s="83">
        <f>D16*'Sản phẩm'!$F$4+E16*'Sản phẩm'!$F$5+F16*'Sản phẩm'!$F$6+G16*'Sản phẩm'!$F$7+H16*'Sản phẩm'!$F$8+I16*'Sản phẩm'!$F$9+J16*'Sản phẩm'!$F$10+K16*'Sản phẩm'!$F$11+L16*'Sản phẩm'!$F$12+M16*'Sản phẩm'!$F$13</f>
        <v>0</v>
      </c>
      <c r="P16" s="85"/>
      <c r="Q16" s="36"/>
      <c r="R16" s="68" t="str">
        <f>IF('Mẻ sữa'!C17&lt;&gt;"",'Mẻ sữa'!C17,"")</f>
        <v/>
      </c>
      <c r="S16" s="68"/>
      <c r="T16" s="36"/>
      <c r="U16" s="36"/>
      <c r="V16" s="36"/>
      <c r="W16" s="36"/>
      <c r="X16" s="36"/>
      <c r="Y16" s="36"/>
      <c r="Z16" s="36"/>
    </row>
    <row r="17">
      <c r="A17" s="84"/>
      <c r="B17" s="85"/>
      <c r="C17" s="85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2">
        <f t="shared" si="1"/>
        <v>0</v>
      </c>
      <c r="O17" s="83">
        <f>D17*'Sản phẩm'!$F$4+E17*'Sản phẩm'!$F$5+F17*'Sản phẩm'!$F$6+G17*'Sản phẩm'!$F$7+H17*'Sản phẩm'!$F$8+I17*'Sản phẩm'!$F$9+J17*'Sản phẩm'!$F$10+K17*'Sản phẩm'!$F$11+L17*'Sản phẩm'!$F$12+M17*'Sản phẩm'!$F$13</f>
        <v>0</v>
      </c>
      <c r="P17" s="85"/>
      <c r="Q17" s="36"/>
      <c r="R17" s="68" t="str">
        <f>IF('Mẻ sữa'!C18&lt;&gt;"",'Mẻ sữa'!C18,"")</f>
        <v/>
      </c>
      <c r="S17" s="68"/>
      <c r="T17" s="36"/>
      <c r="U17" s="36"/>
      <c r="V17" s="36"/>
      <c r="W17" s="36"/>
      <c r="X17" s="36"/>
      <c r="Y17" s="36"/>
      <c r="Z17" s="36"/>
    </row>
    <row r="18">
      <c r="A18" s="84"/>
      <c r="B18" s="85"/>
      <c r="C18" s="85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2">
        <f t="shared" si="1"/>
        <v>0</v>
      </c>
      <c r="O18" s="83">
        <f>D18*'Sản phẩm'!$F$4+E18*'Sản phẩm'!$F$5+F18*'Sản phẩm'!$F$6+G18*'Sản phẩm'!$F$7+H18*'Sản phẩm'!$F$8+I18*'Sản phẩm'!$F$9+J18*'Sản phẩm'!$F$10+K18*'Sản phẩm'!$F$11+L18*'Sản phẩm'!$F$12+M18*'Sản phẩm'!$F$13</f>
        <v>0</v>
      </c>
      <c r="P18" s="85"/>
      <c r="Q18" s="36"/>
      <c r="R18" s="68" t="str">
        <f>IF('Mẻ sữa'!C19&lt;&gt;"",'Mẻ sữa'!C19,"")</f>
        <v/>
      </c>
      <c r="S18" s="68"/>
      <c r="T18" s="36"/>
      <c r="U18" s="36"/>
      <c r="V18" s="36"/>
      <c r="W18" s="36"/>
      <c r="X18" s="36"/>
      <c r="Y18" s="36"/>
      <c r="Z18" s="36"/>
    </row>
    <row r="19">
      <c r="A19" s="84"/>
      <c r="B19" s="85"/>
      <c r="C19" s="85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2">
        <f t="shared" si="1"/>
        <v>0</v>
      </c>
      <c r="O19" s="83">
        <f>D19*'Sản phẩm'!$F$4+E19*'Sản phẩm'!$F$5+F19*'Sản phẩm'!$F$6+G19*'Sản phẩm'!$F$7+H19*'Sản phẩm'!$F$8+I19*'Sản phẩm'!$F$9+J19*'Sản phẩm'!$F$10+K19*'Sản phẩm'!$F$11+L19*'Sản phẩm'!$F$12+M19*'Sản phẩm'!$F$13</f>
        <v>0</v>
      </c>
      <c r="P19" s="85"/>
      <c r="Q19" s="36"/>
      <c r="R19" s="68" t="str">
        <f>IF('Mẻ sữa'!C20&lt;&gt;"",'Mẻ sữa'!C20,"")</f>
        <v/>
      </c>
      <c r="S19" s="68"/>
      <c r="T19" s="36"/>
      <c r="U19" s="36"/>
      <c r="V19" s="36"/>
      <c r="W19" s="36"/>
      <c r="X19" s="36"/>
      <c r="Y19" s="36"/>
      <c r="Z19" s="36"/>
    </row>
    <row r="20">
      <c r="A20" s="84"/>
      <c r="B20" s="85"/>
      <c r="C20" s="85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2">
        <f t="shared" si="1"/>
        <v>0</v>
      </c>
      <c r="O20" s="83">
        <f>D20*'Sản phẩm'!$F$4+E20*'Sản phẩm'!$F$5+F20*'Sản phẩm'!$F$6+G20*'Sản phẩm'!$F$7+H20*'Sản phẩm'!$F$8+I20*'Sản phẩm'!$F$9+J20*'Sản phẩm'!$F$10+K20*'Sản phẩm'!$F$11+L20*'Sản phẩm'!$F$12+M20*'Sản phẩm'!$F$13</f>
        <v>0</v>
      </c>
      <c r="P20" s="85"/>
      <c r="Q20" s="36"/>
      <c r="R20" s="68" t="str">
        <f>IF('Mẻ sữa'!C21&lt;&gt;"",'Mẻ sữa'!C21,"")</f>
        <v/>
      </c>
      <c r="S20" s="68"/>
      <c r="T20" s="36"/>
      <c r="U20" s="36"/>
      <c r="V20" s="36"/>
      <c r="W20" s="36"/>
      <c r="X20" s="36"/>
      <c r="Y20" s="36"/>
      <c r="Z20" s="36"/>
    </row>
    <row r="21">
      <c r="A21" s="84"/>
      <c r="B21" s="85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2">
        <f t="shared" si="1"/>
        <v>0</v>
      </c>
      <c r="O21" s="83">
        <f>D21*'Sản phẩm'!$F$4+E21*'Sản phẩm'!$F$5+F21*'Sản phẩm'!$F$6+G21*'Sản phẩm'!$F$7+H21*'Sản phẩm'!$F$8+I21*'Sản phẩm'!$F$9+J21*'Sản phẩm'!$F$10+K21*'Sản phẩm'!$F$11+L21*'Sản phẩm'!$F$12+M21*'Sản phẩm'!$F$13</f>
        <v>0</v>
      </c>
      <c r="P21" s="85"/>
      <c r="Q21" s="36"/>
      <c r="R21" s="68" t="str">
        <f>IF('Mẻ sữa'!C22&lt;&gt;"",'Mẻ sữa'!C22,"")</f>
        <v/>
      </c>
      <c r="S21" s="68"/>
      <c r="T21" s="36"/>
      <c r="U21" s="36"/>
      <c r="V21" s="36"/>
      <c r="W21" s="36"/>
      <c r="X21" s="36"/>
      <c r="Y21" s="36"/>
      <c r="Z21" s="36"/>
    </row>
    <row r="22">
      <c r="A22" s="84"/>
      <c r="B22" s="85"/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2">
        <f t="shared" si="1"/>
        <v>0</v>
      </c>
      <c r="O22" s="83">
        <f>D22*'Sản phẩm'!$F$4+E22*'Sản phẩm'!$F$5+F22*'Sản phẩm'!$F$6+G22*'Sản phẩm'!$F$7+H22*'Sản phẩm'!$F$8+I22*'Sản phẩm'!$F$9+J22*'Sản phẩm'!$F$10+K22*'Sản phẩm'!$F$11+L22*'Sản phẩm'!$F$12+M22*'Sản phẩm'!$F$13</f>
        <v>0</v>
      </c>
      <c r="P22" s="85"/>
      <c r="Q22" s="36"/>
      <c r="R22" s="68" t="str">
        <f>IF('Mẻ sữa'!C23&lt;&gt;"",'Mẻ sữa'!C23,"")</f>
        <v/>
      </c>
      <c r="S22" s="68"/>
      <c r="T22" s="36"/>
      <c r="U22" s="36"/>
      <c r="V22" s="36"/>
      <c r="W22" s="36"/>
      <c r="X22" s="36"/>
      <c r="Y22" s="36"/>
      <c r="Z22" s="36"/>
    </row>
    <row r="23">
      <c r="A23" s="84"/>
      <c r="B23" s="85"/>
      <c r="C23" s="85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2">
        <f t="shared" si="1"/>
        <v>0</v>
      </c>
      <c r="O23" s="83">
        <f>D23*'Sản phẩm'!$F$4+E23*'Sản phẩm'!$F$5+F23*'Sản phẩm'!$F$6+G23*'Sản phẩm'!$F$7+H23*'Sản phẩm'!$F$8+I23*'Sản phẩm'!$F$9+J23*'Sản phẩm'!$F$10+K23*'Sản phẩm'!$F$11+L23*'Sản phẩm'!$F$12+M23*'Sản phẩm'!$F$13</f>
        <v>0</v>
      </c>
      <c r="P23" s="85"/>
      <c r="Q23" s="36"/>
      <c r="R23" s="68" t="str">
        <f>IF('Mẻ sữa'!C24&lt;&gt;"",'Mẻ sữa'!C24,"")</f>
        <v/>
      </c>
      <c r="S23" s="68"/>
      <c r="T23" s="36"/>
      <c r="U23" s="36"/>
      <c r="V23" s="36"/>
      <c r="W23" s="36"/>
      <c r="X23" s="36"/>
      <c r="Y23" s="36"/>
      <c r="Z23" s="36"/>
    </row>
    <row r="24">
      <c r="A24" s="84"/>
      <c r="B24" s="85"/>
      <c r="C24" s="85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2">
        <f t="shared" si="1"/>
        <v>0</v>
      </c>
      <c r="O24" s="83">
        <f>D24*'Sản phẩm'!$F$4+E24*'Sản phẩm'!$F$5+F24*'Sản phẩm'!$F$6+G24*'Sản phẩm'!$F$7+H24*'Sản phẩm'!$F$8+I24*'Sản phẩm'!$F$9+J24*'Sản phẩm'!$F$10+K24*'Sản phẩm'!$F$11+L24*'Sản phẩm'!$F$12+M24*'Sản phẩm'!$F$13</f>
        <v>0</v>
      </c>
      <c r="P24" s="85"/>
      <c r="Q24" s="36"/>
      <c r="R24" s="68" t="str">
        <f>IF('Mẻ sữa'!C25&lt;&gt;"",'Mẻ sữa'!C25,"")</f>
        <v/>
      </c>
      <c r="S24" s="68"/>
      <c r="T24" s="36"/>
      <c r="U24" s="36"/>
      <c r="V24" s="36"/>
      <c r="W24" s="36"/>
      <c r="X24" s="36"/>
      <c r="Y24" s="36"/>
      <c r="Z24" s="36"/>
    </row>
    <row r="25">
      <c r="A25" s="84"/>
      <c r="B25" s="85"/>
      <c r="C25" s="85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2">
        <f t="shared" si="1"/>
        <v>0</v>
      </c>
      <c r="O25" s="83">
        <f>D25*'Sản phẩm'!$F$4+E25*'Sản phẩm'!$F$5+F25*'Sản phẩm'!$F$6+G25*'Sản phẩm'!$F$7+H25*'Sản phẩm'!$F$8+I25*'Sản phẩm'!$F$9+J25*'Sản phẩm'!$F$10+K25*'Sản phẩm'!$F$11+L25*'Sản phẩm'!$F$12+M25*'Sản phẩm'!$F$13</f>
        <v>0</v>
      </c>
      <c r="P25" s="85"/>
      <c r="Q25" s="36"/>
      <c r="R25" s="68" t="str">
        <f>IF('Mẻ sữa'!C26&lt;&gt;"",'Mẻ sữa'!C26,"")</f>
        <v/>
      </c>
      <c r="S25" s="68"/>
      <c r="T25" s="36"/>
      <c r="U25" s="36"/>
      <c r="V25" s="36"/>
      <c r="W25" s="36"/>
      <c r="X25" s="36"/>
      <c r="Y25" s="36"/>
      <c r="Z25" s="36"/>
    </row>
    <row r="26">
      <c r="A26" s="84"/>
      <c r="B26" s="85"/>
      <c r="C26" s="85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2">
        <f t="shared" si="1"/>
        <v>0</v>
      </c>
      <c r="O26" s="83">
        <f>D26*'Sản phẩm'!$F$4+E26*'Sản phẩm'!$F$5+F26*'Sản phẩm'!$F$6+G26*'Sản phẩm'!$F$7+H26*'Sản phẩm'!$F$8+I26*'Sản phẩm'!$F$9+J26*'Sản phẩm'!$F$10+K26*'Sản phẩm'!$F$11+L26*'Sản phẩm'!$F$12+M26*'Sản phẩm'!$F$13</f>
        <v>0</v>
      </c>
      <c r="P26" s="85"/>
      <c r="Q26" s="36"/>
      <c r="R26" s="68" t="str">
        <f>IF('Mẻ sữa'!C27&lt;&gt;"",'Mẻ sữa'!C27,"")</f>
        <v/>
      </c>
      <c r="S26" s="68"/>
      <c r="T26" s="36"/>
      <c r="U26" s="36"/>
      <c r="V26" s="36"/>
      <c r="W26" s="36"/>
      <c r="X26" s="36"/>
      <c r="Y26" s="36"/>
      <c r="Z26" s="36"/>
    </row>
    <row r="27">
      <c r="A27" s="84"/>
      <c r="B27" s="85"/>
      <c r="C27" s="85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2">
        <f t="shared" si="1"/>
        <v>0</v>
      </c>
      <c r="O27" s="83">
        <f>D27*'Sản phẩm'!$F$4+E27*'Sản phẩm'!$F$5+F27*'Sản phẩm'!$F$6+G27*'Sản phẩm'!$F$7+H27*'Sản phẩm'!$F$8+I27*'Sản phẩm'!$F$9+J27*'Sản phẩm'!$F$10+K27*'Sản phẩm'!$F$11+L27*'Sản phẩm'!$F$12+M27*'Sản phẩm'!$F$13</f>
        <v>0</v>
      </c>
      <c r="P27" s="85"/>
      <c r="Q27" s="36"/>
      <c r="R27" s="68" t="str">
        <f>IF('Mẻ sữa'!C28&lt;&gt;"",'Mẻ sữa'!C28,"")</f>
        <v/>
      </c>
      <c r="S27" s="68"/>
      <c r="T27" s="36"/>
      <c r="U27" s="36"/>
      <c r="V27" s="36"/>
      <c r="W27" s="36"/>
      <c r="X27" s="36"/>
      <c r="Y27" s="36"/>
      <c r="Z27" s="36"/>
    </row>
    <row r="28">
      <c r="A28" s="84"/>
      <c r="B28" s="85"/>
      <c r="C28" s="85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2">
        <f t="shared" si="1"/>
        <v>0</v>
      </c>
      <c r="O28" s="83">
        <f>D28*'Sản phẩm'!$F$4+E28*'Sản phẩm'!$F$5+F28*'Sản phẩm'!$F$6+G28*'Sản phẩm'!$F$7+H28*'Sản phẩm'!$F$8+I28*'Sản phẩm'!$F$9+J28*'Sản phẩm'!$F$10+K28*'Sản phẩm'!$F$11+L28*'Sản phẩm'!$F$12+M28*'Sản phẩm'!$F$13</f>
        <v>0</v>
      </c>
      <c r="P28" s="85"/>
      <c r="Q28" s="36"/>
      <c r="R28" s="68" t="str">
        <f>IF('Mẻ sữa'!C29&lt;&gt;"",'Mẻ sữa'!C29,"")</f>
        <v/>
      </c>
      <c r="S28" s="68"/>
      <c r="T28" s="36"/>
      <c r="U28" s="36"/>
      <c r="V28" s="36"/>
      <c r="W28" s="36"/>
      <c r="X28" s="36"/>
      <c r="Y28" s="36"/>
      <c r="Z28" s="36"/>
    </row>
    <row r="29">
      <c r="A29" s="84"/>
      <c r="B29" s="85"/>
      <c r="C29" s="85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2">
        <f t="shared" si="1"/>
        <v>0</v>
      </c>
      <c r="O29" s="83">
        <f>D29*'Sản phẩm'!$F$4+E29*'Sản phẩm'!$F$5+F29*'Sản phẩm'!$F$6+G29*'Sản phẩm'!$F$7+H29*'Sản phẩm'!$F$8+I29*'Sản phẩm'!$F$9+J29*'Sản phẩm'!$F$10+K29*'Sản phẩm'!$F$11+L29*'Sản phẩm'!$F$12+M29*'Sản phẩm'!$F$13</f>
        <v>0</v>
      </c>
      <c r="P29" s="85"/>
      <c r="Q29" s="36"/>
      <c r="R29" s="68" t="str">
        <f>IF('Mẻ sữa'!C30&lt;&gt;"",'Mẻ sữa'!C30,"")</f>
        <v/>
      </c>
      <c r="S29" s="68"/>
      <c r="T29" s="36"/>
      <c r="U29" s="36"/>
      <c r="V29" s="36"/>
      <c r="W29" s="36"/>
      <c r="X29" s="36"/>
      <c r="Y29" s="36"/>
      <c r="Z29" s="36"/>
    </row>
    <row r="30">
      <c r="A30" s="84"/>
      <c r="B30" s="85"/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2">
        <f t="shared" si="1"/>
        <v>0</v>
      </c>
      <c r="O30" s="83">
        <f>D30*'Sản phẩm'!$F$4+E30*'Sản phẩm'!$F$5+F30*'Sản phẩm'!$F$6+G30*'Sản phẩm'!$F$7+H30*'Sản phẩm'!$F$8+I30*'Sản phẩm'!$F$9+J30*'Sản phẩm'!$F$10+K30*'Sản phẩm'!$F$11+L30*'Sản phẩm'!$F$12+M30*'Sản phẩm'!$F$13</f>
        <v>0</v>
      </c>
      <c r="P30" s="85"/>
      <c r="Q30" s="36"/>
      <c r="R30" s="68" t="str">
        <f>IF('Mẻ sữa'!C31&lt;&gt;"",'Mẻ sữa'!C31,"")</f>
        <v/>
      </c>
      <c r="S30" s="68"/>
      <c r="T30" s="36"/>
      <c r="U30" s="36"/>
      <c r="V30" s="36"/>
      <c r="W30" s="36"/>
      <c r="X30" s="36"/>
      <c r="Y30" s="36"/>
      <c r="Z30" s="36"/>
    </row>
    <row r="31">
      <c r="A31" s="84"/>
      <c r="B31" s="85"/>
      <c r="C31" s="85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2">
        <f t="shared" si="1"/>
        <v>0</v>
      </c>
      <c r="O31" s="83">
        <f>D31*'Sản phẩm'!$F$4+E31*'Sản phẩm'!$F$5+F31*'Sản phẩm'!$F$6+G31*'Sản phẩm'!$F$7+H31*'Sản phẩm'!$F$8+I31*'Sản phẩm'!$F$9+J31*'Sản phẩm'!$F$10+K31*'Sản phẩm'!$F$11+L31*'Sản phẩm'!$F$12+M31*'Sản phẩm'!$F$13</f>
        <v>0</v>
      </c>
      <c r="P31" s="85"/>
      <c r="Q31" s="36"/>
      <c r="R31" s="68" t="str">
        <f>IF('Mẻ sữa'!C32&lt;&gt;"",'Mẻ sữa'!C32,"")</f>
        <v/>
      </c>
      <c r="S31" s="68"/>
      <c r="T31" s="36"/>
      <c r="U31" s="36"/>
      <c r="V31" s="36"/>
      <c r="W31" s="36"/>
      <c r="X31" s="36"/>
      <c r="Y31" s="36"/>
      <c r="Z31" s="36"/>
    </row>
    <row r="32">
      <c r="A32" s="84"/>
      <c r="B32" s="85"/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2">
        <f t="shared" si="1"/>
        <v>0</v>
      </c>
      <c r="O32" s="83">
        <f>D32*'Sản phẩm'!$F$4+E32*'Sản phẩm'!$F$5+F32*'Sản phẩm'!$F$6+G32*'Sản phẩm'!$F$7+H32*'Sản phẩm'!$F$8+I32*'Sản phẩm'!$F$9+J32*'Sản phẩm'!$F$10+K32*'Sản phẩm'!$F$11+L32*'Sản phẩm'!$F$12+M32*'Sản phẩm'!$F$13</f>
        <v>0</v>
      </c>
      <c r="P32" s="85"/>
      <c r="Q32" s="36"/>
      <c r="R32" s="68" t="str">
        <f>IF('Mẻ sữa'!C33&lt;&gt;"",'Mẻ sữa'!C33,"")</f>
        <v/>
      </c>
      <c r="S32" s="68"/>
      <c r="T32" s="36"/>
      <c r="U32" s="36"/>
      <c r="V32" s="36"/>
      <c r="W32" s="36"/>
      <c r="X32" s="36"/>
      <c r="Y32" s="36"/>
      <c r="Z32" s="36"/>
    </row>
    <row r="33">
      <c r="A33" s="84"/>
      <c r="B33" s="85"/>
      <c r="C33" s="85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2">
        <f t="shared" si="1"/>
        <v>0</v>
      </c>
      <c r="O33" s="83">
        <f>D33*'Sản phẩm'!$F$4+E33*'Sản phẩm'!$F$5+F33*'Sản phẩm'!$F$6+G33*'Sản phẩm'!$F$7+H33*'Sản phẩm'!$F$8+I33*'Sản phẩm'!$F$9+J33*'Sản phẩm'!$F$10+K33*'Sản phẩm'!$F$11+L33*'Sản phẩm'!$F$12+M33*'Sản phẩm'!$F$13</f>
        <v>0</v>
      </c>
      <c r="P33" s="85"/>
      <c r="Q33" s="36"/>
      <c r="R33" s="68" t="str">
        <f>IF('Mẻ sữa'!C34&lt;&gt;"",'Mẻ sữa'!C34,"")</f>
        <v/>
      </c>
      <c r="S33" s="68"/>
      <c r="T33" s="36"/>
      <c r="U33" s="36"/>
      <c r="V33" s="36"/>
      <c r="W33" s="36"/>
      <c r="X33" s="36"/>
      <c r="Y33" s="36"/>
      <c r="Z33" s="36"/>
    </row>
    <row r="34">
      <c r="A34" s="84"/>
      <c r="B34" s="85"/>
      <c r="C34" s="85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2">
        <f t="shared" si="1"/>
        <v>0</v>
      </c>
      <c r="O34" s="83">
        <f>D34*'Sản phẩm'!$F$4+E34*'Sản phẩm'!$F$5+F34*'Sản phẩm'!$F$6+G34*'Sản phẩm'!$F$7+H34*'Sản phẩm'!$F$8+I34*'Sản phẩm'!$F$9+J34*'Sản phẩm'!$F$10+K34*'Sản phẩm'!$F$11+L34*'Sản phẩm'!$F$12+M34*'Sản phẩm'!$F$13</f>
        <v>0</v>
      </c>
      <c r="P34" s="85"/>
      <c r="Q34" s="36"/>
      <c r="R34" s="68" t="str">
        <f>IF('Mẻ sữa'!C35&lt;&gt;"",'Mẻ sữa'!C35,"")</f>
        <v/>
      </c>
      <c r="S34" s="68"/>
      <c r="T34" s="36"/>
      <c r="U34" s="36"/>
      <c r="V34" s="36"/>
      <c r="W34" s="36"/>
      <c r="X34" s="36"/>
      <c r="Y34" s="36"/>
      <c r="Z34" s="36"/>
    </row>
    <row r="35">
      <c r="A35" s="84"/>
      <c r="B35" s="85"/>
      <c r="C35" s="85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2">
        <f t="shared" si="1"/>
        <v>0</v>
      </c>
      <c r="O35" s="83">
        <f>D35*'Sản phẩm'!$F$4+E35*'Sản phẩm'!$F$5+F35*'Sản phẩm'!$F$6+G35*'Sản phẩm'!$F$7+H35*'Sản phẩm'!$F$8+I35*'Sản phẩm'!$F$9+J35*'Sản phẩm'!$F$10+K35*'Sản phẩm'!$F$11+L35*'Sản phẩm'!$F$12+M35*'Sản phẩm'!$F$13</f>
        <v>0</v>
      </c>
      <c r="P35" s="85"/>
      <c r="Q35" s="36"/>
      <c r="R35" s="68" t="str">
        <f>IF('Mẻ sữa'!C36&lt;&gt;"",'Mẻ sữa'!C36,"")</f>
        <v/>
      </c>
      <c r="S35" s="68"/>
      <c r="T35" s="36"/>
      <c r="U35" s="36"/>
      <c r="V35" s="36"/>
      <c r="W35" s="36"/>
      <c r="X35" s="36"/>
      <c r="Y35" s="36"/>
      <c r="Z35" s="36"/>
    </row>
    <row r="36">
      <c r="A36" s="84"/>
      <c r="B36" s="85"/>
      <c r="C36" s="85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2">
        <f t="shared" si="1"/>
        <v>0</v>
      </c>
      <c r="O36" s="83">
        <f>D36*'Sản phẩm'!$F$4+E36*'Sản phẩm'!$F$5+F36*'Sản phẩm'!$F$6+G36*'Sản phẩm'!$F$7+H36*'Sản phẩm'!$F$8+I36*'Sản phẩm'!$F$9+J36*'Sản phẩm'!$F$10+K36*'Sản phẩm'!$F$11+L36*'Sản phẩm'!$F$12+M36*'Sản phẩm'!$F$13</f>
        <v>0</v>
      </c>
      <c r="P36" s="85"/>
      <c r="Q36" s="36"/>
      <c r="R36" s="68" t="str">
        <f>IF('Mẻ sữa'!C37&lt;&gt;"",'Mẻ sữa'!C37,"")</f>
        <v/>
      </c>
      <c r="S36" s="68"/>
      <c r="T36" s="36"/>
      <c r="U36" s="36"/>
      <c r="V36" s="36"/>
      <c r="W36" s="36"/>
      <c r="X36" s="36"/>
      <c r="Y36" s="36"/>
      <c r="Z36" s="36"/>
    </row>
    <row r="37">
      <c r="A37" s="84"/>
      <c r="B37" s="85"/>
      <c r="C37" s="85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2">
        <f t="shared" si="1"/>
        <v>0</v>
      </c>
      <c r="O37" s="83">
        <f>D37*'Sản phẩm'!$F$4+E37*'Sản phẩm'!$F$5+F37*'Sản phẩm'!$F$6+G37*'Sản phẩm'!$F$7+H37*'Sản phẩm'!$F$8+I37*'Sản phẩm'!$F$9+J37*'Sản phẩm'!$F$10+K37*'Sản phẩm'!$F$11+L37*'Sản phẩm'!$F$12+M37*'Sản phẩm'!$F$13</f>
        <v>0</v>
      </c>
      <c r="P37" s="85"/>
      <c r="Q37" s="36"/>
      <c r="R37" s="68" t="str">
        <f>IF('Mẻ sữa'!C38&lt;&gt;"",'Mẻ sữa'!C38,"")</f>
        <v/>
      </c>
      <c r="S37" s="68"/>
      <c r="T37" s="36"/>
      <c r="U37" s="36"/>
      <c r="V37" s="36"/>
      <c r="W37" s="36"/>
      <c r="X37" s="36"/>
      <c r="Y37" s="36"/>
      <c r="Z37" s="36"/>
    </row>
    <row r="38">
      <c r="A38" s="84"/>
      <c r="B38" s="85"/>
      <c r="C38" s="85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2">
        <f t="shared" si="1"/>
        <v>0</v>
      </c>
      <c r="O38" s="83">
        <f>D38*'Sản phẩm'!$F$4+E38*'Sản phẩm'!$F$5+F38*'Sản phẩm'!$F$6+G38*'Sản phẩm'!$F$7+H38*'Sản phẩm'!$F$8+I38*'Sản phẩm'!$F$9+J38*'Sản phẩm'!$F$10+K38*'Sản phẩm'!$F$11+L38*'Sản phẩm'!$F$12+M38*'Sản phẩm'!$F$13</f>
        <v>0</v>
      </c>
      <c r="P38" s="85"/>
      <c r="Q38" s="36"/>
      <c r="R38" s="68" t="str">
        <f>IF('Mẻ sữa'!C39&lt;&gt;"",'Mẻ sữa'!C39,"")</f>
        <v/>
      </c>
      <c r="S38" s="68"/>
      <c r="T38" s="36"/>
      <c r="U38" s="36"/>
      <c r="V38" s="36"/>
      <c r="W38" s="36"/>
      <c r="X38" s="36"/>
      <c r="Y38" s="36"/>
      <c r="Z38" s="36"/>
    </row>
    <row r="39">
      <c r="A39" s="84"/>
      <c r="B39" s="85"/>
      <c r="C39" s="85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2">
        <f t="shared" si="1"/>
        <v>0</v>
      </c>
      <c r="O39" s="83">
        <f>D39*'Sản phẩm'!$F$4+E39*'Sản phẩm'!$F$5+F39*'Sản phẩm'!$F$6+G39*'Sản phẩm'!$F$7+H39*'Sản phẩm'!$F$8+I39*'Sản phẩm'!$F$9+J39*'Sản phẩm'!$F$10+K39*'Sản phẩm'!$F$11+L39*'Sản phẩm'!$F$12+M39*'Sản phẩm'!$F$13</f>
        <v>0</v>
      </c>
      <c r="P39" s="85"/>
      <c r="Q39" s="36"/>
      <c r="R39" s="68" t="str">
        <f>IF('Mẻ sữa'!C40&lt;&gt;"",'Mẻ sữa'!C40,"")</f>
        <v/>
      </c>
      <c r="S39" s="68"/>
      <c r="T39" s="36"/>
      <c r="U39" s="36"/>
      <c r="V39" s="36"/>
      <c r="W39" s="36"/>
      <c r="X39" s="36"/>
      <c r="Y39" s="36"/>
      <c r="Z39" s="36"/>
    </row>
    <row r="40">
      <c r="A40" s="84"/>
      <c r="B40" s="85"/>
      <c r="C40" s="85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2">
        <f t="shared" si="1"/>
        <v>0</v>
      </c>
      <c r="O40" s="83">
        <f>D40*'Sản phẩm'!$F$4+E40*'Sản phẩm'!$F$5+F40*'Sản phẩm'!$F$6+G40*'Sản phẩm'!$F$7+H40*'Sản phẩm'!$F$8+I40*'Sản phẩm'!$F$9+J40*'Sản phẩm'!$F$10+K40*'Sản phẩm'!$F$11+L40*'Sản phẩm'!$F$12+M40*'Sản phẩm'!$F$13</f>
        <v>0</v>
      </c>
      <c r="P40" s="85"/>
      <c r="Q40" s="36"/>
      <c r="R40" s="68" t="str">
        <f>IF('Mẻ sữa'!C41&lt;&gt;"",'Mẻ sữa'!C41,"")</f>
        <v/>
      </c>
      <c r="S40" s="68"/>
      <c r="T40" s="36"/>
      <c r="U40" s="36"/>
      <c r="V40" s="36"/>
      <c r="W40" s="36"/>
      <c r="X40" s="36"/>
      <c r="Y40" s="36"/>
      <c r="Z40" s="36"/>
    </row>
    <row r="41">
      <c r="A41" s="84"/>
      <c r="B41" s="85"/>
      <c r="C41" s="85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2">
        <f t="shared" si="1"/>
        <v>0</v>
      </c>
      <c r="O41" s="83">
        <f>D41*'Sản phẩm'!$F$4+E41*'Sản phẩm'!$F$5+F41*'Sản phẩm'!$F$6+G41*'Sản phẩm'!$F$7+H41*'Sản phẩm'!$F$8+I41*'Sản phẩm'!$F$9+J41*'Sản phẩm'!$F$10+K41*'Sản phẩm'!$F$11+L41*'Sản phẩm'!$F$12+M41*'Sản phẩm'!$F$13</f>
        <v>0</v>
      </c>
      <c r="P41" s="85"/>
      <c r="Q41" s="36"/>
      <c r="R41" s="68" t="str">
        <f>IF('Mẻ sữa'!C42&lt;&gt;"",'Mẻ sữa'!C42,"")</f>
        <v/>
      </c>
      <c r="S41" s="68"/>
      <c r="T41" s="36"/>
      <c r="U41" s="36"/>
      <c r="V41" s="36"/>
      <c r="W41" s="36"/>
      <c r="X41" s="36"/>
      <c r="Y41" s="36"/>
      <c r="Z41" s="36"/>
    </row>
    <row r="42">
      <c r="A42" s="84"/>
      <c r="B42" s="85"/>
      <c r="C42" s="85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2">
        <f t="shared" si="1"/>
        <v>0</v>
      </c>
      <c r="O42" s="83">
        <f>D42*'Sản phẩm'!$F$4+E42*'Sản phẩm'!$F$5+F42*'Sản phẩm'!$F$6+G42*'Sản phẩm'!$F$7+H42*'Sản phẩm'!$F$8+I42*'Sản phẩm'!$F$9+J42*'Sản phẩm'!$F$10+K42*'Sản phẩm'!$F$11+L42*'Sản phẩm'!$F$12+M42*'Sản phẩm'!$F$13</f>
        <v>0</v>
      </c>
      <c r="P42" s="85"/>
      <c r="Q42" s="36"/>
      <c r="R42" s="68" t="str">
        <f>IF('Mẻ sữa'!C43&lt;&gt;"",'Mẻ sữa'!C43,"")</f>
        <v/>
      </c>
      <c r="S42" s="68"/>
      <c r="T42" s="36"/>
      <c r="U42" s="36"/>
      <c r="V42" s="36"/>
      <c r="W42" s="36"/>
      <c r="X42" s="36"/>
      <c r="Y42" s="36"/>
      <c r="Z42" s="36"/>
    </row>
    <row r="43">
      <c r="A43" s="84"/>
      <c r="B43" s="85"/>
      <c r="C43" s="85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2">
        <f t="shared" si="1"/>
        <v>0</v>
      </c>
      <c r="O43" s="83">
        <f>D43*'Sản phẩm'!$F$4+E43*'Sản phẩm'!$F$5+F43*'Sản phẩm'!$F$6+G43*'Sản phẩm'!$F$7+H43*'Sản phẩm'!$F$8+I43*'Sản phẩm'!$F$9+J43*'Sản phẩm'!$F$10+K43*'Sản phẩm'!$F$11+L43*'Sản phẩm'!$F$12+M43*'Sản phẩm'!$F$13</f>
        <v>0</v>
      </c>
      <c r="P43" s="85"/>
      <c r="Q43" s="36"/>
      <c r="R43" s="68" t="str">
        <f>IF('Mẻ sữa'!C44&lt;&gt;"",'Mẻ sữa'!C44,"")</f>
        <v/>
      </c>
      <c r="S43" s="68"/>
      <c r="T43" s="36"/>
      <c r="U43" s="36"/>
      <c r="V43" s="36"/>
      <c r="W43" s="36"/>
      <c r="X43" s="36"/>
      <c r="Y43" s="36"/>
      <c r="Z43" s="36"/>
    </row>
    <row r="44">
      <c r="A44" s="84"/>
      <c r="B44" s="85"/>
      <c r="C44" s="85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2">
        <f t="shared" si="1"/>
        <v>0</v>
      </c>
      <c r="O44" s="83">
        <f>D44*'Sản phẩm'!$F$4+E44*'Sản phẩm'!$F$5+F44*'Sản phẩm'!$F$6+G44*'Sản phẩm'!$F$7+H44*'Sản phẩm'!$F$8+I44*'Sản phẩm'!$F$9+J44*'Sản phẩm'!$F$10+K44*'Sản phẩm'!$F$11+L44*'Sản phẩm'!$F$12+M44*'Sản phẩm'!$F$13</f>
        <v>0</v>
      </c>
      <c r="P44" s="85"/>
      <c r="Q44" s="36"/>
      <c r="R44" s="68" t="str">
        <f>IF('Mẻ sữa'!C45&lt;&gt;"",'Mẻ sữa'!C45,"")</f>
        <v/>
      </c>
      <c r="S44" s="68"/>
      <c r="T44" s="36"/>
      <c r="U44" s="36"/>
      <c r="V44" s="36"/>
      <c r="W44" s="36"/>
      <c r="X44" s="36"/>
      <c r="Y44" s="36"/>
      <c r="Z44" s="36"/>
    </row>
    <row r="45">
      <c r="A45" s="84"/>
      <c r="B45" s="85"/>
      <c r="C45" s="85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2">
        <f t="shared" si="1"/>
        <v>0</v>
      </c>
      <c r="O45" s="83">
        <f>D45*'Sản phẩm'!$F$4+E45*'Sản phẩm'!$F$5+F45*'Sản phẩm'!$F$6+G45*'Sản phẩm'!$F$7+H45*'Sản phẩm'!$F$8+I45*'Sản phẩm'!$F$9+J45*'Sản phẩm'!$F$10+K45*'Sản phẩm'!$F$11+L45*'Sản phẩm'!$F$12+M45*'Sản phẩm'!$F$13</f>
        <v>0</v>
      </c>
      <c r="P45" s="85"/>
      <c r="Q45" s="36"/>
      <c r="R45" s="68" t="str">
        <f>IF('Mẻ sữa'!C46&lt;&gt;"",'Mẻ sữa'!C46,"")</f>
        <v/>
      </c>
      <c r="S45" s="68"/>
      <c r="T45" s="36"/>
      <c r="U45" s="36"/>
      <c r="V45" s="36"/>
      <c r="W45" s="36"/>
      <c r="X45" s="36"/>
      <c r="Y45" s="36"/>
      <c r="Z45" s="36"/>
    </row>
    <row r="46">
      <c r="A46" s="84"/>
      <c r="B46" s="85"/>
      <c r="C46" s="85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2">
        <f t="shared" si="1"/>
        <v>0</v>
      </c>
      <c r="O46" s="83">
        <f>D46*'Sản phẩm'!$F$4+E46*'Sản phẩm'!$F$5+F46*'Sản phẩm'!$F$6+G46*'Sản phẩm'!$F$7+H46*'Sản phẩm'!$F$8+I46*'Sản phẩm'!$F$9+J46*'Sản phẩm'!$F$10+K46*'Sản phẩm'!$F$11+L46*'Sản phẩm'!$F$12+M46*'Sản phẩm'!$F$13</f>
        <v>0</v>
      </c>
      <c r="P46" s="85"/>
      <c r="Q46" s="36"/>
      <c r="R46" s="68" t="str">
        <f>IF('Mẻ sữa'!C47&lt;&gt;"",'Mẻ sữa'!C47,"")</f>
        <v/>
      </c>
      <c r="S46" s="68"/>
      <c r="T46" s="36"/>
      <c r="U46" s="36"/>
      <c r="V46" s="36"/>
      <c r="W46" s="36"/>
      <c r="X46" s="36"/>
      <c r="Y46" s="36"/>
      <c r="Z46" s="36"/>
    </row>
    <row r="47">
      <c r="A47" s="84"/>
      <c r="B47" s="85"/>
      <c r="C47" s="85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2">
        <f t="shared" si="1"/>
        <v>0</v>
      </c>
      <c r="O47" s="83">
        <f>D47*'Sản phẩm'!$F$4+E47*'Sản phẩm'!$F$5+F47*'Sản phẩm'!$F$6+G47*'Sản phẩm'!$F$7+H47*'Sản phẩm'!$F$8+I47*'Sản phẩm'!$F$9+J47*'Sản phẩm'!$F$10+K47*'Sản phẩm'!$F$11+L47*'Sản phẩm'!$F$12+M47*'Sản phẩm'!$F$13</f>
        <v>0</v>
      </c>
      <c r="P47" s="85"/>
      <c r="Q47" s="36"/>
      <c r="R47" s="68" t="str">
        <f>IF('Mẻ sữa'!C48&lt;&gt;"",'Mẻ sữa'!C48,"")</f>
        <v/>
      </c>
      <c r="S47" s="68"/>
      <c r="T47" s="36"/>
      <c r="U47" s="36"/>
      <c r="V47" s="36"/>
      <c r="W47" s="36"/>
      <c r="X47" s="36"/>
      <c r="Y47" s="36"/>
      <c r="Z47" s="36"/>
    </row>
    <row r="48">
      <c r="A48" s="84"/>
      <c r="B48" s="85"/>
      <c r="C48" s="85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2">
        <f t="shared" si="1"/>
        <v>0</v>
      </c>
      <c r="O48" s="83">
        <f>D48*'Sản phẩm'!$F$4+E48*'Sản phẩm'!$F$5+F48*'Sản phẩm'!$F$6+G48*'Sản phẩm'!$F$7+H48*'Sản phẩm'!$F$8+I48*'Sản phẩm'!$F$9+J48*'Sản phẩm'!$F$10+K48*'Sản phẩm'!$F$11+L48*'Sản phẩm'!$F$12+M48*'Sản phẩm'!$F$13</f>
        <v>0</v>
      </c>
      <c r="P48" s="85"/>
      <c r="Q48" s="36"/>
      <c r="R48" s="68" t="str">
        <f>IF('Mẻ sữa'!C49&lt;&gt;"",'Mẻ sữa'!C49,"")</f>
        <v/>
      </c>
      <c r="S48" s="68"/>
      <c r="T48" s="36"/>
      <c r="U48" s="36"/>
      <c r="V48" s="36"/>
      <c r="W48" s="36"/>
      <c r="X48" s="36"/>
      <c r="Y48" s="36"/>
      <c r="Z48" s="36"/>
    </row>
    <row r="49">
      <c r="A49" s="84"/>
      <c r="B49" s="85"/>
      <c r="C49" s="85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2">
        <f t="shared" si="1"/>
        <v>0</v>
      </c>
      <c r="O49" s="83">
        <f>D49*'Sản phẩm'!$F$4+E49*'Sản phẩm'!$F$5+F49*'Sản phẩm'!$F$6+G49*'Sản phẩm'!$F$7+H49*'Sản phẩm'!$F$8+I49*'Sản phẩm'!$F$9+J49*'Sản phẩm'!$F$10+K49*'Sản phẩm'!$F$11+L49*'Sản phẩm'!$F$12+M49*'Sản phẩm'!$F$13</f>
        <v>0</v>
      </c>
      <c r="P49" s="85"/>
      <c r="Q49" s="36"/>
      <c r="R49" s="68" t="str">
        <f>IF('Mẻ sữa'!C50&lt;&gt;"",'Mẻ sữa'!C50,"")</f>
        <v/>
      </c>
      <c r="S49" s="68"/>
      <c r="T49" s="36"/>
      <c r="U49" s="36"/>
      <c r="V49" s="36"/>
      <c r="W49" s="36"/>
      <c r="X49" s="36"/>
      <c r="Y49" s="36"/>
      <c r="Z49" s="36"/>
    </row>
    <row r="50">
      <c r="A50" s="84"/>
      <c r="B50" s="85"/>
      <c r="C50" s="85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2">
        <f t="shared" si="1"/>
        <v>0</v>
      </c>
      <c r="O50" s="83">
        <f>D50*'Sản phẩm'!$F$4+E50*'Sản phẩm'!$F$5+F50*'Sản phẩm'!$F$6+G50*'Sản phẩm'!$F$7+H50*'Sản phẩm'!$F$8+I50*'Sản phẩm'!$F$9+J50*'Sản phẩm'!$F$10+K50*'Sản phẩm'!$F$11+L50*'Sản phẩm'!$F$12+M50*'Sản phẩm'!$F$13</f>
        <v>0</v>
      </c>
      <c r="P50" s="85"/>
      <c r="Q50" s="36"/>
      <c r="R50" s="68" t="str">
        <f>IF('Mẻ sữa'!C51&lt;&gt;"",'Mẻ sữa'!C51,"")</f>
        <v/>
      </c>
      <c r="S50" s="68"/>
      <c r="T50" s="36"/>
      <c r="U50" s="36"/>
      <c r="V50" s="36"/>
      <c r="W50" s="36"/>
      <c r="X50" s="36"/>
      <c r="Y50" s="36"/>
      <c r="Z50" s="36"/>
    </row>
    <row r="51">
      <c r="A51" s="84"/>
      <c r="B51" s="85"/>
      <c r="C51" s="85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2">
        <f t="shared" si="1"/>
        <v>0</v>
      </c>
      <c r="O51" s="83">
        <f>D51*'Sản phẩm'!$F$4+E51*'Sản phẩm'!$F$5+F51*'Sản phẩm'!$F$6+G51*'Sản phẩm'!$F$7+H51*'Sản phẩm'!$F$8+I51*'Sản phẩm'!$F$9+J51*'Sản phẩm'!$F$10+K51*'Sản phẩm'!$F$11+L51*'Sản phẩm'!$F$12+M51*'Sản phẩm'!$F$13</f>
        <v>0</v>
      </c>
      <c r="P51" s="85"/>
      <c r="Q51" s="36"/>
      <c r="R51" s="68" t="str">
        <f>IF('Mẻ sữa'!C52&lt;&gt;"",'Mẻ sữa'!C52,"")</f>
        <v/>
      </c>
      <c r="S51" s="68"/>
      <c r="T51" s="36"/>
      <c r="U51" s="36"/>
      <c r="V51" s="36"/>
      <c r="W51" s="36"/>
      <c r="X51" s="36"/>
      <c r="Y51" s="36"/>
      <c r="Z51" s="36"/>
    </row>
    <row r="52">
      <c r="A52" s="84"/>
      <c r="B52" s="85"/>
      <c r="C52" s="85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2">
        <f t="shared" si="1"/>
        <v>0</v>
      </c>
      <c r="O52" s="83">
        <f>D52*'Sản phẩm'!$F$4+E52*'Sản phẩm'!$F$5+F52*'Sản phẩm'!$F$6+G52*'Sản phẩm'!$F$7+H52*'Sản phẩm'!$F$8+I52*'Sản phẩm'!$F$9+J52*'Sản phẩm'!$F$10+K52*'Sản phẩm'!$F$11+L52*'Sản phẩm'!$F$12+M52*'Sản phẩm'!$F$13</f>
        <v>0</v>
      </c>
      <c r="P52" s="85"/>
      <c r="Q52" s="36"/>
      <c r="R52" s="68" t="str">
        <f>IF('Mẻ sữa'!C53&lt;&gt;"",'Mẻ sữa'!C53,"")</f>
        <v/>
      </c>
      <c r="S52" s="68"/>
      <c r="T52" s="36"/>
      <c r="U52" s="36"/>
      <c r="V52" s="36"/>
      <c r="W52" s="36"/>
      <c r="X52" s="36"/>
      <c r="Y52" s="36"/>
      <c r="Z52" s="36"/>
    </row>
    <row r="53">
      <c r="A53" s="84"/>
      <c r="B53" s="85"/>
      <c r="C53" s="85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2">
        <f t="shared" si="1"/>
        <v>0</v>
      </c>
      <c r="O53" s="83">
        <f>D53*'Sản phẩm'!$F$4+E53*'Sản phẩm'!$F$5+F53*'Sản phẩm'!$F$6+G53*'Sản phẩm'!$F$7+H53*'Sản phẩm'!$F$8+I53*'Sản phẩm'!$F$9+J53*'Sản phẩm'!$F$10+K53*'Sản phẩm'!$F$11+L53*'Sản phẩm'!$F$12+M53*'Sản phẩm'!$F$13</f>
        <v>0</v>
      </c>
      <c r="P53" s="85"/>
      <c r="Q53" s="36"/>
      <c r="R53" s="68" t="str">
        <f>IF('Mẻ sữa'!C54&lt;&gt;"",'Mẻ sữa'!C54,"")</f>
        <v/>
      </c>
      <c r="S53" s="68"/>
      <c r="T53" s="36"/>
      <c r="U53" s="36"/>
      <c r="V53" s="36"/>
      <c r="W53" s="36"/>
      <c r="X53" s="36"/>
      <c r="Y53" s="36"/>
      <c r="Z53" s="36"/>
    </row>
    <row r="54">
      <c r="A54" s="84"/>
      <c r="B54" s="85"/>
      <c r="C54" s="85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2">
        <f t="shared" si="1"/>
        <v>0</v>
      </c>
      <c r="O54" s="83">
        <f>D54*'Sản phẩm'!$F$4+E54*'Sản phẩm'!$F$5+F54*'Sản phẩm'!$F$6+G54*'Sản phẩm'!$F$7+H54*'Sản phẩm'!$F$8+I54*'Sản phẩm'!$F$9+J54*'Sản phẩm'!$F$10+K54*'Sản phẩm'!$F$11+L54*'Sản phẩm'!$F$12+M54*'Sản phẩm'!$F$13</f>
        <v>0</v>
      </c>
      <c r="P54" s="85"/>
      <c r="Q54" s="36"/>
      <c r="R54" s="68" t="str">
        <f>IF('Mẻ sữa'!C55&lt;&gt;"",'Mẻ sữa'!C55,"")</f>
        <v/>
      </c>
      <c r="S54" s="68"/>
      <c r="T54" s="36"/>
      <c r="U54" s="36"/>
      <c r="V54" s="36"/>
      <c r="W54" s="36"/>
      <c r="X54" s="36"/>
      <c r="Y54" s="36"/>
      <c r="Z54" s="36"/>
    </row>
    <row r="55">
      <c r="A55" s="84"/>
      <c r="B55" s="85"/>
      <c r="C55" s="85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2">
        <f t="shared" si="1"/>
        <v>0</v>
      </c>
      <c r="O55" s="83">
        <f>D55*'Sản phẩm'!$F$4+E55*'Sản phẩm'!$F$5+F55*'Sản phẩm'!$F$6+G55*'Sản phẩm'!$F$7+H55*'Sản phẩm'!$F$8+I55*'Sản phẩm'!$F$9+J55*'Sản phẩm'!$F$10+K55*'Sản phẩm'!$F$11+L55*'Sản phẩm'!$F$12+M55*'Sản phẩm'!$F$13</f>
        <v>0</v>
      </c>
      <c r="P55" s="85"/>
      <c r="Q55" s="36"/>
      <c r="R55" s="68" t="str">
        <f>IF('Mẻ sữa'!C56&lt;&gt;"",'Mẻ sữa'!C56,"")</f>
        <v/>
      </c>
      <c r="S55" s="68"/>
      <c r="T55" s="36"/>
      <c r="U55" s="36"/>
      <c r="V55" s="36"/>
      <c r="W55" s="36"/>
      <c r="X55" s="36"/>
      <c r="Y55" s="36"/>
      <c r="Z55" s="36"/>
    </row>
    <row r="56">
      <c r="A56" s="84"/>
      <c r="B56" s="85"/>
      <c r="C56" s="85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2">
        <f t="shared" si="1"/>
        <v>0</v>
      </c>
      <c r="O56" s="83">
        <f>D56*'Sản phẩm'!$F$4+E56*'Sản phẩm'!$F$5+F56*'Sản phẩm'!$F$6+G56*'Sản phẩm'!$F$7+H56*'Sản phẩm'!$F$8+I56*'Sản phẩm'!$F$9+J56*'Sản phẩm'!$F$10+K56*'Sản phẩm'!$F$11+L56*'Sản phẩm'!$F$12+M56*'Sản phẩm'!$F$13</f>
        <v>0</v>
      </c>
      <c r="P56" s="85"/>
      <c r="Q56" s="36"/>
      <c r="R56" s="68" t="str">
        <f>IF('Mẻ sữa'!C57&lt;&gt;"",'Mẻ sữa'!C57,"")</f>
        <v/>
      </c>
      <c r="S56" s="68"/>
      <c r="T56" s="36"/>
      <c r="U56" s="36"/>
      <c r="V56" s="36"/>
      <c r="W56" s="36"/>
      <c r="X56" s="36"/>
      <c r="Y56" s="36"/>
      <c r="Z56" s="36"/>
    </row>
    <row r="57">
      <c r="A57" s="84"/>
      <c r="B57" s="85"/>
      <c r="C57" s="85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2">
        <f t="shared" si="1"/>
        <v>0</v>
      </c>
      <c r="O57" s="83">
        <f>D57*'Sản phẩm'!$F$4+E57*'Sản phẩm'!$F$5+F57*'Sản phẩm'!$F$6+G57*'Sản phẩm'!$F$7+H57*'Sản phẩm'!$F$8+I57*'Sản phẩm'!$F$9+J57*'Sản phẩm'!$F$10+K57*'Sản phẩm'!$F$11+L57*'Sản phẩm'!$F$12+M57*'Sản phẩm'!$F$13</f>
        <v>0</v>
      </c>
      <c r="P57" s="85"/>
      <c r="Q57" s="36"/>
      <c r="R57" s="68" t="str">
        <f>IF('Mẻ sữa'!C58&lt;&gt;"",'Mẻ sữa'!C58,"")</f>
        <v/>
      </c>
      <c r="S57" s="68"/>
      <c r="T57" s="36"/>
      <c r="U57" s="36"/>
      <c r="V57" s="36"/>
      <c r="W57" s="36"/>
      <c r="X57" s="36"/>
      <c r="Y57" s="36"/>
      <c r="Z57" s="36"/>
    </row>
    <row r="58">
      <c r="A58" s="84"/>
      <c r="B58" s="85"/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2">
        <f t="shared" si="1"/>
        <v>0</v>
      </c>
      <c r="O58" s="83">
        <f>D58*'Sản phẩm'!$F$4+E58*'Sản phẩm'!$F$5+F58*'Sản phẩm'!$F$6+G58*'Sản phẩm'!$F$7+H58*'Sản phẩm'!$F$8+I58*'Sản phẩm'!$F$9+J58*'Sản phẩm'!$F$10+K58*'Sản phẩm'!$F$11+L58*'Sản phẩm'!$F$12+M58*'Sản phẩm'!$F$13</f>
        <v>0</v>
      </c>
      <c r="P58" s="85"/>
      <c r="Q58" s="36"/>
      <c r="R58" s="68" t="str">
        <f>IF('Mẻ sữa'!C59&lt;&gt;"",'Mẻ sữa'!C59,"")</f>
        <v/>
      </c>
      <c r="S58" s="68"/>
      <c r="T58" s="36"/>
      <c r="U58" s="36"/>
      <c r="V58" s="36"/>
      <c r="W58" s="36"/>
      <c r="X58" s="36"/>
      <c r="Y58" s="36"/>
      <c r="Z58" s="36"/>
    </row>
    <row r="59">
      <c r="A59" s="84"/>
      <c r="B59" s="85"/>
      <c r="C59" s="85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2">
        <f t="shared" si="1"/>
        <v>0</v>
      </c>
      <c r="O59" s="83">
        <f>D59*'Sản phẩm'!$F$4+E59*'Sản phẩm'!$F$5+F59*'Sản phẩm'!$F$6+G59*'Sản phẩm'!$F$7+H59*'Sản phẩm'!$F$8+I59*'Sản phẩm'!$F$9+J59*'Sản phẩm'!$F$10+K59*'Sản phẩm'!$F$11+L59*'Sản phẩm'!$F$12+M59*'Sản phẩm'!$F$13</f>
        <v>0</v>
      </c>
      <c r="P59" s="85"/>
      <c r="Q59" s="36"/>
      <c r="R59" s="68" t="str">
        <f>IF('Mẻ sữa'!C60&lt;&gt;"",'Mẻ sữa'!C60,"")</f>
        <v/>
      </c>
      <c r="S59" s="68"/>
      <c r="T59" s="36"/>
      <c r="U59" s="36"/>
      <c r="V59" s="36"/>
      <c r="W59" s="36"/>
      <c r="X59" s="36"/>
      <c r="Y59" s="36"/>
      <c r="Z59" s="36"/>
    </row>
    <row r="60">
      <c r="A60" s="84"/>
      <c r="B60" s="85"/>
      <c r="C60" s="85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2">
        <f t="shared" si="1"/>
        <v>0</v>
      </c>
      <c r="O60" s="83">
        <f>D60*'Sản phẩm'!$F$4+E60*'Sản phẩm'!$F$5+F60*'Sản phẩm'!$F$6+G60*'Sản phẩm'!$F$7+H60*'Sản phẩm'!$F$8+I60*'Sản phẩm'!$F$9+J60*'Sản phẩm'!$F$10+K60*'Sản phẩm'!$F$11+L60*'Sản phẩm'!$F$12+M60*'Sản phẩm'!$F$13</f>
        <v>0</v>
      </c>
      <c r="P60" s="85"/>
      <c r="Q60" s="36"/>
      <c r="R60" s="68" t="str">
        <f>IF('Mẻ sữa'!C61&lt;&gt;"",'Mẻ sữa'!C61,"")</f>
        <v/>
      </c>
      <c r="S60" s="68"/>
      <c r="T60" s="36"/>
      <c r="U60" s="36"/>
      <c r="V60" s="36"/>
      <c r="W60" s="36"/>
      <c r="X60" s="36"/>
      <c r="Y60" s="36"/>
      <c r="Z60" s="36"/>
    </row>
    <row r="61">
      <c r="A61" s="84"/>
      <c r="B61" s="85"/>
      <c r="C61" s="85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2">
        <f t="shared" si="1"/>
        <v>0</v>
      </c>
      <c r="O61" s="83">
        <f>D61*'Sản phẩm'!$F$4+E61*'Sản phẩm'!$F$5+F61*'Sản phẩm'!$F$6+G61*'Sản phẩm'!$F$7+H61*'Sản phẩm'!$F$8+I61*'Sản phẩm'!$F$9+J61*'Sản phẩm'!$F$10+K61*'Sản phẩm'!$F$11+L61*'Sản phẩm'!$F$12+M61*'Sản phẩm'!$F$13</f>
        <v>0</v>
      </c>
      <c r="P61" s="85"/>
      <c r="Q61" s="36"/>
      <c r="R61" s="68" t="str">
        <f>IF('Mẻ sữa'!C62&lt;&gt;"",'Mẻ sữa'!C62,"")</f>
        <v/>
      </c>
      <c r="S61" s="68"/>
      <c r="T61" s="36"/>
      <c r="U61" s="36"/>
      <c r="V61" s="36"/>
      <c r="W61" s="36"/>
      <c r="X61" s="36"/>
      <c r="Y61" s="36"/>
      <c r="Z61" s="36"/>
    </row>
    <row r="62">
      <c r="A62" s="84"/>
      <c r="B62" s="85"/>
      <c r="C62" s="85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2">
        <f t="shared" si="1"/>
        <v>0</v>
      </c>
      <c r="O62" s="83">
        <f>D62*'Sản phẩm'!$F$4+E62*'Sản phẩm'!$F$5+F62*'Sản phẩm'!$F$6+G62*'Sản phẩm'!$F$7+H62*'Sản phẩm'!$F$8+I62*'Sản phẩm'!$F$9+J62*'Sản phẩm'!$F$10+K62*'Sản phẩm'!$F$11+L62*'Sản phẩm'!$F$12+M62*'Sản phẩm'!$F$13</f>
        <v>0</v>
      </c>
      <c r="P62" s="85"/>
      <c r="Q62" s="36"/>
      <c r="R62" s="68" t="str">
        <f>IF('Mẻ sữa'!C63&lt;&gt;"",'Mẻ sữa'!C63,"")</f>
        <v/>
      </c>
      <c r="S62" s="68"/>
      <c r="T62" s="36"/>
      <c r="U62" s="36"/>
      <c r="V62" s="36"/>
      <c r="W62" s="36"/>
      <c r="X62" s="36"/>
      <c r="Y62" s="36"/>
      <c r="Z62" s="36"/>
    </row>
    <row r="63">
      <c r="A63" s="84"/>
      <c r="B63" s="85"/>
      <c r="C63" s="85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2">
        <f t="shared" si="1"/>
        <v>0</v>
      </c>
      <c r="O63" s="83">
        <f>D63*'Sản phẩm'!$F$4+E63*'Sản phẩm'!$F$5+F63*'Sản phẩm'!$F$6+G63*'Sản phẩm'!$F$7+H63*'Sản phẩm'!$F$8+I63*'Sản phẩm'!$F$9+J63*'Sản phẩm'!$F$10+K63*'Sản phẩm'!$F$11+L63*'Sản phẩm'!$F$12+M63*'Sản phẩm'!$F$13</f>
        <v>0</v>
      </c>
      <c r="P63" s="85"/>
      <c r="Q63" s="36"/>
      <c r="R63" s="68" t="str">
        <f>IF('Mẻ sữa'!C64&lt;&gt;"",'Mẻ sữa'!C64,"")</f>
        <v/>
      </c>
      <c r="S63" s="68"/>
      <c r="T63" s="36"/>
      <c r="U63" s="36"/>
      <c r="V63" s="36"/>
      <c r="W63" s="36"/>
      <c r="X63" s="36"/>
      <c r="Y63" s="36"/>
      <c r="Z63" s="36"/>
    </row>
    <row r="64">
      <c r="A64" s="84"/>
      <c r="B64" s="85"/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2">
        <f t="shared" si="1"/>
        <v>0</v>
      </c>
      <c r="O64" s="83">
        <f>D64*'Sản phẩm'!$F$4+E64*'Sản phẩm'!$F$5+F64*'Sản phẩm'!$F$6+G64*'Sản phẩm'!$F$7+H64*'Sản phẩm'!$F$8+I64*'Sản phẩm'!$F$9+J64*'Sản phẩm'!$F$10+K64*'Sản phẩm'!$F$11+L64*'Sản phẩm'!$F$12+M64*'Sản phẩm'!$F$13</f>
        <v>0</v>
      </c>
      <c r="P64" s="85"/>
      <c r="Q64" s="36"/>
      <c r="R64" s="68" t="str">
        <f>IF('Mẻ sữa'!C65&lt;&gt;"",'Mẻ sữa'!C65,"")</f>
        <v/>
      </c>
      <c r="S64" s="68"/>
      <c r="T64" s="36"/>
      <c r="U64" s="36"/>
      <c r="V64" s="36"/>
      <c r="W64" s="36"/>
      <c r="X64" s="36"/>
      <c r="Y64" s="36"/>
      <c r="Z64" s="36"/>
    </row>
    <row r="65">
      <c r="A65" s="84"/>
      <c r="B65" s="85"/>
      <c r="C65" s="85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2">
        <f t="shared" si="1"/>
        <v>0</v>
      </c>
      <c r="O65" s="83">
        <f>D65*'Sản phẩm'!$F$4+E65*'Sản phẩm'!$F$5+F65*'Sản phẩm'!$F$6+G65*'Sản phẩm'!$F$7+H65*'Sản phẩm'!$F$8+I65*'Sản phẩm'!$F$9+J65*'Sản phẩm'!$F$10+K65*'Sản phẩm'!$F$11+L65*'Sản phẩm'!$F$12+M65*'Sản phẩm'!$F$13</f>
        <v>0</v>
      </c>
      <c r="P65" s="85"/>
      <c r="Q65" s="36"/>
      <c r="R65" s="68" t="str">
        <f>IF('Mẻ sữa'!C66&lt;&gt;"",'Mẻ sữa'!C66,"")</f>
        <v/>
      </c>
      <c r="S65" s="68"/>
      <c r="T65" s="36"/>
      <c r="U65" s="36"/>
      <c r="V65" s="36"/>
      <c r="W65" s="36"/>
      <c r="X65" s="36"/>
      <c r="Y65" s="36"/>
      <c r="Z65" s="36"/>
    </row>
    <row r="66">
      <c r="A66" s="84"/>
      <c r="B66" s="85"/>
      <c r="C66" s="85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2">
        <f t="shared" si="1"/>
        <v>0</v>
      </c>
      <c r="O66" s="83">
        <f>D66*'Sản phẩm'!$F$4+E66*'Sản phẩm'!$F$5+F66*'Sản phẩm'!$F$6+G66*'Sản phẩm'!$F$7+H66*'Sản phẩm'!$F$8+I66*'Sản phẩm'!$F$9+J66*'Sản phẩm'!$F$10+K66*'Sản phẩm'!$F$11+L66*'Sản phẩm'!$F$12+M66*'Sản phẩm'!$F$13</f>
        <v>0</v>
      </c>
      <c r="P66" s="85"/>
      <c r="Q66" s="36"/>
      <c r="R66" s="68" t="str">
        <f>IF('Mẻ sữa'!C67&lt;&gt;"",'Mẻ sữa'!C67,"")</f>
        <v/>
      </c>
      <c r="S66" s="68"/>
      <c r="T66" s="36"/>
      <c r="U66" s="36"/>
      <c r="V66" s="36"/>
      <c r="W66" s="36"/>
      <c r="X66" s="36"/>
      <c r="Y66" s="36"/>
      <c r="Z66" s="36"/>
    </row>
    <row r="67">
      <c r="A67" s="84"/>
      <c r="B67" s="85"/>
      <c r="C67" s="85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2">
        <f t="shared" si="1"/>
        <v>0</v>
      </c>
      <c r="O67" s="83">
        <f>D67*'Sản phẩm'!$F$4+E67*'Sản phẩm'!$F$5+F67*'Sản phẩm'!$F$6+G67*'Sản phẩm'!$F$7+H67*'Sản phẩm'!$F$8+I67*'Sản phẩm'!$F$9+J67*'Sản phẩm'!$F$10+K67*'Sản phẩm'!$F$11+L67*'Sản phẩm'!$F$12+M67*'Sản phẩm'!$F$13</f>
        <v>0</v>
      </c>
      <c r="P67" s="85"/>
      <c r="Q67" s="36"/>
      <c r="R67" s="68" t="str">
        <f>IF('Mẻ sữa'!C68&lt;&gt;"",'Mẻ sữa'!C68,"")</f>
        <v/>
      </c>
      <c r="S67" s="68"/>
      <c r="T67" s="36"/>
      <c r="U67" s="36"/>
      <c r="V67" s="36"/>
      <c r="W67" s="36"/>
      <c r="X67" s="36"/>
      <c r="Y67" s="36"/>
      <c r="Z67" s="36"/>
    </row>
    <row r="68">
      <c r="A68" s="84"/>
      <c r="B68" s="85"/>
      <c r="C68" s="85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2">
        <f t="shared" si="1"/>
        <v>0</v>
      </c>
      <c r="O68" s="83">
        <f>D68*'Sản phẩm'!$F$4+E68*'Sản phẩm'!$F$5+F68*'Sản phẩm'!$F$6+G68*'Sản phẩm'!$F$7+H68*'Sản phẩm'!$F$8+I68*'Sản phẩm'!$F$9+J68*'Sản phẩm'!$F$10+K68*'Sản phẩm'!$F$11+L68*'Sản phẩm'!$F$12+M68*'Sản phẩm'!$F$13</f>
        <v>0</v>
      </c>
      <c r="P68" s="85"/>
      <c r="Q68" s="36"/>
      <c r="R68" s="68" t="str">
        <f>IF('Mẻ sữa'!C69&lt;&gt;"",'Mẻ sữa'!C69,"")</f>
        <v/>
      </c>
      <c r="S68" s="68"/>
      <c r="T68" s="36"/>
      <c r="U68" s="36"/>
      <c r="V68" s="36"/>
      <c r="W68" s="36"/>
      <c r="X68" s="36"/>
      <c r="Y68" s="36"/>
      <c r="Z68" s="36"/>
    </row>
    <row r="69">
      <c r="A69" s="84"/>
      <c r="B69" s="85"/>
      <c r="C69" s="85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2">
        <f t="shared" si="1"/>
        <v>0</v>
      </c>
      <c r="O69" s="83">
        <f>D69*'Sản phẩm'!$F$4+E69*'Sản phẩm'!$F$5+F69*'Sản phẩm'!$F$6+G69*'Sản phẩm'!$F$7+H69*'Sản phẩm'!$F$8+I69*'Sản phẩm'!$F$9+J69*'Sản phẩm'!$F$10+K69*'Sản phẩm'!$F$11+L69*'Sản phẩm'!$F$12+M69*'Sản phẩm'!$F$13</f>
        <v>0</v>
      </c>
      <c r="P69" s="85"/>
      <c r="Q69" s="36"/>
      <c r="R69" s="68" t="str">
        <f>IF('Mẻ sữa'!C70&lt;&gt;"",'Mẻ sữa'!C70,"")</f>
        <v/>
      </c>
      <c r="S69" s="68"/>
      <c r="T69" s="36"/>
      <c r="U69" s="36"/>
      <c r="V69" s="36"/>
      <c r="W69" s="36"/>
      <c r="X69" s="36"/>
      <c r="Y69" s="36"/>
      <c r="Z69" s="36"/>
    </row>
    <row r="70">
      <c r="A70" s="84"/>
      <c r="B70" s="85"/>
      <c r="C70" s="85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2">
        <f t="shared" si="1"/>
        <v>0</v>
      </c>
      <c r="O70" s="83">
        <f>D70*'Sản phẩm'!$F$4+E70*'Sản phẩm'!$F$5+F70*'Sản phẩm'!$F$6+G70*'Sản phẩm'!$F$7+H70*'Sản phẩm'!$F$8+I70*'Sản phẩm'!$F$9+J70*'Sản phẩm'!$F$10+K70*'Sản phẩm'!$F$11+L70*'Sản phẩm'!$F$12+M70*'Sản phẩm'!$F$13</f>
        <v>0</v>
      </c>
      <c r="P70" s="85"/>
      <c r="Q70" s="36"/>
      <c r="R70" s="68" t="str">
        <f>IF('Mẻ sữa'!C71&lt;&gt;"",'Mẻ sữa'!C71,"")</f>
        <v/>
      </c>
      <c r="S70" s="68"/>
      <c r="T70" s="36"/>
      <c r="U70" s="36"/>
      <c r="V70" s="36"/>
      <c r="W70" s="36"/>
      <c r="X70" s="36"/>
      <c r="Y70" s="36"/>
      <c r="Z70" s="36"/>
    </row>
    <row r="71">
      <c r="A71" s="84"/>
      <c r="B71" s="85"/>
      <c r="C71" s="85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2">
        <f t="shared" si="1"/>
        <v>0</v>
      </c>
      <c r="O71" s="83">
        <f>D71*'Sản phẩm'!$F$4+E71*'Sản phẩm'!$F$5+F71*'Sản phẩm'!$F$6+G71*'Sản phẩm'!$F$7+H71*'Sản phẩm'!$F$8+I71*'Sản phẩm'!$F$9+J71*'Sản phẩm'!$F$10+K71*'Sản phẩm'!$F$11+L71*'Sản phẩm'!$F$12+M71*'Sản phẩm'!$F$13</f>
        <v>0</v>
      </c>
      <c r="P71" s="85"/>
      <c r="Q71" s="36"/>
      <c r="R71" s="68" t="str">
        <f>IF('Mẻ sữa'!C72&lt;&gt;"",'Mẻ sữa'!C72,"")</f>
        <v/>
      </c>
      <c r="S71" s="68"/>
      <c r="T71" s="36"/>
      <c r="U71" s="36"/>
      <c r="V71" s="36"/>
      <c r="W71" s="36"/>
      <c r="X71" s="36"/>
      <c r="Y71" s="36"/>
      <c r="Z71" s="36"/>
    </row>
    <row r="72">
      <c r="A72" s="84"/>
      <c r="B72" s="85"/>
      <c r="C72" s="85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2">
        <f t="shared" si="1"/>
        <v>0</v>
      </c>
      <c r="O72" s="83">
        <f>D72*'Sản phẩm'!$F$4+E72*'Sản phẩm'!$F$5+F72*'Sản phẩm'!$F$6+G72*'Sản phẩm'!$F$7+H72*'Sản phẩm'!$F$8+I72*'Sản phẩm'!$F$9+J72*'Sản phẩm'!$F$10+K72*'Sản phẩm'!$F$11+L72*'Sản phẩm'!$F$12+M72*'Sản phẩm'!$F$13</f>
        <v>0</v>
      </c>
      <c r="P72" s="85"/>
      <c r="Q72" s="36"/>
      <c r="R72" s="68" t="str">
        <f>IF('Mẻ sữa'!C73&lt;&gt;"",'Mẻ sữa'!C73,"")</f>
        <v/>
      </c>
      <c r="S72" s="68"/>
      <c r="T72" s="36"/>
      <c r="U72" s="36"/>
      <c r="V72" s="36"/>
      <c r="W72" s="36"/>
      <c r="X72" s="36"/>
      <c r="Y72" s="36"/>
      <c r="Z72" s="36"/>
    </row>
    <row r="73">
      <c r="A73" s="84"/>
      <c r="B73" s="85"/>
      <c r="C73" s="85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2">
        <f t="shared" si="1"/>
        <v>0</v>
      </c>
      <c r="O73" s="83">
        <f>D73*'Sản phẩm'!$F$4+E73*'Sản phẩm'!$F$5+F73*'Sản phẩm'!$F$6+G73*'Sản phẩm'!$F$7+H73*'Sản phẩm'!$F$8+I73*'Sản phẩm'!$F$9+J73*'Sản phẩm'!$F$10+K73*'Sản phẩm'!$F$11+L73*'Sản phẩm'!$F$12+M73*'Sản phẩm'!$F$13</f>
        <v>0</v>
      </c>
      <c r="P73" s="85"/>
      <c r="Q73" s="36"/>
      <c r="R73" s="68" t="str">
        <f>IF('Mẻ sữa'!C74&lt;&gt;"",'Mẻ sữa'!C74,"")</f>
        <v/>
      </c>
      <c r="S73" s="68"/>
      <c r="T73" s="36"/>
      <c r="U73" s="36"/>
      <c r="V73" s="36"/>
      <c r="W73" s="36"/>
      <c r="X73" s="36"/>
      <c r="Y73" s="36"/>
      <c r="Z73" s="36"/>
    </row>
    <row r="74">
      <c r="A74" s="84"/>
      <c r="B74" s="85"/>
      <c r="C74" s="85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2">
        <f t="shared" si="1"/>
        <v>0</v>
      </c>
      <c r="O74" s="83">
        <f>D74*'Sản phẩm'!$F$4+E74*'Sản phẩm'!$F$5+F74*'Sản phẩm'!$F$6+G74*'Sản phẩm'!$F$7+H74*'Sản phẩm'!$F$8+I74*'Sản phẩm'!$F$9+J74*'Sản phẩm'!$F$10+K74*'Sản phẩm'!$F$11+L74*'Sản phẩm'!$F$12+M74*'Sản phẩm'!$F$13</f>
        <v>0</v>
      </c>
      <c r="P74" s="85"/>
      <c r="Q74" s="36"/>
      <c r="R74" s="68" t="str">
        <f>IF('Mẻ sữa'!C75&lt;&gt;"",'Mẻ sữa'!C75,"")</f>
        <v/>
      </c>
      <c r="S74" s="68"/>
      <c r="T74" s="36"/>
      <c r="U74" s="36"/>
      <c r="V74" s="36"/>
      <c r="W74" s="36"/>
      <c r="X74" s="36"/>
      <c r="Y74" s="36"/>
      <c r="Z74" s="36"/>
    </row>
    <row r="75">
      <c r="A75" s="84"/>
      <c r="B75" s="85"/>
      <c r="C75" s="85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2">
        <f t="shared" si="1"/>
        <v>0</v>
      </c>
      <c r="O75" s="83">
        <f>D75*'Sản phẩm'!$F$4+E75*'Sản phẩm'!$F$5+F75*'Sản phẩm'!$F$6+G75*'Sản phẩm'!$F$7+H75*'Sản phẩm'!$F$8+I75*'Sản phẩm'!$F$9+J75*'Sản phẩm'!$F$10+K75*'Sản phẩm'!$F$11+L75*'Sản phẩm'!$F$12+M75*'Sản phẩm'!$F$13</f>
        <v>0</v>
      </c>
      <c r="P75" s="85"/>
      <c r="Q75" s="36"/>
      <c r="R75" s="68" t="str">
        <f>IF('Mẻ sữa'!C76&lt;&gt;"",'Mẻ sữa'!C76,"")</f>
        <v/>
      </c>
      <c r="S75" s="68"/>
      <c r="T75" s="36"/>
      <c r="U75" s="36"/>
      <c r="V75" s="36"/>
      <c r="W75" s="36"/>
      <c r="X75" s="36"/>
      <c r="Y75" s="36"/>
      <c r="Z75" s="36"/>
    </row>
    <row r="76">
      <c r="A76" s="84"/>
      <c r="B76" s="85"/>
      <c r="C76" s="85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2">
        <f t="shared" si="1"/>
        <v>0</v>
      </c>
      <c r="O76" s="83">
        <f>D76*'Sản phẩm'!$F$4+E76*'Sản phẩm'!$F$5+F76*'Sản phẩm'!$F$6+G76*'Sản phẩm'!$F$7+H76*'Sản phẩm'!$F$8+I76*'Sản phẩm'!$F$9+J76*'Sản phẩm'!$F$10+K76*'Sản phẩm'!$F$11+L76*'Sản phẩm'!$F$12+M76*'Sản phẩm'!$F$13</f>
        <v>0</v>
      </c>
      <c r="P76" s="85"/>
      <c r="Q76" s="36"/>
      <c r="R76" s="68" t="str">
        <f>IF('Mẻ sữa'!C77&lt;&gt;"",'Mẻ sữa'!C77,"")</f>
        <v/>
      </c>
      <c r="S76" s="68"/>
      <c r="T76" s="36"/>
      <c r="U76" s="36"/>
      <c r="V76" s="36"/>
      <c r="W76" s="36"/>
      <c r="X76" s="36"/>
      <c r="Y76" s="36"/>
      <c r="Z76" s="36"/>
    </row>
    <row r="77">
      <c r="A77" s="84"/>
      <c r="B77" s="85"/>
      <c r="C77" s="85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2">
        <f t="shared" si="1"/>
        <v>0</v>
      </c>
      <c r="O77" s="83">
        <f>D77*'Sản phẩm'!$F$4+E77*'Sản phẩm'!$F$5+F77*'Sản phẩm'!$F$6+G77*'Sản phẩm'!$F$7+H77*'Sản phẩm'!$F$8+I77*'Sản phẩm'!$F$9+J77*'Sản phẩm'!$F$10+K77*'Sản phẩm'!$F$11+L77*'Sản phẩm'!$F$12+M77*'Sản phẩm'!$F$13</f>
        <v>0</v>
      </c>
      <c r="P77" s="85"/>
      <c r="Q77" s="36"/>
      <c r="R77" s="68" t="str">
        <f>IF('Mẻ sữa'!C78&lt;&gt;"",'Mẻ sữa'!C78,"")</f>
        <v/>
      </c>
      <c r="S77" s="68"/>
      <c r="T77" s="36"/>
      <c r="U77" s="36"/>
      <c r="V77" s="36"/>
      <c r="W77" s="36"/>
      <c r="X77" s="36"/>
      <c r="Y77" s="36"/>
      <c r="Z77" s="36"/>
    </row>
    <row r="78">
      <c r="A78" s="84"/>
      <c r="B78" s="85"/>
      <c r="C78" s="85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2">
        <f t="shared" si="1"/>
        <v>0</v>
      </c>
      <c r="O78" s="83">
        <f>D78*'Sản phẩm'!$F$4+E78*'Sản phẩm'!$F$5+F78*'Sản phẩm'!$F$6+G78*'Sản phẩm'!$F$7+H78*'Sản phẩm'!$F$8+I78*'Sản phẩm'!$F$9+J78*'Sản phẩm'!$F$10+K78*'Sản phẩm'!$F$11+L78*'Sản phẩm'!$F$12+M78*'Sản phẩm'!$F$13</f>
        <v>0</v>
      </c>
      <c r="P78" s="85"/>
      <c r="Q78" s="36"/>
      <c r="R78" s="68" t="str">
        <f>IF('Mẻ sữa'!C79&lt;&gt;"",'Mẻ sữa'!C79,"")</f>
        <v/>
      </c>
      <c r="S78" s="68"/>
      <c r="T78" s="36"/>
      <c r="U78" s="36"/>
      <c r="V78" s="36"/>
      <c r="W78" s="36"/>
      <c r="X78" s="36"/>
      <c r="Y78" s="36"/>
      <c r="Z78" s="36"/>
    </row>
    <row r="79">
      <c r="A79" s="84"/>
      <c r="B79" s="85"/>
      <c r="C79" s="85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2">
        <f t="shared" si="1"/>
        <v>0</v>
      </c>
      <c r="O79" s="83">
        <f>D79*'Sản phẩm'!$F$4+E79*'Sản phẩm'!$F$5+F79*'Sản phẩm'!$F$6+G79*'Sản phẩm'!$F$7+H79*'Sản phẩm'!$F$8+I79*'Sản phẩm'!$F$9+J79*'Sản phẩm'!$F$10+K79*'Sản phẩm'!$F$11+L79*'Sản phẩm'!$F$12+M79*'Sản phẩm'!$F$13</f>
        <v>0</v>
      </c>
      <c r="P79" s="85"/>
      <c r="Q79" s="36"/>
      <c r="R79" s="68" t="str">
        <f>IF('Mẻ sữa'!C80&lt;&gt;"",'Mẻ sữa'!C80,"")</f>
        <v/>
      </c>
      <c r="S79" s="68"/>
      <c r="T79" s="36"/>
      <c r="U79" s="36"/>
      <c r="V79" s="36"/>
      <c r="W79" s="36"/>
      <c r="X79" s="36"/>
      <c r="Y79" s="36"/>
      <c r="Z79" s="36"/>
    </row>
    <row r="80">
      <c r="A80" s="84"/>
      <c r="B80" s="85"/>
      <c r="C80" s="85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2">
        <f t="shared" si="1"/>
        <v>0</v>
      </c>
      <c r="O80" s="83">
        <f>D80*'Sản phẩm'!$F$4+E80*'Sản phẩm'!$F$5+F80*'Sản phẩm'!$F$6+G80*'Sản phẩm'!$F$7+H80*'Sản phẩm'!$F$8+I80*'Sản phẩm'!$F$9+J80*'Sản phẩm'!$F$10+K80*'Sản phẩm'!$F$11+L80*'Sản phẩm'!$F$12+M80*'Sản phẩm'!$F$13</f>
        <v>0</v>
      </c>
      <c r="P80" s="85"/>
      <c r="Q80" s="36"/>
      <c r="R80" s="68" t="str">
        <f>IF('Mẻ sữa'!C81&lt;&gt;"",'Mẻ sữa'!C81,"")</f>
        <v/>
      </c>
      <c r="S80" s="68"/>
      <c r="T80" s="36"/>
      <c r="U80" s="36"/>
      <c r="V80" s="36"/>
      <c r="W80" s="36"/>
      <c r="X80" s="36"/>
      <c r="Y80" s="36"/>
      <c r="Z80" s="36"/>
    </row>
    <row r="81">
      <c r="A81" s="84"/>
      <c r="B81" s="85"/>
      <c r="C81" s="85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2">
        <f t="shared" si="1"/>
        <v>0</v>
      </c>
      <c r="O81" s="83">
        <f>D81*'Sản phẩm'!$F$4+E81*'Sản phẩm'!$F$5+F81*'Sản phẩm'!$F$6+G81*'Sản phẩm'!$F$7+H81*'Sản phẩm'!$F$8+I81*'Sản phẩm'!$F$9+J81*'Sản phẩm'!$F$10+K81*'Sản phẩm'!$F$11+L81*'Sản phẩm'!$F$12+M81*'Sản phẩm'!$F$13</f>
        <v>0</v>
      </c>
      <c r="P81" s="85"/>
      <c r="Q81" s="36"/>
      <c r="R81" s="68" t="str">
        <f>IF('Mẻ sữa'!C82&lt;&gt;"",'Mẻ sữa'!C82,"")</f>
        <v/>
      </c>
      <c r="S81" s="68"/>
      <c r="T81" s="36"/>
      <c r="U81" s="36"/>
      <c r="V81" s="36"/>
      <c r="W81" s="36"/>
      <c r="X81" s="36"/>
      <c r="Y81" s="36"/>
      <c r="Z81" s="36"/>
    </row>
    <row r="82">
      <c r="A82" s="84"/>
      <c r="B82" s="85"/>
      <c r="C82" s="85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2">
        <f t="shared" si="1"/>
        <v>0</v>
      </c>
      <c r="O82" s="83">
        <f>D82*'Sản phẩm'!$F$4+E82*'Sản phẩm'!$F$5+F82*'Sản phẩm'!$F$6+G82*'Sản phẩm'!$F$7+H82*'Sản phẩm'!$F$8+I82*'Sản phẩm'!$F$9+J82*'Sản phẩm'!$F$10+K82*'Sản phẩm'!$F$11+L82*'Sản phẩm'!$F$12+M82*'Sản phẩm'!$F$13</f>
        <v>0</v>
      </c>
      <c r="P82" s="85"/>
      <c r="Q82" s="36"/>
      <c r="R82" s="68" t="str">
        <f>IF('Mẻ sữa'!C83&lt;&gt;"",'Mẻ sữa'!C83,"")</f>
        <v/>
      </c>
      <c r="S82" s="68"/>
      <c r="T82" s="36"/>
      <c r="U82" s="36"/>
      <c r="V82" s="36"/>
      <c r="W82" s="36"/>
      <c r="X82" s="36"/>
      <c r="Y82" s="36"/>
      <c r="Z82" s="36"/>
    </row>
    <row r="83">
      <c r="A83" s="84"/>
      <c r="B83" s="85"/>
      <c r="C83" s="85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2">
        <f t="shared" si="1"/>
        <v>0</v>
      </c>
      <c r="O83" s="83">
        <f>D83*'Sản phẩm'!$F$4+E83*'Sản phẩm'!$F$5+F83*'Sản phẩm'!$F$6+G83*'Sản phẩm'!$F$7+H83*'Sản phẩm'!$F$8+I83*'Sản phẩm'!$F$9+J83*'Sản phẩm'!$F$10+K83*'Sản phẩm'!$F$11+L83*'Sản phẩm'!$F$12+M83*'Sản phẩm'!$F$13</f>
        <v>0</v>
      </c>
      <c r="P83" s="85"/>
      <c r="Q83" s="36"/>
      <c r="R83" s="68" t="str">
        <f>IF('Mẻ sữa'!C84&lt;&gt;"",'Mẻ sữa'!C84,"")</f>
        <v/>
      </c>
      <c r="S83" s="68"/>
      <c r="T83" s="36"/>
      <c r="U83" s="36"/>
      <c r="V83" s="36"/>
      <c r="W83" s="36"/>
      <c r="X83" s="36"/>
      <c r="Y83" s="36"/>
      <c r="Z83" s="36"/>
    </row>
    <row r="84">
      <c r="A84" s="84"/>
      <c r="B84" s="85"/>
      <c r="C84" s="85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2">
        <f t="shared" si="1"/>
        <v>0</v>
      </c>
      <c r="O84" s="83">
        <f>D84*'Sản phẩm'!$F$4+E84*'Sản phẩm'!$F$5+F84*'Sản phẩm'!$F$6+G84*'Sản phẩm'!$F$7+H84*'Sản phẩm'!$F$8+I84*'Sản phẩm'!$F$9+J84*'Sản phẩm'!$F$10+K84*'Sản phẩm'!$F$11+L84*'Sản phẩm'!$F$12+M84*'Sản phẩm'!$F$13</f>
        <v>0</v>
      </c>
      <c r="P84" s="85"/>
      <c r="Q84" s="36"/>
      <c r="R84" s="68" t="str">
        <f>IF('Mẻ sữa'!C85&lt;&gt;"",'Mẻ sữa'!C85,"")</f>
        <v/>
      </c>
      <c r="S84" s="68"/>
      <c r="T84" s="36"/>
      <c r="U84" s="36"/>
      <c r="V84" s="36"/>
      <c r="W84" s="36"/>
      <c r="X84" s="36"/>
      <c r="Y84" s="36"/>
      <c r="Z84" s="36"/>
    </row>
    <row r="85">
      <c r="A85" s="84"/>
      <c r="B85" s="85"/>
      <c r="C85" s="85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2">
        <f t="shared" si="1"/>
        <v>0</v>
      </c>
      <c r="O85" s="83">
        <f>D85*'Sản phẩm'!$F$4+E85*'Sản phẩm'!$F$5+F85*'Sản phẩm'!$F$6+G85*'Sản phẩm'!$F$7+H85*'Sản phẩm'!$F$8+I85*'Sản phẩm'!$F$9+J85*'Sản phẩm'!$F$10+K85*'Sản phẩm'!$F$11+L85*'Sản phẩm'!$F$12+M85*'Sản phẩm'!$F$13</f>
        <v>0</v>
      </c>
      <c r="P85" s="85"/>
      <c r="Q85" s="36"/>
      <c r="R85" s="68" t="str">
        <f>IF('Mẻ sữa'!C86&lt;&gt;"",'Mẻ sữa'!C86,"")</f>
        <v/>
      </c>
      <c r="S85" s="68"/>
      <c r="T85" s="36"/>
      <c r="U85" s="36"/>
      <c r="V85" s="36"/>
      <c r="W85" s="36"/>
      <c r="X85" s="36"/>
      <c r="Y85" s="36"/>
      <c r="Z85" s="36"/>
    </row>
    <row r="86">
      <c r="A86" s="84"/>
      <c r="B86" s="85"/>
      <c r="C86" s="85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2">
        <f t="shared" si="1"/>
        <v>0</v>
      </c>
      <c r="O86" s="83">
        <f>D86*'Sản phẩm'!$F$4+E86*'Sản phẩm'!$F$5+F86*'Sản phẩm'!$F$6+G86*'Sản phẩm'!$F$7+H86*'Sản phẩm'!$F$8+I86*'Sản phẩm'!$F$9+J86*'Sản phẩm'!$F$10+K86*'Sản phẩm'!$F$11+L86*'Sản phẩm'!$F$12+M86*'Sản phẩm'!$F$13</f>
        <v>0</v>
      </c>
      <c r="P86" s="85"/>
      <c r="Q86" s="36"/>
      <c r="R86" s="68" t="str">
        <f>IF('Mẻ sữa'!C87&lt;&gt;"",'Mẻ sữa'!C87,"")</f>
        <v/>
      </c>
      <c r="S86" s="68"/>
      <c r="T86" s="36"/>
      <c r="U86" s="36"/>
      <c r="V86" s="36"/>
      <c r="W86" s="36"/>
      <c r="X86" s="36"/>
      <c r="Y86" s="36"/>
      <c r="Z86" s="36"/>
    </row>
    <row r="87">
      <c r="A87" s="84"/>
      <c r="B87" s="85"/>
      <c r="C87" s="85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2">
        <f t="shared" si="1"/>
        <v>0</v>
      </c>
      <c r="O87" s="83">
        <f>D87*'Sản phẩm'!$F$4+E87*'Sản phẩm'!$F$5+F87*'Sản phẩm'!$F$6+G87*'Sản phẩm'!$F$7+H87*'Sản phẩm'!$F$8+I87*'Sản phẩm'!$F$9+J87*'Sản phẩm'!$F$10+K87*'Sản phẩm'!$F$11+L87*'Sản phẩm'!$F$12+M87*'Sản phẩm'!$F$13</f>
        <v>0</v>
      </c>
      <c r="P87" s="85"/>
      <c r="Q87" s="36"/>
      <c r="R87" s="68" t="str">
        <f>IF('Mẻ sữa'!C88&lt;&gt;"",'Mẻ sữa'!C88,"")</f>
        <v/>
      </c>
      <c r="S87" s="68"/>
      <c r="T87" s="36"/>
      <c r="U87" s="36"/>
      <c r="V87" s="36"/>
      <c r="W87" s="36"/>
      <c r="X87" s="36"/>
      <c r="Y87" s="36"/>
      <c r="Z87" s="36"/>
    </row>
    <row r="88">
      <c r="A88" s="84"/>
      <c r="B88" s="85"/>
      <c r="C88" s="85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2">
        <f t="shared" si="1"/>
        <v>0</v>
      </c>
      <c r="O88" s="83">
        <f>D88*'Sản phẩm'!$F$4+E88*'Sản phẩm'!$F$5+F88*'Sản phẩm'!$F$6+G88*'Sản phẩm'!$F$7+H88*'Sản phẩm'!$F$8+I88*'Sản phẩm'!$F$9+J88*'Sản phẩm'!$F$10+K88*'Sản phẩm'!$F$11+L88*'Sản phẩm'!$F$12+M88*'Sản phẩm'!$F$13</f>
        <v>0</v>
      </c>
      <c r="P88" s="85"/>
      <c r="Q88" s="36"/>
      <c r="R88" s="68" t="str">
        <f>IF('Mẻ sữa'!C89&lt;&gt;"",'Mẻ sữa'!C89,"")</f>
        <v/>
      </c>
      <c r="S88" s="68"/>
      <c r="T88" s="36"/>
      <c r="U88" s="36"/>
      <c r="V88" s="36"/>
      <c r="W88" s="36"/>
      <c r="X88" s="36"/>
      <c r="Y88" s="36"/>
      <c r="Z88" s="36"/>
    </row>
    <row r="89">
      <c r="A89" s="84"/>
      <c r="B89" s="85"/>
      <c r="C89" s="85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2">
        <f t="shared" si="1"/>
        <v>0</v>
      </c>
      <c r="O89" s="83">
        <f>D89*'Sản phẩm'!$F$4+E89*'Sản phẩm'!$F$5+F89*'Sản phẩm'!$F$6+G89*'Sản phẩm'!$F$7+H89*'Sản phẩm'!$F$8+I89*'Sản phẩm'!$F$9+J89*'Sản phẩm'!$F$10+K89*'Sản phẩm'!$F$11+L89*'Sản phẩm'!$F$12+M89*'Sản phẩm'!$F$13</f>
        <v>0</v>
      </c>
      <c r="P89" s="85"/>
      <c r="Q89" s="36"/>
      <c r="R89" s="68" t="str">
        <f>IF('Mẻ sữa'!C90&lt;&gt;"",'Mẻ sữa'!C90,"")</f>
        <v/>
      </c>
      <c r="S89" s="68"/>
      <c r="T89" s="36"/>
      <c r="U89" s="36"/>
      <c r="V89" s="36"/>
      <c r="W89" s="36"/>
      <c r="X89" s="36"/>
      <c r="Y89" s="36"/>
      <c r="Z89" s="36"/>
    </row>
    <row r="90">
      <c r="A90" s="84"/>
      <c r="B90" s="85"/>
      <c r="C90" s="85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2">
        <f t="shared" si="1"/>
        <v>0</v>
      </c>
      <c r="O90" s="83">
        <f>D90*'Sản phẩm'!$F$4+E90*'Sản phẩm'!$F$5+F90*'Sản phẩm'!$F$6+G90*'Sản phẩm'!$F$7+H90*'Sản phẩm'!$F$8+I90*'Sản phẩm'!$F$9+J90*'Sản phẩm'!$F$10+K90*'Sản phẩm'!$F$11+L90*'Sản phẩm'!$F$12+M90*'Sản phẩm'!$F$13</f>
        <v>0</v>
      </c>
      <c r="P90" s="85"/>
      <c r="Q90" s="36"/>
      <c r="R90" s="68" t="str">
        <f>IF('Mẻ sữa'!C91&lt;&gt;"",'Mẻ sữa'!C91,"")</f>
        <v/>
      </c>
      <c r="S90" s="68"/>
      <c r="T90" s="36"/>
      <c r="U90" s="36"/>
      <c r="V90" s="36"/>
      <c r="W90" s="36"/>
      <c r="X90" s="36"/>
      <c r="Y90" s="36"/>
      <c r="Z90" s="36"/>
    </row>
    <row r="91">
      <c r="A91" s="84"/>
      <c r="B91" s="85"/>
      <c r="C91" s="85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2">
        <f t="shared" si="1"/>
        <v>0</v>
      </c>
      <c r="O91" s="83">
        <f>D91*'Sản phẩm'!$F$4+E91*'Sản phẩm'!$F$5+F91*'Sản phẩm'!$F$6+G91*'Sản phẩm'!$F$7+H91*'Sản phẩm'!$F$8+I91*'Sản phẩm'!$F$9+J91*'Sản phẩm'!$F$10+K91*'Sản phẩm'!$F$11+L91*'Sản phẩm'!$F$12+M91*'Sản phẩm'!$F$13</f>
        <v>0</v>
      </c>
      <c r="P91" s="85"/>
      <c r="Q91" s="36"/>
      <c r="R91" s="68" t="str">
        <f>IF('Mẻ sữa'!C92&lt;&gt;"",'Mẻ sữa'!C92,"")</f>
        <v/>
      </c>
      <c r="S91" s="68"/>
      <c r="T91" s="36"/>
      <c r="U91" s="36"/>
      <c r="V91" s="36"/>
      <c r="W91" s="36"/>
      <c r="X91" s="36"/>
      <c r="Y91" s="36"/>
      <c r="Z91" s="36"/>
    </row>
    <row r="92">
      <c r="A92" s="84"/>
      <c r="B92" s="85"/>
      <c r="C92" s="85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2">
        <f t="shared" si="1"/>
        <v>0</v>
      </c>
      <c r="O92" s="83">
        <f>D92*'Sản phẩm'!$F$4+E92*'Sản phẩm'!$F$5+F92*'Sản phẩm'!$F$6+G92*'Sản phẩm'!$F$7+H92*'Sản phẩm'!$F$8+I92*'Sản phẩm'!$F$9+J92*'Sản phẩm'!$F$10+K92*'Sản phẩm'!$F$11+L92*'Sản phẩm'!$F$12+M92*'Sản phẩm'!$F$13</f>
        <v>0</v>
      </c>
      <c r="P92" s="85"/>
      <c r="Q92" s="36"/>
      <c r="R92" s="68" t="str">
        <f>IF('Mẻ sữa'!C93&lt;&gt;"",'Mẻ sữa'!C93,"")</f>
        <v/>
      </c>
      <c r="S92" s="68"/>
      <c r="T92" s="36"/>
      <c r="U92" s="36"/>
      <c r="V92" s="36"/>
      <c r="W92" s="36"/>
      <c r="X92" s="36"/>
      <c r="Y92" s="36"/>
      <c r="Z92" s="36"/>
    </row>
    <row r="93">
      <c r="A93" s="84"/>
      <c r="B93" s="85"/>
      <c r="C93" s="85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2">
        <f t="shared" si="1"/>
        <v>0</v>
      </c>
      <c r="O93" s="83">
        <f>D93*'Sản phẩm'!$F$4+E93*'Sản phẩm'!$F$5+F93*'Sản phẩm'!$F$6+G93*'Sản phẩm'!$F$7+H93*'Sản phẩm'!$F$8+I93*'Sản phẩm'!$F$9+J93*'Sản phẩm'!$F$10+K93*'Sản phẩm'!$F$11+L93*'Sản phẩm'!$F$12+M93*'Sản phẩm'!$F$13</f>
        <v>0</v>
      </c>
      <c r="P93" s="85"/>
      <c r="Q93" s="36"/>
      <c r="R93" s="68" t="str">
        <f>IF('Mẻ sữa'!C94&lt;&gt;"",'Mẻ sữa'!C94,"")</f>
        <v/>
      </c>
      <c r="S93" s="68"/>
      <c r="T93" s="36"/>
      <c r="U93" s="36"/>
      <c r="V93" s="36"/>
      <c r="W93" s="36"/>
      <c r="X93" s="36"/>
      <c r="Y93" s="36"/>
      <c r="Z93" s="36"/>
    </row>
    <row r="94">
      <c r="A94" s="84"/>
      <c r="B94" s="85"/>
      <c r="C94" s="85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2">
        <f t="shared" si="1"/>
        <v>0</v>
      </c>
      <c r="O94" s="83">
        <f>D94*'Sản phẩm'!$F$4+E94*'Sản phẩm'!$F$5+F94*'Sản phẩm'!$F$6+G94*'Sản phẩm'!$F$7+H94*'Sản phẩm'!$F$8+I94*'Sản phẩm'!$F$9+J94*'Sản phẩm'!$F$10+K94*'Sản phẩm'!$F$11+L94*'Sản phẩm'!$F$12+M94*'Sản phẩm'!$F$13</f>
        <v>0</v>
      </c>
      <c r="P94" s="85"/>
      <c r="Q94" s="36"/>
      <c r="R94" s="68" t="str">
        <f>IF('Mẻ sữa'!C95&lt;&gt;"",'Mẻ sữa'!C95,"")</f>
        <v/>
      </c>
      <c r="S94" s="68"/>
      <c r="T94" s="36"/>
      <c r="U94" s="36"/>
      <c r="V94" s="36"/>
      <c r="W94" s="36"/>
      <c r="X94" s="36"/>
      <c r="Y94" s="36"/>
      <c r="Z94" s="36"/>
    </row>
    <row r="95">
      <c r="A95" s="84"/>
      <c r="B95" s="85"/>
      <c r="C95" s="85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2">
        <f t="shared" si="1"/>
        <v>0</v>
      </c>
      <c r="O95" s="83">
        <f>D95*'Sản phẩm'!$F$4+E95*'Sản phẩm'!$F$5+F95*'Sản phẩm'!$F$6+G95*'Sản phẩm'!$F$7+H95*'Sản phẩm'!$F$8+I95*'Sản phẩm'!$F$9+J95*'Sản phẩm'!$F$10+K95*'Sản phẩm'!$F$11+L95*'Sản phẩm'!$F$12+M95*'Sản phẩm'!$F$13</f>
        <v>0</v>
      </c>
      <c r="P95" s="85"/>
      <c r="Q95" s="36"/>
      <c r="R95" s="68" t="str">
        <f>IF('Mẻ sữa'!C96&lt;&gt;"",'Mẻ sữa'!C96,"")</f>
        <v/>
      </c>
      <c r="S95" s="68"/>
      <c r="T95" s="36"/>
      <c r="U95" s="36"/>
      <c r="V95" s="36"/>
      <c r="W95" s="36"/>
      <c r="X95" s="36"/>
      <c r="Y95" s="36"/>
      <c r="Z95" s="36"/>
    </row>
    <row r="96">
      <c r="A96" s="84"/>
      <c r="B96" s="85"/>
      <c r="C96" s="85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2">
        <f t="shared" si="1"/>
        <v>0</v>
      </c>
      <c r="O96" s="83">
        <f>D96*'Sản phẩm'!$F$4+E96*'Sản phẩm'!$F$5+F96*'Sản phẩm'!$F$6+G96*'Sản phẩm'!$F$7+H96*'Sản phẩm'!$F$8+I96*'Sản phẩm'!$F$9+J96*'Sản phẩm'!$F$10+K96*'Sản phẩm'!$F$11+L96*'Sản phẩm'!$F$12+M96*'Sản phẩm'!$F$13</f>
        <v>0</v>
      </c>
      <c r="P96" s="85"/>
      <c r="Q96" s="36"/>
      <c r="R96" s="68" t="str">
        <f>IF('Mẻ sữa'!C97&lt;&gt;"",'Mẻ sữa'!C97,"")</f>
        <v/>
      </c>
      <c r="S96" s="68"/>
      <c r="T96" s="36"/>
      <c r="U96" s="36"/>
      <c r="V96" s="36"/>
      <c r="W96" s="36"/>
      <c r="X96" s="36"/>
      <c r="Y96" s="36"/>
      <c r="Z96" s="36"/>
    </row>
    <row r="97">
      <c r="A97" s="84"/>
      <c r="B97" s="85"/>
      <c r="C97" s="85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2">
        <f t="shared" si="1"/>
        <v>0</v>
      </c>
      <c r="O97" s="83">
        <f>D97*'Sản phẩm'!$F$4+E97*'Sản phẩm'!$F$5+F97*'Sản phẩm'!$F$6+G97*'Sản phẩm'!$F$7+H97*'Sản phẩm'!$F$8+I97*'Sản phẩm'!$F$9+J97*'Sản phẩm'!$F$10+K97*'Sản phẩm'!$F$11+L97*'Sản phẩm'!$F$12+M97*'Sản phẩm'!$F$13</f>
        <v>0</v>
      </c>
      <c r="P97" s="85"/>
      <c r="Q97" s="36"/>
      <c r="R97" s="68" t="str">
        <f>IF('Mẻ sữa'!C98&lt;&gt;"",'Mẻ sữa'!C98,"")</f>
        <v/>
      </c>
      <c r="S97" s="68"/>
      <c r="T97" s="36"/>
      <c r="U97" s="36"/>
      <c r="V97" s="36"/>
      <c r="W97" s="36"/>
      <c r="X97" s="36"/>
      <c r="Y97" s="36"/>
      <c r="Z97" s="36"/>
    </row>
    <row r="98">
      <c r="A98" s="84"/>
      <c r="B98" s="85"/>
      <c r="C98" s="85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2">
        <f t="shared" si="1"/>
        <v>0</v>
      </c>
      <c r="O98" s="83">
        <f>D98*'Sản phẩm'!$F$4+E98*'Sản phẩm'!$F$5+F98*'Sản phẩm'!$F$6+G98*'Sản phẩm'!$F$7+H98*'Sản phẩm'!$F$8+I98*'Sản phẩm'!$F$9+J98*'Sản phẩm'!$F$10+K98*'Sản phẩm'!$F$11+L98*'Sản phẩm'!$F$12+M98*'Sản phẩm'!$F$13</f>
        <v>0</v>
      </c>
      <c r="P98" s="85"/>
      <c r="Q98" s="36"/>
      <c r="R98" s="68" t="str">
        <f>IF('Mẻ sữa'!C99&lt;&gt;"",'Mẻ sữa'!C99,"")</f>
        <v/>
      </c>
      <c r="S98" s="68"/>
      <c r="T98" s="36"/>
      <c r="U98" s="36"/>
      <c r="V98" s="36"/>
      <c r="W98" s="36"/>
      <c r="X98" s="36"/>
      <c r="Y98" s="36"/>
      <c r="Z98" s="36"/>
    </row>
    <row r="99">
      <c r="A99" s="84"/>
      <c r="B99" s="85"/>
      <c r="C99" s="85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2">
        <f t="shared" si="1"/>
        <v>0</v>
      </c>
      <c r="O99" s="83">
        <f>D99*'Sản phẩm'!$F$4+E99*'Sản phẩm'!$F$5+F99*'Sản phẩm'!$F$6+G99*'Sản phẩm'!$F$7+H99*'Sản phẩm'!$F$8+I99*'Sản phẩm'!$F$9+J99*'Sản phẩm'!$F$10+K99*'Sản phẩm'!$F$11+L99*'Sản phẩm'!$F$12+M99*'Sản phẩm'!$F$13</f>
        <v>0</v>
      </c>
      <c r="P99" s="85"/>
      <c r="Q99" s="36"/>
      <c r="R99" s="68" t="str">
        <f>IF('Mẻ sữa'!C100&lt;&gt;"",'Mẻ sữa'!C100,"")</f>
        <v/>
      </c>
      <c r="S99" s="68"/>
      <c r="T99" s="36"/>
      <c r="U99" s="36"/>
      <c r="V99" s="36"/>
      <c r="W99" s="36"/>
      <c r="X99" s="36"/>
      <c r="Y99" s="36"/>
      <c r="Z99" s="36"/>
    </row>
    <row r="100">
      <c r="A100" s="84"/>
      <c r="B100" s="85"/>
      <c r="C100" s="85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2">
        <f t="shared" si="1"/>
        <v>0</v>
      </c>
      <c r="O100" s="83">
        <f>D100*'Sản phẩm'!$F$4+E100*'Sản phẩm'!$F$5+F100*'Sản phẩm'!$F$6+G100*'Sản phẩm'!$F$7+H100*'Sản phẩm'!$F$8+I100*'Sản phẩm'!$F$9+J100*'Sản phẩm'!$F$10+K100*'Sản phẩm'!$F$11+L100*'Sản phẩm'!$F$12+M100*'Sản phẩm'!$F$13</f>
        <v>0</v>
      </c>
      <c r="P100" s="85"/>
      <c r="Q100" s="36"/>
      <c r="R100" s="68" t="str">
        <f>IF('Mẻ sữa'!C101&lt;&gt;"",'Mẻ sữa'!C101,"")</f>
        <v/>
      </c>
      <c r="S100" s="68"/>
      <c r="T100" s="36"/>
      <c r="U100" s="36"/>
      <c r="V100" s="36"/>
      <c r="W100" s="36"/>
      <c r="X100" s="36"/>
      <c r="Y100" s="36"/>
      <c r="Z100" s="36"/>
    </row>
    <row r="101">
      <c r="A101" s="84"/>
      <c r="B101" s="85"/>
      <c r="C101" s="85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2">
        <f t="shared" si="1"/>
        <v>0</v>
      </c>
      <c r="O101" s="83">
        <f>D101*'Sản phẩm'!$F$4+E101*'Sản phẩm'!$F$5+F101*'Sản phẩm'!$F$6+G101*'Sản phẩm'!$F$7+H101*'Sản phẩm'!$F$8+I101*'Sản phẩm'!$F$9+J101*'Sản phẩm'!$F$10+K101*'Sản phẩm'!$F$11+L101*'Sản phẩm'!$F$12+M101*'Sản phẩm'!$F$13</f>
        <v>0</v>
      </c>
      <c r="P101" s="85"/>
      <c r="Q101" s="36"/>
      <c r="R101" s="68" t="str">
        <f>IF('Mẻ sữa'!C102&lt;&gt;"",'Mẻ sữa'!C102,"")</f>
        <v/>
      </c>
      <c r="S101" s="68"/>
      <c r="T101" s="36"/>
      <c r="U101" s="36"/>
      <c r="V101" s="36"/>
      <c r="W101" s="36"/>
      <c r="X101" s="36"/>
      <c r="Y101" s="36"/>
      <c r="Z101" s="36"/>
    </row>
    <row r="102">
      <c r="A102" s="84"/>
      <c r="B102" s="85"/>
      <c r="C102" s="85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2">
        <f t="shared" si="1"/>
        <v>0</v>
      </c>
      <c r="O102" s="83">
        <f>D102*'Sản phẩm'!$F$4+E102*'Sản phẩm'!$F$5+F102*'Sản phẩm'!$F$6+G102*'Sản phẩm'!$F$7+H102*'Sản phẩm'!$F$8+I102*'Sản phẩm'!$F$9+J102*'Sản phẩm'!$F$10+K102*'Sản phẩm'!$F$11+L102*'Sản phẩm'!$F$12+M102*'Sản phẩm'!$F$13</f>
        <v>0</v>
      </c>
      <c r="P102" s="85"/>
      <c r="Q102" s="36"/>
      <c r="R102" s="68" t="str">
        <f>IF('Mẻ sữa'!C103&lt;&gt;"",'Mẻ sữa'!C103,"")</f>
        <v/>
      </c>
      <c r="S102" s="68"/>
      <c r="T102" s="36"/>
      <c r="U102" s="36"/>
      <c r="V102" s="36"/>
      <c r="W102" s="36"/>
      <c r="X102" s="36"/>
      <c r="Y102" s="36"/>
      <c r="Z102" s="36"/>
    </row>
    <row r="103">
      <c r="A103" s="84"/>
      <c r="B103" s="85"/>
      <c r="C103" s="85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2">
        <f t="shared" si="1"/>
        <v>0</v>
      </c>
      <c r="O103" s="83">
        <f>D103*'Sản phẩm'!$F$4+E103*'Sản phẩm'!$F$5+F103*'Sản phẩm'!$F$6+G103*'Sản phẩm'!$F$7+H103*'Sản phẩm'!$F$8+I103*'Sản phẩm'!$F$9+J103*'Sản phẩm'!$F$10+K103*'Sản phẩm'!$F$11+L103*'Sản phẩm'!$F$12+M103*'Sản phẩm'!$F$13</f>
        <v>0</v>
      </c>
      <c r="P103" s="85"/>
      <c r="Q103" s="36"/>
      <c r="R103" s="68" t="str">
        <f>IF('Mẻ sữa'!C104&lt;&gt;"",'Mẻ sữa'!C104,"")</f>
        <v/>
      </c>
      <c r="S103" s="68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68" t="str">
        <f>IF('Mẻ sữa'!C105&lt;&gt;"",'Mẻ sữa'!C105,"")</f>
        <v/>
      </c>
      <c r="S104" s="68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68" t="str">
        <f>IF('Mẻ sữa'!C106&lt;&gt;"",'Mẻ sữa'!C106,"")</f>
        <v/>
      </c>
      <c r="S105" s="68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68" t="str">
        <f>IF('Mẻ sữa'!C107&lt;&gt;"",'Mẻ sữa'!C107,"")</f>
        <v/>
      </c>
      <c r="S106" s="68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68" t="str">
        <f>IF('Mẻ sữa'!C108&lt;&gt;"",'Mẻ sữa'!C108,"")</f>
        <v/>
      </c>
      <c r="S107" s="68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68" t="str">
        <f>IF('Mẻ sữa'!C109&lt;&gt;"",'Mẻ sữa'!C109,"")</f>
        <v/>
      </c>
      <c r="S108" s="68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68" t="str">
        <f>IF('Mẻ sữa'!C110&lt;&gt;"",'Mẻ sữa'!C110,"")</f>
        <v/>
      </c>
      <c r="S109" s="68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68" t="str">
        <f>IF('Mẻ sữa'!C111&lt;&gt;"",'Mẻ sữa'!C111,"")</f>
        <v/>
      </c>
      <c r="S110" s="68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68" t="str">
        <f>IF('Mẻ sữa'!C112&lt;&gt;"",'Mẻ sữa'!C112,"")</f>
        <v/>
      </c>
      <c r="S111" s="68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68" t="str">
        <f>IF('Mẻ sữa'!C113&lt;&gt;"",'Mẻ sữa'!C113,"")</f>
        <v/>
      </c>
      <c r="S112" s="68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68" t="str">
        <f>IF('Mẻ sữa'!C114&lt;&gt;"",'Mẻ sữa'!C114,"")</f>
        <v/>
      </c>
      <c r="S113" s="68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68" t="str">
        <f>IF('Mẻ sữa'!C115&lt;&gt;"",'Mẻ sữa'!C115,"")</f>
        <v/>
      </c>
      <c r="S114" s="68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68" t="str">
        <f>IF('Mẻ sữa'!C116&lt;&gt;"",'Mẻ sữa'!C116,"")</f>
        <v/>
      </c>
      <c r="S115" s="68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68" t="str">
        <f>IF('Mẻ sữa'!C117&lt;&gt;"",'Mẻ sữa'!C117,"")</f>
        <v/>
      </c>
      <c r="S116" s="68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68" t="str">
        <f>IF('Mẻ sữa'!C118&lt;&gt;"",'Mẻ sữa'!C118,"")</f>
        <v/>
      </c>
      <c r="S117" s="68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68" t="str">
        <f>IF('Mẻ sữa'!C119&lt;&gt;"",'Mẻ sữa'!C119,"")</f>
        <v/>
      </c>
      <c r="S118" s="68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68" t="str">
        <f>IF('Mẻ sữa'!C120&lt;&gt;"",'Mẻ sữa'!C120,"")</f>
        <v/>
      </c>
      <c r="S119" s="68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68" t="str">
        <f>IF('Mẻ sữa'!C121&lt;&gt;"",'Mẻ sữa'!C121,"")</f>
        <v/>
      </c>
      <c r="S120" s="68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68" t="str">
        <f>IF('Mẻ sữa'!C122&lt;&gt;"",'Mẻ sữa'!C122,"")</f>
        <v/>
      </c>
      <c r="S121" s="68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68" t="str">
        <f>IF('Mẻ sữa'!C123&lt;&gt;"",'Mẻ sữa'!C123,"")</f>
        <v/>
      </c>
      <c r="S122" s="68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68" t="str">
        <f>IF('Mẻ sữa'!C124&lt;&gt;"",'Mẻ sữa'!C124,"")</f>
        <v/>
      </c>
      <c r="S123" s="68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68" t="str">
        <f>IF('Mẻ sữa'!C125&lt;&gt;"",'Mẻ sữa'!C125,"")</f>
        <v/>
      </c>
      <c r="S124" s="68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68" t="str">
        <f>IF('Mẻ sữa'!C126&lt;&gt;"",'Mẻ sữa'!C126,"")</f>
        <v/>
      </c>
      <c r="S125" s="68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68" t="str">
        <f>IF('Mẻ sữa'!C127&lt;&gt;"",'Mẻ sữa'!C127,"")</f>
        <v/>
      </c>
      <c r="S126" s="68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68" t="str">
        <f>IF('Mẻ sữa'!C128&lt;&gt;"",'Mẻ sữa'!C128,"")</f>
        <v/>
      </c>
      <c r="S127" s="68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68" t="str">
        <f>IF('Mẻ sữa'!C129&lt;&gt;"",'Mẻ sữa'!C129,"")</f>
        <v/>
      </c>
      <c r="S128" s="68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68" t="str">
        <f>IF('Mẻ sữa'!C130&lt;&gt;"",'Mẻ sữa'!C130,"")</f>
        <v/>
      </c>
      <c r="S129" s="68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68" t="str">
        <f>IF('Mẻ sữa'!C131&lt;&gt;"",'Mẻ sữa'!C131,"")</f>
        <v/>
      </c>
      <c r="S130" s="68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68" t="str">
        <f>IF('Mẻ sữa'!C132&lt;&gt;"",'Mẻ sữa'!C132,"")</f>
        <v/>
      </c>
      <c r="S131" s="68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68" t="str">
        <f>IF('Mẻ sữa'!C133&lt;&gt;"",'Mẻ sữa'!C133,"")</f>
        <v/>
      </c>
      <c r="S132" s="68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68" t="str">
        <f>IF('Mẻ sữa'!C134&lt;&gt;"",'Mẻ sữa'!C134,"")</f>
        <v/>
      </c>
      <c r="S133" s="68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68" t="str">
        <f>IF('Mẻ sữa'!C135&lt;&gt;"",'Mẻ sữa'!C135,"")</f>
        <v/>
      </c>
      <c r="S134" s="68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68" t="str">
        <f>IF('Mẻ sữa'!C136&lt;&gt;"",'Mẻ sữa'!C136,"")</f>
        <v/>
      </c>
      <c r="S135" s="68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68" t="str">
        <f>IF('Mẻ sữa'!C137&lt;&gt;"",'Mẻ sữa'!C137,"")</f>
        <v/>
      </c>
      <c r="S136" s="68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68" t="str">
        <f>IF('Mẻ sữa'!C138&lt;&gt;"",'Mẻ sữa'!C138,"")</f>
        <v/>
      </c>
      <c r="S137" s="68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68" t="str">
        <f>IF('Mẻ sữa'!C139&lt;&gt;"",'Mẻ sữa'!C139,"")</f>
        <v/>
      </c>
      <c r="S138" s="68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68" t="str">
        <f>IF('Mẻ sữa'!C140&lt;&gt;"",'Mẻ sữa'!C140,"")</f>
        <v/>
      </c>
      <c r="S139" s="68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68" t="str">
        <f>IF('Mẻ sữa'!C141&lt;&gt;"",'Mẻ sữa'!C141,"")</f>
        <v/>
      </c>
      <c r="S140" s="68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68" t="str">
        <f>IF('Mẻ sữa'!C142&lt;&gt;"",'Mẻ sữa'!C142,"")</f>
        <v/>
      </c>
      <c r="S141" s="68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68" t="str">
        <f>IF('Mẻ sữa'!C143&lt;&gt;"",'Mẻ sữa'!C143,"")</f>
        <v/>
      </c>
      <c r="S142" s="68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68" t="str">
        <f>IF('Mẻ sữa'!C144&lt;&gt;"",'Mẻ sữa'!C144,"")</f>
        <v/>
      </c>
      <c r="S143" s="68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68" t="str">
        <f>IF('Mẻ sữa'!C145&lt;&gt;"",'Mẻ sữa'!C145,"")</f>
        <v/>
      </c>
      <c r="S144" s="68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68" t="str">
        <f>IF('Mẻ sữa'!C146&lt;&gt;"",'Mẻ sữa'!C146,"")</f>
        <v/>
      </c>
      <c r="S145" s="68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68" t="str">
        <f>IF('Mẻ sữa'!C147&lt;&gt;"",'Mẻ sữa'!C147,"")</f>
        <v/>
      </c>
      <c r="S146" s="68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68" t="str">
        <f>IF('Mẻ sữa'!C148&lt;&gt;"",'Mẻ sữa'!C148,"")</f>
        <v/>
      </c>
      <c r="S147" s="68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68" t="str">
        <f>IF('Mẻ sữa'!C149&lt;&gt;"",'Mẻ sữa'!C149,"")</f>
        <v/>
      </c>
      <c r="S148" s="68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68" t="str">
        <f>IF('Mẻ sữa'!C150&lt;&gt;"",'Mẻ sữa'!C150,"")</f>
        <v/>
      </c>
      <c r="S149" s="68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68" t="str">
        <f>IF('Mẻ sữa'!C151&lt;&gt;"",'Mẻ sữa'!C151,"")</f>
        <v/>
      </c>
      <c r="S150" s="68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68" t="str">
        <f>IF('Mẻ sữa'!C152&lt;&gt;"",'Mẻ sữa'!C152,"")</f>
        <v/>
      </c>
      <c r="S151" s="68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68" t="str">
        <f>IF('Mẻ sữa'!C153&lt;&gt;"",'Mẻ sữa'!C153,"")</f>
        <v/>
      </c>
      <c r="S152" s="68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68" t="str">
        <f>IF('Mẻ sữa'!C154&lt;&gt;"",'Mẻ sữa'!C154,"")</f>
        <v/>
      </c>
      <c r="S153" s="68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68" t="str">
        <f>IF('Mẻ sữa'!C155&lt;&gt;"",'Mẻ sữa'!C155,"")</f>
        <v/>
      </c>
      <c r="S154" s="68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68" t="str">
        <f>IF('Mẻ sữa'!C156&lt;&gt;"",'Mẻ sữa'!C156,"")</f>
        <v/>
      </c>
      <c r="S155" s="68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68" t="str">
        <f>IF('Mẻ sữa'!C157&lt;&gt;"",'Mẻ sữa'!C157,"")</f>
        <v/>
      </c>
      <c r="S156" s="68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68" t="str">
        <f>IF('Mẻ sữa'!C158&lt;&gt;"",'Mẻ sữa'!C158,"")</f>
        <v/>
      </c>
      <c r="S157" s="68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68" t="str">
        <f>IF('Mẻ sữa'!C159&lt;&gt;"",'Mẻ sữa'!C159,"")</f>
        <v/>
      </c>
      <c r="S158" s="68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68" t="str">
        <f>IF('Mẻ sữa'!C160&lt;&gt;"",'Mẻ sữa'!C160,"")</f>
        <v/>
      </c>
      <c r="S159" s="68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68" t="str">
        <f>IF('Mẻ sữa'!C161&lt;&gt;"",'Mẻ sữa'!C161,"")</f>
        <v/>
      </c>
      <c r="S160" s="68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68" t="str">
        <f>IF('Mẻ sữa'!C162&lt;&gt;"",'Mẻ sữa'!C162,"")</f>
        <v/>
      </c>
      <c r="S161" s="68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68" t="str">
        <f>IF('Mẻ sữa'!C163&lt;&gt;"",'Mẻ sữa'!C163,"")</f>
        <v/>
      </c>
      <c r="S162" s="68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68" t="str">
        <f>IF('Mẻ sữa'!C164&lt;&gt;"",'Mẻ sữa'!C164,"")</f>
        <v/>
      </c>
      <c r="S163" s="68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68" t="str">
        <f>IF('Mẻ sữa'!C165&lt;&gt;"",'Mẻ sữa'!C165,"")</f>
        <v/>
      </c>
      <c r="S164" s="68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68" t="str">
        <f>IF('Mẻ sữa'!C166&lt;&gt;"",'Mẻ sữa'!C166,"")</f>
        <v/>
      </c>
      <c r="S165" s="68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68" t="str">
        <f>IF('Mẻ sữa'!C167&lt;&gt;"",'Mẻ sữa'!C167,"")</f>
        <v/>
      </c>
      <c r="S166" s="68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68" t="str">
        <f>IF('Mẻ sữa'!C168&lt;&gt;"",'Mẻ sữa'!C168,"")</f>
        <v/>
      </c>
      <c r="S167" s="68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68" t="str">
        <f>IF('Mẻ sữa'!C169&lt;&gt;"",'Mẻ sữa'!C169,"")</f>
        <v/>
      </c>
      <c r="S168" s="68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68" t="str">
        <f>IF('Mẻ sữa'!C170&lt;&gt;"",'Mẻ sữa'!C170,"")</f>
        <v/>
      </c>
      <c r="S169" s="68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68" t="str">
        <f>IF('Mẻ sữa'!C171&lt;&gt;"",'Mẻ sữa'!C171,"")</f>
        <v/>
      </c>
      <c r="S170" s="68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68" t="str">
        <f>IF('Mẻ sữa'!C172&lt;&gt;"",'Mẻ sữa'!C172,"")</f>
        <v/>
      </c>
      <c r="S171" s="68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68" t="str">
        <f>IF('Mẻ sữa'!C173&lt;&gt;"",'Mẻ sữa'!C173,"")</f>
        <v/>
      </c>
      <c r="S172" s="68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68" t="str">
        <f>IF('Mẻ sữa'!C174&lt;&gt;"",'Mẻ sữa'!C174,"")</f>
        <v/>
      </c>
      <c r="S173" s="68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68" t="str">
        <f>IF('Mẻ sữa'!C175&lt;&gt;"",'Mẻ sữa'!C175,"")</f>
        <v/>
      </c>
      <c r="S174" s="68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68" t="str">
        <f>IF('Mẻ sữa'!C176&lt;&gt;"",'Mẻ sữa'!C176,"")</f>
        <v/>
      </c>
      <c r="S175" s="68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68" t="str">
        <f>IF('Mẻ sữa'!C177&lt;&gt;"",'Mẻ sữa'!C177,"")</f>
        <v/>
      </c>
      <c r="S176" s="68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68" t="str">
        <f>IF('Mẻ sữa'!C178&lt;&gt;"",'Mẻ sữa'!C178,"")</f>
        <v/>
      </c>
      <c r="S177" s="68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68" t="str">
        <f>IF('Mẻ sữa'!C179&lt;&gt;"",'Mẻ sữa'!C179,"")</f>
        <v/>
      </c>
      <c r="S178" s="68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68" t="str">
        <f>IF('Mẻ sữa'!C180&lt;&gt;"",'Mẻ sữa'!C180,"")</f>
        <v/>
      </c>
      <c r="S179" s="68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68" t="str">
        <f>IF('Mẻ sữa'!C181&lt;&gt;"",'Mẻ sữa'!C181,"")</f>
        <v/>
      </c>
      <c r="S180" s="68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68" t="str">
        <f>IF('Mẻ sữa'!C182&lt;&gt;"",'Mẻ sữa'!C182,"")</f>
        <v/>
      </c>
      <c r="S181" s="68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68" t="str">
        <f>IF('Mẻ sữa'!C183&lt;&gt;"",'Mẻ sữa'!C183,"")</f>
        <v/>
      </c>
      <c r="S182" s="68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68" t="str">
        <f>IF('Mẻ sữa'!C184&lt;&gt;"",'Mẻ sữa'!C184,"")</f>
        <v/>
      </c>
      <c r="S183" s="68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68" t="str">
        <f>IF('Mẻ sữa'!C185&lt;&gt;"",'Mẻ sữa'!C185,"")</f>
        <v/>
      </c>
      <c r="S184" s="68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68" t="str">
        <f>IF('Mẻ sữa'!C186&lt;&gt;"",'Mẻ sữa'!C186,"")</f>
        <v/>
      </c>
      <c r="S185" s="68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68" t="str">
        <f>IF('Mẻ sữa'!C187&lt;&gt;"",'Mẻ sữa'!C187,"")</f>
        <v/>
      </c>
      <c r="S186" s="68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68" t="str">
        <f>IF('Mẻ sữa'!C188&lt;&gt;"",'Mẻ sữa'!C188,"")</f>
        <v/>
      </c>
      <c r="S187" s="68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68" t="str">
        <f>IF('Mẻ sữa'!C189&lt;&gt;"",'Mẻ sữa'!C189,"")</f>
        <v/>
      </c>
      <c r="S188" s="68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68" t="str">
        <f>IF('Mẻ sữa'!C190&lt;&gt;"",'Mẻ sữa'!C190,"")</f>
        <v/>
      </c>
      <c r="S189" s="68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68" t="str">
        <f>IF('Mẻ sữa'!C191&lt;&gt;"",'Mẻ sữa'!C191,"")</f>
        <v/>
      </c>
      <c r="S190" s="68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68" t="str">
        <f>IF('Mẻ sữa'!C192&lt;&gt;"",'Mẻ sữa'!C192,"")</f>
        <v/>
      </c>
      <c r="S191" s="68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68" t="str">
        <f>IF('Mẻ sữa'!C193&lt;&gt;"",'Mẻ sữa'!C193,"")</f>
        <v/>
      </c>
      <c r="S192" s="68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68" t="str">
        <f>IF('Mẻ sữa'!C194&lt;&gt;"",'Mẻ sữa'!C194,"")</f>
        <v/>
      </c>
      <c r="S193" s="68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68" t="str">
        <f>IF('Mẻ sữa'!C195&lt;&gt;"",'Mẻ sữa'!C195,"")</f>
        <v/>
      </c>
      <c r="S194" s="68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68" t="str">
        <f>IF('Mẻ sữa'!C196&lt;&gt;"",'Mẻ sữa'!C196,"")</f>
        <v/>
      </c>
      <c r="S195" s="68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68" t="str">
        <f>IF('Mẻ sữa'!C197&lt;&gt;"",'Mẻ sữa'!C197,"")</f>
        <v/>
      </c>
      <c r="S196" s="68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68" t="str">
        <f>IF('Mẻ sữa'!C198&lt;&gt;"",'Mẻ sữa'!C198,"")</f>
        <v/>
      </c>
      <c r="S197" s="68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68" t="str">
        <f>IF('Mẻ sữa'!C199&lt;&gt;"",'Mẻ sữa'!C199,"")</f>
        <v/>
      </c>
      <c r="S198" s="68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68" t="str">
        <f>IF('Mẻ sữa'!C200&lt;&gt;"",'Mẻ sữa'!C200,"")</f>
        <v/>
      </c>
      <c r="S199" s="68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68" t="str">
        <f>IF('Mẻ sữa'!C201&lt;&gt;"",'Mẻ sữa'!C201,"")</f>
        <v/>
      </c>
      <c r="S200" s="68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68" t="str">
        <f>IF('Mẻ sữa'!C202&lt;&gt;"",'Mẻ sữa'!C202,"")</f>
        <v/>
      </c>
      <c r="S201" s="68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68" t="str">
        <f>IF('Mẻ sữa'!C203&lt;&gt;"",'Mẻ sữa'!C203,"")</f>
        <v/>
      </c>
      <c r="S202" s="68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2">
    <mergeCell ref="A1:P1"/>
    <mergeCell ref="A2:P2"/>
  </mergeCells>
  <dataValidations>
    <dataValidation type="list" allowBlank="1" sqref="C4:C103">
      <formula1>$S$3:$S$5</formula1>
    </dataValidation>
    <dataValidation type="list" allowBlank="1" sqref="B4:B103">
      <formula1>$R$3:$R$202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7.0"/>
    <col customWidth="1" min="3" max="3" width="18.0"/>
    <col customWidth="1" min="4" max="4" width="27.0"/>
    <col customWidth="1" min="5" max="5" width="20.0"/>
    <col customWidth="1" min="6" max="7" width="17.0"/>
    <col customWidth="1" min="8" max="8" width="8.63"/>
    <col customWidth="1" min="9" max="9" width="25.0"/>
    <col customWidth="1" min="10" max="10" width="13.0"/>
    <col customWidth="1" min="11" max="12" width="18.0"/>
    <col customWidth="1" min="13" max="13" width="8.63"/>
    <col customWidth="1" min="14" max="14" width="15.88"/>
    <col customWidth="1" min="15" max="15" width="12.5"/>
    <col customWidth="1" min="16" max="26" width="8.63"/>
  </cols>
  <sheetData>
    <row r="1">
      <c r="A1" s="1" t="s">
        <v>263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264</v>
      </c>
      <c r="B3" s="4" t="s">
        <v>4</v>
      </c>
      <c r="C3" s="2"/>
      <c r="D3" s="4" t="s">
        <v>265</v>
      </c>
      <c r="E3" s="4" t="s">
        <v>266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 t="s">
        <v>267</v>
      </c>
      <c r="B4" s="43">
        <v>46204.0</v>
      </c>
      <c r="C4" s="2"/>
      <c r="D4" s="2" t="s">
        <v>268</v>
      </c>
      <c r="E4" s="2">
        <f>SUMIFS('Bán hàng'!$F$4:$F$503,'Bán hàng'!$A$4:$A$503,"&gt;="&amp;$B$4,'Bán hàng'!$A$4:$A$503,"&lt;="&amp;$B$5)</f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" t="s">
        <v>269</v>
      </c>
      <c r="B5" s="43">
        <v>46234.0</v>
      </c>
      <c r="C5" s="2"/>
      <c r="D5" s="2" t="s">
        <v>270</v>
      </c>
      <c r="E5" s="88">
        <f>SUMIFS('Bán hàng'!$I$4:$I$503,'Bán hàng'!$A$4:$A$503,"&gt;="&amp;$B$4,'Bán hàng'!$A$4:$A$503,"&lt;="&amp;$B$5)</f>
        <v>540000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"/>
      <c r="B6" s="2"/>
      <c r="C6" s="2"/>
      <c r="D6" s="2" t="s">
        <v>271</v>
      </c>
      <c r="E6" s="88">
        <f>SUMIFS('Bán hàng'!$H$4:$H$503,'Bán hàng'!$A$4:$A$503,"&gt;="&amp;$B$4,'Bán hàng'!$A$4:$A$503,"&lt;="&amp;$B$5)</f>
        <v>35000</v>
      </c>
      <c r="F6" s="2"/>
      <c r="G6" s="89" t="s">
        <v>272</v>
      </c>
      <c r="H6" s="89" t="s">
        <v>273</v>
      </c>
      <c r="I6" s="89" t="s">
        <v>274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/>
      <c r="B7" s="2"/>
      <c r="C7" s="2"/>
      <c r="D7" s="2" t="s">
        <v>275</v>
      </c>
      <c r="E7" s="88">
        <f>SUMIFS('Nhập hàng'!$K$4:$K$503,'Nhập hàng'!$A$4:$A$503,"&gt;="&amp;$B$4,'Nhập hàng'!$A$4:$A$503,"&lt;="&amp;$B$5)</f>
        <v>2677500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2"/>
      <c r="B8" s="2"/>
      <c r="C8" s="2"/>
      <c r="D8" s="2" t="s">
        <v>276</v>
      </c>
      <c r="E8" s="88">
        <f>SUMIFS('Bán hàng'!$P$4:$P$503,'Bán hàng'!$A$4:$A$503,"&gt;="&amp;$B$4,'Bán hàng'!$A$4:$A$503,"&lt;="&amp;$B$5)</f>
        <v>275786.7905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 t="s">
        <v>277</v>
      </c>
      <c r="E9" s="88">
        <f>E5-E8</f>
        <v>264213.2095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2"/>
      <c r="B10" s="2"/>
      <c r="C10" s="2"/>
      <c r="D10" s="2" t="s">
        <v>278</v>
      </c>
      <c r="E10" s="90">
        <f>IFERROR(E9/E5,0)</f>
        <v>0.4892837213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"/>
      <c r="B11" s="2"/>
      <c r="C11" s="2"/>
      <c r="D11" s="2" t="s">
        <v>279</v>
      </c>
      <c r="E11" s="88">
        <f>'Thiết lập'!$B$10*($B$5-$B$4+1)/30</f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"/>
      <c r="B12" s="2"/>
      <c r="C12" s="2"/>
      <c r="D12" s="2" t="s">
        <v>280</v>
      </c>
      <c r="E12" s="88">
        <f>'Thiết lập'!$B$11*($B$5-$B$4+1)/30</f>
        <v>94409.35185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"/>
      <c r="B13" s="2"/>
      <c r="C13" s="2"/>
      <c r="D13" s="2" t="s">
        <v>281</v>
      </c>
      <c r="E13" s="88">
        <f>E9-E11-E12</f>
        <v>169803.8577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"/>
      <c r="B14" s="2"/>
      <c r="C14" s="2"/>
      <c r="D14" s="2" t="s">
        <v>282</v>
      </c>
      <c r="E14" s="88">
        <f>'Mẻ sữa'!$U$6</f>
        <v>14827.60417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2"/>
      <c r="B15" s="2"/>
      <c r="C15" s="2"/>
      <c r="D15" s="2" t="s">
        <v>283</v>
      </c>
      <c r="E15" s="88">
        <f>'Đầu tư &amp; Tài sản'!$B$207</f>
        <v>2637200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2"/>
      <c r="C16" s="2"/>
      <c r="D16" s="2" t="s">
        <v>284</v>
      </c>
      <c r="E16" s="88">
        <f>SUMIFS('Đầu tư &amp; Tài sản'!$F$4:$F$203,'Đầu tư &amp; Tài sản'!$A$4:$A$203,"&gt;="&amp;$B$4,'Đầu tư &amp; Tài sản'!$A$4:$A$203,"&lt;="&amp;$B$5)</f>
        <v>2637200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3" t="s">
        <v>285</v>
      </c>
      <c r="H17" s="2"/>
      <c r="I17" s="3" t="s">
        <v>286</v>
      </c>
      <c r="M17" s="2"/>
      <c r="N17" s="18" t="s">
        <v>215</v>
      </c>
      <c r="O17" s="18" t="s">
        <v>197</v>
      </c>
      <c r="P17" s="2"/>
      <c r="Q17" s="2"/>
      <c r="R17" s="2"/>
      <c r="S17" s="2"/>
      <c r="T17" s="2"/>
      <c r="U17" s="2"/>
      <c r="V17" s="2"/>
      <c r="W17" s="2"/>
    </row>
    <row r="18">
      <c r="A18" s="4" t="s">
        <v>215</v>
      </c>
      <c r="B18" s="4" t="s">
        <v>287</v>
      </c>
      <c r="C18" s="4" t="s">
        <v>288</v>
      </c>
      <c r="D18" s="4" t="s">
        <v>289</v>
      </c>
      <c r="E18" s="4" t="s">
        <v>290</v>
      </c>
      <c r="F18" s="4" t="s">
        <v>197</v>
      </c>
      <c r="G18" s="4" t="s">
        <v>200</v>
      </c>
      <c r="H18" s="2"/>
      <c r="I18" s="4" t="s">
        <v>16</v>
      </c>
      <c r="J18" s="4" t="s">
        <v>291</v>
      </c>
      <c r="K18" s="4" t="s">
        <v>270</v>
      </c>
      <c r="L18" s="4" t="s">
        <v>292</v>
      </c>
      <c r="M18" s="2"/>
      <c r="N18" s="18" t="str">
        <f>'Mẻ sữa'!C4</f>
        <v>Mẻ test 15L</v>
      </c>
      <c r="O18" s="91">
        <f>'Mẻ sữa'!O4</f>
        <v>11862.08333</v>
      </c>
      <c r="P18" s="2"/>
      <c r="Q18" s="2"/>
      <c r="R18" s="2"/>
      <c r="S18" s="2"/>
      <c r="T18" s="2"/>
      <c r="U18" s="2"/>
      <c r="V18" s="2"/>
      <c r="W18" s="2"/>
    </row>
    <row r="19">
      <c r="A19" s="2" t="str">
        <f>'Mẻ sữa'!C4</f>
        <v>Mẻ test 15L</v>
      </c>
      <c r="B19" s="92">
        <f>'Mẻ sữa'!D4</f>
        <v>16</v>
      </c>
      <c r="C19" s="88">
        <f>'Mẻ sữa'!J4</f>
        <v>460483.3333</v>
      </c>
      <c r="D19" s="88">
        <f>'Mẻ sữa'!L4</f>
        <v>474483.3333</v>
      </c>
      <c r="E19" s="88">
        <f>'Mẻ sữa'!M4</f>
        <v>29655.20833</v>
      </c>
      <c r="F19" s="88">
        <f>'Mẻ sữa'!O4</f>
        <v>11862.08333</v>
      </c>
      <c r="G19" s="88">
        <f>'Mẻ sữa'!P4</f>
        <v>16310.36458</v>
      </c>
      <c r="H19" s="2"/>
      <c r="I19" s="2" t="str">
        <f>'Sản phẩm'!D4</f>
        <v>Oreo - Size M</v>
      </c>
      <c r="J19" s="2">
        <f>SUMIFS('Bán hàng'!$F$4:$F$503,'Bán hàng'!$B$4:$B$503,I19,'Bán hàng'!$A$4:$A$503,"&gt;="&amp;$B$4,'Bán hàng'!$A$4:$A$503,"&lt;="&amp;$B$5)</f>
        <v>8</v>
      </c>
      <c r="K19" s="88">
        <f>SUMIFS('Bán hàng'!$I$4:$I$503,'Bán hàng'!$B$4:$B$503,I19,'Bán hàng'!$A$4:$A$503,"&gt;="&amp;$B$4,'Bán hàng'!$A$4:$A$503,"&lt;="&amp;$B$5)</f>
        <v>245000</v>
      </c>
      <c r="L19" s="88">
        <f>SUMIFS('Bán hàng'!$Q$4:$Q$503,'Bán hàng'!$B$4:$B$503,I19,'Bán hàng'!$A$4:$A$503,"&gt;="&amp;$B$4,'Bán hàng'!$A$4:$A$503,"&lt;="&amp;$B$5)</f>
        <v>107873.5</v>
      </c>
      <c r="M19" s="2"/>
      <c r="N19" s="18" t="str">
        <f>'Mẻ sữa'!C5</f>
        <v>Mẻ test 6L</v>
      </c>
      <c r="O19" s="91">
        <f>'Mẻ sữa'!O5</f>
        <v>1030298.925</v>
      </c>
      <c r="P19" s="2"/>
      <c r="Q19" s="2"/>
      <c r="R19" s="2"/>
      <c r="S19" s="2"/>
      <c r="T19" s="2"/>
      <c r="U19" s="2"/>
      <c r="V19" s="2"/>
      <c r="W19" s="2"/>
    </row>
    <row r="20">
      <c r="A20" s="2" t="str">
        <f>'Mẻ sữa'!C5</f>
        <v>Mẻ test 6L</v>
      </c>
      <c r="B20" s="92">
        <f>'Mẻ sữa'!D5</f>
        <v>6.2</v>
      </c>
      <c r="C20" s="88">
        <f>'Mẻ sữa'!J5</f>
        <v>15955633.33</v>
      </c>
      <c r="D20" s="88">
        <f>'Mẻ sữa'!L5</f>
        <v>15969633.33</v>
      </c>
      <c r="E20" s="88">
        <f>'Mẻ sữa'!M5</f>
        <v>2575747.312</v>
      </c>
      <c r="F20" s="88">
        <f>'Mẻ sữa'!O5</f>
        <v>1030298.925</v>
      </c>
      <c r="G20" s="88">
        <f>'Mẻ sữa'!P5</f>
        <v>1416661.022</v>
      </c>
      <c r="H20" s="2"/>
      <c r="I20" s="2" t="str">
        <f>'Sản phẩm'!D5</f>
        <v>Oreo - Size L</v>
      </c>
      <c r="J20" s="2">
        <f>SUMIFS('Bán hàng'!$F$4:$F$503,'Bán hàng'!$B$4:$B$503,I20,'Bán hàng'!$A$4:$A$503,"&gt;="&amp;$B$4,'Bán hàng'!$A$4:$A$503,"&lt;="&amp;$B$5)</f>
        <v>2</v>
      </c>
      <c r="K20" s="88">
        <f>SUMIFS('Bán hàng'!$I$4:$I$503,'Bán hàng'!$B$4:$B$503,I20,'Bán hàng'!$A$4:$A$503,"&gt;="&amp;$B$4,'Bán hàng'!$A$4:$A$503,"&lt;="&amp;$B$5)</f>
        <v>80000</v>
      </c>
      <c r="L20" s="88">
        <f>SUMIFS('Bán hàng'!$Q$4:$Q$503,'Bán hàng'!$B$4:$B$503,I20,'Bán hàng'!$A$4:$A$503,"&gt;="&amp;$B$4,'Bán hàng'!$A$4:$A$503,"&lt;="&amp;$B$5)</f>
        <v>36376.98438</v>
      </c>
      <c r="M20" s="2"/>
      <c r="N20" s="18" t="str">
        <f>'Mẻ sữa'!C6</f>
        <v/>
      </c>
      <c r="O20" s="91">
        <f>'Mẻ sữa'!O6</f>
        <v>0</v>
      </c>
      <c r="P20" s="2"/>
      <c r="Q20" s="2"/>
      <c r="R20" s="2"/>
      <c r="S20" s="2"/>
      <c r="T20" s="2"/>
      <c r="U20" s="2"/>
      <c r="V20" s="2"/>
      <c r="W20" s="2"/>
    </row>
    <row r="21" ht="15.75" customHeight="1">
      <c r="A21" s="2" t="str">
        <f>'Mẻ sữa'!C6</f>
        <v/>
      </c>
      <c r="B21" s="92" t="str">
        <f>'Mẻ sữa'!D6</f>
        <v/>
      </c>
      <c r="C21" s="88">
        <f>'Mẻ sữa'!J6</f>
        <v>0</v>
      </c>
      <c r="D21" s="88">
        <f>'Mẻ sữa'!L6</f>
        <v>0</v>
      </c>
      <c r="E21" s="88">
        <f>'Mẻ sữa'!M6</f>
        <v>0</v>
      </c>
      <c r="F21" s="88">
        <f>'Mẻ sữa'!O6</f>
        <v>0</v>
      </c>
      <c r="G21" s="88">
        <f>'Mẻ sữa'!P6</f>
        <v>0</v>
      </c>
      <c r="H21" s="2"/>
      <c r="I21" s="2" t="str">
        <f>'Sản phẩm'!D6</f>
        <v>Dừa non - Size M</v>
      </c>
      <c r="J21" s="2">
        <f>SUMIFS('Bán hàng'!$F$4:$F$503,'Bán hàng'!$B$4:$B$503,I21,'Bán hàng'!$A$4:$A$503,"&gt;="&amp;$B$4,'Bán hàng'!$A$4:$A$503,"&lt;="&amp;$B$5)</f>
        <v>5</v>
      </c>
      <c r="K21" s="88">
        <f>SUMIFS('Bán hàng'!$I$4:$I$503,'Bán hàng'!$B$4:$B$503,I21,'Bán hàng'!$A$4:$A$503,"&gt;="&amp;$B$4,'Bán hàng'!$A$4:$A$503,"&lt;="&amp;$B$5)</f>
        <v>175000</v>
      </c>
      <c r="L21" s="88">
        <f>SUMIFS('Bán hàng'!$Q$4:$Q$503,'Bán hàng'!$B$4:$B$503,I21,'Bán hàng'!$A$4:$A$503,"&gt;="&amp;$B$4,'Bán hàng'!$A$4:$A$503,"&lt;="&amp;$B$5)</f>
        <v>99694.51705</v>
      </c>
      <c r="M21" s="2"/>
      <c r="N21" s="18" t="str">
        <f>'Mẻ sữa'!C7</f>
        <v/>
      </c>
      <c r="O21" s="91">
        <f>'Mẻ sữa'!O7</f>
        <v>0</v>
      </c>
      <c r="P21" s="2"/>
      <c r="Q21" s="2"/>
      <c r="R21" s="2"/>
      <c r="S21" s="2"/>
      <c r="T21" s="2"/>
      <c r="U21" s="2"/>
      <c r="V21" s="2"/>
      <c r="W21" s="2"/>
    </row>
    <row r="22" ht="15.75" customHeight="1">
      <c r="A22" s="2" t="str">
        <f>'Mẻ sữa'!C7</f>
        <v/>
      </c>
      <c r="B22" s="92" t="str">
        <f>'Mẻ sữa'!D7</f>
        <v/>
      </c>
      <c r="C22" s="88">
        <f>'Mẻ sữa'!J7</f>
        <v>0</v>
      </c>
      <c r="D22" s="88">
        <f>'Mẻ sữa'!L7</f>
        <v>0</v>
      </c>
      <c r="E22" s="88">
        <f>'Mẻ sữa'!M7</f>
        <v>0</v>
      </c>
      <c r="F22" s="88">
        <f>'Mẻ sữa'!O7</f>
        <v>0</v>
      </c>
      <c r="G22" s="88">
        <f>'Mẻ sữa'!P7</f>
        <v>0</v>
      </c>
      <c r="H22" s="2"/>
      <c r="I22" s="2" t="str">
        <f>'Sản phẩm'!D7</f>
        <v>Dừa non - Size L</v>
      </c>
      <c r="J22" s="2">
        <f>SUMIFS('Bán hàng'!$F$4:$F$503,'Bán hàng'!$B$4:$B$503,I22,'Bán hàng'!$A$4:$A$503,"&gt;="&amp;$B$4,'Bán hàng'!$A$4:$A$503,"&lt;="&amp;$B$5)</f>
        <v>1</v>
      </c>
      <c r="K22" s="88">
        <f>SUMIFS('Bán hàng'!$I$4:$I$503,'Bán hàng'!$B$4:$B$503,I22,'Bán hàng'!$A$4:$A$503,"&gt;="&amp;$B$4,'Bán hàng'!$A$4:$A$503,"&lt;="&amp;$B$5)</f>
        <v>40000</v>
      </c>
      <c r="L22" s="88">
        <f>SUMIFS('Bán hàng'!$Q$4:$Q$503,'Bán hàng'!$B$4:$B$503,I22,'Bán hàng'!$A$4:$A$503,"&gt;="&amp;$B$4,'Bán hàng'!$A$4:$A$503,"&lt;="&amp;$B$5)</f>
        <v>20268.2081</v>
      </c>
      <c r="M22" s="2"/>
      <c r="N22" s="18" t="str">
        <f>'Mẻ sữa'!C8</f>
        <v/>
      </c>
      <c r="O22" s="91">
        <f>'Mẻ sữa'!O8</f>
        <v>0</v>
      </c>
      <c r="P22" s="2"/>
      <c r="Q22" s="2"/>
      <c r="R22" s="2"/>
      <c r="S22" s="2"/>
      <c r="T22" s="2"/>
      <c r="U22" s="2"/>
      <c r="V22" s="2"/>
      <c r="W22" s="2"/>
    </row>
    <row r="23" ht="15.75" customHeight="1">
      <c r="A23" s="2" t="str">
        <f>'Mẻ sữa'!C8</f>
        <v/>
      </c>
      <c r="B23" s="92" t="str">
        <f>'Mẻ sữa'!D8</f>
        <v/>
      </c>
      <c r="C23" s="88">
        <f>'Mẻ sữa'!J8</f>
        <v>0</v>
      </c>
      <c r="D23" s="88">
        <f>'Mẻ sữa'!L8</f>
        <v>0</v>
      </c>
      <c r="E23" s="88">
        <f>'Mẻ sữa'!M8</f>
        <v>0</v>
      </c>
      <c r="F23" s="88">
        <f>'Mẻ sữa'!O8</f>
        <v>0</v>
      </c>
      <c r="G23" s="88">
        <f>'Mẻ sữa'!P8</f>
        <v>0</v>
      </c>
      <c r="H23" s="2"/>
      <c r="I23" s="2" t="str">
        <f>'Sản phẩm'!D8</f>
        <v>Dâu giòn - Size M</v>
      </c>
      <c r="J23" s="2">
        <f>SUMIFS('Bán hàng'!$F$4:$F$503,'Bán hàng'!$B$4:$B$503,I23,'Bán hàng'!$A$4:$A$503,"&gt;="&amp;$B$4,'Bán hàng'!$A$4:$A$503,"&lt;="&amp;$B$5)</f>
        <v>0</v>
      </c>
      <c r="K23" s="88">
        <f>SUMIFS('Bán hàng'!$I$4:$I$503,'Bán hàng'!$B$4:$B$503,I23,'Bán hàng'!$A$4:$A$503,"&gt;="&amp;$B$4,'Bán hàng'!$A$4:$A$503,"&lt;="&amp;$B$5)</f>
        <v>0</v>
      </c>
      <c r="L23" s="88">
        <f>SUMIFS('Bán hàng'!$Q$4:$Q$503,'Bán hàng'!$B$4:$B$503,I23,'Bán hàng'!$A$4:$A$503,"&gt;="&amp;$B$4,'Bán hàng'!$A$4:$A$503,"&lt;="&amp;$B$5)</f>
        <v>0</v>
      </c>
      <c r="M23" s="2"/>
      <c r="N23" s="18" t="str">
        <f>'Mẻ sữa'!C9</f>
        <v/>
      </c>
      <c r="O23" s="91">
        <f>'Mẻ sữa'!O9</f>
        <v>0</v>
      </c>
      <c r="P23" s="2"/>
      <c r="Q23" s="2"/>
      <c r="R23" s="2"/>
      <c r="S23" s="2"/>
      <c r="T23" s="2"/>
      <c r="U23" s="2"/>
      <c r="V23" s="2"/>
      <c r="W23" s="2"/>
    </row>
    <row r="24" ht="15.75" customHeight="1">
      <c r="A24" s="2" t="str">
        <f>'Mẻ sữa'!C9</f>
        <v/>
      </c>
      <c r="B24" s="92" t="str">
        <f>'Mẻ sữa'!D9</f>
        <v/>
      </c>
      <c r="C24" s="88">
        <f>'Mẻ sữa'!J9</f>
        <v>0</v>
      </c>
      <c r="D24" s="88">
        <f>'Mẻ sữa'!L9</f>
        <v>0</v>
      </c>
      <c r="E24" s="88">
        <f>'Mẻ sữa'!M9</f>
        <v>0</v>
      </c>
      <c r="F24" s="88">
        <f>'Mẻ sữa'!O9</f>
        <v>0</v>
      </c>
      <c r="G24" s="88">
        <f>'Mẻ sữa'!P9</f>
        <v>0</v>
      </c>
      <c r="H24" s="2"/>
      <c r="I24" s="2" t="str">
        <f>'Sản phẩm'!D9</f>
        <v>Dâu giòn - Size L</v>
      </c>
      <c r="J24" s="2">
        <f>SUMIFS('Bán hàng'!$F$4:$F$503,'Bán hàng'!$B$4:$B$503,I24,'Bán hàng'!$A$4:$A$503,"&gt;="&amp;$B$4,'Bán hàng'!$A$4:$A$503,"&lt;="&amp;$B$5)</f>
        <v>0</v>
      </c>
      <c r="K24" s="88">
        <f>SUMIFS('Bán hàng'!$I$4:$I$503,'Bán hàng'!$B$4:$B$503,I24,'Bán hàng'!$A$4:$A$503,"&gt;="&amp;$B$4,'Bán hàng'!$A$4:$A$503,"&lt;="&amp;$B$5)</f>
        <v>0</v>
      </c>
      <c r="L24" s="88">
        <f>SUMIFS('Bán hàng'!$Q$4:$Q$503,'Bán hàng'!$B$4:$B$503,I24,'Bán hàng'!$A$4:$A$503,"&gt;="&amp;$B$4,'Bán hàng'!$A$4:$A$503,"&lt;="&amp;$B$5)</f>
        <v>0</v>
      </c>
      <c r="M24" s="2"/>
      <c r="N24" s="18" t="str">
        <f>'Mẻ sữa'!C10</f>
        <v/>
      </c>
      <c r="O24" s="91">
        <f>'Mẻ sữa'!O10</f>
        <v>0</v>
      </c>
      <c r="P24" s="2"/>
      <c r="Q24" s="2"/>
      <c r="R24" s="2"/>
      <c r="S24" s="2"/>
      <c r="T24" s="2"/>
      <c r="U24" s="2"/>
      <c r="V24" s="2"/>
      <c r="W24" s="2"/>
    </row>
    <row r="25" ht="15.75" customHeight="1">
      <c r="A25" s="2" t="str">
        <f>'Mẻ sữa'!C10</f>
        <v/>
      </c>
      <c r="B25" s="92" t="str">
        <f>'Mẻ sữa'!D10</f>
        <v/>
      </c>
      <c r="C25" s="88">
        <f>'Mẻ sữa'!J10</f>
        <v>0</v>
      </c>
      <c r="D25" s="88">
        <f>'Mẻ sữa'!L10</f>
        <v>0</v>
      </c>
      <c r="E25" s="88">
        <f>'Mẻ sữa'!M10</f>
        <v>0</v>
      </c>
      <c r="F25" s="88">
        <f>'Mẻ sữa'!O10</f>
        <v>0</v>
      </c>
      <c r="G25" s="88">
        <f>'Mẻ sữa'!P10</f>
        <v>0</v>
      </c>
      <c r="H25" s="2"/>
      <c r="I25" s="2" t="str">
        <f>'Sản phẩm'!D10</f>
        <v>Sữa chua sấy - Size M</v>
      </c>
      <c r="J25" s="2">
        <f>SUMIFS('Bán hàng'!$F$4:$F$503,'Bán hàng'!$B$4:$B$503,I25,'Bán hàng'!$A$4:$A$503,"&gt;="&amp;$B$4,'Bán hàng'!$A$4:$A$503,"&lt;="&amp;$B$5)</f>
        <v>0</v>
      </c>
      <c r="K25" s="88">
        <f>SUMIFS('Bán hàng'!$I$4:$I$503,'Bán hàng'!$B$4:$B$503,I25,'Bán hàng'!$A$4:$A$503,"&gt;="&amp;$B$4,'Bán hàng'!$A$4:$A$503,"&lt;="&amp;$B$5)</f>
        <v>0</v>
      </c>
      <c r="L25" s="88">
        <f>SUMIFS('Bán hàng'!$Q$4:$Q$503,'Bán hàng'!$B$4:$B$503,I25,'Bán hàng'!$A$4:$A$503,"&gt;="&amp;$B$4,'Bán hàng'!$A$4:$A$503,"&lt;="&amp;$B$5)</f>
        <v>0</v>
      </c>
      <c r="M25" s="2"/>
      <c r="N25" s="18" t="str">
        <f>'Mẻ sữa'!C11</f>
        <v/>
      </c>
      <c r="O25" s="91">
        <f>'Mẻ sữa'!O11</f>
        <v>0</v>
      </c>
      <c r="P25" s="2"/>
      <c r="Q25" s="2"/>
      <c r="R25" s="2"/>
      <c r="S25" s="2"/>
      <c r="T25" s="2"/>
      <c r="U25" s="2"/>
      <c r="V25" s="2"/>
      <c r="W25" s="2"/>
    </row>
    <row r="26" ht="15.75" customHeight="1">
      <c r="A26" s="2" t="str">
        <f>'Mẻ sữa'!C11</f>
        <v/>
      </c>
      <c r="B26" s="92" t="str">
        <f>'Mẻ sữa'!D11</f>
        <v/>
      </c>
      <c r="C26" s="88">
        <f>'Mẻ sữa'!J11</f>
        <v>0</v>
      </c>
      <c r="D26" s="88">
        <f>'Mẻ sữa'!L11</f>
        <v>0</v>
      </c>
      <c r="E26" s="88">
        <f>'Mẻ sữa'!M11</f>
        <v>0</v>
      </c>
      <c r="F26" s="88">
        <f>'Mẻ sữa'!O11</f>
        <v>0</v>
      </c>
      <c r="G26" s="88">
        <f>'Mẻ sữa'!P11</f>
        <v>0</v>
      </c>
      <c r="H26" s="2"/>
      <c r="I26" s="2" t="str">
        <f>'Sản phẩm'!D11</f>
        <v>Sữa chua sấy - Size L</v>
      </c>
      <c r="J26" s="2">
        <f>SUMIFS('Bán hàng'!$F$4:$F$503,'Bán hàng'!$B$4:$B$503,I26,'Bán hàng'!$A$4:$A$503,"&gt;="&amp;$B$4,'Bán hàng'!$A$4:$A$503,"&lt;="&amp;$B$5)</f>
        <v>0</v>
      </c>
      <c r="K26" s="88">
        <f>SUMIFS('Bán hàng'!$I$4:$I$503,'Bán hàng'!$B$4:$B$503,I26,'Bán hàng'!$A$4:$A$503,"&gt;="&amp;$B$4,'Bán hàng'!$A$4:$A$503,"&lt;="&amp;$B$5)</f>
        <v>0</v>
      </c>
      <c r="L26" s="88">
        <f>SUMIFS('Bán hàng'!$Q$4:$Q$503,'Bán hàng'!$B$4:$B$503,I26,'Bán hàng'!$A$4:$A$503,"&gt;="&amp;$B$4,'Bán hàng'!$A$4:$A$503,"&lt;="&amp;$B$5)</f>
        <v>0</v>
      </c>
      <c r="M26" s="2"/>
      <c r="N26" s="18" t="str">
        <f>'Mẻ sữa'!C12</f>
        <v/>
      </c>
      <c r="O26" s="91">
        <f>'Mẻ sữa'!O12</f>
        <v>0</v>
      </c>
      <c r="P26" s="2"/>
      <c r="Q26" s="2"/>
      <c r="R26" s="2"/>
      <c r="S26" s="2"/>
      <c r="T26" s="2"/>
      <c r="U26" s="2"/>
      <c r="V26" s="2"/>
      <c r="W26" s="2"/>
    </row>
    <row r="27" ht="15.75" customHeight="1">
      <c r="A27" s="2" t="str">
        <f>'Mẻ sữa'!C12</f>
        <v/>
      </c>
      <c r="B27" s="92" t="str">
        <f>'Mẻ sữa'!D12</f>
        <v/>
      </c>
      <c r="C27" s="88">
        <f>'Mẻ sữa'!J12</f>
        <v>0</v>
      </c>
      <c r="D27" s="88">
        <f>'Mẻ sữa'!L12</f>
        <v>0</v>
      </c>
      <c r="E27" s="88">
        <f>'Mẻ sữa'!M12</f>
        <v>0</v>
      </c>
      <c r="F27" s="88">
        <f>'Mẻ sữa'!O12</f>
        <v>0</v>
      </c>
      <c r="G27" s="88">
        <f>'Mẻ sữa'!P12</f>
        <v>0</v>
      </c>
      <c r="H27" s="2"/>
      <c r="I27" s="2" t="str">
        <f>'Sản phẩm'!D12</f>
        <v>Choco Ball - Size M</v>
      </c>
      <c r="J27" s="2">
        <f>SUMIFS('Bán hàng'!$F$4:$F$503,'Bán hàng'!$B$4:$B$503,I27,'Bán hàng'!$A$4:$A$503,"&gt;="&amp;$B$4,'Bán hàng'!$A$4:$A$503,"&lt;="&amp;$B$5)</f>
        <v>0</v>
      </c>
      <c r="K27" s="88">
        <f>SUMIFS('Bán hàng'!$I$4:$I$503,'Bán hàng'!$B$4:$B$503,I27,'Bán hàng'!$A$4:$A$503,"&gt;="&amp;$B$4,'Bán hàng'!$A$4:$A$503,"&lt;="&amp;$B$5)</f>
        <v>0</v>
      </c>
      <c r="L27" s="88">
        <f>SUMIFS('Bán hàng'!$Q$4:$Q$503,'Bán hàng'!$B$4:$B$503,I27,'Bán hàng'!$A$4:$A$503,"&gt;="&amp;$B$4,'Bán hàng'!$A$4:$A$503,"&lt;="&amp;$B$5)</f>
        <v>0</v>
      </c>
      <c r="M27" s="2"/>
      <c r="N27" s="18" t="str">
        <f>'Mẻ sữa'!C13</f>
        <v/>
      </c>
      <c r="O27" s="91">
        <f>'Mẻ sữa'!O13</f>
        <v>0</v>
      </c>
      <c r="P27" s="2"/>
      <c r="Q27" s="2"/>
      <c r="R27" s="2"/>
      <c r="S27" s="2"/>
      <c r="T27" s="2"/>
      <c r="U27" s="2"/>
      <c r="V27" s="2"/>
      <c r="W27" s="2"/>
    </row>
    <row r="28" ht="15.75" customHeight="1">
      <c r="A28" s="2" t="str">
        <f>'Mẻ sữa'!C13</f>
        <v/>
      </c>
      <c r="B28" s="92" t="str">
        <f>'Mẻ sữa'!D13</f>
        <v/>
      </c>
      <c r="C28" s="88">
        <f>'Mẻ sữa'!J13</f>
        <v>0</v>
      </c>
      <c r="D28" s="88">
        <f>'Mẻ sữa'!L13</f>
        <v>0</v>
      </c>
      <c r="E28" s="88">
        <f>'Mẻ sữa'!M13</f>
        <v>0</v>
      </c>
      <c r="F28" s="88">
        <f>'Mẻ sữa'!O13</f>
        <v>0</v>
      </c>
      <c r="G28" s="88">
        <f>'Mẻ sữa'!P13</f>
        <v>0</v>
      </c>
      <c r="H28" s="2"/>
      <c r="I28" s="2" t="str">
        <f>'Sản phẩm'!D13</f>
        <v>Choco Ball - Size L</v>
      </c>
      <c r="J28" s="2">
        <f>SUMIFS('Bán hàng'!$F$4:$F$503,'Bán hàng'!$B$4:$B$503,I28,'Bán hàng'!$A$4:$A$503,"&gt;="&amp;$B$4,'Bán hàng'!$A$4:$A$503,"&lt;="&amp;$B$5)</f>
        <v>0</v>
      </c>
      <c r="K28" s="88">
        <f>SUMIFS('Bán hàng'!$I$4:$I$503,'Bán hàng'!$B$4:$B$503,I28,'Bán hàng'!$A$4:$A$503,"&gt;="&amp;$B$4,'Bán hàng'!$A$4:$A$503,"&lt;="&amp;$B$5)</f>
        <v>0</v>
      </c>
      <c r="L28" s="88">
        <f>SUMIFS('Bán hàng'!$Q$4:$Q$503,'Bán hàng'!$B$4:$B$503,I28,'Bán hàng'!$A$4:$A$503,"&gt;="&amp;$B$4,'Bán hàng'!$A$4:$A$503,"&lt;="&amp;$B$5)</f>
        <v>0</v>
      </c>
      <c r="M28" s="2"/>
      <c r="N28" s="18" t="str">
        <f>'Mẻ sữa'!C14</f>
        <v/>
      </c>
      <c r="O28" s="91">
        <f>'Mẻ sữa'!O14</f>
        <v>0</v>
      </c>
      <c r="P28" s="2"/>
      <c r="Q28" s="2"/>
      <c r="R28" s="2"/>
      <c r="S28" s="2"/>
      <c r="T28" s="2"/>
      <c r="U28" s="2"/>
      <c r="V28" s="2"/>
      <c r="W28" s="2"/>
    </row>
    <row r="29" ht="15.75" customHeight="1">
      <c r="A29" s="2" t="str">
        <f>'Mẻ sữa'!C14</f>
        <v/>
      </c>
      <c r="B29" s="92" t="str">
        <f>'Mẻ sữa'!D14</f>
        <v/>
      </c>
      <c r="C29" s="88">
        <f>'Mẻ sữa'!J14</f>
        <v>0</v>
      </c>
      <c r="D29" s="88">
        <f>'Mẻ sữa'!L14</f>
        <v>0</v>
      </c>
      <c r="E29" s="88">
        <f>'Mẻ sữa'!M14</f>
        <v>0</v>
      </c>
      <c r="F29" s="88">
        <f>'Mẻ sữa'!O14</f>
        <v>0</v>
      </c>
      <c r="G29" s="88">
        <f>'Mẻ sữa'!P14</f>
        <v>0</v>
      </c>
      <c r="H29" s="2"/>
      <c r="I29" s="2" t="str">
        <f>'Sản phẩm'!D14</f>
        <v/>
      </c>
      <c r="J29" s="2">
        <f>SUMIFS('Bán hàng'!$F$4:$F$503,'Bán hàng'!$B$4:$B$503,I29,'Bán hàng'!$A$4:$A$503,"&gt;="&amp;$B$4,'Bán hàng'!$A$4:$A$503,"&lt;="&amp;$B$5)</f>
        <v>0</v>
      </c>
      <c r="K29" s="88">
        <f>SUMIFS('Bán hàng'!$I$4:$I$503,'Bán hàng'!$B$4:$B$503,I29,'Bán hàng'!$A$4:$A$503,"&gt;="&amp;$B$4,'Bán hàng'!$A$4:$A$503,"&lt;="&amp;$B$5)</f>
        <v>0</v>
      </c>
      <c r="L29" s="88">
        <f>SUMIFS('Bán hàng'!$Q$4:$Q$503,'Bán hàng'!$B$4:$B$503,I29,'Bán hàng'!$A$4:$A$503,"&gt;="&amp;$B$4,'Bán hàng'!$A$4:$A$503,"&lt;="&amp;$B$5)</f>
        <v>0</v>
      </c>
      <c r="M29" s="2"/>
      <c r="N29" s="18" t="str">
        <f>'Mẻ sữa'!C15</f>
        <v/>
      </c>
      <c r="O29" s="91">
        <f>'Mẻ sữa'!O15</f>
        <v>0</v>
      </c>
      <c r="P29" s="2"/>
      <c r="Q29" s="2"/>
      <c r="R29" s="2"/>
      <c r="S29" s="2"/>
      <c r="T29" s="2"/>
      <c r="U29" s="2"/>
      <c r="V29" s="2"/>
      <c r="W29" s="2"/>
    </row>
    <row r="30" ht="15.75" customHeight="1">
      <c r="A30" s="2" t="str">
        <f>'Mẻ sữa'!C15</f>
        <v/>
      </c>
      <c r="B30" s="92" t="str">
        <f>'Mẻ sữa'!D15</f>
        <v/>
      </c>
      <c r="C30" s="88">
        <f>'Mẻ sữa'!J15</f>
        <v>0</v>
      </c>
      <c r="D30" s="88">
        <f>'Mẻ sữa'!L15</f>
        <v>0</v>
      </c>
      <c r="E30" s="88">
        <f>'Mẻ sữa'!M15</f>
        <v>0</v>
      </c>
      <c r="F30" s="88">
        <f>'Mẻ sữa'!O15</f>
        <v>0</v>
      </c>
      <c r="G30" s="88">
        <f>'Mẻ sữa'!P15</f>
        <v>0</v>
      </c>
      <c r="H30" s="2"/>
      <c r="I30" s="2" t="str">
        <f>'Sản phẩm'!D15</f>
        <v/>
      </c>
      <c r="J30" s="2">
        <f>SUMIFS('Bán hàng'!$F$4:$F$503,'Bán hàng'!$B$4:$B$503,I30,'Bán hàng'!$A$4:$A$503,"&gt;="&amp;$B$4,'Bán hàng'!$A$4:$A$503,"&lt;="&amp;$B$5)</f>
        <v>0</v>
      </c>
      <c r="K30" s="88">
        <f>SUMIFS('Bán hàng'!$I$4:$I$503,'Bán hàng'!$B$4:$B$503,I30,'Bán hàng'!$A$4:$A$503,"&gt;="&amp;$B$4,'Bán hàng'!$A$4:$A$503,"&lt;="&amp;$B$5)</f>
        <v>0</v>
      </c>
      <c r="L30" s="88">
        <f>SUMIFS('Bán hàng'!$Q$4:$Q$503,'Bán hàng'!$B$4:$B$503,I30,'Bán hàng'!$A$4:$A$503,"&gt;="&amp;$B$4,'Bán hàng'!$A$4:$A$503,"&lt;="&amp;$B$5)</f>
        <v>0</v>
      </c>
      <c r="M30" s="2"/>
      <c r="N30" s="18" t="str">
        <f>'Mẻ sữa'!C16</f>
        <v/>
      </c>
      <c r="O30" s="91">
        <f>'Mẻ sữa'!O16</f>
        <v>0</v>
      </c>
      <c r="P30" s="2"/>
      <c r="Q30" s="2"/>
      <c r="R30" s="2"/>
      <c r="S30" s="2"/>
      <c r="T30" s="2"/>
      <c r="U30" s="2"/>
      <c r="V30" s="2"/>
      <c r="W30" s="2"/>
    </row>
    <row r="31" ht="15.75" customHeight="1">
      <c r="A31" s="2" t="str">
        <f>'Mẻ sữa'!C16</f>
        <v/>
      </c>
      <c r="B31" s="92" t="str">
        <f>'Mẻ sữa'!D16</f>
        <v/>
      </c>
      <c r="C31" s="88">
        <f>'Mẻ sữa'!J16</f>
        <v>0</v>
      </c>
      <c r="D31" s="88">
        <f>'Mẻ sữa'!L16</f>
        <v>0</v>
      </c>
      <c r="E31" s="88">
        <f>'Mẻ sữa'!M16</f>
        <v>0</v>
      </c>
      <c r="F31" s="88">
        <f>'Mẻ sữa'!O16</f>
        <v>0</v>
      </c>
      <c r="G31" s="88">
        <f>'Mẻ sữa'!P16</f>
        <v>0</v>
      </c>
      <c r="H31" s="2"/>
      <c r="I31" s="2" t="str">
        <f>'Sản phẩm'!D16</f>
        <v/>
      </c>
      <c r="J31" s="2">
        <f>SUMIFS('Bán hàng'!$F$4:$F$503,'Bán hàng'!$B$4:$B$503,I31,'Bán hàng'!$A$4:$A$503,"&gt;="&amp;$B$4,'Bán hàng'!$A$4:$A$503,"&lt;="&amp;$B$5)</f>
        <v>0</v>
      </c>
      <c r="K31" s="88">
        <f>SUMIFS('Bán hàng'!$I$4:$I$503,'Bán hàng'!$B$4:$B$503,I31,'Bán hàng'!$A$4:$A$503,"&gt;="&amp;$B$4,'Bán hàng'!$A$4:$A$503,"&lt;="&amp;$B$5)</f>
        <v>0</v>
      </c>
      <c r="L31" s="88">
        <f>SUMIFS('Bán hàng'!$Q$4:$Q$503,'Bán hàng'!$B$4:$B$503,I31,'Bán hàng'!$A$4:$A$503,"&gt;="&amp;$B$4,'Bán hàng'!$A$4:$A$503,"&lt;="&amp;$B$5)</f>
        <v>0</v>
      </c>
      <c r="M31" s="2"/>
      <c r="N31" s="18" t="str">
        <f>'Mẻ sữa'!C17</f>
        <v/>
      </c>
      <c r="O31" s="91">
        <f>'Mẻ sữa'!O17</f>
        <v>0</v>
      </c>
      <c r="P31" s="2"/>
      <c r="Q31" s="2"/>
      <c r="R31" s="2"/>
      <c r="S31" s="2"/>
      <c r="T31" s="2"/>
      <c r="U31" s="2"/>
      <c r="V31" s="2"/>
      <c r="W31" s="2"/>
    </row>
    <row r="32" ht="15.75" customHeight="1">
      <c r="A32" s="2" t="str">
        <f>'Mẻ sữa'!C17</f>
        <v/>
      </c>
      <c r="B32" s="92" t="str">
        <f>'Mẻ sữa'!D17</f>
        <v/>
      </c>
      <c r="C32" s="88">
        <f>'Mẻ sữa'!J17</f>
        <v>0</v>
      </c>
      <c r="D32" s="88">
        <f>'Mẻ sữa'!L17</f>
        <v>0</v>
      </c>
      <c r="E32" s="88">
        <f>'Mẻ sữa'!M17</f>
        <v>0</v>
      </c>
      <c r="F32" s="88">
        <f>'Mẻ sữa'!O17</f>
        <v>0</v>
      </c>
      <c r="G32" s="88">
        <f>'Mẻ sữa'!P17</f>
        <v>0</v>
      </c>
      <c r="H32" s="2"/>
      <c r="I32" s="2" t="str">
        <f>'Sản phẩm'!D17</f>
        <v/>
      </c>
      <c r="J32" s="2">
        <f>SUMIFS('Bán hàng'!$F$4:$F$503,'Bán hàng'!$B$4:$B$503,I32,'Bán hàng'!$A$4:$A$503,"&gt;="&amp;$B$4,'Bán hàng'!$A$4:$A$503,"&lt;="&amp;$B$5)</f>
        <v>0</v>
      </c>
      <c r="K32" s="88">
        <f>SUMIFS('Bán hàng'!$I$4:$I$503,'Bán hàng'!$B$4:$B$503,I32,'Bán hàng'!$A$4:$A$503,"&gt;="&amp;$B$4,'Bán hàng'!$A$4:$A$503,"&lt;="&amp;$B$5)</f>
        <v>0</v>
      </c>
      <c r="L32" s="88">
        <f>SUMIFS('Bán hàng'!$Q$4:$Q$503,'Bán hàng'!$B$4:$B$503,I32,'Bán hàng'!$A$4:$A$503,"&gt;="&amp;$B$4,'Bán hàng'!$A$4:$A$503,"&lt;="&amp;$B$5)</f>
        <v>0</v>
      </c>
      <c r="M32" s="2"/>
      <c r="N32" s="18" t="str">
        <f>'Mẻ sữa'!C18</f>
        <v/>
      </c>
      <c r="O32" s="91">
        <f>'Mẻ sữa'!O18</f>
        <v>0</v>
      </c>
      <c r="P32" s="2"/>
      <c r="Q32" s="2"/>
      <c r="R32" s="2"/>
      <c r="S32" s="2"/>
      <c r="T32" s="2"/>
      <c r="U32" s="2"/>
      <c r="V32" s="2"/>
      <c r="W32" s="2"/>
    </row>
    <row r="33" ht="15.75" customHeight="1">
      <c r="A33" s="2" t="str">
        <f>'Mẻ sữa'!C18</f>
        <v/>
      </c>
      <c r="B33" s="92" t="str">
        <f>'Mẻ sữa'!D18</f>
        <v/>
      </c>
      <c r="C33" s="88">
        <f>'Mẻ sữa'!J18</f>
        <v>0</v>
      </c>
      <c r="D33" s="88">
        <f>'Mẻ sữa'!L18</f>
        <v>0</v>
      </c>
      <c r="E33" s="88">
        <f>'Mẻ sữa'!M18</f>
        <v>0</v>
      </c>
      <c r="F33" s="88">
        <f>'Mẻ sữa'!O18</f>
        <v>0</v>
      </c>
      <c r="G33" s="88">
        <f>'Mẻ sữa'!P18</f>
        <v>0</v>
      </c>
      <c r="H33" s="2"/>
      <c r="I33" s="2" t="str">
        <f>'Sản phẩm'!D18</f>
        <v/>
      </c>
      <c r="J33" s="2">
        <f>SUMIFS('Bán hàng'!$F$4:$F$503,'Bán hàng'!$B$4:$B$503,I33,'Bán hàng'!$A$4:$A$503,"&gt;="&amp;$B$4,'Bán hàng'!$A$4:$A$503,"&lt;="&amp;$B$5)</f>
        <v>0</v>
      </c>
      <c r="K33" s="88">
        <f>SUMIFS('Bán hàng'!$I$4:$I$503,'Bán hàng'!$B$4:$B$503,I33,'Bán hàng'!$A$4:$A$503,"&gt;="&amp;$B$4,'Bán hàng'!$A$4:$A$503,"&lt;="&amp;$B$5)</f>
        <v>0</v>
      </c>
      <c r="L33" s="88">
        <f>SUMIFS('Bán hàng'!$Q$4:$Q$503,'Bán hàng'!$B$4:$B$503,I33,'Bán hàng'!$A$4:$A$503,"&gt;="&amp;$B$4,'Bán hàng'!$A$4:$A$503,"&lt;="&amp;$B$5)</f>
        <v>0</v>
      </c>
      <c r="M33" s="2"/>
      <c r="N33" s="18" t="str">
        <f>'Mẻ sữa'!C19</f>
        <v/>
      </c>
      <c r="O33" s="91">
        <f>'Mẻ sữa'!O19</f>
        <v>0</v>
      </c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 t="str">
        <f>'Mẻ sữa'!C19</f>
        <v/>
      </c>
      <c r="B34" s="92" t="str">
        <f>'Mẻ sữa'!D19</f>
        <v/>
      </c>
      <c r="C34" s="88">
        <f>'Mẻ sữa'!J19</f>
        <v>0</v>
      </c>
      <c r="D34" s="88">
        <f>'Mẻ sữa'!L19</f>
        <v>0</v>
      </c>
      <c r="E34" s="88">
        <f>'Mẻ sữa'!M19</f>
        <v>0</v>
      </c>
      <c r="F34" s="88">
        <f>'Mẻ sữa'!O19</f>
        <v>0</v>
      </c>
      <c r="G34" s="88">
        <f>'Mẻ sữa'!P19</f>
        <v>0</v>
      </c>
      <c r="H34" s="2"/>
      <c r="I34" s="2" t="str">
        <f>'Sản phẩm'!D19</f>
        <v/>
      </c>
      <c r="J34" s="2">
        <f>SUMIFS('Bán hàng'!$F$4:$F$503,'Bán hàng'!$B$4:$B$503,I34,'Bán hàng'!$A$4:$A$503,"&gt;="&amp;$B$4,'Bán hàng'!$A$4:$A$503,"&lt;="&amp;$B$5)</f>
        <v>0</v>
      </c>
      <c r="K34" s="88">
        <f>SUMIFS('Bán hàng'!$I$4:$I$503,'Bán hàng'!$B$4:$B$503,I34,'Bán hàng'!$A$4:$A$503,"&gt;="&amp;$B$4,'Bán hàng'!$A$4:$A$503,"&lt;="&amp;$B$5)</f>
        <v>0</v>
      </c>
      <c r="L34" s="88">
        <f>SUMIFS('Bán hàng'!$Q$4:$Q$503,'Bán hàng'!$B$4:$B$503,I34,'Bán hàng'!$A$4:$A$503,"&gt;="&amp;$B$4,'Bán hàng'!$A$4:$A$503,"&lt;="&amp;$B$5)</f>
        <v>0</v>
      </c>
      <c r="M34" s="2"/>
      <c r="N34" s="18" t="str">
        <f>'Mẻ sữa'!C20</f>
        <v/>
      </c>
      <c r="O34" s="91">
        <f>'Mẻ sữa'!O20</f>
        <v>0</v>
      </c>
      <c r="P34" s="2"/>
      <c r="Q34" s="2"/>
      <c r="R34" s="2"/>
      <c r="S34" s="2"/>
      <c r="T34" s="2"/>
      <c r="U34" s="2"/>
      <c r="V34" s="2"/>
      <c r="W34" s="2"/>
    </row>
    <row r="35" ht="15.75" customHeight="1">
      <c r="A35" s="2" t="str">
        <f>'Mẻ sữa'!C20</f>
        <v/>
      </c>
      <c r="B35" s="92" t="str">
        <f>'Mẻ sữa'!D20</f>
        <v/>
      </c>
      <c r="C35" s="88">
        <f>'Mẻ sữa'!J20</f>
        <v>0</v>
      </c>
      <c r="D35" s="88">
        <f>'Mẻ sữa'!L20</f>
        <v>0</v>
      </c>
      <c r="E35" s="88">
        <f>'Mẻ sữa'!M20</f>
        <v>0</v>
      </c>
      <c r="F35" s="88">
        <f>'Mẻ sữa'!O20</f>
        <v>0</v>
      </c>
      <c r="G35" s="88">
        <f>'Mẻ sữa'!P20</f>
        <v>0</v>
      </c>
      <c r="H35" s="2"/>
      <c r="I35" s="2" t="str">
        <f>'Sản phẩm'!D20</f>
        <v/>
      </c>
      <c r="J35" s="2">
        <f>SUMIFS('Bán hàng'!$F$4:$F$503,'Bán hàng'!$B$4:$B$503,I35,'Bán hàng'!$A$4:$A$503,"&gt;="&amp;$B$4,'Bán hàng'!$A$4:$A$503,"&lt;="&amp;$B$5)</f>
        <v>0</v>
      </c>
      <c r="K35" s="88">
        <f>SUMIFS('Bán hàng'!$I$4:$I$503,'Bán hàng'!$B$4:$B$503,I35,'Bán hàng'!$A$4:$A$503,"&gt;="&amp;$B$4,'Bán hàng'!$A$4:$A$503,"&lt;="&amp;$B$5)</f>
        <v>0</v>
      </c>
      <c r="L35" s="88">
        <f>SUMIFS('Bán hàng'!$Q$4:$Q$503,'Bán hàng'!$B$4:$B$503,I35,'Bán hàng'!$A$4:$A$503,"&gt;="&amp;$B$4,'Bán hàng'!$A$4:$A$503,"&lt;="&amp;$B$5)</f>
        <v>0</v>
      </c>
      <c r="M35" s="2"/>
      <c r="N35" s="18" t="str">
        <f>'Mẻ sữa'!C21</f>
        <v/>
      </c>
      <c r="O35" s="91">
        <f>'Mẻ sữa'!O21</f>
        <v>0</v>
      </c>
      <c r="P35" s="2"/>
      <c r="Q35" s="2"/>
      <c r="R35" s="2"/>
      <c r="S35" s="2"/>
      <c r="T35" s="2"/>
      <c r="U35" s="2"/>
      <c r="V35" s="2"/>
      <c r="W35" s="2"/>
    </row>
    <row r="36" ht="15.75" customHeight="1">
      <c r="A36" s="2" t="str">
        <f>'Mẻ sữa'!C21</f>
        <v/>
      </c>
      <c r="B36" s="92" t="str">
        <f>'Mẻ sữa'!D21</f>
        <v/>
      </c>
      <c r="C36" s="88">
        <f>'Mẻ sữa'!J21</f>
        <v>0</v>
      </c>
      <c r="D36" s="88">
        <f>'Mẻ sữa'!L21</f>
        <v>0</v>
      </c>
      <c r="E36" s="88">
        <f>'Mẻ sữa'!M21</f>
        <v>0</v>
      </c>
      <c r="F36" s="88">
        <f>'Mẻ sữa'!O21</f>
        <v>0</v>
      </c>
      <c r="G36" s="88">
        <f>'Mẻ sữa'!P21</f>
        <v>0</v>
      </c>
      <c r="H36" s="2"/>
      <c r="I36" s="2" t="str">
        <f>'Sản phẩm'!D21</f>
        <v/>
      </c>
      <c r="J36" s="2">
        <f>SUMIFS('Bán hàng'!$F$4:$F$503,'Bán hàng'!$B$4:$B$503,I36,'Bán hàng'!$A$4:$A$503,"&gt;="&amp;$B$4,'Bán hàng'!$A$4:$A$503,"&lt;="&amp;$B$5)</f>
        <v>0</v>
      </c>
      <c r="K36" s="88">
        <f>SUMIFS('Bán hàng'!$I$4:$I$503,'Bán hàng'!$B$4:$B$503,I36,'Bán hàng'!$A$4:$A$503,"&gt;="&amp;$B$4,'Bán hàng'!$A$4:$A$503,"&lt;="&amp;$B$5)</f>
        <v>0</v>
      </c>
      <c r="L36" s="88">
        <f>SUMIFS('Bán hàng'!$Q$4:$Q$503,'Bán hàng'!$B$4:$B$503,I36,'Bán hàng'!$A$4:$A$503,"&gt;="&amp;$B$4,'Bán hàng'!$A$4:$A$503,"&lt;="&amp;$B$5)</f>
        <v>0</v>
      </c>
      <c r="M36" s="2"/>
      <c r="N36" s="18" t="str">
        <f>'Mẻ sữa'!C22</f>
        <v/>
      </c>
      <c r="O36" s="91">
        <f>'Mẻ sữa'!O22</f>
        <v>0</v>
      </c>
      <c r="P36" s="2"/>
      <c r="Q36" s="2"/>
      <c r="R36" s="2"/>
      <c r="S36" s="2"/>
      <c r="T36" s="2"/>
      <c r="U36" s="2"/>
      <c r="V36" s="2"/>
      <c r="W36" s="2"/>
    </row>
    <row r="37" ht="15.75" customHeight="1">
      <c r="A37" s="2" t="str">
        <f>'Mẻ sữa'!C22</f>
        <v/>
      </c>
      <c r="B37" s="92" t="str">
        <f>'Mẻ sữa'!D22</f>
        <v/>
      </c>
      <c r="C37" s="88">
        <f>'Mẻ sữa'!J22</f>
        <v>0</v>
      </c>
      <c r="D37" s="88">
        <f>'Mẻ sữa'!L22</f>
        <v>0</v>
      </c>
      <c r="E37" s="88">
        <f>'Mẻ sữa'!M22</f>
        <v>0</v>
      </c>
      <c r="F37" s="88">
        <f>'Mẻ sữa'!O22</f>
        <v>0</v>
      </c>
      <c r="G37" s="88">
        <f>'Mẻ sữa'!P22</f>
        <v>0</v>
      </c>
      <c r="H37" s="2"/>
      <c r="I37" s="2" t="str">
        <f>'Sản phẩm'!D22</f>
        <v/>
      </c>
      <c r="J37" s="2">
        <f>SUMIFS('Bán hàng'!$F$4:$F$503,'Bán hàng'!$B$4:$B$503,I37,'Bán hàng'!$A$4:$A$503,"&gt;="&amp;$B$4,'Bán hàng'!$A$4:$A$503,"&lt;="&amp;$B$5)</f>
        <v>0</v>
      </c>
      <c r="K37" s="88">
        <f>SUMIFS('Bán hàng'!$I$4:$I$503,'Bán hàng'!$B$4:$B$503,I37,'Bán hàng'!$A$4:$A$503,"&gt;="&amp;$B$4,'Bán hàng'!$A$4:$A$503,"&lt;="&amp;$B$5)</f>
        <v>0</v>
      </c>
      <c r="L37" s="88">
        <f>SUMIFS('Bán hàng'!$Q$4:$Q$503,'Bán hàng'!$B$4:$B$503,I37,'Bán hàng'!$A$4:$A$503,"&gt;="&amp;$B$4,'Bán hàng'!$A$4:$A$503,"&lt;="&amp;$B$5)</f>
        <v>0</v>
      </c>
      <c r="M37" s="2"/>
      <c r="N37" s="18" t="str">
        <f>'Mẻ sữa'!C23</f>
        <v/>
      </c>
      <c r="O37" s="91">
        <f>'Mẻ sữa'!O23</f>
        <v>0</v>
      </c>
      <c r="P37" s="2"/>
      <c r="Q37" s="2"/>
      <c r="R37" s="2"/>
      <c r="S37" s="2"/>
      <c r="T37" s="2"/>
      <c r="U37" s="2"/>
      <c r="V37" s="2"/>
      <c r="W37" s="2"/>
    </row>
    <row r="38" ht="15.75" customHeight="1">
      <c r="A38" s="2" t="str">
        <f>'Mẻ sữa'!C23</f>
        <v/>
      </c>
      <c r="B38" s="92" t="str">
        <f>'Mẻ sữa'!D23</f>
        <v/>
      </c>
      <c r="C38" s="88">
        <f>'Mẻ sữa'!J23</f>
        <v>0</v>
      </c>
      <c r="D38" s="88">
        <f>'Mẻ sữa'!L23</f>
        <v>0</v>
      </c>
      <c r="E38" s="88">
        <f>'Mẻ sữa'!M23</f>
        <v>0</v>
      </c>
      <c r="F38" s="88">
        <f>'Mẻ sữa'!O23</f>
        <v>0</v>
      </c>
      <c r="G38" s="88">
        <f>'Mẻ sữa'!P23</f>
        <v>0</v>
      </c>
      <c r="H38" s="2"/>
      <c r="I38" s="2" t="str">
        <f>'Sản phẩm'!D23</f>
        <v/>
      </c>
      <c r="J38" s="2">
        <f>SUMIFS('Bán hàng'!$F$4:$F$503,'Bán hàng'!$B$4:$B$503,I38,'Bán hàng'!$A$4:$A$503,"&gt;="&amp;$B$4,'Bán hàng'!$A$4:$A$503,"&lt;="&amp;$B$5)</f>
        <v>0</v>
      </c>
      <c r="K38" s="88">
        <f>SUMIFS('Bán hàng'!$I$4:$I$503,'Bán hàng'!$B$4:$B$503,I38,'Bán hàng'!$A$4:$A$503,"&gt;="&amp;$B$4,'Bán hàng'!$A$4:$A$503,"&lt;="&amp;$B$5)</f>
        <v>0</v>
      </c>
      <c r="L38" s="88">
        <f>SUMIFS('Bán hàng'!$Q$4:$Q$503,'Bán hàng'!$B$4:$B$503,I38,'Bán hàng'!$A$4:$A$503,"&gt;="&amp;$B$4,'Bán hàng'!$A$4:$A$503,"&lt;="&amp;$B$5)</f>
        <v>0</v>
      </c>
      <c r="M38" s="2"/>
      <c r="N38" s="18" t="str">
        <f>'Mẻ sữa'!C24</f>
        <v/>
      </c>
      <c r="O38" s="91">
        <f>'Mẻ sữa'!O24</f>
        <v>0</v>
      </c>
      <c r="P38" s="2"/>
      <c r="Q38" s="2"/>
      <c r="R38" s="2"/>
      <c r="S38" s="2"/>
      <c r="T38" s="2"/>
      <c r="U38" s="2"/>
      <c r="V38" s="2"/>
      <c r="W38" s="2"/>
    </row>
    <row r="39" ht="15.75" customHeight="1">
      <c r="A39" s="2" t="str">
        <f>'Mẻ sữa'!C24</f>
        <v/>
      </c>
      <c r="B39" s="92" t="str">
        <f>'Mẻ sữa'!D24</f>
        <v/>
      </c>
      <c r="C39" s="88">
        <f>'Mẻ sữa'!J24</f>
        <v>0</v>
      </c>
      <c r="D39" s="88">
        <f>'Mẻ sữa'!L24</f>
        <v>0</v>
      </c>
      <c r="E39" s="88">
        <f>'Mẻ sữa'!M24</f>
        <v>0</v>
      </c>
      <c r="F39" s="88">
        <f>'Mẻ sữa'!O24</f>
        <v>0</v>
      </c>
      <c r="G39" s="88">
        <f>'Mẻ sữa'!P24</f>
        <v>0</v>
      </c>
      <c r="H39" s="2"/>
      <c r="I39" s="2"/>
      <c r="J39" s="2"/>
      <c r="K39" s="2"/>
      <c r="L39" s="2"/>
      <c r="M39" s="2"/>
      <c r="N39" s="18" t="str">
        <f>'Mẻ sữa'!C25</f>
        <v/>
      </c>
      <c r="O39" s="91">
        <f>'Mẻ sữa'!O25</f>
        <v>0</v>
      </c>
      <c r="P39" s="2"/>
      <c r="Q39" s="2"/>
      <c r="R39" s="2"/>
      <c r="S39" s="2"/>
      <c r="T39" s="2"/>
      <c r="U39" s="2"/>
      <c r="V39" s="2"/>
      <c r="W39" s="2"/>
    </row>
    <row r="40" ht="15.75" customHeight="1">
      <c r="A40" s="2" t="str">
        <f>'Mẻ sữa'!C25</f>
        <v/>
      </c>
      <c r="B40" s="92" t="str">
        <f>'Mẻ sữa'!D25</f>
        <v/>
      </c>
      <c r="C40" s="88">
        <f>'Mẻ sữa'!J25</f>
        <v>0</v>
      </c>
      <c r="D40" s="88">
        <f>'Mẻ sữa'!L25</f>
        <v>0</v>
      </c>
      <c r="E40" s="88">
        <f>'Mẻ sữa'!M25</f>
        <v>0</v>
      </c>
      <c r="F40" s="88">
        <f>'Mẻ sữa'!O25</f>
        <v>0</v>
      </c>
      <c r="G40" s="88">
        <f>'Mẻ sữa'!P25</f>
        <v>0</v>
      </c>
      <c r="H40" s="2"/>
      <c r="I40" s="2"/>
      <c r="J40" s="2"/>
      <c r="K40" s="2"/>
      <c r="L40" s="2"/>
      <c r="M40" s="2"/>
      <c r="N40" s="18" t="str">
        <f>'Mẻ sữa'!C26</f>
        <v/>
      </c>
      <c r="O40" s="91">
        <f>'Mẻ sữa'!O26</f>
        <v>0</v>
      </c>
      <c r="P40" s="2"/>
      <c r="Q40" s="2"/>
      <c r="R40" s="2"/>
      <c r="S40" s="2"/>
      <c r="T40" s="2"/>
      <c r="U40" s="2"/>
      <c r="V40" s="2"/>
      <c r="W40" s="2"/>
    </row>
    <row r="41" ht="15.75" customHeight="1">
      <c r="A41" s="2" t="str">
        <f>'Mẻ sữa'!C26</f>
        <v/>
      </c>
      <c r="B41" s="92" t="str">
        <f>'Mẻ sữa'!D26</f>
        <v/>
      </c>
      <c r="C41" s="88">
        <f>'Mẻ sữa'!J26</f>
        <v>0</v>
      </c>
      <c r="D41" s="88">
        <f>'Mẻ sữa'!L26</f>
        <v>0</v>
      </c>
      <c r="E41" s="88">
        <f>'Mẻ sữa'!M26</f>
        <v>0</v>
      </c>
      <c r="F41" s="88">
        <f>'Mẻ sữa'!O26</f>
        <v>0</v>
      </c>
      <c r="G41" s="88">
        <f>'Mẻ sữa'!P26</f>
        <v>0</v>
      </c>
      <c r="H41" s="2"/>
      <c r="I41" s="2"/>
      <c r="J41" s="2"/>
      <c r="K41" s="2"/>
      <c r="L41" s="2"/>
      <c r="M41" s="2"/>
      <c r="N41" s="18" t="str">
        <f>'Mẻ sữa'!C27</f>
        <v/>
      </c>
      <c r="O41" s="91">
        <f>'Mẻ sữa'!O27</f>
        <v>0</v>
      </c>
      <c r="P41" s="2"/>
      <c r="Q41" s="2"/>
      <c r="R41" s="2"/>
      <c r="S41" s="2"/>
      <c r="T41" s="2"/>
      <c r="U41" s="2"/>
      <c r="V41" s="2"/>
      <c r="W41" s="2"/>
    </row>
    <row r="42" ht="15.75" customHeight="1">
      <c r="A42" s="2" t="str">
        <f>'Mẻ sữa'!C27</f>
        <v/>
      </c>
      <c r="B42" s="92" t="str">
        <f>'Mẻ sữa'!D27</f>
        <v/>
      </c>
      <c r="C42" s="88">
        <f>'Mẻ sữa'!J27</f>
        <v>0</v>
      </c>
      <c r="D42" s="88">
        <f>'Mẻ sữa'!L27</f>
        <v>0</v>
      </c>
      <c r="E42" s="88">
        <f>'Mẻ sữa'!M27</f>
        <v>0</v>
      </c>
      <c r="F42" s="88">
        <f>'Mẻ sữa'!O27</f>
        <v>0</v>
      </c>
      <c r="G42" s="88">
        <f>'Mẻ sữa'!P27</f>
        <v>0</v>
      </c>
      <c r="H42" s="2"/>
      <c r="I42" s="2"/>
      <c r="J42" s="2"/>
      <c r="K42" s="2"/>
      <c r="L42" s="2"/>
      <c r="M42" s="2"/>
      <c r="N42" s="18" t="str">
        <f>'Mẻ sữa'!C28</f>
        <v/>
      </c>
      <c r="O42" s="91">
        <f>'Mẻ sữa'!O28</f>
        <v>0</v>
      </c>
      <c r="P42" s="2"/>
      <c r="Q42" s="2"/>
      <c r="R42" s="2"/>
      <c r="S42" s="2"/>
      <c r="T42" s="2"/>
      <c r="U42" s="2"/>
      <c r="V42" s="2"/>
      <c r="W42" s="2"/>
    </row>
    <row r="43" ht="15.75" customHeight="1">
      <c r="A43" s="2" t="str">
        <f>'Mẻ sữa'!C28</f>
        <v/>
      </c>
      <c r="B43" s="92" t="str">
        <f>'Mẻ sữa'!D28</f>
        <v/>
      </c>
      <c r="C43" s="88">
        <f>'Mẻ sữa'!J28</f>
        <v>0</v>
      </c>
      <c r="D43" s="88">
        <f>'Mẻ sữa'!L28</f>
        <v>0</v>
      </c>
      <c r="E43" s="88">
        <f>'Mẻ sữa'!M28</f>
        <v>0</v>
      </c>
      <c r="F43" s="88">
        <f>'Mẻ sữa'!O28</f>
        <v>0</v>
      </c>
      <c r="G43" s="88">
        <f>'Mẻ sữa'!P28</f>
        <v>0</v>
      </c>
      <c r="H43" s="2"/>
      <c r="I43" s="2"/>
      <c r="J43" s="2"/>
      <c r="K43" s="2"/>
      <c r="L43" s="2"/>
      <c r="M43" s="2"/>
      <c r="N43" s="18" t="str">
        <f>'Mẻ sữa'!C29</f>
        <v/>
      </c>
      <c r="O43" s="91">
        <f>'Mẻ sữa'!O29</f>
        <v>0</v>
      </c>
      <c r="P43" s="2"/>
      <c r="Q43" s="2"/>
      <c r="R43" s="2"/>
      <c r="S43" s="2"/>
      <c r="T43" s="2"/>
      <c r="U43" s="2"/>
      <c r="V43" s="2"/>
      <c r="W43" s="2"/>
    </row>
    <row r="44" ht="15.75" customHeight="1">
      <c r="A44" s="2" t="str">
        <f>'Mẻ sữa'!C29</f>
        <v/>
      </c>
      <c r="B44" s="92" t="str">
        <f>'Mẻ sữa'!D29</f>
        <v/>
      </c>
      <c r="C44" s="88">
        <f>'Mẻ sữa'!J29</f>
        <v>0</v>
      </c>
      <c r="D44" s="88">
        <f>'Mẻ sữa'!L29</f>
        <v>0</v>
      </c>
      <c r="E44" s="88">
        <f>'Mẻ sữa'!M29</f>
        <v>0</v>
      </c>
      <c r="F44" s="88">
        <f>'Mẻ sữa'!O29</f>
        <v>0</v>
      </c>
      <c r="G44" s="88">
        <f>'Mẻ sữa'!P29</f>
        <v>0</v>
      </c>
      <c r="H44" s="2"/>
      <c r="I44" s="2"/>
      <c r="J44" s="2"/>
      <c r="K44" s="2"/>
      <c r="L44" s="2"/>
      <c r="M44" s="2"/>
      <c r="N44" s="18" t="str">
        <f>'Mẻ sữa'!C30</f>
        <v/>
      </c>
      <c r="O44" s="91">
        <f>'Mẻ sữa'!O30</f>
        <v>0</v>
      </c>
      <c r="P44" s="2"/>
      <c r="Q44" s="2"/>
      <c r="R44" s="2"/>
      <c r="S44" s="2"/>
      <c r="T44" s="2"/>
      <c r="U44" s="2"/>
      <c r="V44" s="2"/>
      <c r="W44" s="2"/>
    </row>
    <row r="45" ht="15.75" customHeight="1">
      <c r="A45" s="2" t="str">
        <f>'Mẻ sữa'!C30</f>
        <v/>
      </c>
      <c r="B45" s="92" t="str">
        <f>'Mẻ sữa'!D30</f>
        <v/>
      </c>
      <c r="C45" s="88">
        <f>'Mẻ sữa'!J30</f>
        <v>0</v>
      </c>
      <c r="D45" s="88">
        <f>'Mẻ sữa'!L30</f>
        <v>0</v>
      </c>
      <c r="E45" s="88">
        <f>'Mẻ sữa'!M30</f>
        <v>0</v>
      </c>
      <c r="F45" s="88">
        <f>'Mẻ sữa'!O30</f>
        <v>0</v>
      </c>
      <c r="G45" s="88">
        <f>'Mẻ sữa'!P30</f>
        <v>0</v>
      </c>
      <c r="H45" s="2"/>
      <c r="I45" s="2"/>
      <c r="J45" s="2"/>
      <c r="K45" s="2"/>
      <c r="L45" s="2"/>
      <c r="M45" s="2"/>
      <c r="N45" s="18" t="str">
        <f>'Mẻ sữa'!C31</f>
        <v/>
      </c>
      <c r="O45" s="91">
        <f>'Mẻ sữa'!O31</f>
        <v>0</v>
      </c>
      <c r="P45" s="2"/>
      <c r="Q45" s="2"/>
      <c r="R45" s="2"/>
      <c r="S45" s="2"/>
      <c r="T45" s="2"/>
      <c r="U45" s="2"/>
      <c r="V45" s="2"/>
      <c r="W45" s="2"/>
    </row>
    <row r="46" ht="15.75" customHeight="1">
      <c r="A46" s="2" t="str">
        <f>'Mẻ sữa'!C31</f>
        <v/>
      </c>
      <c r="B46" s="92" t="str">
        <f>'Mẻ sữa'!D31</f>
        <v/>
      </c>
      <c r="C46" s="88">
        <f>'Mẻ sữa'!J31</f>
        <v>0</v>
      </c>
      <c r="D46" s="88">
        <f>'Mẻ sữa'!L31</f>
        <v>0</v>
      </c>
      <c r="E46" s="88">
        <f>'Mẻ sữa'!M31</f>
        <v>0</v>
      </c>
      <c r="F46" s="88">
        <f>'Mẻ sữa'!O31</f>
        <v>0</v>
      </c>
      <c r="G46" s="88">
        <f>'Mẻ sữa'!P31</f>
        <v>0</v>
      </c>
      <c r="H46" s="2"/>
      <c r="I46" s="2"/>
      <c r="J46" s="2"/>
      <c r="K46" s="2"/>
      <c r="L46" s="2"/>
      <c r="M46" s="2"/>
      <c r="N46" s="18" t="str">
        <f>'Mẻ sữa'!C32</f>
        <v/>
      </c>
      <c r="O46" s="91">
        <f>'Mẻ sữa'!O32</f>
        <v>0</v>
      </c>
      <c r="P46" s="2"/>
      <c r="Q46" s="2"/>
      <c r="R46" s="2"/>
      <c r="S46" s="2"/>
      <c r="T46" s="2"/>
      <c r="U46" s="2"/>
      <c r="V46" s="2"/>
      <c r="W46" s="2"/>
    </row>
    <row r="47" ht="15.75" customHeight="1">
      <c r="A47" s="2" t="str">
        <f>'Mẻ sữa'!C32</f>
        <v/>
      </c>
      <c r="B47" s="92" t="str">
        <f>'Mẻ sữa'!D32</f>
        <v/>
      </c>
      <c r="C47" s="88">
        <f>'Mẻ sữa'!J32</f>
        <v>0</v>
      </c>
      <c r="D47" s="88">
        <f>'Mẻ sữa'!L32</f>
        <v>0</v>
      </c>
      <c r="E47" s="88">
        <f>'Mẻ sữa'!M32</f>
        <v>0</v>
      </c>
      <c r="F47" s="88">
        <f>'Mẻ sữa'!O32</f>
        <v>0</v>
      </c>
      <c r="G47" s="88">
        <f>'Mẻ sữa'!P32</f>
        <v>0</v>
      </c>
      <c r="H47" s="2"/>
      <c r="I47" s="2"/>
      <c r="J47" s="2"/>
      <c r="K47" s="2"/>
      <c r="L47" s="2"/>
      <c r="M47" s="2"/>
      <c r="N47" s="18" t="str">
        <f>'Mẻ sữa'!C33</f>
        <v/>
      </c>
      <c r="O47" s="91">
        <f>'Mẻ sữa'!O33</f>
        <v>0</v>
      </c>
      <c r="P47" s="2"/>
      <c r="Q47" s="2"/>
      <c r="R47" s="2"/>
      <c r="S47" s="2"/>
      <c r="T47" s="2"/>
      <c r="U47" s="2"/>
      <c r="V47" s="2"/>
      <c r="W47" s="2"/>
    </row>
    <row r="48" ht="15.75" customHeight="1">
      <c r="A48" s="2" t="str">
        <f>'Mẻ sữa'!C33</f>
        <v/>
      </c>
      <c r="B48" s="92" t="str">
        <f>'Mẻ sữa'!D33</f>
        <v/>
      </c>
      <c r="C48" s="88">
        <f>'Mẻ sữa'!J33</f>
        <v>0</v>
      </c>
      <c r="D48" s="88">
        <f>'Mẻ sữa'!L33</f>
        <v>0</v>
      </c>
      <c r="E48" s="88">
        <f>'Mẻ sữa'!M33</f>
        <v>0</v>
      </c>
      <c r="F48" s="88">
        <f>'Mẻ sữa'!O33</f>
        <v>0</v>
      </c>
      <c r="G48" s="88">
        <f>'Mẻ sữa'!P33</f>
        <v>0</v>
      </c>
      <c r="H48" s="2"/>
      <c r="I48" s="2"/>
      <c r="J48" s="2"/>
      <c r="K48" s="2"/>
      <c r="L48" s="2"/>
      <c r="M48" s="2"/>
      <c r="N48" s="18" t="str">
        <f>'Mẻ sữa'!C34</f>
        <v/>
      </c>
      <c r="O48" s="91">
        <f>'Mẻ sữa'!O34</f>
        <v>0</v>
      </c>
      <c r="P48" s="2"/>
      <c r="Q48" s="2"/>
      <c r="R48" s="2"/>
      <c r="S48" s="2"/>
      <c r="T48" s="2"/>
      <c r="U48" s="2"/>
      <c r="V48" s="2"/>
      <c r="W48" s="2"/>
    </row>
    <row r="49" ht="15.75" customHeight="1">
      <c r="A49" s="2" t="str">
        <f>'Mẻ sữa'!C34</f>
        <v/>
      </c>
      <c r="B49" s="92" t="str">
        <f>'Mẻ sữa'!D34</f>
        <v/>
      </c>
      <c r="C49" s="88">
        <f>'Mẻ sữa'!J34</f>
        <v>0</v>
      </c>
      <c r="D49" s="88">
        <f>'Mẻ sữa'!L34</f>
        <v>0</v>
      </c>
      <c r="E49" s="88">
        <f>'Mẻ sữa'!M34</f>
        <v>0</v>
      </c>
      <c r="F49" s="88">
        <f>'Mẻ sữa'!O34</f>
        <v>0</v>
      </c>
      <c r="G49" s="88">
        <f>'Mẻ sữa'!P34</f>
        <v>0</v>
      </c>
      <c r="H49" s="2"/>
      <c r="I49" s="2"/>
      <c r="J49" s="2"/>
      <c r="K49" s="2"/>
      <c r="L49" s="2"/>
      <c r="M49" s="2"/>
      <c r="N49" s="18" t="str">
        <f>'Mẻ sữa'!C35</f>
        <v/>
      </c>
      <c r="O49" s="91">
        <f>'Mẻ sữa'!O35</f>
        <v>0</v>
      </c>
      <c r="P49" s="2"/>
      <c r="Q49" s="2"/>
      <c r="R49" s="2"/>
      <c r="S49" s="2"/>
      <c r="T49" s="2"/>
      <c r="U49" s="2"/>
      <c r="V49" s="2"/>
      <c r="W49" s="2"/>
    </row>
    <row r="50" ht="15.75" customHeight="1">
      <c r="A50" s="2" t="str">
        <f>'Mẻ sữa'!C35</f>
        <v/>
      </c>
      <c r="B50" s="92" t="str">
        <f>'Mẻ sữa'!D35</f>
        <v/>
      </c>
      <c r="C50" s="88">
        <f>'Mẻ sữa'!J35</f>
        <v>0</v>
      </c>
      <c r="D50" s="88">
        <f>'Mẻ sữa'!L35</f>
        <v>0</v>
      </c>
      <c r="E50" s="88">
        <f>'Mẻ sữa'!M35</f>
        <v>0</v>
      </c>
      <c r="F50" s="88">
        <f>'Mẻ sữa'!O35</f>
        <v>0</v>
      </c>
      <c r="G50" s="88">
        <f>'Mẻ sữa'!P35</f>
        <v>0</v>
      </c>
      <c r="H50" s="2"/>
      <c r="I50" s="2"/>
      <c r="J50" s="2"/>
      <c r="K50" s="2"/>
      <c r="L50" s="2"/>
      <c r="M50" s="2"/>
      <c r="N50" s="18" t="str">
        <f>'Mẻ sữa'!C36</f>
        <v/>
      </c>
      <c r="O50" s="91">
        <f>'Mẻ sữa'!O36</f>
        <v>0</v>
      </c>
      <c r="P50" s="2"/>
      <c r="Q50" s="2"/>
      <c r="R50" s="2"/>
      <c r="S50" s="2"/>
      <c r="T50" s="2"/>
      <c r="U50" s="2"/>
      <c r="V50" s="2"/>
      <c r="W50" s="2"/>
    </row>
    <row r="51" ht="15.75" customHeight="1">
      <c r="A51" s="2" t="str">
        <f>'Mẻ sữa'!C36</f>
        <v/>
      </c>
      <c r="B51" s="92" t="str">
        <f>'Mẻ sữa'!D36</f>
        <v/>
      </c>
      <c r="C51" s="88">
        <f>'Mẻ sữa'!J36</f>
        <v>0</v>
      </c>
      <c r="D51" s="88">
        <f>'Mẻ sữa'!L36</f>
        <v>0</v>
      </c>
      <c r="E51" s="88">
        <f>'Mẻ sữa'!M36</f>
        <v>0</v>
      </c>
      <c r="F51" s="88">
        <f>'Mẻ sữa'!O36</f>
        <v>0</v>
      </c>
      <c r="G51" s="88">
        <f>'Mẻ sữa'!P36</f>
        <v>0</v>
      </c>
      <c r="H51" s="2"/>
      <c r="I51" s="2"/>
      <c r="J51" s="2"/>
      <c r="K51" s="2"/>
      <c r="L51" s="2"/>
      <c r="M51" s="2"/>
      <c r="N51" s="18" t="str">
        <f>'Mẻ sữa'!C37</f>
        <v/>
      </c>
      <c r="O51" s="91">
        <f>'Mẻ sữa'!O37</f>
        <v>0</v>
      </c>
      <c r="P51" s="2"/>
      <c r="Q51" s="2"/>
      <c r="R51" s="2"/>
      <c r="S51" s="2"/>
      <c r="T51" s="2"/>
      <c r="U51" s="2"/>
      <c r="V51" s="2"/>
      <c r="W51" s="2"/>
    </row>
    <row r="52" ht="15.75" customHeight="1">
      <c r="A52" s="2" t="str">
        <f>'Mẻ sữa'!C37</f>
        <v/>
      </c>
      <c r="B52" s="92" t="str">
        <f>'Mẻ sữa'!D37</f>
        <v/>
      </c>
      <c r="C52" s="88">
        <f>'Mẻ sữa'!J37</f>
        <v>0</v>
      </c>
      <c r="D52" s="88">
        <f>'Mẻ sữa'!L37</f>
        <v>0</v>
      </c>
      <c r="E52" s="88">
        <f>'Mẻ sữa'!M37</f>
        <v>0</v>
      </c>
      <c r="F52" s="88">
        <f>'Mẻ sữa'!O37</f>
        <v>0</v>
      </c>
      <c r="G52" s="88">
        <f>'Mẻ sữa'!P37</f>
        <v>0</v>
      </c>
      <c r="H52" s="2"/>
      <c r="I52" s="2"/>
      <c r="J52" s="2"/>
      <c r="K52" s="2"/>
      <c r="L52" s="2"/>
      <c r="M52" s="2"/>
      <c r="N52" s="18" t="str">
        <f>'Mẻ sữa'!C38</f>
        <v/>
      </c>
      <c r="O52" s="91">
        <f>'Mẻ sữa'!O38</f>
        <v>0</v>
      </c>
      <c r="P52" s="2"/>
      <c r="Q52" s="2"/>
      <c r="R52" s="2"/>
      <c r="S52" s="2"/>
      <c r="T52" s="2"/>
      <c r="U52" s="2"/>
      <c r="V52" s="2"/>
      <c r="W52" s="2"/>
    </row>
    <row r="53" ht="15.75" customHeight="1">
      <c r="A53" s="2" t="str">
        <f>'Mẻ sữa'!C38</f>
        <v/>
      </c>
      <c r="B53" s="92" t="str">
        <f>'Mẻ sữa'!D38</f>
        <v/>
      </c>
      <c r="C53" s="88">
        <f>'Mẻ sữa'!J38</f>
        <v>0</v>
      </c>
      <c r="D53" s="88">
        <f>'Mẻ sữa'!L38</f>
        <v>0</v>
      </c>
      <c r="E53" s="88">
        <f>'Mẻ sữa'!M38</f>
        <v>0</v>
      </c>
      <c r="F53" s="88">
        <f>'Mẻ sữa'!O38</f>
        <v>0</v>
      </c>
      <c r="G53" s="88">
        <f>'Mẻ sữa'!P38</f>
        <v>0</v>
      </c>
      <c r="H53" s="2"/>
      <c r="I53" s="2"/>
      <c r="J53" s="2"/>
      <c r="K53" s="2"/>
      <c r="L53" s="2"/>
      <c r="M53" s="2"/>
      <c r="N53" s="18" t="str">
        <f>'Mẻ sữa'!C39</f>
        <v/>
      </c>
      <c r="O53" s="91">
        <f>'Mẻ sữa'!O39</f>
        <v>0</v>
      </c>
      <c r="P53" s="2"/>
      <c r="Q53" s="2"/>
      <c r="R53" s="2"/>
      <c r="S53" s="2"/>
      <c r="T53" s="2"/>
      <c r="U53" s="2"/>
      <c r="V53" s="2"/>
      <c r="W53" s="2"/>
    </row>
    <row r="54" ht="15.75" customHeight="1">
      <c r="A54" s="2" t="str">
        <f>'Mẻ sữa'!C39</f>
        <v/>
      </c>
      <c r="B54" s="92" t="str">
        <f>'Mẻ sữa'!D39</f>
        <v/>
      </c>
      <c r="C54" s="88">
        <f>'Mẻ sữa'!J39</f>
        <v>0</v>
      </c>
      <c r="D54" s="88">
        <f>'Mẻ sữa'!L39</f>
        <v>0</v>
      </c>
      <c r="E54" s="88">
        <f>'Mẻ sữa'!M39</f>
        <v>0</v>
      </c>
      <c r="F54" s="88">
        <f>'Mẻ sữa'!O39</f>
        <v>0</v>
      </c>
      <c r="G54" s="88">
        <f>'Mẻ sữa'!P39</f>
        <v>0</v>
      </c>
      <c r="H54" s="2"/>
      <c r="I54" s="2"/>
      <c r="J54" s="2"/>
      <c r="K54" s="2"/>
      <c r="L54" s="2"/>
      <c r="M54" s="2"/>
      <c r="N54" s="18" t="str">
        <f>'Mẻ sữa'!C40</f>
        <v/>
      </c>
      <c r="O54" s="91">
        <f>'Mẻ sữa'!O40</f>
        <v>0</v>
      </c>
      <c r="P54" s="2"/>
      <c r="Q54" s="2"/>
      <c r="R54" s="2"/>
      <c r="S54" s="2"/>
      <c r="T54" s="2"/>
      <c r="U54" s="2"/>
      <c r="V54" s="2"/>
      <c r="W54" s="2"/>
    </row>
    <row r="55" ht="15.75" customHeight="1">
      <c r="A55" s="2" t="str">
        <f>'Mẻ sữa'!C40</f>
        <v/>
      </c>
      <c r="B55" s="92" t="str">
        <f>'Mẻ sữa'!D40</f>
        <v/>
      </c>
      <c r="C55" s="88">
        <f>'Mẻ sữa'!J40</f>
        <v>0</v>
      </c>
      <c r="D55" s="88">
        <f>'Mẻ sữa'!L40</f>
        <v>0</v>
      </c>
      <c r="E55" s="88">
        <f>'Mẻ sữa'!M40</f>
        <v>0</v>
      </c>
      <c r="F55" s="88">
        <f>'Mẻ sữa'!O40</f>
        <v>0</v>
      </c>
      <c r="G55" s="88">
        <f>'Mẻ sữa'!P40</f>
        <v>0</v>
      </c>
      <c r="H55" s="2"/>
      <c r="I55" s="2"/>
      <c r="J55" s="2"/>
      <c r="K55" s="2"/>
      <c r="L55" s="2"/>
      <c r="M55" s="2"/>
      <c r="N55" s="18" t="str">
        <f>'Mẻ sữa'!C41</f>
        <v/>
      </c>
      <c r="O55" s="91">
        <f>'Mẻ sữa'!O41</f>
        <v>0</v>
      </c>
      <c r="P55" s="2"/>
      <c r="Q55" s="2"/>
      <c r="R55" s="2"/>
      <c r="S55" s="2"/>
      <c r="T55" s="2"/>
      <c r="U55" s="2"/>
      <c r="V55" s="2"/>
      <c r="W55" s="2"/>
    </row>
    <row r="56" ht="15.75" customHeight="1">
      <c r="A56" s="2" t="str">
        <f>'Mẻ sữa'!C41</f>
        <v/>
      </c>
      <c r="B56" s="92" t="str">
        <f>'Mẻ sữa'!D41</f>
        <v/>
      </c>
      <c r="C56" s="88">
        <f>'Mẻ sữa'!J41</f>
        <v>0</v>
      </c>
      <c r="D56" s="88">
        <f>'Mẻ sữa'!L41</f>
        <v>0</v>
      </c>
      <c r="E56" s="88">
        <f>'Mẻ sữa'!M41</f>
        <v>0</v>
      </c>
      <c r="F56" s="88">
        <f>'Mẻ sữa'!O41</f>
        <v>0</v>
      </c>
      <c r="G56" s="88">
        <f>'Mẻ sữa'!P41</f>
        <v>0</v>
      </c>
      <c r="H56" s="2"/>
      <c r="I56" s="2"/>
      <c r="J56" s="2"/>
      <c r="K56" s="2"/>
      <c r="L56" s="2"/>
      <c r="M56" s="2"/>
      <c r="N56" s="18" t="str">
        <f>'Mẻ sữa'!C42</f>
        <v/>
      </c>
      <c r="O56" s="91">
        <f>'Mẻ sữa'!O42</f>
        <v>0</v>
      </c>
      <c r="P56" s="2"/>
      <c r="Q56" s="2"/>
      <c r="R56" s="2"/>
      <c r="S56" s="2"/>
      <c r="T56" s="2"/>
      <c r="U56" s="2"/>
      <c r="V56" s="2"/>
      <c r="W56" s="2"/>
    </row>
    <row r="57" ht="15.75" customHeight="1">
      <c r="A57" s="2" t="str">
        <f>'Mẻ sữa'!C42</f>
        <v/>
      </c>
      <c r="B57" s="92" t="str">
        <f>'Mẻ sữa'!D42</f>
        <v/>
      </c>
      <c r="C57" s="88">
        <f>'Mẻ sữa'!J42</f>
        <v>0</v>
      </c>
      <c r="D57" s="88">
        <f>'Mẻ sữa'!L42</f>
        <v>0</v>
      </c>
      <c r="E57" s="88">
        <f>'Mẻ sữa'!M42</f>
        <v>0</v>
      </c>
      <c r="F57" s="88">
        <f>'Mẻ sữa'!O42</f>
        <v>0</v>
      </c>
      <c r="G57" s="88">
        <f>'Mẻ sữa'!P42</f>
        <v>0</v>
      </c>
      <c r="H57" s="2"/>
      <c r="I57" s="2"/>
      <c r="J57" s="2"/>
      <c r="K57" s="2"/>
      <c r="L57" s="2"/>
      <c r="M57" s="2"/>
      <c r="N57" s="18" t="str">
        <f>'Mẻ sữa'!C43</f>
        <v/>
      </c>
      <c r="O57" s="91">
        <f>'Mẻ sữa'!O43</f>
        <v>0</v>
      </c>
      <c r="P57" s="2"/>
      <c r="Q57" s="2"/>
      <c r="R57" s="2"/>
      <c r="S57" s="2"/>
      <c r="T57" s="2"/>
      <c r="U57" s="2"/>
      <c r="V57" s="2"/>
      <c r="W57" s="2"/>
    </row>
    <row r="58" ht="15.75" customHeight="1">
      <c r="A58" s="2" t="str">
        <f>'Mẻ sữa'!C43</f>
        <v/>
      </c>
      <c r="B58" s="92" t="str">
        <f>'Mẻ sữa'!D43</f>
        <v/>
      </c>
      <c r="C58" s="88">
        <f>'Mẻ sữa'!J43</f>
        <v>0</v>
      </c>
      <c r="D58" s="88">
        <f>'Mẻ sữa'!L43</f>
        <v>0</v>
      </c>
      <c r="E58" s="88">
        <f>'Mẻ sữa'!M43</f>
        <v>0</v>
      </c>
      <c r="F58" s="88">
        <f>'Mẻ sữa'!O43</f>
        <v>0</v>
      </c>
      <c r="G58" s="88">
        <f>'Mẻ sữa'!P43</f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4" t="s">
        <v>259</v>
      </c>
      <c r="B61" s="4" t="s">
        <v>270</v>
      </c>
      <c r="C61" s="4" t="s">
        <v>291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93">
        <f>IF($B$4+0&lt;=$B$5,$B$4+0,"")</f>
        <v>46204</v>
      </c>
      <c r="B62" s="88">
        <f>IF(A62="",0,SUMIFS('Bán hàng'!$I$4:$I$503,'Bán hàng'!$A$4:$A$503,A62))</f>
        <v>0</v>
      </c>
      <c r="C62" s="2">
        <f>IF(A62="",0,SUMIFS('Bán hàng'!$F$4:$F$503,'Bán hàng'!$A$4:$A$503,A62))</f>
        <v>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93">
        <f>IF($B$4+1&lt;=$B$5,$B$4+1,"")</f>
        <v>46205</v>
      </c>
      <c r="B63" s="88">
        <f>IF(A63="",0,SUMIFS('Bán hàng'!$I$4:$I$503,'Bán hàng'!$A$4:$A$503,A63))</f>
        <v>0</v>
      </c>
      <c r="C63" s="2">
        <f>IF(A63="",0,SUMIFS('Bán hàng'!$F$4:$F$503,'Bán hàng'!$A$4:$A$503,A63))</f>
        <v>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93">
        <f>IF($B$4+2&lt;=$B$5,$B$4+2,"")</f>
        <v>46206</v>
      </c>
      <c r="B64" s="88">
        <f>IF(A64="",0,SUMIFS('Bán hàng'!$I$4:$I$503,'Bán hàng'!$A$4:$A$503,A64))</f>
        <v>0</v>
      </c>
      <c r="C64" s="2">
        <f>IF(A64="",0,SUMIFS('Bán hàng'!$F$4:$F$503,'Bán hàng'!$A$4:$A$503,A64))</f>
        <v>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93">
        <f>IF($B$4+3&lt;=$B$5,$B$4+3,"")</f>
        <v>46207</v>
      </c>
      <c r="B65" s="88">
        <f>IF(A65="",0,SUMIFS('Bán hàng'!$I$4:$I$503,'Bán hàng'!$A$4:$A$503,A65))</f>
        <v>0</v>
      </c>
      <c r="C65" s="2">
        <f>IF(A65="",0,SUMIFS('Bán hàng'!$F$4:$F$503,'Bán hàng'!$A$4:$A$503,A65))</f>
        <v>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93">
        <f>IF($B$4+4&lt;=$B$5,$B$4+4,"")</f>
        <v>46208</v>
      </c>
      <c r="B66" s="88">
        <f>IF(A66="",0,SUMIFS('Bán hàng'!$I$4:$I$503,'Bán hàng'!$A$4:$A$503,A66))</f>
        <v>0</v>
      </c>
      <c r="C66" s="2">
        <f>IF(A66="",0,SUMIFS('Bán hàng'!$F$4:$F$503,'Bán hàng'!$A$4:$A$503,A66))</f>
        <v>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93">
        <f>IF($B$4+5&lt;=$B$5,$B$4+5,"")</f>
        <v>46209</v>
      </c>
      <c r="B67" s="88">
        <f>IF(A67="",0,SUMIFS('Bán hàng'!$I$4:$I$503,'Bán hàng'!$A$4:$A$503,A67))</f>
        <v>0</v>
      </c>
      <c r="C67" s="2">
        <f>IF(A67="",0,SUMIFS('Bán hàng'!$F$4:$F$503,'Bán hàng'!$A$4:$A$503,A67))</f>
        <v>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93">
        <f>IF($B$4+6&lt;=$B$5,$B$4+6,"")</f>
        <v>46210</v>
      </c>
      <c r="B68" s="88">
        <f>IF(A68="",0,SUMIFS('Bán hàng'!$I$4:$I$503,'Bán hàng'!$A$4:$A$503,A68))</f>
        <v>0</v>
      </c>
      <c r="C68" s="2">
        <f>IF(A68="",0,SUMIFS('Bán hàng'!$F$4:$F$503,'Bán hàng'!$A$4:$A$503,A68))</f>
        <v>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93">
        <f>IF($B$4+7&lt;=$B$5,$B$4+7,"")</f>
        <v>46211</v>
      </c>
      <c r="B69" s="88">
        <f>IF(A69="",0,SUMIFS('Bán hàng'!$I$4:$I$503,'Bán hàng'!$A$4:$A$503,A69))</f>
        <v>0</v>
      </c>
      <c r="C69" s="2">
        <f>IF(A69="",0,SUMIFS('Bán hàng'!$F$4:$F$503,'Bán hàng'!$A$4:$A$503,A69))</f>
        <v>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93">
        <f>IF($B$4+8&lt;=$B$5,$B$4+8,"")</f>
        <v>46212</v>
      </c>
      <c r="B70" s="88">
        <f>IF(A70="",0,SUMIFS('Bán hàng'!$I$4:$I$503,'Bán hàng'!$A$4:$A$503,A70))</f>
        <v>0</v>
      </c>
      <c r="C70" s="2">
        <f>IF(A70="",0,SUMIFS('Bán hàng'!$F$4:$F$503,'Bán hàng'!$A$4:$A$503,A70))</f>
        <v>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93">
        <f>IF($B$4+9&lt;=$B$5,$B$4+9,"")</f>
        <v>46213</v>
      </c>
      <c r="B71" s="88">
        <f>IF(A71="",0,SUMIFS('Bán hàng'!$I$4:$I$503,'Bán hàng'!$A$4:$A$503,A71))</f>
        <v>0</v>
      </c>
      <c r="C71" s="2">
        <f>IF(A71="",0,SUMIFS('Bán hàng'!$F$4:$F$503,'Bán hàng'!$A$4:$A$503,A71))</f>
        <v>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93">
        <f>IF($B$4+10&lt;=$B$5,$B$4+10,"")</f>
        <v>46214</v>
      </c>
      <c r="B72" s="88">
        <f>IF(A72="",0,SUMIFS('Bán hàng'!$I$4:$I$503,'Bán hàng'!$A$4:$A$503,A72))</f>
        <v>0</v>
      </c>
      <c r="C72" s="2">
        <f>IF(A72="",0,SUMIFS('Bán hàng'!$F$4:$F$503,'Bán hàng'!$A$4:$A$503,A72))</f>
        <v>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93">
        <f>IF($B$4+11&lt;=$B$5,$B$4+11,"")</f>
        <v>46215</v>
      </c>
      <c r="B73" s="88">
        <f>IF(A73="",0,SUMIFS('Bán hàng'!$I$4:$I$503,'Bán hàng'!$A$4:$A$503,A73))</f>
        <v>0</v>
      </c>
      <c r="C73" s="2">
        <f>IF(A73="",0,SUMIFS('Bán hàng'!$F$4:$F$503,'Bán hàng'!$A$4:$A$503,A73))</f>
        <v>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93">
        <f>IF($B$4+12&lt;=$B$5,$B$4+12,"")</f>
        <v>46216</v>
      </c>
      <c r="B74" s="88">
        <f>IF(A74="",0,SUMIFS('Bán hàng'!$I$4:$I$503,'Bán hàng'!$A$4:$A$503,A74))</f>
        <v>0</v>
      </c>
      <c r="C74" s="2">
        <f>IF(A74="",0,SUMIFS('Bán hàng'!$F$4:$F$503,'Bán hàng'!$A$4:$A$503,A74))</f>
        <v>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93">
        <f>IF($B$4+13&lt;=$B$5,$B$4+13,"")</f>
        <v>46217</v>
      </c>
      <c r="B75" s="88">
        <f>IF(A75="",0,SUMIFS('Bán hàng'!$I$4:$I$503,'Bán hàng'!$A$4:$A$503,A75))</f>
        <v>0</v>
      </c>
      <c r="C75" s="2">
        <f>IF(A75="",0,SUMIFS('Bán hàng'!$F$4:$F$503,'Bán hàng'!$A$4:$A$503,A75))</f>
        <v>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93">
        <f>IF($B$4+14&lt;=$B$5,$B$4+14,"")</f>
        <v>46218</v>
      </c>
      <c r="B76" s="88">
        <f>IF(A76="",0,SUMIFS('Bán hàng'!$I$4:$I$503,'Bán hàng'!$A$4:$A$503,A76))</f>
        <v>0</v>
      </c>
      <c r="C76" s="2">
        <f>IF(A76="",0,SUMIFS('Bán hàng'!$F$4:$F$503,'Bán hàng'!$A$4:$A$503,A76))</f>
        <v>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93">
        <f>IF($B$4+15&lt;=$B$5,$B$4+15,"")</f>
        <v>46219</v>
      </c>
      <c r="B77" s="88">
        <f>IF(A77="",0,SUMIFS('Bán hàng'!$I$4:$I$503,'Bán hàng'!$A$4:$A$503,A77))</f>
        <v>0</v>
      </c>
      <c r="C77" s="2">
        <f>IF(A77="",0,SUMIFS('Bán hàng'!$F$4:$F$503,'Bán hàng'!$A$4:$A$503,A77))</f>
        <v>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93">
        <f>IF($B$4+16&lt;=$B$5,$B$4+16,"")</f>
        <v>46220</v>
      </c>
      <c r="B78" s="88">
        <f>IF(A78="",0,SUMIFS('Bán hàng'!$I$4:$I$503,'Bán hàng'!$A$4:$A$503,A78))</f>
        <v>0</v>
      </c>
      <c r="C78" s="2">
        <f>IF(A78="",0,SUMIFS('Bán hàng'!$F$4:$F$503,'Bán hàng'!$A$4:$A$503,A78))</f>
        <v>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93">
        <f>IF($B$4+17&lt;=$B$5,$B$4+17,"")</f>
        <v>46221</v>
      </c>
      <c r="B79" s="88">
        <f>IF(A79="",0,SUMIFS('Bán hàng'!$I$4:$I$503,'Bán hàng'!$A$4:$A$503,A79))</f>
        <v>0</v>
      </c>
      <c r="C79" s="2">
        <f>IF(A79="",0,SUMIFS('Bán hàng'!$F$4:$F$503,'Bán hàng'!$A$4:$A$503,A79))</f>
        <v>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93">
        <f>IF($B$4+18&lt;=$B$5,$B$4+18,"")</f>
        <v>46222</v>
      </c>
      <c r="B80" s="88">
        <f>IF(A80="",0,SUMIFS('Bán hàng'!$I$4:$I$503,'Bán hàng'!$A$4:$A$503,A80))</f>
        <v>0</v>
      </c>
      <c r="C80" s="2">
        <f>IF(A80="",0,SUMIFS('Bán hàng'!$F$4:$F$503,'Bán hàng'!$A$4:$A$503,A80))</f>
        <v>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93">
        <f>IF($B$4+19&lt;=$B$5,$B$4+19,"")</f>
        <v>46223</v>
      </c>
      <c r="B81" s="88">
        <f>IF(A81="",0,SUMIFS('Bán hàng'!$I$4:$I$503,'Bán hàng'!$A$4:$A$503,A81))</f>
        <v>0</v>
      </c>
      <c r="C81" s="2">
        <f>IF(A81="",0,SUMIFS('Bán hàng'!$F$4:$F$503,'Bán hàng'!$A$4:$A$503,A81))</f>
        <v>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93">
        <f>IF($B$4+20&lt;=$B$5,$B$4+20,"")</f>
        <v>46224</v>
      </c>
      <c r="B82" s="88">
        <f>IF(A82="",0,SUMIFS('Bán hàng'!$I$4:$I$503,'Bán hàng'!$A$4:$A$503,A82))</f>
        <v>540000</v>
      </c>
      <c r="C82" s="2">
        <f>IF(A82="",0,SUMIFS('Bán hàng'!$F$4:$F$503,'Bán hàng'!$A$4:$A$503,A82))</f>
        <v>16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93">
        <f>IF($B$4+21&lt;=$B$5,$B$4+21,"")</f>
        <v>46225</v>
      </c>
      <c r="B83" s="88">
        <f>IF(A83="",0,SUMIFS('Bán hàng'!$I$4:$I$503,'Bán hàng'!$A$4:$A$503,A83))</f>
        <v>0</v>
      </c>
      <c r="C83" s="2">
        <f>IF(A83="",0,SUMIFS('Bán hàng'!$F$4:$F$503,'Bán hàng'!$A$4:$A$503,A83))</f>
        <v>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93">
        <f>IF($B$4+22&lt;=$B$5,$B$4+22,"")</f>
        <v>46226</v>
      </c>
      <c r="B84" s="88">
        <f>IF(A84="",0,SUMIFS('Bán hàng'!$I$4:$I$503,'Bán hàng'!$A$4:$A$503,A84))</f>
        <v>0</v>
      </c>
      <c r="C84" s="2">
        <f>IF(A84="",0,SUMIFS('Bán hàng'!$F$4:$F$503,'Bán hàng'!$A$4:$A$503,A84))</f>
        <v>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93">
        <f>IF($B$4+23&lt;=$B$5,$B$4+23,"")</f>
        <v>46227</v>
      </c>
      <c r="B85" s="88">
        <f>IF(A85="",0,SUMIFS('Bán hàng'!$I$4:$I$503,'Bán hàng'!$A$4:$A$503,A85))</f>
        <v>0</v>
      </c>
      <c r="C85" s="2">
        <f>IF(A85="",0,SUMIFS('Bán hàng'!$F$4:$F$503,'Bán hàng'!$A$4:$A$503,A85))</f>
        <v>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93">
        <f>IF($B$4+24&lt;=$B$5,$B$4+24,"")</f>
        <v>46228</v>
      </c>
      <c r="B86" s="88">
        <f>IF(A86="",0,SUMIFS('Bán hàng'!$I$4:$I$503,'Bán hàng'!$A$4:$A$503,A86))</f>
        <v>0</v>
      </c>
      <c r="C86" s="2">
        <f>IF(A86="",0,SUMIFS('Bán hàng'!$F$4:$F$503,'Bán hàng'!$A$4:$A$503,A86))</f>
        <v>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93">
        <f>IF($B$4+25&lt;=$B$5,$B$4+25,"")</f>
        <v>46229</v>
      </c>
      <c r="B87" s="88">
        <f>IF(A87="",0,SUMIFS('Bán hàng'!$I$4:$I$503,'Bán hàng'!$A$4:$A$503,A87))</f>
        <v>0</v>
      </c>
      <c r="C87" s="2">
        <f>IF(A87="",0,SUMIFS('Bán hàng'!$F$4:$F$503,'Bán hàng'!$A$4:$A$503,A87))</f>
        <v>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93">
        <f>IF($B$4+26&lt;=$B$5,$B$4+26,"")</f>
        <v>46230</v>
      </c>
      <c r="B88" s="88">
        <f>IF(A88="",0,SUMIFS('Bán hàng'!$I$4:$I$503,'Bán hàng'!$A$4:$A$503,A88))</f>
        <v>0</v>
      </c>
      <c r="C88" s="2">
        <f>IF(A88="",0,SUMIFS('Bán hàng'!$F$4:$F$503,'Bán hàng'!$A$4:$A$503,A88))</f>
        <v>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93">
        <f>IF($B$4+27&lt;=$B$5,$B$4+27,"")</f>
        <v>46231</v>
      </c>
      <c r="B89" s="88">
        <f>IF(A89="",0,SUMIFS('Bán hàng'!$I$4:$I$503,'Bán hàng'!$A$4:$A$503,A89))</f>
        <v>0</v>
      </c>
      <c r="C89" s="2">
        <f>IF(A89="",0,SUMIFS('Bán hàng'!$F$4:$F$503,'Bán hàng'!$A$4:$A$503,A89))</f>
        <v>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93">
        <f>IF($B$4+28&lt;=$B$5,$B$4+28,"")</f>
        <v>46232</v>
      </c>
      <c r="B90" s="88">
        <f>IF(A90="",0,SUMIFS('Bán hàng'!$I$4:$I$503,'Bán hàng'!$A$4:$A$503,A90))</f>
        <v>0</v>
      </c>
      <c r="C90" s="2">
        <f>IF(A90="",0,SUMIFS('Bán hàng'!$F$4:$F$503,'Bán hàng'!$A$4:$A$503,A90))</f>
        <v>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93">
        <f>IF($B$4+29&lt;=$B$5,$B$4+29,"")</f>
        <v>46233</v>
      </c>
      <c r="B91" s="88">
        <f>IF(A91="",0,SUMIFS('Bán hàng'!$I$4:$I$503,'Bán hàng'!$A$4:$A$503,A91))</f>
        <v>0</v>
      </c>
      <c r="C91" s="2">
        <f>IF(A91="",0,SUMIFS('Bán hàng'!$F$4:$F$503,'Bán hàng'!$A$4:$A$503,A91))</f>
        <v>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93">
        <f>IF($B$4+30&lt;=$B$5,$B$4+30,"")</f>
        <v>46234</v>
      </c>
      <c r="B92" s="88">
        <f>IF(A92="",0,SUMIFS('Bán hàng'!$I$4:$I$503,'Bán hàng'!$A$4:$A$503,A92))</f>
        <v>0</v>
      </c>
      <c r="C92" s="2">
        <f>IF(A92="",0,SUMIFS('Bán hàng'!$F$4:$F$503,'Bán hàng'!$A$4:$A$503,A92))</f>
        <v>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17:G17"/>
    <mergeCell ref="I17:L17"/>
  </mergeCells>
  <printOptions/>
  <pageMargins bottom="0.75" footer="0.0" header="0.0" left="0.7" right="0.7" top="0.75"/>
  <pageSetup orientation="landscape"/>
  <drawing r:id="rId1"/>
</worksheet>
</file>